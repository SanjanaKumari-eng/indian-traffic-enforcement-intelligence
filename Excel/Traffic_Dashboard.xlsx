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A72239AB3DFCAD/Documents/"/>
    </mc:Choice>
  </mc:AlternateContent>
  <xr:revisionPtr revIDLastSave="0" documentId="8_{817C5D03-36B8-46C3-AD74-F1C2091792E6}" xr6:coauthVersionLast="47" xr6:coauthVersionMax="47" xr10:uidLastSave="{00000000-0000-0000-0000-000000000000}"/>
  <bookViews>
    <workbookView xWindow="-108" yWindow="-108" windowWidth="23256" windowHeight="12456" xr2:uid="{635CC838-0A93-4F9A-BC35-7671AACCF9D6}"/>
  </bookViews>
  <sheets>
    <sheet name="TrafficData" sheetId="2" r:id="rId1"/>
    <sheet name="Data Dictionary" sheetId="1" r:id="rId2"/>
  </sheets>
  <definedNames>
    <definedName name="ExternalData_1" localSheetId="0" hidden="1">TrafficData!$A$1:$J$4062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0EFC3A-4225-4199-AAFB-FD9DBACCD8FF}" keepAlive="1" name="Query - echallan_daily_data" description="Connection to the 'echallan_daily_data' query in the workbook." type="5" refreshedVersion="8" background="1" saveData="1">
    <dbPr connection="Provider=Microsoft.Mashup.OleDb.1;Data Source=$Workbook$;Location=echallan_daily_data;Extended Properties=&quot;&quot;" command="SELECT * FROM [echallan_daily_data]"/>
  </connection>
</connections>
</file>

<file path=xl/sharedStrings.xml><?xml version="1.0" encoding="utf-8"?>
<sst xmlns="http://schemas.openxmlformats.org/spreadsheetml/2006/main" count="61" uniqueCount="36">
  <si>
    <t>date</t>
  </si>
  <si>
    <t>totalChallan</t>
  </si>
  <si>
    <t>disposedChallan</t>
  </si>
  <si>
    <t>pendingChallan</t>
  </si>
  <si>
    <t>pendingAmount</t>
  </si>
  <si>
    <t>disposedAmount</t>
  </si>
  <si>
    <t>totalAmount</t>
  </si>
  <si>
    <t>pendingCourt</t>
  </si>
  <si>
    <t>disposedCourt</t>
  </si>
  <si>
    <t>totalCourt</t>
  </si>
  <si>
    <t>Column Name</t>
  </si>
  <si>
    <t>Meaning</t>
  </si>
  <si>
    <t>Data Type</t>
  </si>
  <si>
    <t>Example</t>
  </si>
  <si>
    <t>Problems Found</t>
  </si>
  <si>
    <t>Date of the traffic challan record</t>
  </si>
  <si>
    <t>Date</t>
  </si>
  <si>
    <t>To be checked</t>
  </si>
  <si>
    <t>Total number of challans recorded</t>
  </si>
  <si>
    <t>Integer</t>
  </si>
  <si>
    <t>Number of challans disposed/processed</t>
  </si>
  <si>
    <t>Number of challans still pending</t>
  </si>
  <si>
    <t>Monetary amount associated with pending challans</t>
  </si>
  <si>
    <t>Number/Currency</t>
  </si>
  <si>
    <t>Monetary amount associated with disposed challans</t>
  </si>
  <si>
    <t>Total monetary amount</t>
  </si>
  <si>
    <t>Number of pending court cases</t>
  </si>
  <si>
    <t>Number of disposed court cases</t>
  </si>
  <si>
    <t>Total court-related cases</t>
  </si>
  <si>
    <t>Challan_Check</t>
  </si>
  <si>
    <t>Amount_Check</t>
  </si>
  <si>
    <t>Court_Check</t>
  </si>
  <si>
    <t>Challan_Logic_Check</t>
  </si>
  <si>
    <t>Amount_Logic_Check</t>
  </si>
  <si>
    <t>Court_Logic_Check</t>
  </si>
  <si>
    <t>1 missing date: 03-07-2019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</si>
</sst>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/>
    <xf numFmtId="0" fontId="0" fillId="0" borderId="0" xfId="0" applyNumberFormat="1"/>
    <xf numFmtId="0" fontId="1" fillId="0" borderId="0" xfId="0" applyNumberFormat="1" applyFont="1"/>
    <xf numFmtId="0" fontId="0" fillId="0" borderId="0" xfId="0" applyAlignment="1">
      <alignment vertic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7C531BA-0B6E-41B4-B8BB-DF8E060BB9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1CE2E5-691B-4B57-AFB8-522DC8B31BDE}" autoFormatId="16" applyNumberFormats="0" applyBorderFormats="0" applyFontFormats="0" applyPatternFormats="0" applyAlignmentFormats="0" applyWidthHeightFormats="0">
  <queryTableRefresh nextId="18" unboundColumnsRight="6">
    <queryTableFields count="16">
      <queryTableField id="1" name="date" tableColumnId="1"/>
      <queryTableField id="2" name="totalChallan" tableColumnId="2"/>
      <queryTableField id="3" name="disposedChallan" tableColumnId="3"/>
      <queryTableField id="4" name="pendingChallan" tableColumnId="4"/>
      <queryTableField id="5" name="pendingAmount" tableColumnId="5"/>
      <queryTableField id="6" name="disposedAmount" tableColumnId="6"/>
      <queryTableField id="7" name="totalAmount" tableColumnId="7"/>
      <queryTableField id="8" name="pendingCourt" tableColumnId="8"/>
      <queryTableField id="9" name="disposedCourt" tableColumnId="9"/>
      <queryTableField id="10" name="totalCourt" tableColumnId="10"/>
      <queryTableField id="11" dataBound="0" tableColumnId="11"/>
      <queryTableField id="12" dataBound="0" tableColumnId="12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54C20-FB63-461C-87AD-6970DE17B7B2}" name="TrafficData" displayName="TrafficData" ref="A1:P4062" tableType="queryTable" totalsRowShown="0">
  <autoFilter ref="A1:P4062" xr:uid="{31F54C20-FB63-461C-87AD-6970DE17B7B2}"/>
  <tableColumns count="16">
    <tableColumn id="1" xr3:uid="{1EDEB390-CB9C-4975-B2D8-6B8B8E66DCF6}" uniqueName="1" name="date" queryTableFieldId="1" dataDxfId="3"/>
    <tableColumn id="2" xr3:uid="{83D31088-4CE0-452C-A51A-88B9A8F9995A}" uniqueName="2" name="totalChallan" queryTableFieldId="2"/>
    <tableColumn id="3" xr3:uid="{5FE15D49-8C26-4F6F-9161-F8536C389BBA}" uniqueName="3" name="disposedChallan" queryTableFieldId="3"/>
    <tableColumn id="4" xr3:uid="{44545557-A509-478A-B69A-AAE329D2B8A1}" uniqueName="4" name="pendingChallan" queryTableFieldId="4"/>
    <tableColumn id="5" xr3:uid="{DF9F6272-AE78-4897-8E52-7F694F279399}" uniqueName="5" name="pendingAmount" queryTableFieldId="5"/>
    <tableColumn id="6" xr3:uid="{E6ED2559-986D-4362-8056-DC1473359FE9}" uniqueName="6" name="disposedAmount" queryTableFieldId="6"/>
    <tableColumn id="7" xr3:uid="{34061FF0-EFFD-4788-96C7-EF7D9829D088}" uniqueName="7" name="totalAmount" queryTableFieldId="7"/>
    <tableColumn id="8" xr3:uid="{C71DEFE5-0035-4432-A909-7BBD9F29032A}" uniqueName="8" name="pendingCourt" queryTableFieldId="8"/>
    <tableColumn id="9" xr3:uid="{E8A43664-628A-4A27-939D-FFAFEF22E715}" uniqueName="9" name="disposedCourt" queryTableFieldId="9"/>
    <tableColumn id="10" xr3:uid="{E23049AC-C199-4188-9952-445C747325BC}" uniqueName="10" name="totalCourt" queryTableFieldId="10"/>
    <tableColumn id="11" xr3:uid="{A7563354-B586-4D3A-BC6C-AA68A094D85E}" uniqueName="11" name="Challan_Check" queryTableFieldId="11" dataDxfId="6">
      <calculatedColumnFormula>TrafficData[[#This Row],[disposedChallan]]+TrafficData[[#This Row],[pendingChallan]]=TrafficData[[#This Row],[totalChallan]]</calculatedColumnFormula>
    </tableColumn>
    <tableColumn id="12" xr3:uid="{EB379954-3E1B-49AE-9E5D-122C2A20EB5F}" uniqueName="12" name="Amount_Check" queryTableFieldId="12" dataDxfId="5">
      <calculatedColumnFormula>TrafficData[[#This Row],[pendingAmount]]+TrafficData[[#This Row],[disposedAmount]]=TrafficData[[#This Row],[totalAmount]]</calculatedColumnFormula>
    </tableColumn>
    <tableColumn id="14" xr3:uid="{C8B10302-369F-4B25-954F-D38A8829D1EA}" uniqueName="14" name="Court_Check" queryTableFieldId="14" dataDxfId="4">
      <calculatedColumnFormula>TrafficData[[#This Row],[pendingCourt]]+TrafficData[[#This Row],[disposedCourt]]=TrafficData[[#This Row],[totalCourt]]</calculatedColumnFormula>
    </tableColumn>
    <tableColumn id="15" xr3:uid="{088FA1AD-0855-43AB-AD27-A3DFAC82C32D}" uniqueName="15" name="Challan_Logic_Check" queryTableFieldId="15" dataDxfId="2">
      <calculatedColumnFormula>AND(TrafficData[[#This Row],[disposedChallan]]&lt;=TrafficData[[#This Row],[totalChallan]],TrafficData[[#This Row],[pendingChallan]]&lt;=TrafficData[[#This Row],[totalChallan]])</calculatedColumnFormula>
    </tableColumn>
    <tableColumn id="16" xr3:uid="{9712E9A4-9824-4975-AC5A-F6E16F985953}" uniqueName="16" name="Amount_Logic_Check" queryTableFieldId="16" dataDxfId="1">
      <calculatedColumnFormula>AND(TrafficData[[#This Row],[pendingAmount]]&lt;=TrafficData[[#This Row],[totalAmount]],TrafficData[[#This Row],[disposedAmount]]&lt;=TrafficData[[#This Row],[totalAmount]])</calculatedColumnFormula>
    </tableColumn>
    <tableColumn id="17" xr3:uid="{ED2C5B7B-B1F6-4764-BA8C-492E4BB284D1}" uniqueName="17" name="Court_Logic_Check" queryTableFieldId="17" dataDxfId="0">
      <calculatedColumnFormula>AND(TrafficData[[#This Row],[pendingCourt]]&lt;=TrafficData[[#This Row],[totalCourt]],TrafficData[[#This Row],[disposedCourt]]&lt;=TrafficData[[#This Row],[totalCourt]])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021A-C347-419C-AD8A-161F9F87530D}">
  <dimension ref="A1:P4062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4.4"/>
  <cols>
    <col min="1" max="1" width="10.33203125" bestFit="1" customWidth="1"/>
    <col min="2" max="2" width="13.33203125" bestFit="1" customWidth="1"/>
    <col min="3" max="3" width="17" bestFit="1" customWidth="1"/>
    <col min="4" max="4" width="16.44140625" bestFit="1" customWidth="1"/>
    <col min="5" max="5" width="17.109375" bestFit="1" customWidth="1"/>
    <col min="6" max="6" width="17.6640625" bestFit="1" customWidth="1"/>
    <col min="7" max="7" width="14" bestFit="1" customWidth="1"/>
    <col min="8" max="8" width="14.77734375" bestFit="1" customWidth="1"/>
    <col min="9" max="9" width="15.44140625" bestFit="1" customWidth="1"/>
    <col min="10" max="10" width="11.77734375" bestFit="1" customWidth="1"/>
    <col min="11" max="11" width="15.6640625" bestFit="1" customWidth="1"/>
    <col min="12" max="12" width="16.33203125" bestFit="1" customWidth="1"/>
    <col min="13" max="13" width="14" bestFit="1" customWidth="1"/>
    <col min="14" max="14" width="22.109375" bestFit="1" customWidth="1"/>
    <col min="15" max="15" width="21.77734375" bestFit="1" customWidth="1"/>
    <col min="16" max="16" width="19.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</v>
      </c>
      <c r="L1" t="s">
        <v>30</v>
      </c>
      <c r="M1" t="s">
        <v>31</v>
      </c>
      <c r="N1" s="7" t="s">
        <v>32</v>
      </c>
      <c r="O1" t="s">
        <v>33</v>
      </c>
      <c r="P1" t="s">
        <v>34</v>
      </c>
    </row>
    <row r="2" spans="1:16">
      <c r="A2" s="1">
        <v>42005</v>
      </c>
      <c r="B2">
        <v>120</v>
      </c>
      <c r="C2">
        <v>29</v>
      </c>
      <c r="D2">
        <v>91</v>
      </c>
      <c r="E2">
        <v>588600</v>
      </c>
      <c r="F2">
        <v>116860</v>
      </c>
      <c r="G2">
        <v>705460</v>
      </c>
      <c r="H2">
        <v>1</v>
      </c>
      <c r="I2">
        <v>0</v>
      </c>
      <c r="J2">
        <v>1</v>
      </c>
      <c r="K2" t="b">
        <f>TrafficData[[#This Row],[disposedChallan]]+TrafficData[[#This Row],[pendingChallan]]=TrafficData[[#This Row],[totalChallan]]</f>
        <v>1</v>
      </c>
      <c r="L2" t="b">
        <f>TrafficData[[#This Row],[pendingAmount]]+TrafficData[[#This Row],[disposedAmount]]=TrafficData[[#This Row],[totalAmount]]</f>
        <v>1</v>
      </c>
      <c r="M2" t="b">
        <f>TrafficData[[#This Row],[pendingCourt]]+TrafficData[[#This Row],[disposedCourt]]=TrafficData[[#This Row],[totalCourt]]</f>
        <v>1</v>
      </c>
      <c r="N2" s="8" t="b">
        <f>AND(TrafficData[[#This Row],[disposedChallan]]&lt;=TrafficData[[#This Row],[totalChallan]],TrafficData[[#This Row],[pendingChallan]]&lt;=TrafficData[[#This Row],[totalChallan]])</f>
        <v>1</v>
      </c>
      <c r="O2" s="8" t="b">
        <f>AND(TrafficData[[#This Row],[pendingAmount]]&lt;=TrafficData[[#This Row],[totalAmount]],TrafficData[[#This Row],[disposedAmount]]&lt;=TrafficData[[#This Row],[totalAmount]])</f>
        <v>1</v>
      </c>
      <c r="P2" s="8" t="b">
        <f>AND(TrafficData[[#This Row],[pendingCourt]]&lt;=TrafficData[[#This Row],[totalCourt]],TrafficData[[#This Row],[disposedCourt]]&lt;=TrafficData[[#This Row],[totalCourt]])</f>
        <v>1</v>
      </c>
    </row>
    <row r="3" spans="1:16">
      <c r="A3" s="1">
        <v>42006</v>
      </c>
      <c r="B3">
        <v>162</v>
      </c>
      <c r="C3">
        <v>39</v>
      </c>
      <c r="D3">
        <v>123</v>
      </c>
      <c r="E3">
        <v>663350</v>
      </c>
      <c r="F3">
        <v>281425</v>
      </c>
      <c r="G3">
        <v>944775</v>
      </c>
      <c r="H3">
        <v>1</v>
      </c>
      <c r="I3">
        <v>1</v>
      </c>
      <c r="J3">
        <v>2</v>
      </c>
      <c r="K3" t="b">
        <f>TrafficData[[#This Row],[disposedChallan]]+TrafficData[[#This Row],[pendingChallan]]=TrafficData[[#This Row],[totalChallan]]</f>
        <v>1</v>
      </c>
      <c r="L3" t="b">
        <f>TrafficData[[#This Row],[pendingAmount]]+TrafficData[[#This Row],[disposedAmount]]=TrafficData[[#This Row],[totalAmount]]</f>
        <v>1</v>
      </c>
      <c r="M3" t="b">
        <f>TrafficData[[#This Row],[pendingCourt]]+TrafficData[[#This Row],[disposedCourt]]=TrafficData[[#This Row],[totalCourt]]</f>
        <v>1</v>
      </c>
      <c r="N3" s="8" t="b">
        <f>AND(TrafficData[[#This Row],[disposedChallan]]&lt;=TrafficData[[#This Row],[totalChallan]],TrafficData[[#This Row],[pendingChallan]]&lt;=TrafficData[[#This Row],[totalChallan]])</f>
        <v>1</v>
      </c>
      <c r="O3" s="8" t="b">
        <f>AND(TrafficData[[#This Row],[pendingAmount]]&lt;=TrafficData[[#This Row],[totalAmount]],TrafficData[[#This Row],[disposedAmount]]&lt;=TrafficData[[#This Row],[totalAmount]])</f>
        <v>1</v>
      </c>
      <c r="P3" s="8" t="b">
        <f>AND(TrafficData[[#This Row],[pendingCourt]]&lt;=TrafficData[[#This Row],[totalCourt]],TrafficData[[#This Row],[disposedCourt]]&lt;=TrafficData[[#This Row],[totalCourt]])</f>
        <v>1</v>
      </c>
    </row>
    <row r="4" spans="1:16">
      <c r="A4" s="1">
        <v>42007</v>
      </c>
      <c r="B4">
        <v>122</v>
      </c>
      <c r="C4">
        <v>34</v>
      </c>
      <c r="D4">
        <v>88</v>
      </c>
      <c r="E4">
        <v>596900</v>
      </c>
      <c r="F4">
        <v>286950</v>
      </c>
      <c r="G4">
        <v>883850</v>
      </c>
      <c r="H4">
        <v>4</v>
      </c>
      <c r="I4">
        <v>1</v>
      </c>
      <c r="J4">
        <v>5</v>
      </c>
      <c r="K4" t="b">
        <f>TrafficData[[#This Row],[disposedChallan]]+TrafficData[[#This Row],[pendingChallan]]=TrafficData[[#This Row],[totalChallan]]</f>
        <v>1</v>
      </c>
      <c r="L4" t="b">
        <f>TrafficData[[#This Row],[pendingAmount]]+TrafficData[[#This Row],[disposedAmount]]=TrafficData[[#This Row],[totalAmount]]</f>
        <v>1</v>
      </c>
      <c r="M4" t="b">
        <f>TrafficData[[#This Row],[pendingCourt]]+TrafficData[[#This Row],[disposedCourt]]=TrafficData[[#This Row],[totalCourt]]</f>
        <v>1</v>
      </c>
      <c r="N4" s="8" t="b">
        <f>AND(TrafficData[[#This Row],[disposedChallan]]&lt;=TrafficData[[#This Row],[totalChallan]],TrafficData[[#This Row],[pendingChallan]]&lt;=TrafficData[[#This Row],[totalChallan]])</f>
        <v>1</v>
      </c>
      <c r="O4" s="8" t="b">
        <f>AND(TrafficData[[#This Row],[pendingAmount]]&lt;=TrafficData[[#This Row],[totalAmount]],TrafficData[[#This Row],[disposedAmount]]&lt;=TrafficData[[#This Row],[totalAmount]])</f>
        <v>1</v>
      </c>
      <c r="P4" s="8" t="b">
        <f>AND(TrafficData[[#This Row],[pendingCourt]]&lt;=TrafficData[[#This Row],[totalCourt]],TrafficData[[#This Row],[disposedCourt]]&lt;=TrafficData[[#This Row],[totalCourt]])</f>
        <v>1</v>
      </c>
    </row>
    <row r="5" spans="1:16">
      <c r="A5" s="1">
        <v>42008</v>
      </c>
      <c r="B5">
        <v>116</v>
      </c>
      <c r="C5">
        <v>27</v>
      </c>
      <c r="D5">
        <v>89</v>
      </c>
      <c r="E5">
        <v>967350</v>
      </c>
      <c r="F5">
        <v>301600</v>
      </c>
      <c r="G5">
        <v>1268950</v>
      </c>
      <c r="H5">
        <v>3</v>
      </c>
      <c r="I5">
        <v>2</v>
      </c>
      <c r="J5">
        <v>5</v>
      </c>
      <c r="K5" t="b">
        <f>TrafficData[[#This Row],[disposedChallan]]+TrafficData[[#This Row],[pendingChallan]]=TrafficData[[#This Row],[totalChallan]]</f>
        <v>1</v>
      </c>
      <c r="L5" t="b">
        <f>TrafficData[[#This Row],[pendingAmount]]+TrafficData[[#This Row],[disposedAmount]]=TrafficData[[#This Row],[totalAmount]]</f>
        <v>1</v>
      </c>
      <c r="M5" t="b">
        <f>TrafficData[[#This Row],[pendingCourt]]+TrafficData[[#This Row],[disposedCourt]]=TrafficData[[#This Row],[totalCourt]]</f>
        <v>1</v>
      </c>
      <c r="N5" s="8" t="b">
        <f>AND(TrafficData[[#This Row],[disposedChallan]]&lt;=TrafficData[[#This Row],[totalChallan]],TrafficData[[#This Row],[pendingChallan]]&lt;=TrafficData[[#This Row],[totalChallan]])</f>
        <v>1</v>
      </c>
      <c r="O5" s="8" t="b">
        <f>AND(TrafficData[[#This Row],[pendingAmount]]&lt;=TrafficData[[#This Row],[totalAmount]],TrafficData[[#This Row],[disposedAmount]]&lt;=TrafficData[[#This Row],[totalAmount]])</f>
        <v>1</v>
      </c>
      <c r="P5" s="8" t="b">
        <f>AND(TrafficData[[#This Row],[pendingCourt]]&lt;=TrafficData[[#This Row],[totalCourt]],TrafficData[[#This Row],[disposedCourt]]&lt;=TrafficData[[#This Row],[totalCourt]])</f>
        <v>1</v>
      </c>
    </row>
    <row r="6" spans="1:16">
      <c r="A6" s="1">
        <v>42009</v>
      </c>
      <c r="B6">
        <v>162</v>
      </c>
      <c r="C6">
        <v>28</v>
      </c>
      <c r="D6">
        <v>134</v>
      </c>
      <c r="E6">
        <v>877654</v>
      </c>
      <c r="F6">
        <v>103000</v>
      </c>
      <c r="G6">
        <v>980654</v>
      </c>
      <c r="H6">
        <v>2</v>
      </c>
      <c r="I6">
        <v>0</v>
      </c>
      <c r="J6">
        <v>2</v>
      </c>
      <c r="K6" t="b">
        <f>TrafficData[[#This Row],[disposedChallan]]+TrafficData[[#This Row],[pendingChallan]]=TrafficData[[#This Row],[totalChallan]]</f>
        <v>1</v>
      </c>
      <c r="L6" t="b">
        <f>TrafficData[[#This Row],[pendingAmount]]+TrafficData[[#This Row],[disposedAmount]]=TrafficData[[#This Row],[totalAmount]]</f>
        <v>1</v>
      </c>
      <c r="M6" t="b">
        <f>TrafficData[[#This Row],[pendingCourt]]+TrafficData[[#This Row],[disposedCourt]]=TrafficData[[#This Row],[totalCourt]]</f>
        <v>1</v>
      </c>
      <c r="N6" s="8" t="b">
        <f>AND(TrafficData[[#This Row],[disposedChallan]]&lt;=TrafficData[[#This Row],[totalChallan]],TrafficData[[#This Row],[pendingChallan]]&lt;=TrafficData[[#This Row],[totalChallan]])</f>
        <v>1</v>
      </c>
      <c r="O6" s="8" t="b">
        <f>AND(TrafficData[[#This Row],[pendingAmount]]&lt;=TrafficData[[#This Row],[totalAmount]],TrafficData[[#This Row],[disposedAmount]]&lt;=TrafficData[[#This Row],[totalAmount]])</f>
        <v>1</v>
      </c>
      <c r="P6" s="8" t="b">
        <f>AND(TrafficData[[#This Row],[pendingCourt]]&lt;=TrafficData[[#This Row],[totalCourt]],TrafficData[[#This Row],[disposedCourt]]&lt;=TrafficData[[#This Row],[totalCourt]])</f>
        <v>1</v>
      </c>
    </row>
    <row r="7" spans="1:16">
      <c r="A7" s="1">
        <v>42010</v>
      </c>
      <c r="B7">
        <v>104</v>
      </c>
      <c r="C7">
        <v>24</v>
      </c>
      <c r="D7">
        <v>80</v>
      </c>
      <c r="E7">
        <v>597100</v>
      </c>
      <c r="F7">
        <v>149500</v>
      </c>
      <c r="G7">
        <v>746600</v>
      </c>
      <c r="H7">
        <v>2</v>
      </c>
      <c r="I7">
        <v>1</v>
      </c>
      <c r="J7">
        <v>3</v>
      </c>
      <c r="K7" t="b">
        <f>TrafficData[[#This Row],[disposedChallan]]+TrafficData[[#This Row],[pendingChallan]]=TrafficData[[#This Row],[totalChallan]]</f>
        <v>1</v>
      </c>
      <c r="L7" t="b">
        <f>TrafficData[[#This Row],[pendingAmount]]+TrafficData[[#This Row],[disposedAmount]]=TrafficData[[#This Row],[totalAmount]]</f>
        <v>1</v>
      </c>
      <c r="M7" t="b">
        <f>TrafficData[[#This Row],[pendingCourt]]+TrafficData[[#This Row],[disposedCourt]]=TrafficData[[#This Row],[totalCourt]]</f>
        <v>1</v>
      </c>
      <c r="N7" s="8" t="b">
        <f>AND(TrafficData[[#This Row],[disposedChallan]]&lt;=TrafficData[[#This Row],[totalChallan]],TrafficData[[#This Row],[pendingChallan]]&lt;=TrafficData[[#This Row],[totalChallan]])</f>
        <v>1</v>
      </c>
      <c r="O7" s="8" t="b">
        <f>AND(TrafficData[[#This Row],[pendingAmount]]&lt;=TrafficData[[#This Row],[totalAmount]],TrafficData[[#This Row],[disposedAmount]]&lt;=TrafficData[[#This Row],[totalAmount]])</f>
        <v>1</v>
      </c>
      <c r="P7" s="8" t="b">
        <f>AND(TrafficData[[#This Row],[pendingCourt]]&lt;=TrafficData[[#This Row],[totalCourt]],TrafficData[[#This Row],[disposedCourt]]&lt;=TrafficData[[#This Row],[totalCourt]])</f>
        <v>1</v>
      </c>
    </row>
    <row r="8" spans="1:16">
      <c r="A8" s="1">
        <v>42011</v>
      </c>
      <c r="B8">
        <v>108</v>
      </c>
      <c r="C8">
        <v>22</v>
      </c>
      <c r="D8">
        <v>86</v>
      </c>
      <c r="E8">
        <v>728650</v>
      </c>
      <c r="F8">
        <v>144600</v>
      </c>
      <c r="G8">
        <v>873250</v>
      </c>
      <c r="H8">
        <v>3</v>
      </c>
      <c r="I8">
        <v>1</v>
      </c>
      <c r="J8">
        <v>4</v>
      </c>
      <c r="K8" t="b">
        <f>TrafficData[[#This Row],[disposedChallan]]+TrafficData[[#This Row],[pendingChallan]]=TrafficData[[#This Row],[totalChallan]]</f>
        <v>1</v>
      </c>
      <c r="L8" t="b">
        <f>TrafficData[[#This Row],[pendingAmount]]+TrafficData[[#This Row],[disposedAmount]]=TrafficData[[#This Row],[totalAmount]]</f>
        <v>1</v>
      </c>
      <c r="M8" t="b">
        <f>TrafficData[[#This Row],[pendingCourt]]+TrafficData[[#This Row],[disposedCourt]]=TrafficData[[#This Row],[totalCourt]]</f>
        <v>1</v>
      </c>
      <c r="N8" s="8" t="b">
        <f>AND(TrafficData[[#This Row],[disposedChallan]]&lt;=TrafficData[[#This Row],[totalChallan]],TrafficData[[#This Row],[pendingChallan]]&lt;=TrafficData[[#This Row],[totalChallan]])</f>
        <v>1</v>
      </c>
      <c r="O8" s="8" t="b">
        <f>AND(TrafficData[[#This Row],[pendingAmount]]&lt;=TrafficData[[#This Row],[totalAmount]],TrafficData[[#This Row],[disposedAmount]]&lt;=TrafficData[[#This Row],[totalAmount]])</f>
        <v>1</v>
      </c>
      <c r="P8" s="9" t="b">
        <f>AND(TrafficData[[#This Row],[pendingCourt]]&lt;=TrafficData[[#This Row],[totalCourt]],TrafficData[[#This Row],[disposedCourt]]&lt;=TrafficData[[#This Row],[totalCourt]])</f>
        <v>1</v>
      </c>
    </row>
    <row r="9" spans="1:16">
      <c r="A9" s="1">
        <v>42012</v>
      </c>
      <c r="B9">
        <v>169</v>
      </c>
      <c r="C9">
        <v>37</v>
      </c>
      <c r="D9">
        <v>132</v>
      </c>
      <c r="E9">
        <v>886802</v>
      </c>
      <c r="F9">
        <v>156300</v>
      </c>
      <c r="G9">
        <v>1043102</v>
      </c>
      <c r="H9">
        <v>0</v>
      </c>
      <c r="I9">
        <v>0</v>
      </c>
      <c r="J9">
        <v>0</v>
      </c>
      <c r="K9" t="b">
        <f>TrafficData[[#This Row],[disposedChallan]]+TrafficData[[#This Row],[pendingChallan]]=TrafficData[[#This Row],[totalChallan]]</f>
        <v>1</v>
      </c>
      <c r="L9" t="b">
        <f>TrafficData[[#This Row],[pendingAmount]]+TrafficData[[#This Row],[disposedAmount]]=TrafficData[[#This Row],[totalAmount]]</f>
        <v>1</v>
      </c>
      <c r="M9" t="b">
        <f>TrafficData[[#This Row],[pendingCourt]]+TrafficData[[#This Row],[disposedCourt]]=TrafficData[[#This Row],[totalCourt]]</f>
        <v>1</v>
      </c>
      <c r="N9" s="8" t="b">
        <f>AND(TrafficData[[#This Row],[disposedChallan]]&lt;=TrafficData[[#This Row],[totalChallan]],TrafficData[[#This Row],[pendingChallan]]&lt;=TrafficData[[#This Row],[totalChallan]])</f>
        <v>1</v>
      </c>
      <c r="O9" s="8" t="b">
        <f>AND(TrafficData[[#This Row],[pendingAmount]]&lt;=TrafficData[[#This Row],[totalAmount]],TrafficData[[#This Row],[disposedAmount]]&lt;=TrafficData[[#This Row],[totalAmount]])</f>
        <v>1</v>
      </c>
      <c r="P9" s="8" t="b">
        <f>AND(TrafficData[[#This Row],[pendingCourt]]&lt;=TrafficData[[#This Row],[totalCourt]],TrafficData[[#This Row],[disposedCourt]]&lt;=TrafficData[[#This Row],[totalCourt]])</f>
        <v>1</v>
      </c>
    </row>
    <row r="10" spans="1:16">
      <c r="A10" s="1">
        <v>42013</v>
      </c>
      <c r="B10">
        <v>137</v>
      </c>
      <c r="C10">
        <v>30</v>
      </c>
      <c r="D10">
        <v>107</v>
      </c>
      <c r="E10">
        <v>852650</v>
      </c>
      <c r="F10">
        <v>282200</v>
      </c>
      <c r="G10">
        <v>1134850</v>
      </c>
      <c r="H10">
        <v>7</v>
      </c>
      <c r="I10">
        <v>0</v>
      </c>
      <c r="J10">
        <v>7</v>
      </c>
      <c r="K10" t="b">
        <f>TrafficData[[#This Row],[disposedChallan]]+TrafficData[[#This Row],[pendingChallan]]=TrafficData[[#This Row],[totalChallan]]</f>
        <v>1</v>
      </c>
      <c r="L10" t="b">
        <f>TrafficData[[#This Row],[pendingAmount]]+TrafficData[[#This Row],[disposedAmount]]=TrafficData[[#This Row],[totalAmount]]</f>
        <v>1</v>
      </c>
      <c r="M10" t="b">
        <f>TrafficData[[#This Row],[pendingCourt]]+TrafficData[[#This Row],[disposedCourt]]=TrafficData[[#This Row],[totalCourt]]</f>
        <v>1</v>
      </c>
      <c r="N10" s="8" t="b">
        <f>AND(TrafficData[[#This Row],[disposedChallan]]&lt;=TrafficData[[#This Row],[totalChallan]],TrafficData[[#This Row],[pendingChallan]]&lt;=TrafficData[[#This Row],[totalChallan]])</f>
        <v>1</v>
      </c>
      <c r="O10" s="8" t="b">
        <f>AND(TrafficData[[#This Row],[pendingAmount]]&lt;=TrafficData[[#This Row],[totalAmount]],TrafficData[[#This Row],[disposedAmount]]&lt;=TrafficData[[#This Row],[totalAmount]])</f>
        <v>1</v>
      </c>
      <c r="P10" s="8" t="b">
        <f>AND(TrafficData[[#This Row],[pendingCourt]]&lt;=TrafficData[[#This Row],[totalCourt]],TrafficData[[#This Row],[disposedCourt]]&lt;=TrafficData[[#This Row],[totalCourt]])</f>
        <v>1</v>
      </c>
    </row>
    <row r="11" spans="1:16">
      <c r="A11" s="1">
        <v>42014</v>
      </c>
      <c r="B11">
        <v>108</v>
      </c>
      <c r="C11">
        <v>35</v>
      </c>
      <c r="D11">
        <v>73</v>
      </c>
      <c r="E11">
        <v>668450</v>
      </c>
      <c r="F11">
        <v>183380</v>
      </c>
      <c r="G11">
        <v>851830</v>
      </c>
      <c r="H11">
        <v>6</v>
      </c>
      <c r="I11">
        <v>0</v>
      </c>
      <c r="J11">
        <v>6</v>
      </c>
      <c r="K11" t="b">
        <f>TrafficData[[#This Row],[disposedChallan]]+TrafficData[[#This Row],[pendingChallan]]=TrafficData[[#This Row],[totalChallan]]</f>
        <v>1</v>
      </c>
      <c r="L11" t="b">
        <f>TrafficData[[#This Row],[pendingAmount]]+TrafficData[[#This Row],[disposedAmount]]=TrafficData[[#This Row],[totalAmount]]</f>
        <v>1</v>
      </c>
      <c r="M11" t="b">
        <f>TrafficData[[#This Row],[pendingCourt]]+TrafficData[[#This Row],[disposedCourt]]=TrafficData[[#This Row],[totalCourt]]</f>
        <v>1</v>
      </c>
      <c r="N11" s="8" t="b">
        <f>AND(TrafficData[[#This Row],[disposedChallan]]&lt;=TrafficData[[#This Row],[totalChallan]],TrafficData[[#This Row],[pendingChallan]]&lt;=TrafficData[[#This Row],[totalChallan]])</f>
        <v>1</v>
      </c>
      <c r="O11" s="8" t="b">
        <f>AND(TrafficData[[#This Row],[pendingAmount]]&lt;=TrafficData[[#This Row],[totalAmount]],TrafficData[[#This Row],[disposedAmount]]&lt;=TrafficData[[#This Row],[totalAmount]])</f>
        <v>1</v>
      </c>
      <c r="P11" s="8" t="b">
        <f>AND(TrafficData[[#This Row],[pendingCourt]]&lt;=TrafficData[[#This Row],[totalCourt]],TrafficData[[#This Row],[disposedCourt]]&lt;=TrafficData[[#This Row],[totalCourt]])</f>
        <v>1</v>
      </c>
    </row>
    <row r="12" spans="1:16">
      <c r="A12" s="1">
        <v>42015</v>
      </c>
      <c r="B12">
        <v>116</v>
      </c>
      <c r="C12">
        <v>18</v>
      </c>
      <c r="D12">
        <v>98</v>
      </c>
      <c r="E12">
        <v>809900</v>
      </c>
      <c r="F12">
        <v>109200</v>
      </c>
      <c r="G12">
        <v>919100</v>
      </c>
      <c r="H12">
        <v>3</v>
      </c>
      <c r="I12">
        <v>0</v>
      </c>
      <c r="J12">
        <v>3</v>
      </c>
      <c r="K12" t="b">
        <f>TrafficData[[#This Row],[disposedChallan]]+TrafficData[[#This Row],[pendingChallan]]=TrafficData[[#This Row],[totalChallan]]</f>
        <v>1</v>
      </c>
      <c r="L12" t="b">
        <f>TrafficData[[#This Row],[pendingAmount]]+TrafficData[[#This Row],[disposedAmount]]=TrafficData[[#This Row],[totalAmount]]</f>
        <v>1</v>
      </c>
      <c r="M12" t="b">
        <f>TrafficData[[#This Row],[pendingCourt]]+TrafficData[[#This Row],[disposedCourt]]=TrafficData[[#This Row],[totalCourt]]</f>
        <v>1</v>
      </c>
      <c r="N12" s="8" t="b">
        <f>AND(TrafficData[[#This Row],[disposedChallan]]&lt;=TrafficData[[#This Row],[totalChallan]],TrafficData[[#This Row],[pendingChallan]]&lt;=TrafficData[[#This Row],[totalChallan]])</f>
        <v>1</v>
      </c>
      <c r="O12" s="8" t="b">
        <f>AND(TrafficData[[#This Row],[pendingAmount]]&lt;=TrafficData[[#This Row],[totalAmount]],TrafficData[[#This Row],[disposedAmount]]&lt;=TrafficData[[#This Row],[totalAmount]])</f>
        <v>1</v>
      </c>
      <c r="P12" s="8" t="b">
        <f>AND(TrafficData[[#This Row],[pendingCourt]]&lt;=TrafficData[[#This Row],[totalCourt]],TrafficData[[#This Row],[disposedCourt]]&lt;=TrafficData[[#This Row],[totalCourt]])</f>
        <v>1</v>
      </c>
    </row>
    <row r="13" spans="1:16">
      <c r="A13" s="1">
        <v>42016</v>
      </c>
      <c r="B13">
        <v>130</v>
      </c>
      <c r="C13">
        <v>19</v>
      </c>
      <c r="D13">
        <v>111</v>
      </c>
      <c r="E13">
        <v>650150</v>
      </c>
      <c r="F13">
        <v>85600</v>
      </c>
      <c r="G13">
        <v>735750</v>
      </c>
      <c r="H13">
        <v>1</v>
      </c>
      <c r="I13">
        <v>1</v>
      </c>
      <c r="J13">
        <v>2</v>
      </c>
      <c r="K13" t="b">
        <f>TrafficData[[#This Row],[disposedChallan]]+TrafficData[[#This Row],[pendingChallan]]=TrafficData[[#This Row],[totalChallan]]</f>
        <v>1</v>
      </c>
      <c r="L13" t="b">
        <f>TrafficData[[#This Row],[pendingAmount]]+TrafficData[[#This Row],[disposedAmount]]=TrafficData[[#This Row],[totalAmount]]</f>
        <v>1</v>
      </c>
      <c r="M13" t="b">
        <f>TrafficData[[#This Row],[pendingCourt]]+TrafficData[[#This Row],[disposedCourt]]=TrafficData[[#This Row],[totalCourt]]</f>
        <v>1</v>
      </c>
      <c r="N13" s="8" t="b">
        <f>AND(TrafficData[[#This Row],[disposedChallan]]&lt;=TrafficData[[#This Row],[totalChallan]],TrafficData[[#This Row],[pendingChallan]]&lt;=TrafficData[[#This Row],[totalChallan]])</f>
        <v>1</v>
      </c>
      <c r="O13" s="8" t="b">
        <f>AND(TrafficData[[#This Row],[pendingAmount]]&lt;=TrafficData[[#This Row],[totalAmount]],TrafficData[[#This Row],[disposedAmount]]&lt;=TrafficData[[#This Row],[totalAmount]])</f>
        <v>1</v>
      </c>
      <c r="P13" s="8" t="b">
        <f>AND(TrafficData[[#This Row],[pendingCourt]]&lt;=TrafficData[[#This Row],[totalCourt]],TrafficData[[#This Row],[disposedCourt]]&lt;=TrafficData[[#This Row],[totalCourt]])</f>
        <v>1</v>
      </c>
    </row>
    <row r="14" spans="1:16">
      <c r="A14" s="1">
        <v>42017</v>
      </c>
      <c r="B14">
        <v>115</v>
      </c>
      <c r="C14">
        <v>24</v>
      </c>
      <c r="D14">
        <v>91</v>
      </c>
      <c r="E14">
        <v>579000</v>
      </c>
      <c r="F14">
        <v>83235</v>
      </c>
      <c r="G14">
        <v>662235</v>
      </c>
      <c r="H14">
        <v>8</v>
      </c>
      <c r="I14">
        <v>3</v>
      </c>
      <c r="J14">
        <v>11</v>
      </c>
      <c r="K14" t="b">
        <f>TrafficData[[#This Row],[disposedChallan]]+TrafficData[[#This Row],[pendingChallan]]=TrafficData[[#This Row],[totalChallan]]</f>
        <v>1</v>
      </c>
      <c r="L14" t="b">
        <f>TrafficData[[#This Row],[pendingAmount]]+TrafficData[[#This Row],[disposedAmount]]=TrafficData[[#This Row],[totalAmount]]</f>
        <v>1</v>
      </c>
      <c r="M14" t="b">
        <f>TrafficData[[#This Row],[pendingCourt]]+TrafficData[[#This Row],[disposedCourt]]=TrafficData[[#This Row],[totalCourt]]</f>
        <v>1</v>
      </c>
      <c r="N14" s="8" t="b">
        <f>AND(TrafficData[[#This Row],[disposedChallan]]&lt;=TrafficData[[#This Row],[totalChallan]],TrafficData[[#This Row],[pendingChallan]]&lt;=TrafficData[[#This Row],[totalChallan]])</f>
        <v>1</v>
      </c>
      <c r="O14" s="8" t="b">
        <f>AND(TrafficData[[#This Row],[pendingAmount]]&lt;=TrafficData[[#This Row],[totalAmount]],TrafficData[[#This Row],[disposedAmount]]&lt;=TrafficData[[#This Row],[totalAmount]])</f>
        <v>1</v>
      </c>
      <c r="P14" s="8" t="b">
        <f>AND(TrafficData[[#This Row],[pendingCourt]]&lt;=TrafficData[[#This Row],[totalCourt]],TrafficData[[#This Row],[disposedCourt]]&lt;=TrafficData[[#This Row],[totalCourt]])</f>
        <v>1</v>
      </c>
    </row>
    <row r="15" spans="1:16">
      <c r="A15" s="1">
        <v>42018</v>
      </c>
      <c r="B15">
        <v>68</v>
      </c>
      <c r="C15">
        <v>15</v>
      </c>
      <c r="D15">
        <v>53</v>
      </c>
      <c r="E15">
        <v>352850</v>
      </c>
      <c r="F15">
        <v>77050</v>
      </c>
      <c r="G15">
        <v>429900</v>
      </c>
      <c r="H15">
        <v>6</v>
      </c>
      <c r="I15">
        <v>0</v>
      </c>
      <c r="J15">
        <v>6</v>
      </c>
      <c r="K15" t="b">
        <f>TrafficData[[#This Row],[disposedChallan]]+TrafficData[[#This Row],[pendingChallan]]=TrafficData[[#This Row],[totalChallan]]</f>
        <v>1</v>
      </c>
      <c r="L15" t="b">
        <f>TrafficData[[#This Row],[pendingAmount]]+TrafficData[[#This Row],[disposedAmount]]=TrafficData[[#This Row],[totalAmount]]</f>
        <v>1</v>
      </c>
      <c r="M15" t="b">
        <f>TrafficData[[#This Row],[pendingCourt]]+TrafficData[[#This Row],[disposedCourt]]=TrafficData[[#This Row],[totalCourt]]</f>
        <v>1</v>
      </c>
      <c r="N15" s="8" t="b">
        <f>AND(TrafficData[[#This Row],[disposedChallan]]&lt;=TrafficData[[#This Row],[totalChallan]],TrafficData[[#This Row],[pendingChallan]]&lt;=TrafficData[[#This Row],[totalChallan]])</f>
        <v>1</v>
      </c>
      <c r="O15" s="8" t="b">
        <f>AND(TrafficData[[#This Row],[pendingAmount]]&lt;=TrafficData[[#This Row],[totalAmount]],TrafficData[[#This Row],[disposedAmount]]&lt;=TrafficData[[#This Row],[totalAmount]])</f>
        <v>1</v>
      </c>
      <c r="P15" s="8" t="b">
        <f>AND(TrafficData[[#This Row],[pendingCourt]]&lt;=TrafficData[[#This Row],[totalCourt]],TrafficData[[#This Row],[disposedCourt]]&lt;=TrafficData[[#This Row],[totalCourt]])</f>
        <v>1</v>
      </c>
    </row>
    <row r="16" spans="1:16">
      <c r="A16" s="1">
        <v>42019</v>
      </c>
      <c r="B16">
        <v>116</v>
      </c>
      <c r="C16">
        <v>30</v>
      </c>
      <c r="D16">
        <v>86</v>
      </c>
      <c r="E16">
        <v>650400</v>
      </c>
      <c r="F16">
        <v>148100</v>
      </c>
      <c r="G16">
        <v>798500</v>
      </c>
      <c r="H16">
        <v>1</v>
      </c>
      <c r="I16">
        <v>0</v>
      </c>
      <c r="J16">
        <v>1</v>
      </c>
      <c r="K16" t="b">
        <f>TrafficData[[#This Row],[disposedChallan]]+TrafficData[[#This Row],[pendingChallan]]=TrafficData[[#This Row],[totalChallan]]</f>
        <v>1</v>
      </c>
      <c r="L16" t="b">
        <f>TrafficData[[#This Row],[pendingAmount]]+TrafficData[[#This Row],[disposedAmount]]=TrafficData[[#This Row],[totalAmount]]</f>
        <v>1</v>
      </c>
      <c r="M16" t="b">
        <f>TrafficData[[#This Row],[pendingCourt]]+TrafficData[[#This Row],[disposedCourt]]=TrafficData[[#This Row],[totalCourt]]</f>
        <v>1</v>
      </c>
      <c r="N16" s="8" t="b">
        <f>AND(TrafficData[[#This Row],[disposedChallan]]&lt;=TrafficData[[#This Row],[totalChallan]],TrafficData[[#This Row],[pendingChallan]]&lt;=TrafficData[[#This Row],[totalChallan]])</f>
        <v>1</v>
      </c>
      <c r="O16" s="8" t="b">
        <f>AND(TrafficData[[#This Row],[pendingAmount]]&lt;=TrafficData[[#This Row],[totalAmount]],TrafficData[[#This Row],[disposedAmount]]&lt;=TrafficData[[#This Row],[totalAmount]])</f>
        <v>1</v>
      </c>
      <c r="P16" s="8" t="b">
        <f>AND(TrafficData[[#This Row],[pendingCourt]]&lt;=TrafficData[[#This Row],[totalCourt]],TrafficData[[#This Row],[disposedCourt]]&lt;=TrafficData[[#This Row],[totalCourt]])</f>
        <v>1</v>
      </c>
    </row>
    <row r="17" spans="1:16">
      <c r="A17" s="1">
        <v>42020</v>
      </c>
      <c r="B17">
        <v>148</v>
      </c>
      <c r="C17">
        <v>27</v>
      </c>
      <c r="D17">
        <v>121</v>
      </c>
      <c r="E17">
        <v>555800</v>
      </c>
      <c r="F17">
        <v>53800</v>
      </c>
      <c r="G17">
        <v>609600</v>
      </c>
      <c r="H17">
        <v>1</v>
      </c>
      <c r="I17">
        <v>1</v>
      </c>
      <c r="J17">
        <v>2</v>
      </c>
      <c r="K17" t="b">
        <f>TrafficData[[#This Row],[disposedChallan]]+TrafficData[[#This Row],[pendingChallan]]=TrafficData[[#This Row],[totalChallan]]</f>
        <v>1</v>
      </c>
      <c r="L17" t="b">
        <f>TrafficData[[#This Row],[pendingAmount]]+TrafficData[[#This Row],[disposedAmount]]=TrafficData[[#This Row],[totalAmount]]</f>
        <v>1</v>
      </c>
      <c r="M17" t="b">
        <f>TrafficData[[#This Row],[pendingCourt]]+TrafficData[[#This Row],[disposedCourt]]=TrafficData[[#This Row],[totalCourt]]</f>
        <v>1</v>
      </c>
      <c r="N17" s="8" t="b">
        <f>AND(TrafficData[[#This Row],[disposedChallan]]&lt;=TrafficData[[#This Row],[totalChallan]],TrafficData[[#This Row],[pendingChallan]]&lt;=TrafficData[[#This Row],[totalChallan]])</f>
        <v>1</v>
      </c>
      <c r="O17" s="8" t="b">
        <f>AND(TrafficData[[#This Row],[pendingAmount]]&lt;=TrafficData[[#This Row],[totalAmount]],TrafficData[[#This Row],[disposedAmount]]&lt;=TrafficData[[#This Row],[totalAmount]])</f>
        <v>1</v>
      </c>
      <c r="P17" s="8" t="b">
        <f>AND(TrafficData[[#This Row],[pendingCourt]]&lt;=TrafficData[[#This Row],[totalCourt]],TrafficData[[#This Row],[disposedCourt]]&lt;=TrafficData[[#This Row],[totalCourt]])</f>
        <v>1</v>
      </c>
    </row>
    <row r="18" spans="1:16">
      <c r="A18" s="1">
        <v>42021</v>
      </c>
      <c r="B18">
        <v>128</v>
      </c>
      <c r="C18">
        <v>37</v>
      </c>
      <c r="D18">
        <v>91</v>
      </c>
      <c r="E18">
        <v>610100</v>
      </c>
      <c r="F18">
        <v>137800</v>
      </c>
      <c r="G18">
        <v>747900</v>
      </c>
      <c r="H18">
        <v>2</v>
      </c>
      <c r="I18">
        <v>2</v>
      </c>
      <c r="J18">
        <v>4</v>
      </c>
      <c r="K18" t="b">
        <f>TrafficData[[#This Row],[disposedChallan]]+TrafficData[[#This Row],[pendingChallan]]=TrafficData[[#This Row],[totalChallan]]</f>
        <v>1</v>
      </c>
      <c r="L18" t="b">
        <f>TrafficData[[#This Row],[pendingAmount]]+TrafficData[[#This Row],[disposedAmount]]=TrafficData[[#This Row],[totalAmount]]</f>
        <v>1</v>
      </c>
      <c r="M18" t="b">
        <f>TrafficData[[#This Row],[pendingCourt]]+TrafficData[[#This Row],[disposedCourt]]=TrafficData[[#This Row],[totalCourt]]</f>
        <v>1</v>
      </c>
      <c r="N18" s="8" t="b">
        <f>AND(TrafficData[[#This Row],[disposedChallan]]&lt;=TrafficData[[#This Row],[totalChallan]],TrafficData[[#This Row],[pendingChallan]]&lt;=TrafficData[[#This Row],[totalChallan]])</f>
        <v>1</v>
      </c>
      <c r="O18" s="8" t="b">
        <f>AND(TrafficData[[#This Row],[pendingAmount]]&lt;=TrafficData[[#This Row],[totalAmount]],TrafficData[[#This Row],[disposedAmount]]&lt;=TrafficData[[#This Row],[totalAmount]])</f>
        <v>1</v>
      </c>
      <c r="P18" s="8" t="b">
        <f>AND(TrafficData[[#This Row],[pendingCourt]]&lt;=TrafficData[[#This Row],[totalCourt]],TrafficData[[#This Row],[disposedCourt]]&lt;=TrafficData[[#This Row],[totalCourt]])</f>
        <v>1</v>
      </c>
    </row>
    <row r="19" spans="1:16">
      <c r="A19" s="1">
        <v>42022</v>
      </c>
      <c r="B19">
        <v>84</v>
      </c>
      <c r="C19">
        <v>22</v>
      </c>
      <c r="D19">
        <v>62</v>
      </c>
      <c r="E19">
        <v>450350</v>
      </c>
      <c r="F19">
        <v>52300</v>
      </c>
      <c r="G19">
        <v>502650</v>
      </c>
      <c r="H19">
        <v>1</v>
      </c>
      <c r="I19">
        <v>1</v>
      </c>
      <c r="J19">
        <v>2</v>
      </c>
      <c r="K19" t="b">
        <f>TrafficData[[#This Row],[disposedChallan]]+TrafficData[[#This Row],[pendingChallan]]=TrafficData[[#This Row],[totalChallan]]</f>
        <v>1</v>
      </c>
      <c r="L19" t="b">
        <f>TrafficData[[#This Row],[pendingAmount]]+TrafficData[[#This Row],[disposedAmount]]=TrafficData[[#This Row],[totalAmount]]</f>
        <v>1</v>
      </c>
      <c r="M19" t="b">
        <f>TrafficData[[#This Row],[pendingCourt]]+TrafficData[[#This Row],[disposedCourt]]=TrafficData[[#This Row],[totalCourt]]</f>
        <v>1</v>
      </c>
      <c r="N19" s="8" t="b">
        <f>AND(TrafficData[[#This Row],[disposedChallan]]&lt;=TrafficData[[#This Row],[totalChallan]],TrafficData[[#This Row],[pendingChallan]]&lt;=TrafficData[[#This Row],[totalChallan]])</f>
        <v>1</v>
      </c>
      <c r="O19" s="8" t="b">
        <f>AND(TrafficData[[#This Row],[pendingAmount]]&lt;=TrafficData[[#This Row],[totalAmount]],TrafficData[[#This Row],[disposedAmount]]&lt;=TrafficData[[#This Row],[totalAmount]])</f>
        <v>1</v>
      </c>
      <c r="P19" s="8" t="b">
        <f>AND(TrafficData[[#This Row],[pendingCourt]]&lt;=TrafficData[[#This Row],[totalCourt]],TrafficData[[#This Row],[disposedCourt]]&lt;=TrafficData[[#This Row],[totalCourt]])</f>
        <v>1</v>
      </c>
    </row>
    <row r="20" spans="1:16">
      <c r="A20" s="1">
        <v>42023</v>
      </c>
      <c r="B20">
        <v>134</v>
      </c>
      <c r="C20">
        <v>32</v>
      </c>
      <c r="D20">
        <v>102</v>
      </c>
      <c r="E20">
        <v>567500</v>
      </c>
      <c r="F20">
        <v>130900</v>
      </c>
      <c r="G20">
        <v>698400</v>
      </c>
      <c r="H20">
        <v>7</v>
      </c>
      <c r="I20">
        <v>2</v>
      </c>
      <c r="J20">
        <v>9</v>
      </c>
      <c r="K20" t="b">
        <f>TrafficData[[#This Row],[disposedChallan]]+TrafficData[[#This Row],[pendingChallan]]=TrafficData[[#This Row],[totalChallan]]</f>
        <v>1</v>
      </c>
      <c r="L20" t="b">
        <f>TrafficData[[#This Row],[pendingAmount]]+TrafficData[[#This Row],[disposedAmount]]=TrafficData[[#This Row],[totalAmount]]</f>
        <v>1</v>
      </c>
      <c r="M20" t="b">
        <f>TrafficData[[#This Row],[pendingCourt]]+TrafficData[[#This Row],[disposedCourt]]=TrafficData[[#This Row],[totalCourt]]</f>
        <v>1</v>
      </c>
      <c r="N20" s="8" t="b">
        <f>AND(TrafficData[[#This Row],[disposedChallan]]&lt;=TrafficData[[#This Row],[totalChallan]],TrafficData[[#This Row],[pendingChallan]]&lt;=TrafficData[[#This Row],[totalChallan]])</f>
        <v>1</v>
      </c>
      <c r="O20" s="8" t="b">
        <f>AND(TrafficData[[#This Row],[pendingAmount]]&lt;=TrafficData[[#This Row],[totalAmount]],TrafficData[[#This Row],[disposedAmount]]&lt;=TrafficData[[#This Row],[totalAmount]])</f>
        <v>1</v>
      </c>
      <c r="P20" s="8" t="b">
        <f>AND(TrafficData[[#This Row],[pendingCourt]]&lt;=TrafficData[[#This Row],[totalCourt]],TrafficData[[#This Row],[disposedCourt]]&lt;=TrafficData[[#This Row],[totalCourt]])</f>
        <v>1</v>
      </c>
    </row>
    <row r="21" spans="1:16">
      <c r="A21" s="1">
        <v>42024</v>
      </c>
      <c r="B21">
        <v>137</v>
      </c>
      <c r="C21">
        <v>33</v>
      </c>
      <c r="D21">
        <v>104</v>
      </c>
      <c r="E21">
        <v>584350</v>
      </c>
      <c r="F21">
        <v>158600</v>
      </c>
      <c r="G21">
        <v>742950</v>
      </c>
      <c r="H21">
        <v>7</v>
      </c>
      <c r="I21">
        <v>0</v>
      </c>
      <c r="J21">
        <v>7</v>
      </c>
      <c r="K21" t="b">
        <f>TrafficData[[#This Row],[disposedChallan]]+TrafficData[[#This Row],[pendingChallan]]=TrafficData[[#This Row],[totalChallan]]</f>
        <v>1</v>
      </c>
      <c r="L21" t="b">
        <f>TrafficData[[#This Row],[pendingAmount]]+TrafficData[[#This Row],[disposedAmount]]=TrafficData[[#This Row],[totalAmount]]</f>
        <v>1</v>
      </c>
      <c r="M21" t="b">
        <f>TrafficData[[#This Row],[pendingCourt]]+TrafficData[[#This Row],[disposedCourt]]=TrafficData[[#This Row],[totalCourt]]</f>
        <v>1</v>
      </c>
      <c r="N21" s="8" t="b">
        <f>AND(TrafficData[[#This Row],[disposedChallan]]&lt;=TrafficData[[#This Row],[totalChallan]],TrafficData[[#This Row],[pendingChallan]]&lt;=TrafficData[[#This Row],[totalChallan]])</f>
        <v>1</v>
      </c>
      <c r="O21" s="8" t="b">
        <f>AND(TrafficData[[#This Row],[pendingAmount]]&lt;=TrafficData[[#This Row],[totalAmount]],TrafficData[[#This Row],[disposedAmount]]&lt;=TrafficData[[#This Row],[totalAmount]])</f>
        <v>1</v>
      </c>
      <c r="P21" s="8" t="b">
        <f>AND(TrafficData[[#This Row],[pendingCourt]]&lt;=TrafficData[[#This Row],[totalCourt]],TrafficData[[#This Row],[disposedCourt]]&lt;=TrafficData[[#This Row],[totalCourt]])</f>
        <v>1</v>
      </c>
    </row>
    <row r="22" spans="1:16">
      <c r="A22" s="1">
        <v>42025</v>
      </c>
      <c r="B22">
        <v>112</v>
      </c>
      <c r="C22">
        <v>23</v>
      </c>
      <c r="D22">
        <v>89</v>
      </c>
      <c r="E22">
        <v>634749</v>
      </c>
      <c r="F22">
        <v>56400</v>
      </c>
      <c r="G22">
        <v>691149</v>
      </c>
      <c r="H22">
        <v>2</v>
      </c>
      <c r="I22">
        <v>0</v>
      </c>
      <c r="J22">
        <v>2</v>
      </c>
      <c r="K22" t="b">
        <f>TrafficData[[#This Row],[disposedChallan]]+TrafficData[[#This Row],[pendingChallan]]=TrafficData[[#This Row],[totalChallan]]</f>
        <v>1</v>
      </c>
      <c r="L22" t="b">
        <f>TrafficData[[#This Row],[pendingAmount]]+TrafficData[[#This Row],[disposedAmount]]=TrafficData[[#This Row],[totalAmount]]</f>
        <v>1</v>
      </c>
      <c r="M22" t="b">
        <f>TrafficData[[#This Row],[pendingCourt]]+TrafficData[[#This Row],[disposedCourt]]=TrafficData[[#This Row],[totalCourt]]</f>
        <v>1</v>
      </c>
      <c r="N22" s="8" t="b">
        <f>AND(TrafficData[[#This Row],[disposedChallan]]&lt;=TrafficData[[#This Row],[totalChallan]],TrafficData[[#This Row],[pendingChallan]]&lt;=TrafficData[[#This Row],[totalChallan]])</f>
        <v>1</v>
      </c>
      <c r="O22" s="8" t="b">
        <f>AND(TrafficData[[#This Row],[pendingAmount]]&lt;=TrafficData[[#This Row],[totalAmount]],TrafficData[[#This Row],[disposedAmount]]&lt;=TrafficData[[#This Row],[totalAmount]])</f>
        <v>1</v>
      </c>
      <c r="P22" s="8" t="b">
        <f>AND(TrafficData[[#This Row],[pendingCourt]]&lt;=TrafficData[[#This Row],[totalCourt]],TrafficData[[#This Row],[disposedCourt]]&lt;=TrafficData[[#This Row],[totalCourt]])</f>
        <v>1</v>
      </c>
    </row>
    <row r="23" spans="1:16">
      <c r="A23" s="1">
        <v>42026</v>
      </c>
      <c r="B23">
        <v>130</v>
      </c>
      <c r="C23">
        <v>27</v>
      </c>
      <c r="D23">
        <v>103</v>
      </c>
      <c r="E23">
        <v>670600</v>
      </c>
      <c r="F23">
        <v>106800</v>
      </c>
      <c r="G23">
        <v>777400</v>
      </c>
      <c r="H23">
        <v>2</v>
      </c>
      <c r="I23">
        <v>3</v>
      </c>
      <c r="J23">
        <v>5</v>
      </c>
      <c r="K23" t="b">
        <f>TrafficData[[#This Row],[disposedChallan]]+TrafficData[[#This Row],[pendingChallan]]=TrafficData[[#This Row],[totalChallan]]</f>
        <v>1</v>
      </c>
      <c r="L23" t="b">
        <f>TrafficData[[#This Row],[pendingAmount]]+TrafficData[[#This Row],[disposedAmount]]=TrafficData[[#This Row],[totalAmount]]</f>
        <v>1</v>
      </c>
      <c r="M23" t="b">
        <f>TrafficData[[#This Row],[pendingCourt]]+TrafficData[[#This Row],[disposedCourt]]=TrafficData[[#This Row],[totalCourt]]</f>
        <v>1</v>
      </c>
      <c r="N23" s="8" t="b">
        <f>AND(TrafficData[[#This Row],[disposedChallan]]&lt;=TrafficData[[#This Row],[totalChallan]],TrafficData[[#This Row],[pendingChallan]]&lt;=TrafficData[[#This Row],[totalChallan]])</f>
        <v>1</v>
      </c>
      <c r="O23" s="8" t="b">
        <f>AND(TrafficData[[#This Row],[pendingAmount]]&lt;=TrafficData[[#This Row],[totalAmount]],TrafficData[[#This Row],[disposedAmount]]&lt;=TrafficData[[#This Row],[totalAmount]])</f>
        <v>1</v>
      </c>
      <c r="P23" s="8" t="b">
        <f>AND(TrafficData[[#This Row],[pendingCourt]]&lt;=TrafficData[[#This Row],[totalCourt]],TrafficData[[#This Row],[disposedCourt]]&lt;=TrafficData[[#This Row],[totalCourt]])</f>
        <v>1</v>
      </c>
    </row>
    <row r="24" spans="1:16">
      <c r="A24" s="1">
        <v>42027</v>
      </c>
      <c r="B24">
        <v>93</v>
      </c>
      <c r="C24">
        <v>25</v>
      </c>
      <c r="D24">
        <v>68</v>
      </c>
      <c r="E24">
        <v>354000</v>
      </c>
      <c r="F24">
        <v>179550</v>
      </c>
      <c r="G24">
        <v>533550</v>
      </c>
      <c r="H24">
        <v>7</v>
      </c>
      <c r="I24">
        <v>0</v>
      </c>
      <c r="J24">
        <v>7</v>
      </c>
      <c r="K24" t="b">
        <f>TrafficData[[#This Row],[disposedChallan]]+TrafficData[[#This Row],[pendingChallan]]=TrafficData[[#This Row],[totalChallan]]</f>
        <v>1</v>
      </c>
      <c r="L24" t="b">
        <f>TrafficData[[#This Row],[pendingAmount]]+TrafficData[[#This Row],[disposedAmount]]=TrafficData[[#This Row],[totalAmount]]</f>
        <v>1</v>
      </c>
      <c r="M24" t="b">
        <f>TrafficData[[#This Row],[pendingCourt]]+TrafficData[[#This Row],[disposedCourt]]=TrafficData[[#This Row],[totalCourt]]</f>
        <v>1</v>
      </c>
      <c r="N24" s="8" t="b">
        <f>AND(TrafficData[[#This Row],[disposedChallan]]&lt;=TrafficData[[#This Row],[totalChallan]],TrafficData[[#This Row],[pendingChallan]]&lt;=TrafficData[[#This Row],[totalChallan]])</f>
        <v>1</v>
      </c>
      <c r="O24" s="8" t="b">
        <f>AND(TrafficData[[#This Row],[pendingAmount]]&lt;=TrafficData[[#This Row],[totalAmount]],TrafficData[[#This Row],[disposedAmount]]&lt;=TrafficData[[#This Row],[totalAmount]])</f>
        <v>1</v>
      </c>
      <c r="P24" s="8" t="b">
        <f>AND(TrafficData[[#This Row],[pendingCourt]]&lt;=TrafficData[[#This Row],[totalCourt]],TrafficData[[#This Row],[disposedCourt]]&lt;=TrafficData[[#This Row],[totalCourt]])</f>
        <v>1</v>
      </c>
    </row>
    <row r="25" spans="1:16">
      <c r="A25" s="1">
        <v>42028</v>
      </c>
      <c r="B25">
        <v>74</v>
      </c>
      <c r="C25">
        <v>17</v>
      </c>
      <c r="D25">
        <v>57</v>
      </c>
      <c r="E25">
        <v>447450</v>
      </c>
      <c r="F25">
        <v>90800</v>
      </c>
      <c r="G25">
        <v>538250</v>
      </c>
      <c r="H25">
        <v>2</v>
      </c>
      <c r="I25">
        <v>1</v>
      </c>
      <c r="J25">
        <v>3</v>
      </c>
      <c r="K25" t="b">
        <f>TrafficData[[#This Row],[disposedChallan]]+TrafficData[[#This Row],[pendingChallan]]=TrafficData[[#This Row],[totalChallan]]</f>
        <v>1</v>
      </c>
      <c r="L25" t="b">
        <f>TrafficData[[#This Row],[pendingAmount]]+TrafficData[[#This Row],[disposedAmount]]=TrafficData[[#This Row],[totalAmount]]</f>
        <v>1</v>
      </c>
      <c r="M25" t="b">
        <f>TrafficData[[#This Row],[pendingCourt]]+TrafficData[[#This Row],[disposedCourt]]=TrafficData[[#This Row],[totalCourt]]</f>
        <v>1</v>
      </c>
      <c r="N25" s="8" t="b">
        <f>AND(TrafficData[[#This Row],[disposedChallan]]&lt;=TrafficData[[#This Row],[totalChallan]],TrafficData[[#This Row],[pendingChallan]]&lt;=TrafficData[[#This Row],[totalChallan]])</f>
        <v>1</v>
      </c>
      <c r="O25" s="8" t="b">
        <f>AND(TrafficData[[#This Row],[pendingAmount]]&lt;=TrafficData[[#This Row],[totalAmount]],TrafficData[[#This Row],[disposedAmount]]&lt;=TrafficData[[#This Row],[totalAmount]])</f>
        <v>1</v>
      </c>
      <c r="P25" s="8" t="b">
        <f>AND(TrafficData[[#This Row],[pendingCourt]]&lt;=TrafficData[[#This Row],[totalCourt]],TrafficData[[#This Row],[disposedCourt]]&lt;=TrafficData[[#This Row],[totalCourt]])</f>
        <v>1</v>
      </c>
    </row>
    <row r="26" spans="1:16">
      <c r="A26" s="1">
        <v>42029</v>
      </c>
      <c r="B26">
        <v>97</v>
      </c>
      <c r="C26">
        <v>30</v>
      </c>
      <c r="D26">
        <v>67</v>
      </c>
      <c r="E26">
        <v>617050</v>
      </c>
      <c r="F26">
        <v>161700</v>
      </c>
      <c r="G26">
        <v>778750</v>
      </c>
      <c r="H26">
        <v>2</v>
      </c>
      <c r="I26">
        <v>0</v>
      </c>
      <c r="J26">
        <v>2</v>
      </c>
      <c r="K26" t="b">
        <f>TrafficData[[#This Row],[disposedChallan]]+TrafficData[[#This Row],[pendingChallan]]=TrafficData[[#This Row],[totalChallan]]</f>
        <v>1</v>
      </c>
      <c r="L26" t="b">
        <f>TrafficData[[#This Row],[pendingAmount]]+TrafficData[[#This Row],[disposedAmount]]=TrafficData[[#This Row],[totalAmount]]</f>
        <v>1</v>
      </c>
      <c r="M26" t="b">
        <f>TrafficData[[#This Row],[pendingCourt]]+TrafficData[[#This Row],[disposedCourt]]=TrafficData[[#This Row],[totalCourt]]</f>
        <v>1</v>
      </c>
      <c r="N26" s="8" t="b">
        <f>AND(TrafficData[[#This Row],[disposedChallan]]&lt;=TrafficData[[#This Row],[totalChallan]],TrafficData[[#This Row],[pendingChallan]]&lt;=TrafficData[[#This Row],[totalChallan]])</f>
        <v>1</v>
      </c>
      <c r="O26" s="8" t="b">
        <f>AND(TrafficData[[#This Row],[pendingAmount]]&lt;=TrafficData[[#This Row],[totalAmount]],TrafficData[[#This Row],[disposedAmount]]&lt;=TrafficData[[#This Row],[totalAmount]])</f>
        <v>1</v>
      </c>
      <c r="P26" s="8" t="b">
        <f>AND(TrafficData[[#This Row],[pendingCourt]]&lt;=TrafficData[[#This Row],[totalCourt]],TrafficData[[#This Row],[disposedCourt]]&lt;=TrafficData[[#This Row],[totalCourt]])</f>
        <v>1</v>
      </c>
    </row>
    <row r="27" spans="1:16">
      <c r="A27" s="1">
        <v>42030</v>
      </c>
      <c r="B27">
        <v>75</v>
      </c>
      <c r="C27">
        <v>13</v>
      </c>
      <c r="D27">
        <v>62</v>
      </c>
      <c r="E27">
        <v>410350</v>
      </c>
      <c r="F27">
        <v>43250</v>
      </c>
      <c r="G27">
        <v>453600</v>
      </c>
      <c r="H27">
        <v>2</v>
      </c>
      <c r="I27">
        <v>0</v>
      </c>
      <c r="J27">
        <v>2</v>
      </c>
      <c r="K27" t="b">
        <f>TrafficData[[#This Row],[disposedChallan]]+TrafficData[[#This Row],[pendingChallan]]=TrafficData[[#This Row],[totalChallan]]</f>
        <v>1</v>
      </c>
      <c r="L27" t="b">
        <f>TrafficData[[#This Row],[pendingAmount]]+TrafficData[[#This Row],[disposedAmount]]=TrafficData[[#This Row],[totalAmount]]</f>
        <v>1</v>
      </c>
      <c r="M27" t="b">
        <f>TrafficData[[#This Row],[pendingCourt]]+TrafficData[[#This Row],[disposedCourt]]=TrafficData[[#This Row],[totalCourt]]</f>
        <v>1</v>
      </c>
      <c r="N27" s="8" t="b">
        <f>AND(TrafficData[[#This Row],[disposedChallan]]&lt;=TrafficData[[#This Row],[totalChallan]],TrafficData[[#This Row],[pendingChallan]]&lt;=TrafficData[[#This Row],[totalChallan]])</f>
        <v>1</v>
      </c>
      <c r="O27" s="8" t="b">
        <f>AND(TrafficData[[#This Row],[pendingAmount]]&lt;=TrafficData[[#This Row],[totalAmount]],TrafficData[[#This Row],[disposedAmount]]&lt;=TrafficData[[#This Row],[totalAmount]])</f>
        <v>1</v>
      </c>
      <c r="P27" s="8" t="b">
        <f>AND(TrafficData[[#This Row],[pendingCourt]]&lt;=TrafficData[[#This Row],[totalCourt]],TrafficData[[#This Row],[disposedCourt]]&lt;=TrafficData[[#This Row],[totalCourt]])</f>
        <v>1</v>
      </c>
    </row>
    <row r="28" spans="1:16">
      <c r="A28" s="1">
        <v>42031</v>
      </c>
      <c r="B28">
        <v>83</v>
      </c>
      <c r="C28">
        <v>33</v>
      </c>
      <c r="D28">
        <v>50</v>
      </c>
      <c r="E28">
        <v>319620</v>
      </c>
      <c r="F28">
        <v>164500</v>
      </c>
      <c r="G28">
        <v>484120</v>
      </c>
      <c r="H28">
        <v>1</v>
      </c>
      <c r="I28">
        <v>0</v>
      </c>
      <c r="J28">
        <v>1</v>
      </c>
      <c r="K28" t="b">
        <f>TrafficData[[#This Row],[disposedChallan]]+TrafficData[[#This Row],[pendingChallan]]=TrafficData[[#This Row],[totalChallan]]</f>
        <v>1</v>
      </c>
      <c r="L28" t="b">
        <f>TrafficData[[#This Row],[pendingAmount]]+TrafficData[[#This Row],[disposedAmount]]=TrafficData[[#This Row],[totalAmount]]</f>
        <v>1</v>
      </c>
      <c r="M28" t="b">
        <f>TrafficData[[#This Row],[pendingCourt]]+TrafficData[[#This Row],[disposedCourt]]=TrafficData[[#This Row],[totalCourt]]</f>
        <v>1</v>
      </c>
      <c r="N28" s="8" t="b">
        <f>AND(TrafficData[[#This Row],[disposedChallan]]&lt;=TrafficData[[#This Row],[totalChallan]],TrafficData[[#This Row],[pendingChallan]]&lt;=TrafficData[[#This Row],[totalChallan]])</f>
        <v>1</v>
      </c>
      <c r="O28" s="8" t="b">
        <f>AND(TrafficData[[#This Row],[pendingAmount]]&lt;=TrafficData[[#This Row],[totalAmount]],TrafficData[[#This Row],[disposedAmount]]&lt;=TrafficData[[#This Row],[totalAmount]])</f>
        <v>1</v>
      </c>
      <c r="P28" s="8" t="b">
        <f>AND(TrafficData[[#This Row],[pendingCourt]]&lt;=TrafficData[[#This Row],[totalCourt]],TrafficData[[#This Row],[disposedCourt]]&lt;=TrafficData[[#This Row],[totalCourt]])</f>
        <v>1</v>
      </c>
    </row>
    <row r="29" spans="1:16">
      <c r="A29" s="1">
        <v>42032</v>
      </c>
      <c r="B29">
        <v>134</v>
      </c>
      <c r="C29">
        <v>23</v>
      </c>
      <c r="D29">
        <v>111</v>
      </c>
      <c r="E29">
        <v>586950</v>
      </c>
      <c r="F29">
        <v>50750</v>
      </c>
      <c r="G29">
        <v>637700</v>
      </c>
      <c r="H29">
        <v>4</v>
      </c>
      <c r="I29">
        <v>1</v>
      </c>
      <c r="J29">
        <v>5</v>
      </c>
      <c r="K29" t="b">
        <f>TrafficData[[#This Row],[disposedChallan]]+TrafficData[[#This Row],[pendingChallan]]=TrafficData[[#This Row],[totalChallan]]</f>
        <v>1</v>
      </c>
      <c r="L29" t="b">
        <f>TrafficData[[#This Row],[pendingAmount]]+TrafficData[[#This Row],[disposedAmount]]=TrafficData[[#This Row],[totalAmount]]</f>
        <v>1</v>
      </c>
      <c r="M29" t="b">
        <f>TrafficData[[#This Row],[pendingCourt]]+TrafficData[[#This Row],[disposedCourt]]=TrafficData[[#This Row],[totalCourt]]</f>
        <v>1</v>
      </c>
      <c r="N29" s="8" t="b">
        <f>AND(TrafficData[[#This Row],[disposedChallan]]&lt;=TrafficData[[#This Row],[totalChallan]],TrafficData[[#This Row],[pendingChallan]]&lt;=TrafficData[[#This Row],[totalChallan]])</f>
        <v>1</v>
      </c>
      <c r="O29" s="8" t="b">
        <f>AND(TrafficData[[#This Row],[pendingAmount]]&lt;=TrafficData[[#This Row],[totalAmount]],TrafficData[[#This Row],[disposedAmount]]&lt;=TrafficData[[#This Row],[totalAmount]])</f>
        <v>1</v>
      </c>
      <c r="P29" s="8" t="b">
        <f>AND(TrafficData[[#This Row],[pendingCourt]]&lt;=TrafficData[[#This Row],[totalCourt]],TrafficData[[#This Row],[disposedCourt]]&lt;=TrafficData[[#This Row],[totalCourt]])</f>
        <v>1</v>
      </c>
    </row>
    <row r="30" spans="1:16">
      <c r="A30" s="1">
        <v>42033</v>
      </c>
      <c r="B30">
        <v>101</v>
      </c>
      <c r="C30">
        <v>29</v>
      </c>
      <c r="D30">
        <v>72</v>
      </c>
      <c r="E30">
        <v>442198</v>
      </c>
      <c r="F30">
        <v>233690</v>
      </c>
      <c r="G30">
        <v>675888</v>
      </c>
      <c r="H30">
        <v>1</v>
      </c>
      <c r="I30">
        <v>0</v>
      </c>
      <c r="J30">
        <v>1</v>
      </c>
      <c r="K30" t="b">
        <f>TrafficData[[#This Row],[disposedChallan]]+TrafficData[[#This Row],[pendingChallan]]=TrafficData[[#This Row],[totalChallan]]</f>
        <v>1</v>
      </c>
      <c r="L30" t="b">
        <f>TrafficData[[#This Row],[pendingAmount]]+TrafficData[[#This Row],[disposedAmount]]=TrafficData[[#This Row],[totalAmount]]</f>
        <v>1</v>
      </c>
      <c r="M30" t="b">
        <f>TrafficData[[#This Row],[pendingCourt]]+TrafficData[[#This Row],[disposedCourt]]=TrafficData[[#This Row],[totalCourt]]</f>
        <v>1</v>
      </c>
      <c r="N30" s="8" t="b">
        <f>AND(TrafficData[[#This Row],[disposedChallan]]&lt;=TrafficData[[#This Row],[totalChallan]],TrafficData[[#This Row],[pendingChallan]]&lt;=TrafficData[[#This Row],[totalChallan]])</f>
        <v>1</v>
      </c>
      <c r="O30" s="8" t="b">
        <f>AND(TrafficData[[#This Row],[pendingAmount]]&lt;=TrafficData[[#This Row],[totalAmount]],TrafficData[[#This Row],[disposedAmount]]&lt;=TrafficData[[#This Row],[totalAmount]])</f>
        <v>1</v>
      </c>
      <c r="P30" s="8" t="b">
        <f>AND(TrafficData[[#This Row],[pendingCourt]]&lt;=TrafficData[[#This Row],[totalCourt]],TrafficData[[#This Row],[disposedCourt]]&lt;=TrafficData[[#This Row],[totalCourt]])</f>
        <v>1</v>
      </c>
    </row>
    <row r="31" spans="1:16">
      <c r="A31" s="1">
        <v>42034</v>
      </c>
      <c r="B31">
        <v>109</v>
      </c>
      <c r="C31">
        <v>28</v>
      </c>
      <c r="D31">
        <v>81</v>
      </c>
      <c r="E31">
        <v>681600</v>
      </c>
      <c r="F31">
        <v>196030</v>
      </c>
      <c r="G31">
        <v>877630</v>
      </c>
      <c r="H31">
        <v>3</v>
      </c>
      <c r="I31">
        <v>1</v>
      </c>
      <c r="J31">
        <v>4</v>
      </c>
      <c r="K31" t="b">
        <f>TrafficData[[#This Row],[disposedChallan]]+TrafficData[[#This Row],[pendingChallan]]=TrafficData[[#This Row],[totalChallan]]</f>
        <v>1</v>
      </c>
      <c r="L31" t="b">
        <f>TrafficData[[#This Row],[pendingAmount]]+TrafficData[[#This Row],[disposedAmount]]=TrafficData[[#This Row],[totalAmount]]</f>
        <v>1</v>
      </c>
      <c r="M31" t="b">
        <f>TrafficData[[#This Row],[pendingCourt]]+TrafficData[[#This Row],[disposedCourt]]=TrafficData[[#This Row],[totalCourt]]</f>
        <v>1</v>
      </c>
      <c r="N31" s="8" t="b">
        <f>AND(TrafficData[[#This Row],[disposedChallan]]&lt;=TrafficData[[#This Row],[totalChallan]],TrafficData[[#This Row],[pendingChallan]]&lt;=TrafficData[[#This Row],[totalChallan]])</f>
        <v>1</v>
      </c>
      <c r="O31" s="8" t="b">
        <f>AND(TrafficData[[#This Row],[pendingAmount]]&lt;=TrafficData[[#This Row],[totalAmount]],TrafficData[[#This Row],[disposedAmount]]&lt;=TrafficData[[#This Row],[totalAmount]])</f>
        <v>1</v>
      </c>
      <c r="P31" s="8" t="b">
        <f>AND(TrafficData[[#This Row],[pendingCourt]]&lt;=TrafficData[[#This Row],[totalCourt]],TrafficData[[#This Row],[disposedCourt]]&lt;=TrafficData[[#This Row],[totalCourt]])</f>
        <v>1</v>
      </c>
    </row>
    <row r="32" spans="1:16">
      <c r="A32" s="1">
        <v>42035</v>
      </c>
      <c r="B32">
        <v>89</v>
      </c>
      <c r="C32">
        <v>19</v>
      </c>
      <c r="D32">
        <v>70</v>
      </c>
      <c r="E32">
        <v>563971</v>
      </c>
      <c r="F32">
        <v>111300</v>
      </c>
      <c r="G32">
        <v>675271</v>
      </c>
      <c r="H32">
        <v>2</v>
      </c>
      <c r="I32">
        <v>0</v>
      </c>
      <c r="J32">
        <v>2</v>
      </c>
      <c r="K32" t="b">
        <f>TrafficData[[#This Row],[disposedChallan]]+TrafficData[[#This Row],[pendingChallan]]=TrafficData[[#This Row],[totalChallan]]</f>
        <v>1</v>
      </c>
      <c r="L32" t="b">
        <f>TrafficData[[#This Row],[pendingAmount]]+TrafficData[[#This Row],[disposedAmount]]=TrafficData[[#This Row],[totalAmount]]</f>
        <v>1</v>
      </c>
      <c r="M32" t="b">
        <f>TrafficData[[#This Row],[pendingCourt]]+TrafficData[[#This Row],[disposedCourt]]=TrafficData[[#This Row],[totalCourt]]</f>
        <v>1</v>
      </c>
      <c r="N32" s="8" t="b">
        <f>AND(TrafficData[[#This Row],[disposedChallan]]&lt;=TrafficData[[#This Row],[totalChallan]],TrafficData[[#This Row],[pendingChallan]]&lt;=TrafficData[[#This Row],[totalChallan]])</f>
        <v>1</v>
      </c>
      <c r="O32" s="8" t="b">
        <f>AND(TrafficData[[#This Row],[pendingAmount]]&lt;=TrafficData[[#This Row],[totalAmount]],TrafficData[[#This Row],[disposedAmount]]&lt;=TrafficData[[#This Row],[totalAmount]])</f>
        <v>1</v>
      </c>
      <c r="P32" s="8" t="b">
        <f>AND(TrafficData[[#This Row],[pendingCourt]]&lt;=TrafficData[[#This Row],[totalCourt]],TrafficData[[#This Row],[disposedCourt]]&lt;=TrafficData[[#This Row],[totalCourt]])</f>
        <v>1</v>
      </c>
    </row>
    <row r="33" spans="1:16">
      <c r="A33" s="1">
        <v>42036</v>
      </c>
      <c r="B33">
        <v>69</v>
      </c>
      <c r="C33">
        <v>21</v>
      </c>
      <c r="D33">
        <v>48</v>
      </c>
      <c r="E33">
        <v>413896</v>
      </c>
      <c r="F33">
        <v>68200</v>
      </c>
      <c r="G33">
        <v>482096</v>
      </c>
      <c r="H33">
        <v>3</v>
      </c>
      <c r="I33">
        <v>2</v>
      </c>
      <c r="J33">
        <v>5</v>
      </c>
      <c r="K33" t="b">
        <f>TrafficData[[#This Row],[disposedChallan]]+TrafficData[[#This Row],[pendingChallan]]=TrafficData[[#This Row],[totalChallan]]</f>
        <v>1</v>
      </c>
      <c r="L33" t="b">
        <f>TrafficData[[#This Row],[pendingAmount]]+TrafficData[[#This Row],[disposedAmount]]=TrafficData[[#This Row],[totalAmount]]</f>
        <v>1</v>
      </c>
      <c r="M33" t="b">
        <f>TrafficData[[#This Row],[pendingCourt]]+TrafficData[[#This Row],[disposedCourt]]=TrafficData[[#This Row],[totalCourt]]</f>
        <v>1</v>
      </c>
      <c r="N33" s="8" t="b">
        <f>AND(TrafficData[[#This Row],[disposedChallan]]&lt;=TrafficData[[#This Row],[totalChallan]],TrafficData[[#This Row],[pendingChallan]]&lt;=TrafficData[[#This Row],[totalChallan]])</f>
        <v>1</v>
      </c>
      <c r="O33" s="8" t="b">
        <f>AND(TrafficData[[#This Row],[pendingAmount]]&lt;=TrafficData[[#This Row],[totalAmount]],TrafficData[[#This Row],[disposedAmount]]&lt;=TrafficData[[#This Row],[totalAmount]])</f>
        <v>1</v>
      </c>
      <c r="P33" s="8" t="b">
        <f>AND(TrafficData[[#This Row],[pendingCourt]]&lt;=TrafficData[[#This Row],[totalCourt]],TrafficData[[#This Row],[disposedCourt]]&lt;=TrafficData[[#This Row],[totalCourt]])</f>
        <v>1</v>
      </c>
    </row>
    <row r="34" spans="1:16">
      <c r="A34" s="1">
        <v>42037</v>
      </c>
      <c r="B34">
        <v>116</v>
      </c>
      <c r="C34">
        <v>32</v>
      </c>
      <c r="D34">
        <v>84</v>
      </c>
      <c r="E34">
        <v>607850</v>
      </c>
      <c r="F34">
        <v>145800</v>
      </c>
      <c r="G34">
        <v>753650</v>
      </c>
      <c r="H34">
        <v>6</v>
      </c>
      <c r="I34">
        <v>0</v>
      </c>
      <c r="J34">
        <v>6</v>
      </c>
      <c r="K34" t="b">
        <f>TrafficData[[#This Row],[disposedChallan]]+TrafficData[[#This Row],[pendingChallan]]=TrafficData[[#This Row],[totalChallan]]</f>
        <v>1</v>
      </c>
      <c r="L34" t="b">
        <f>TrafficData[[#This Row],[pendingAmount]]+TrafficData[[#This Row],[disposedAmount]]=TrafficData[[#This Row],[totalAmount]]</f>
        <v>1</v>
      </c>
      <c r="M34" t="b">
        <f>TrafficData[[#This Row],[pendingCourt]]+TrafficData[[#This Row],[disposedCourt]]=TrafficData[[#This Row],[totalCourt]]</f>
        <v>1</v>
      </c>
      <c r="N34" s="8" t="b">
        <f>AND(TrafficData[[#This Row],[disposedChallan]]&lt;=TrafficData[[#This Row],[totalChallan]],TrafficData[[#This Row],[pendingChallan]]&lt;=TrafficData[[#This Row],[totalChallan]])</f>
        <v>1</v>
      </c>
      <c r="O34" s="8" t="b">
        <f>AND(TrafficData[[#This Row],[pendingAmount]]&lt;=TrafficData[[#This Row],[totalAmount]],TrafficData[[#This Row],[disposedAmount]]&lt;=TrafficData[[#This Row],[totalAmount]])</f>
        <v>1</v>
      </c>
      <c r="P34" s="8" t="b">
        <f>AND(TrafficData[[#This Row],[pendingCourt]]&lt;=TrafficData[[#This Row],[totalCourt]],TrafficData[[#This Row],[disposedCourt]]&lt;=TrafficData[[#This Row],[totalCourt]])</f>
        <v>1</v>
      </c>
    </row>
    <row r="35" spans="1:16">
      <c r="A35" s="1">
        <v>42038</v>
      </c>
      <c r="B35">
        <v>126</v>
      </c>
      <c r="C35">
        <v>36</v>
      </c>
      <c r="D35">
        <v>90</v>
      </c>
      <c r="E35">
        <v>797798</v>
      </c>
      <c r="F35">
        <v>184200</v>
      </c>
      <c r="G35">
        <v>981998</v>
      </c>
      <c r="H35">
        <v>2</v>
      </c>
      <c r="I35">
        <v>1</v>
      </c>
      <c r="J35">
        <v>3</v>
      </c>
      <c r="K35" t="b">
        <f>TrafficData[[#This Row],[disposedChallan]]+TrafficData[[#This Row],[pendingChallan]]=TrafficData[[#This Row],[totalChallan]]</f>
        <v>1</v>
      </c>
      <c r="L35" t="b">
        <f>TrafficData[[#This Row],[pendingAmount]]+TrafficData[[#This Row],[disposedAmount]]=TrafficData[[#This Row],[totalAmount]]</f>
        <v>1</v>
      </c>
      <c r="M35" t="b">
        <f>TrafficData[[#This Row],[pendingCourt]]+TrafficData[[#This Row],[disposedCourt]]=TrafficData[[#This Row],[totalCourt]]</f>
        <v>1</v>
      </c>
      <c r="N35" s="8" t="b">
        <f>AND(TrafficData[[#This Row],[disposedChallan]]&lt;=TrafficData[[#This Row],[totalChallan]],TrafficData[[#This Row],[pendingChallan]]&lt;=TrafficData[[#This Row],[totalChallan]])</f>
        <v>1</v>
      </c>
      <c r="O35" s="8" t="b">
        <f>AND(TrafficData[[#This Row],[pendingAmount]]&lt;=TrafficData[[#This Row],[totalAmount]],TrafficData[[#This Row],[disposedAmount]]&lt;=TrafficData[[#This Row],[totalAmount]])</f>
        <v>1</v>
      </c>
      <c r="P35" s="8" t="b">
        <f>AND(TrafficData[[#This Row],[pendingCourt]]&lt;=TrafficData[[#This Row],[totalCourt]],TrafficData[[#This Row],[disposedCourt]]&lt;=TrafficData[[#This Row],[totalCourt]])</f>
        <v>1</v>
      </c>
    </row>
    <row r="36" spans="1:16">
      <c r="A36" s="1">
        <v>42039</v>
      </c>
      <c r="B36">
        <v>125</v>
      </c>
      <c r="C36">
        <v>37</v>
      </c>
      <c r="D36">
        <v>88</v>
      </c>
      <c r="E36">
        <v>656550</v>
      </c>
      <c r="F36">
        <v>204036</v>
      </c>
      <c r="G36">
        <v>860586</v>
      </c>
      <c r="H36">
        <v>2</v>
      </c>
      <c r="I36">
        <v>1</v>
      </c>
      <c r="J36">
        <v>3</v>
      </c>
      <c r="K36" t="b">
        <f>TrafficData[[#This Row],[disposedChallan]]+TrafficData[[#This Row],[pendingChallan]]=TrafficData[[#This Row],[totalChallan]]</f>
        <v>1</v>
      </c>
      <c r="L36" t="b">
        <f>TrafficData[[#This Row],[pendingAmount]]+TrafficData[[#This Row],[disposedAmount]]=TrafficData[[#This Row],[totalAmount]]</f>
        <v>1</v>
      </c>
      <c r="M36" t="b">
        <f>TrafficData[[#This Row],[pendingCourt]]+TrafficData[[#This Row],[disposedCourt]]=TrafficData[[#This Row],[totalCourt]]</f>
        <v>1</v>
      </c>
      <c r="N36" s="8" t="b">
        <f>AND(TrafficData[[#This Row],[disposedChallan]]&lt;=TrafficData[[#This Row],[totalChallan]],TrafficData[[#This Row],[pendingChallan]]&lt;=TrafficData[[#This Row],[totalChallan]])</f>
        <v>1</v>
      </c>
      <c r="O36" s="8" t="b">
        <f>AND(TrafficData[[#This Row],[pendingAmount]]&lt;=TrafficData[[#This Row],[totalAmount]],TrafficData[[#This Row],[disposedAmount]]&lt;=TrafficData[[#This Row],[totalAmount]])</f>
        <v>1</v>
      </c>
      <c r="P36" s="8" t="b">
        <f>AND(TrafficData[[#This Row],[pendingCourt]]&lt;=TrafficData[[#This Row],[totalCourt]],TrafficData[[#This Row],[disposedCourt]]&lt;=TrafficData[[#This Row],[totalCourt]])</f>
        <v>1</v>
      </c>
    </row>
    <row r="37" spans="1:16">
      <c r="A37" s="1">
        <v>42040</v>
      </c>
      <c r="B37">
        <v>118</v>
      </c>
      <c r="C37">
        <v>32</v>
      </c>
      <c r="D37">
        <v>86</v>
      </c>
      <c r="E37">
        <v>758500</v>
      </c>
      <c r="F37">
        <v>146720</v>
      </c>
      <c r="G37">
        <v>905220</v>
      </c>
      <c r="H37">
        <v>2</v>
      </c>
      <c r="I37">
        <v>0</v>
      </c>
      <c r="J37">
        <v>2</v>
      </c>
      <c r="K37" t="b">
        <f>TrafficData[[#This Row],[disposedChallan]]+TrafficData[[#This Row],[pendingChallan]]=TrafficData[[#This Row],[totalChallan]]</f>
        <v>1</v>
      </c>
      <c r="L37" t="b">
        <f>TrafficData[[#This Row],[pendingAmount]]+TrafficData[[#This Row],[disposedAmount]]=TrafficData[[#This Row],[totalAmount]]</f>
        <v>1</v>
      </c>
      <c r="M37" t="b">
        <f>TrafficData[[#This Row],[pendingCourt]]+TrafficData[[#This Row],[disposedCourt]]=TrafficData[[#This Row],[totalCourt]]</f>
        <v>1</v>
      </c>
      <c r="N37" s="8" t="b">
        <f>AND(TrafficData[[#This Row],[disposedChallan]]&lt;=TrafficData[[#This Row],[totalChallan]],TrafficData[[#This Row],[pendingChallan]]&lt;=TrafficData[[#This Row],[totalChallan]])</f>
        <v>1</v>
      </c>
      <c r="O37" s="8" t="b">
        <f>AND(TrafficData[[#This Row],[pendingAmount]]&lt;=TrafficData[[#This Row],[totalAmount]],TrafficData[[#This Row],[disposedAmount]]&lt;=TrafficData[[#This Row],[totalAmount]])</f>
        <v>1</v>
      </c>
      <c r="P37" s="8" t="b">
        <f>AND(TrafficData[[#This Row],[pendingCourt]]&lt;=TrafficData[[#This Row],[totalCourt]],TrafficData[[#This Row],[disposedCourt]]&lt;=TrafficData[[#This Row],[totalCourt]])</f>
        <v>1</v>
      </c>
    </row>
    <row r="38" spans="1:16">
      <c r="A38" s="1">
        <v>42041</v>
      </c>
      <c r="B38">
        <v>101</v>
      </c>
      <c r="C38">
        <v>32</v>
      </c>
      <c r="D38">
        <v>69</v>
      </c>
      <c r="E38">
        <v>553250</v>
      </c>
      <c r="F38">
        <v>110000</v>
      </c>
      <c r="G38">
        <v>663250</v>
      </c>
      <c r="H38">
        <v>4</v>
      </c>
      <c r="I38">
        <v>1</v>
      </c>
      <c r="J38">
        <v>5</v>
      </c>
      <c r="K38" t="b">
        <f>TrafficData[[#This Row],[disposedChallan]]+TrafficData[[#This Row],[pendingChallan]]=TrafficData[[#This Row],[totalChallan]]</f>
        <v>1</v>
      </c>
      <c r="L38" t="b">
        <f>TrafficData[[#This Row],[pendingAmount]]+TrafficData[[#This Row],[disposedAmount]]=TrafficData[[#This Row],[totalAmount]]</f>
        <v>1</v>
      </c>
      <c r="M38" t="b">
        <f>TrafficData[[#This Row],[pendingCourt]]+TrafficData[[#This Row],[disposedCourt]]=TrafficData[[#This Row],[totalCourt]]</f>
        <v>1</v>
      </c>
      <c r="N38" s="8" t="b">
        <f>AND(TrafficData[[#This Row],[disposedChallan]]&lt;=TrafficData[[#This Row],[totalChallan]],TrafficData[[#This Row],[pendingChallan]]&lt;=TrafficData[[#This Row],[totalChallan]])</f>
        <v>1</v>
      </c>
      <c r="O38" s="8" t="b">
        <f>AND(TrafficData[[#This Row],[pendingAmount]]&lt;=TrafficData[[#This Row],[totalAmount]],TrafficData[[#This Row],[disposedAmount]]&lt;=TrafficData[[#This Row],[totalAmount]])</f>
        <v>1</v>
      </c>
      <c r="P38" s="8" t="b">
        <f>AND(TrafficData[[#This Row],[pendingCourt]]&lt;=TrafficData[[#This Row],[totalCourt]],TrafficData[[#This Row],[disposedCourt]]&lt;=TrafficData[[#This Row],[totalCourt]])</f>
        <v>1</v>
      </c>
    </row>
    <row r="39" spans="1:16">
      <c r="A39" s="1">
        <v>42042</v>
      </c>
      <c r="B39">
        <v>77</v>
      </c>
      <c r="C39">
        <v>29</v>
      </c>
      <c r="D39">
        <v>48</v>
      </c>
      <c r="E39">
        <v>401850</v>
      </c>
      <c r="F39">
        <v>108600</v>
      </c>
      <c r="G39">
        <v>510450</v>
      </c>
      <c r="H39">
        <v>2</v>
      </c>
      <c r="I39">
        <v>0</v>
      </c>
      <c r="J39">
        <v>2</v>
      </c>
      <c r="K39" t="b">
        <f>TrafficData[[#This Row],[disposedChallan]]+TrafficData[[#This Row],[pendingChallan]]=TrafficData[[#This Row],[totalChallan]]</f>
        <v>1</v>
      </c>
      <c r="L39" t="b">
        <f>TrafficData[[#This Row],[pendingAmount]]+TrafficData[[#This Row],[disposedAmount]]=TrafficData[[#This Row],[totalAmount]]</f>
        <v>1</v>
      </c>
      <c r="M39" t="b">
        <f>TrafficData[[#This Row],[pendingCourt]]+TrafficData[[#This Row],[disposedCourt]]=TrafficData[[#This Row],[totalCourt]]</f>
        <v>1</v>
      </c>
      <c r="N39" s="8" t="b">
        <f>AND(TrafficData[[#This Row],[disposedChallan]]&lt;=TrafficData[[#This Row],[totalChallan]],TrafficData[[#This Row],[pendingChallan]]&lt;=TrafficData[[#This Row],[totalChallan]])</f>
        <v>1</v>
      </c>
      <c r="O39" s="8" t="b">
        <f>AND(TrafficData[[#This Row],[pendingAmount]]&lt;=TrafficData[[#This Row],[totalAmount]],TrafficData[[#This Row],[disposedAmount]]&lt;=TrafficData[[#This Row],[totalAmount]])</f>
        <v>1</v>
      </c>
      <c r="P39" s="8" t="b">
        <f>AND(TrafficData[[#This Row],[pendingCourt]]&lt;=TrafficData[[#This Row],[totalCourt]],TrafficData[[#This Row],[disposedCourt]]&lt;=TrafficData[[#This Row],[totalCourt]])</f>
        <v>1</v>
      </c>
    </row>
    <row r="40" spans="1:16">
      <c r="A40" s="1">
        <v>42043</v>
      </c>
      <c r="B40">
        <v>78</v>
      </c>
      <c r="C40">
        <v>27</v>
      </c>
      <c r="D40">
        <v>51</v>
      </c>
      <c r="E40">
        <v>273650</v>
      </c>
      <c r="F40">
        <v>82100</v>
      </c>
      <c r="G40">
        <v>355750</v>
      </c>
      <c r="H40">
        <v>2</v>
      </c>
      <c r="I40">
        <v>0</v>
      </c>
      <c r="J40">
        <v>2</v>
      </c>
      <c r="K40" t="b">
        <f>TrafficData[[#This Row],[disposedChallan]]+TrafficData[[#This Row],[pendingChallan]]=TrafficData[[#This Row],[totalChallan]]</f>
        <v>1</v>
      </c>
      <c r="L40" t="b">
        <f>TrafficData[[#This Row],[pendingAmount]]+TrafficData[[#This Row],[disposedAmount]]=TrafficData[[#This Row],[totalAmount]]</f>
        <v>1</v>
      </c>
      <c r="M40" t="b">
        <f>TrafficData[[#This Row],[pendingCourt]]+TrafficData[[#This Row],[disposedCourt]]=TrafficData[[#This Row],[totalCourt]]</f>
        <v>1</v>
      </c>
      <c r="N40" s="8" t="b">
        <f>AND(TrafficData[[#This Row],[disposedChallan]]&lt;=TrafficData[[#This Row],[totalChallan]],TrafficData[[#This Row],[pendingChallan]]&lt;=TrafficData[[#This Row],[totalChallan]])</f>
        <v>1</v>
      </c>
      <c r="O40" s="8" t="b">
        <f>AND(TrafficData[[#This Row],[pendingAmount]]&lt;=TrafficData[[#This Row],[totalAmount]],TrafficData[[#This Row],[disposedAmount]]&lt;=TrafficData[[#This Row],[totalAmount]])</f>
        <v>1</v>
      </c>
      <c r="P40" s="8" t="b">
        <f>AND(TrafficData[[#This Row],[pendingCourt]]&lt;=TrafficData[[#This Row],[totalCourt]],TrafficData[[#This Row],[disposedCourt]]&lt;=TrafficData[[#This Row],[totalCourt]])</f>
        <v>1</v>
      </c>
    </row>
    <row r="41" spans="1:16">
      <c r="A41" s="1">
        <v>42044</v>
      </c>
      <c r="B41">
        <v>116</v>
      </c>
      <c r="C41">
        <v>37</v>
      </c>
      <c r="D41">
        <v>79</v>
      </c>
      <c r="E41">
        <v>604400</v>
      </c>
      <c r="F41">
        <v>140600</v>
      </c>
      <c r="G41">
        <v>745000</v>
      </c>
      <c r="H41">
        <v>1</v>
      </c>
      <c r="I41">
        <v>0</v>
      </c>
      <c r="J41">
        <v>1</v>
      </c>
      <c r="K41" t="b">
        <f>TrafficData[[#This Row],[disposedChallan]]+TrafficData[[#This Row],[pendingChallan]]=TrafficData[[#This Row],[totalChallan]]</f>
        <v>1</v>
      </c>
      <c r="L41" t="b">
        <f>TrafficData[[#This Row],[pendingAmount]]+TrafficData[[#This Row],[disposedAmount]]=TrafficData[[#This Row],[totalAmount]]</f>
        <v>1</v>
      </c>
      <c r="M41" t="b">
        <f>TrafficData[[#This Row],[pendingCourt]]+TrafficData[[#This Row],[disposedCourt]]=TrafficData[[#This Row],[totalCourt]]</f>
        <v>1</v>
      </c>
      <c r="N41" s="8" t="b">
        <f>AND(TrafficData[[#This Row],[disposedChallan]]&lt;=TrafficData[[#This Row],[totalChallan]],TrafficData[[#This Row],[pendingChallan]]&lt;=TrafficData[[#This Row],[totalChallan]])</f>
        <v>1</v>
      </c>
      <c r="O41" s="8" t="b">
        <f>AND(TrafficData[[#This Row],[pendingAmount]]&lt;=TrafficData[[#This Row],[totalAmount]],TrafficData[[#This Row],[disposedAmount]]&lt;=TrafficData[[#This Row],[totalAmount]])</f>
        <v>1</v>
      </c>
      <c r="P41" s="8" t="b">
        <f>AND(TrafficData[[#This Row],[pendingCourt]]&lt;=TrafficData[[#This Row],[totalCourt]],TrafficData[[#This Row],[disposedCourt]]&lt;=TrafficData[[#This Row],[totalCourt]])</f>
        <v>1</v>
      </c>
    </row>
    <row r="42" spans="1:16">
      <c r="A42" s="1">
        <v>42045</v>
      </c>
      <c r="B42">
        <v>190</v>
      </c>
      <c r="C42">
        <v>54</v>
      </c>
      <c r="D42">
        <v>136</v>
      </c>
      <c r="E42">
        <v>1101190</v>
      </c>
      <c r="F42">
        <v>205500</v>
      </c>
      <c r="G42">
        <v>1306690</v>
      </c>
      <c r="H42">
        <v>5</v>
      </c>
      <c r="I42">
        <v>0</v>
      </c>
      <c r="J42">
        <v>5</v>
      </c>
      <c r="K42" t="b">
        <f>TrafficData[[#This Row],[disposedChallan]]+TrafficData[[#This Row],[pendingChallan]]=TrafficData[[#This Row],[totalChallan]]</f>
        <v>1</v>
      </c>
      <c r="L42" t="b">
        <f>TrafficData[[#This Row],[pendingAmount]]+TrafficData[[#This Row],[disposedAmount]]=TrafficData[[#This Row],[totalAmount]]</f>
        <v>1</v>
      </c>
      <c r="M42" t="b">
        <f>TrafficData[[#This Row],[pendingCourt]]+TrafficData[[#This Row],[disposedCourt]]=TrafficData[[#This Row],[totalCourt]]</f>
        <v>1</v>
      </c>
      <c r="N42" s="8" t="b">
        <f>AND(TrafficData[[#This Row],[disposedChallan]]&lt;=TrafficData[[#This Row],[totalChallan]],TrafficData[[#This Row],[pendingChallan]]&lt;=TrafficData[[#This Row],[totalChallan]])</f>
        <v>1</v>
      </c>
      <c r="O42" s="8" t="b">
        <f>AND(TrafficData[[#This Row],[pendingAmount]]&lt;=TrafficData[[#This Row],[totalAmount]],TrafficData[[#This Row],[disposedAmount]]&lt;=TrafficData[[#This Row],[totalAmount]])</f>
        <v>1</v>
      </c>
      <c r="P42" s="8" t="b">
        <f>AND(TrafficData[[#This Row],[pendingCourt]]&lt;=TrafficData[[#This Row],[totalCourt]],TrafficData[[#This Row],[disposedCourt]]&lt;=TrafficData[[#This Row],[totalCourt]])</f>
        <v>1</v>
      </c>
    </row>
    <row r="43" spans="1:16">
      <c r="A43" s="1">
        <v>42046</v>
      </c>
      <c r="B43">
        <v>213</v>
      </c>
      <c r="C43">
        <v>54</v>
      </c>
      <c r="D43">
        <v>159</v>
      </c>
      <c r="E43">
        <v>984522</v>
      </c>
      <c r="F43">
        <v>241900</v>
      </c>
      <c r="G43">
        <v>1226422</v>
      </c>
      <c r="H43">
        <v>2</v>
      </c>
      <c r="I43">
        <v>0</v>
      </c>
      <c r="J43">
        <v>2</v>
      </c>
      <c r="K43" t="b">
        <f>TrafficData[[#This Row],[disposedChallan]]+TrafficData[[#This Row],[pendingChallan]]=TrafficData[[#This Row],[totalChallan]]</f>
        <v>1</v>
      </c>
      <c r="L43" t="b">
        <f>TrafficData[[#This Row],[pendingAmount]]+TrafficData[[#This Row],[disposedAmount]]=TrafficData[[#This Row],[totalAmount]]</f>
        <v>1</v>
      </c>
      <c r="M43" t="b">
        <f>TrafficData[[#This Row],[pendingCourt]]+TrafficData[[#This Row],[disposedCourt]]=TrafficData[[#This Row],[totalCourt]]</f>
        <v>1</v>
      </c>
      <c r="N43" s="8" t="b">
        <f>AND(TrafficData[[#This Row],[disposedChallan]]&lt;=TrafficData[[#This Row],[totalChallan]],TrafficData[[#This Row],[pendingChallan]]&lt;=TrafficData[[#This Row],[totalChallan]])</f>
        <v>1</v>
      </c>
      <c r="O43" s="8" t="b">
        <f>AND(TrafficData[[#This Row],[pendingAmount]]&lt;=TrafficData[[#This Row],[totalAmount]],TrafficData[[#This Row],[disposedAmount]]&lt;=TrafficData[[#This Row],[totalAmount]])</f>
        <v>1</v>
      </c>
      <c r="P43" s="8" t="b">
        <f>AND(TrafficData[[#This Row],[pendingCourt]]&lt;=TrafficData[[#This Row],[totalCourt]],TrafficData[[#This Row],[disposedCourt]]&lt;=TrafficData[[#This Row],[totalCourt]])</f>
        <v>1</v>
      </c>
    </row>
    <row r="44" spans="1:16">
      <c r="A44" s="1">
        <v>42047</v>
      </c>
      <c r="B44">
        <v>230</v>
      </c>
      <c r="C44">
        <v>56</v>
      </c>
      <c r="D44">
        <v>174</v>
      </c>
      <c r="E44">
        <v>1046250</v>
      </c>
      <c r="F44">
        <v>200350</v>
      </c>
      <c r="G44">
        <v>1246600</v>
      </c>
      <c r="H44">
        <v>2</v>
      </c>
      <c r="I44">
        <v>0</v>
      </c>
      <c r="J44">
        <v>2</v>
      </c>
      <c r="K44" t="b">
        <f>TrafficData[[#This Row],[disposedChallan]]+TrafficData[[#This Row],[pendingChallan]]=TrafficData[[#This Row],[totalChallan]]</f>
        <v>1</v>
      </c>
      <c r="L44" t="b">
        <f>TrafficData[[#This Row],[pendingAmount]]+TrafficData[[#This Row],[disposedAmount]]=TrafficData[[#This Row],[totalAmount]]</f>
        <v>1</v>
      </c>
      <c r="M44" t="b">
        <f>TrafficData[[#This Row],[pendingCourt]]+TrafficData[[#This Row],[disposedCourt]]=TrafficData[[#This Row],[totalCourt]]</f>
        <v>1</v>
      </c>
      <c r="N44" s="8" t="b">
        <f>AND(TrafficData[[#This Row],[disposedChallan]]&lt;=TrafficData[[#This Row],[totalChallan]],TrafficData[[#This Row],[pendingChallan]]&lt;=TrafficData[[#This Row],[totalChallan]])</f>
        <v>1</v>
      </c>
      <c r="O44" s="8" t="b">
        <f>AND(TrafficData[[#This Row],[pendingAmount]]&lt;=TrafficData[[#This Row],[totalAmount]],TrafficData[[#This Row],[disposedAmount]]&lt;=TrafficData[[#This Row],[totalAmount]])</f>
        <v>1</v>
      </c>
      <c r="P44" s="8" t="b">
        <f>AND(TrafficData[[#This Row],[pendingCourt]]&lt;=TrafficData[[#This Row],[totalCourt]],TrafficData[[#This Row],[disposedCourt]]&lt;=TrafficData[[#This Row],[totalCourt]])</f>
        <v>1</v>
      </c>
    </row>
    <row r="45" spans="1:16">
      <c r="A45" s="1">
        <v>42048</v>
      </c>
      <c r="B45">
        <v>160</v>
      </c>
      <c r="C45">
        <v>46</v>
      </c>
      <c r="D45">
        <v>114</v>
      </c>
      <c r="E45">
        <v>927550</v>
      </c>
      <c r="F45">
        <v>145035</v>
      </c>
      <c r="G45">
        <v>1072585</v>
      </c>
      <c r="H45">
        <v>2</v>
      </c>
      <c r="I45">
        <v>2</v>
      </c>
      <c r="J45">
        <v>4</v>
      </c>
      <c r="K45" t="b">
        <f>TrafficData[[#This Row],[disposedChallan]]+TrafficData[[#This Row],[pendingChallan]]=TrafficData[[#This Row],[totalChallan]]</f>
        <v>1</v>
      </c>
      <c r="L45" t="b">
        <f>TrafficData[[#This Row],[pendingAmount]]+TrafficData[[#This Row],[disposedAmount]]=TrafficData[[#This Row],[totalAmount]]</f>
        <v>1</v>
      </c>
      <c r="M45" t="b">
        <f>TrafficData[[#This Row],[pendingCourt]]+TrafficData[[#This Row],[disposedCourt]]=TrafficData[[#This Row],[totalCourt]]</f>
        <v>1</v>
      </c>
      <c r="N45" s="8" t="b">
        <f>AND(TrafficData[[#This Row],[disposedChallan]]&lt;=TrafficData[[#This Row],[totalChallan]],TrafficData[[#This Row],[pendingChallan]]&lt;=TrafficData[[#This Row],[totalChallan]])</f>
        <v>1</v>
      </c>
      <c r="O45" s="8" t="b">
        <f>AND(TrafficData[[#This Row],[pendingAmount]]&lt;=TrafficData[[#This Row],[totalAmount]],TrafficData[[#This Row],[disposedAmount]]&lt;=TrafficData[[#This Row],[totalAmount]])</f>
        <v>1</v>
      </c>
      <c r="P45" s="8" t="b">
        <f>AND(TrafficData[[#This Row],[pendingCourt]]&lt;=TrafficData[[#This Row],[totalCourt]],TrafficData[[#This Row],[disposedCourt]]&lt;=TrafficData[[#This Row],[totalCourt]])</f>
        <v>1</v>
      </c>
    </row>
    <row r="46" spans="1:16">
      <c r="A46" s="1">
        <v>42049</v>
      </c>
      <c r="B46">
        <v>129</v>
      </c>
      <c r="C46">
        <v>23</v>
      </c>
      <c r="D46">
        <v>106</v>
      </c>
      <c r="E46">
        <v>561350</v>
      </c>
      <c r="F46">
        <v>55310</v>
      </c>
      <c r="G46">
        <v>616660</v>
      </c>
      <c r="H46">
        <v>3</v>
      </c>
      <c r="I46">
        <v>0</v>
      </c>
      <c r="J46">
        <v>3</v>
      </c>
      <c r="K46" t="b">
        <f>TrafficData[[#This Row],[disposedChallan]]+TrafficData[[#This Row],[pendingChallan]]=TrafficData[[#This Row],[totalChallan]]</f>
        <v>1</v>
      </c>
      <c r="L46" t="b">
        <f>TrafficData[[#This Row],[pendingAmount]]+TrafficData[[#This Row],[disposedAmount]]=TrafficData[[#This Row],[totalAmount]]</f>
        <v>1</v>
      </c>
      <c r="M46" t="b">
        <f>TrafficData[[#This Row],[pendingCourt]]+TrafficData[[#This Row],[disposedCourt]]=TrafficData[[#This Row],[totalCourt]]</f>
        <v>1</v>
      </c>
      <c r="N46" s="8" t="b">
        <f>AND(TrafficData[[#This Row],[disposedChallan]]&lt;=TrafficData[[#This Row],[totalChallan]],TrafficData[[#This Row],[pendingChallan]]&lt;=TrafficData[[#This Row],[totalChallan]])</f>
        <v>1</v>
      </c>
      <c r="O46" s="8" t="b">
        <f>AND(TrafficData[[#This Row],[pendingAmount]]&lt;=TrafficData[[#This Row],[totalAmount]],TrafficData[[#This Row],[disposedAmount]]&lt;=TrafficData[[#This Row],[totalAmount]])</f>
        <v>1</v>
      </c>
      <c r="P46" s="8" t="b">
        <f>AND(TrafficData[[#This Row],[pendingCourt]]&lt;=TrafficData[[#This Row],[totalCourt]],TrafficData[[#This Row],[disposedCourt]]&lt;=TrafficData[[#This Row],[totalCourt]])</f>
        <v>1</v>
      </c>
    </row>
    <row r="47" spans="1:16">
      <c r="A47" s="1">
        <v>42050</v>
      </c>
      <c r="B47">
        <v>89</v>
      </c>
      <c r="C47">
        <v>34</v>
      </c>
      <c r="D47">
        <v>55</v>
      </c>
      <c r="E47">
        <v>318900</v>
      </c>
      <c r="F47">
        <v>109300</v>
      </c>
      <c r="G47">
        <v>428200</v>
      </c>
      <c r="H47">
        <v>2</v>
      </c>
      <c r="I47">
        <v>0</v>
      </c>
      <c r="J47">
        <v>2</v>
      </c>
      <c r="K47" t="b">
        <f>TrafficData[[#This Row],[disposedChallan]]+TrafficData[[#This Row],[pendingChallan]]=TrafficData[[#This Row],[totalChallan]]</f>
        <v>1</v>
      </c>
      <c r="L47" t="b">
        <f>TrafficData[[#This Row],[pendingAmount]]+TrafficData[[#This Row],[disposedAmount]]=TrafficData[[#This Row],[totalAmount]]</f>
        <v>1</v>
      </c>
      <c r="M47" t="b">
        <f>TrafficData[[#This Row],[pendingCourt]]+TrafficData[[#This Row],[disposedCourt]]=TrafficData[[#This Row],[totalCourt]]</f>
        <v>1</v>
      </c>
      <c r="N47" s="8" t="b">
        <f>AND(TrafficData[[#This Row],[disposedChallan]]&lt;=TrafficData[[#This Row],[totalChallan]],TrafficData[[#This Row],[pendingChallan]]&lt;=TrafficData[[#This Row],[totalChallan]])</f>
        <v>1</v>
      </c>
      <c r="O47" s="8" t="b">
        <f>AND(TrafficData[[#This Row],[pendingAmount]]&lt;=TrafficData[[#This Row],[totalAmount]],TrafficData[[#This Row],[disposedAmount]]&lt;=TrafficData[[#This Row],[totalAmount]])</f>
        <v>1</v>
      </c>
      <c r="P47" s="8" t="b">
        <f>AND(TrafficData[[#This Row],[pendingCourt]]&lt;=TrafficData[[#This Row],[totalCourt]],TrafficData[[#This Row],[disposedCourt]]&lt;=TrafficData[[#This Row],[totalCourt]])</f>
        <v>1</v>
      </c>
    </row>
    <row r="48" spans="1:16">
      <c r="A48" s="1">
        <v>42051</v>
      </c>
      <c r="B48">
        <v>133</v>
      </c>
      <c r="C48">
        <v>29</v>
      </c>
      <c r="D48">
        <v>104</v>
      </c>
      <c r="E48">
        <v>735620</v>
      </c>
      <c r="F48">
        <v>116600</v>
      </c>
      <c r="G48">
        <v>852220</v>
      </c>
      <c r="H48">
        <v>0</v>
      </c>
      <c r="I48">
        <v>1</v>
      </c>
      <c r="J48">
        <v>1</v>
      </c>
      <c r="K48" t="b">
        <f>TrafficData[[#This Row],[disposedChallan]]+TrafficData[[#This Row],[pendingChallan]]=TrafficData[[#This Row],[totalChallan]]</f>
        <v>1</v>
      </c>
      <c r="L48" t="b">
        <f>TrafficData[[#This Row],[pendingAmount]]+TrafficData[[#This Row],[disposedAmount]]=TrafficData[[#This Row],[totalAmount]]</f>
        <v>1</v>
      </c>
      <c r="M48" t="b">
        <f>TrafficData[[#This Row],[pendingCourt]]+TrafficData[[#This Row],[disposedCourt]]=TrafficData[[#This Row],[totalCourt]]</f>
        <v>1</v>
      </c>
      <c r="N48" s="8" t="b">
        <f>AND(TrafficData[[#This Row],[disposedChallan]]&lt;=TrafficData[[#This Row],[totalChallan]],TrafficData[[#This Row],[pendingChallan]]&lt;=TrafficData[[#This Row],[totalChallan]])</f>
        <v>1</v>
      </c>
      <c r="O48" s="8" t="b">
        <f>AND(TrafficData[[#This Row],[pendingAmount]]&lt;=TrafficData[[#This Row],[totalAmount]],TrafficData[[#This Row],[disposedAmount]]&lt;=TrafficData[[#This Row],[totalAmount]])</f>
        <v>1</v>
      </c>
      <c r="P48" s="8" t="b">
        <f>AND(TrafficData[[#This Row],[pendingCourt]]&lt;=TrafficData[[#This Row],[totalCourt]],TrafficData[[#This Row],[disposedCourt]]&lt;=TrafficData[[#This Row],[totalCourt]])</f>
        <v>1</v>
      </c>
    </row>
    <row r="49" spans="1:16">
      <c r="A49" s="1">
        <v>42052</v>
      </c>
      <c r="B49">
        <v>55</v>
      </c>
      <c r="C49">
        <v>18</v>
      </c>
      <c r="D49">
        <v>37</v>
      </c>
      <c r="E49">
        <v>168300</v>
      </c>
      <c r="F49">
        <v>60600</v>
      </c>
      <c r="G49">
        <v>228900</v>
      </c>
      <c r="H49">
        <v>0</v>
      </c>
      <c r="I49">
        <v>0</v>
      </c>
      <c r="J49">
        <v>0</v>
      </c>
      <c r="K49" t="b">
        <f>TrafficData[[#This Row],[disposedChallan]]+TrafficData[[#This Row],[pendingChallan]]=TrafficData[[#This Row],[totalChallan]]</f>
        <v>1</v>
      </c>
      <c r="L49" t="b">
        <f>TrafficData[[#This Row],[pendingAmount]]+TrafficData[[#This Row],[disposedAmount]]=TrafficData[[#This Row],[totalAmount]]</f>
        <v>1</v>
      </c>
      <c r="M49" t="b">
        <f>TrafficData[[#This Row],[pendingCourt]]+TrafficData[[#This Row],[disposedCourt]]=TrafficData[[#This Row],[totalCourt]]</f>
        <v>1</v>
      </c>
      <c r="N49" s="8" t="b">
        <f>AND(TrafficData[[#This Row],[disposedChallan]]&lt;=TrafficData[[#This Row],[totalChallan]],TrafficData[[#This Row],[pendingChallan]]&lt;=TrafficData[[#This Row],[totalChallan]])</f>
        <v>1</v>
      </c>
      <c r="O49" s="8" t="b">
        <f>AND(TrafficData[[#This Row],[pendingAmount]]&lt;=TrafficData[[#This Row],[totalAmount]],TrafficData[[#This Row],[disposedAmount]]&lt;=TrafficData[[#This Row],[totalAmount]])</f>
        <v>1</v>
      </c>
      <c r="P49" s="8" t="b">
        <f>AND(TrafficData[[#This Row],[pendingCourt]]&lt;=TrafficData[[#This Row],[totalCourt]],TrafficData[[#This Row],[disposedCourt]]&lt;=TrafficData[[#This Row],[totalCourt]])</f>
        <v>1</v>
      </c>
    </row>
    <row r="50" spans="1:16">
      <c r="A50" s="1">
        <v>42053</v>
      </c>
      <c r="B50">
        <v>141</v>
      </c>
      <c r="C50">
        <v>34</v>
      </c>
      <c r="D50">
        <v>107</v>
      </c>
      <c r="E50">
        <v>687850</v>
      </c>
      <c r="F50">
        <v>129800</v>
      </c>
      <c r="G50">
        <v>817650</v>
      </c>
      <c r="H50">
        <v>1</v>
      </c>
      <c r="I50">
        <v>0</v>
      </c>
      <c r="J50">
        <v>1</v>
      </c>
      <c r="K50" t="b">
        <f>TrafficData[[#This Row],[disposedChallan]]+TrafficData[[#This Row],[pendingChallan]]=TrafficData[[#This Row],[totalChallan]]</f>
        <v>1</v>
      </c>
      <c r="L50" t="b">
        <f>TrafficData[[#This Row],[pendingAmount]]+TrafficData[[#This Row],[disposedAmount]]=TrafficData[[#This Row],[totalAmount]]</f>
        <v>1</v>
      </c>
      <c r="M50" t="b">
        <f>TrafficData[[#This Row],[pendingCourt]]+TrafficData[[#This Row],[disposedCourt]]=TrafficData[[#This Row],[totalCourt]]</f>
        <v>1</v>
      </c>
      <c r="N50" s="8" t="b">
        <f>AND(TrafficData[[#This Row],[disposedChallan]]&lt;=TrafficData[[#This Row],[totalChallan]],TrafficData[[#This Row],[pendingChallan]]&lt;=TrafficData[[#This Row],[totalChallan]])</f>
        <v>1</v>
      </c>
      <c r="O50" s="8" t="b">
        <f>AND(TrafficData[[#This Row],[pendingAmount]]&lt;=TrafficData[[#This Row],[totalAmount]],TrafficData[[#This Row],[disposedAmount]]&lt;=TrafficData[[#This Row],[totalAmount]])</f>
        <v>1</v>
      </c>
      <c r="P50" s="8" t="b">
        <f>AND(TrafficData[[#This Row],[pendingCourt]]&lt;=TrafficData[[#This Row],[totalCourt]],TrafficData[[#This Row],[disposedCourt]]&lt;=TrafficData[[#This Row],[totalCourt]])</f>
        <v>1</v>
      </c>
    </row>
    <row r="51" spans="1:16">
      <c r="A51" s="1">
        <v>42054</v>
      </c>
      <c r="B51">
        <v>254</v>
      </c>
      <c r="C51">
        <v>76</v>
      </c>
      <c r="D51">
        <v>178</v>
      </c>
      <c r="E51">
        <v>938700</v>
      </c>
      <c r="F51">
        <v>306050</v>
      </c>
      <c r="G51">
        <v>1244750</v>
      </c>
      <c r="H51">
        <v>0</v>
      </c>
      <c r="I51">
        <v>0</v>
      </c>
      <c r="J51">
        <v>0</v>
      </c>
      <c r="K51" t="b">
        <f>TrafficData[[#This Row],[disposedChallan]]+TrafficData[[#This Row],[pendingChallan]]=TrafficData[[#This Row],[totalChallan]]</f>
        <v>1</v>
      </c>
      <c r="L51" t="b">
        <f>TrafficData[[#This Row],[pendingAmount]]+TrafficData[[#This Row],[disposedAmount]]=TrafficData[[#This Row],[totalAmount]]</f>
        <v>1</v>
      </c>
      <c r="M51" t="b">
        <f>TrafficData[[#This Row],[pendingCourt]]+TrafficData[[#This Row],[disposedCourt]]=TrafficData[[#This Row],[totalCourt]]</f>
        <v>1</v>
      </c>
      <c r="N51" s="8" t="b">
        <f>AND(TrafficData[[#This Row],[disposedChallan]]&lt;=TrafficData[[#This Row],[totalChallan]],TrafficData[[#This Row],[pendingChallan]]&lt;=TrafficData[[#This Row],[totalChallan]])</f>
        <v>1</v>
      </c>
      <c r="O51" s="8" t="b">
        <f>AND(TrafficData[[#This Row],[pendingAmount]]&lt;=TrafficData[[#This Row],[totalAmount]],TrafficData[[#This Row],[disposedAmount]]&lt;=TrafficData[[#This Row],[totalAmount]])</f>
        <v>1</v>
      </c>
      <c r="P51" s="8" t="b">
        <f>AND(TrafficData[[#This Row],[pendingCourt]]&lt;=TrafficData[[#This Row],[totalCourt]],TrafficData[[#This Row],[disposedCourt]]&lt;=TrafficData[[#This Row],[totalCourt]])</f>
        <v>1</v>
      </c>
    </row>
    <row r="52" spans="1:16">
      <c r="A52" s="1">
        <v>42055</v>
      </c>
      <c r="B52">
        <v>136</v>
      </c>
      <c r="C52">
        <v>30</v>
      </c>
      <c r="D52">
        <v>106</v>
      </c>
      <c r="E52">
        <v>814350</v>
      </c>
      <c r="F52">
        <v>97000</v>
      </c>
      <c r="G52">
        <v>911350</v>
      </c>
      <c r="H52">
        <v>3</v>
      </c>
      <c r="I52">
        <v>0</v>
      </c>
      <c r="J52">
        <v>3</v>
      </c>
      <c r="K52" t="b">
        <f>TrafficData[[#This Row],[disposedChallan]]+TrafficData[[#This Row],[pendingChallan]]=TrafficData[[#This Row],[totalChallan]]</f>
        <v>1</v>
      </c>
      <c r="L52" t="b">
        <f>TrafficData[[#This Row],[pendingAmount]]+TrafficData[[#This Row],[disposedAmount]]=TrafficData[[#This Row],[totalAmount]]</f>
        <v>1</v>
      </c>
      <c r="M52" t="b">
        <f>TrafficData[[#This Row],[pendingCourt]]+TrafficData[[#This Row],[disposedCourt]]=TrafficData[[#This Row],[totalCourt]]</f>
        <v>1</v>
      </c>
      <c r="N52" s="8" t="b">
        <f>AND(TrafficData[[#This Row],[disposedChallan]]&lt;=TrafficData[[#This Row],[totalChallan]],TrafficData[[#This Row],[pendingChallan]]&lt;=TrafficData[[#This Row],[totalChallan]])</f>
        <v>1</v>
      </c>
      <c r="O52" s="8" t="b">
        <f>AND(TrafficData[[#This Row],[pendingAmount]]&lt;=TrafficData[[#This Row],[totalAmount]],TrafficData[[#This Row],[disposedAmount]]&lt;=TrafficData[[#This Row],[totalAmount]])</f>
        <v>1</v>
      </c>
      <c r="P52" s="8" t="b">
        <f>AND(TrafficData[[#This Row],[pendingCourt]]&lt;=TrafficData[[#This Row],[totalCourt]],TrafficData[[#This Row],[disposedCourt]]&lt;=TrafficData[[#This Row],[totalCourt]])</f>
        <v>1</v>
      </c>
    </row>
    <row r="53" spans="1:16">
      <c r="A53" s="1">
        <v>42056</v>
      </c>
      <c r="B53">
        <v>91</v>
      </c>
      <c r="C53">
        <v>24</v>
      </c>
      <c r="D53">
        <v>67</v>
      </c>
      <c r="E53">
        <v>376900</v>
      </c>
      <c r="F53">
        <v>145650</v>
      </c>
      <c r="G53">
        <v>522550</v>
      </c>
      <c r="H53">
        <v>4</v>
      </c>
      <c r="I53">
        <v>1</v>
      </c>
      <c r="J53">
        <v>5</v>
      </c>
      <c r="K53" t="b">
        <f>TrafficData[[#This Row],[disposedChallan]]+TrafficData[[#This Row],[pendingChallan]]=TrafficData[[#This Row],[totalChallan]]</f>
        <v>1</v>
      </c>
      <c r="L53" t="b">
        <f>TrafficData[[#This Row],[pendingAmount]]+TrafficData[[#This Row],[disposedAmount]]=TrafficData[[#This Row],[totalAmount]]</f>
        <v>1</v>
      </c>
      <c r="M53" t="b">
        <f>TrafficData[[#This Row],[pendingCourt]]+TrafficData[[#This Row],[disposedCourt]]=TrafficData[[#This Row],[totalCourt]]</f>
        <v>1</v>
      </c>
      <c r="N53" s="8" t="b">
        <f>AND(TrafficData[[#This Row],[disposedChallan]]&lt;=TrafficData[[#This Row],[totalChallan]],TrafficData[[#This Row],[pendingChallan]]&lt;=TrafficData[[#This Row],[totalChallan]])</f>
        <v>1</v>
      </c>
      <c r="O53" s="8" t="b">
        <f>AND(TrafficData[[#This Row],[pendingAmount]]&lt;=TrafficData[[#This Row],[totalAmount]],TrafficData[[#This Row],[disposedAmount]]&lt;=TrafficData[[#This Row],[totalAmount]])</f>
        <v>1</v>
      </c>
      <c r="P53" s="8" t="b">
        <f>AND(TrafficData[[#This Row],[pendingCourt]]&lt;=TrafficData[[#This Row],[totalCourt]],TrafficData[[#This Row],[disposedCourt]]&lt;=TrafficData[[#This Row],[totalCourt]])</f>
        <v>1</v>
      </c>
    </row>
    <row r="54" spans="1:16">
      <c r="A54" s="1">
        <v>42057</v>
      </c>
      <c r="B54">
        <v>87</v>
      </c>
      <c r="C54">
        <v>16</v>
      </c>
      <c r="D54">
        <v>71</v>
      </c>
      <c r="E54">
        <v>365800</v>
      </c>
      <c r="F54">
        <v>26500</v>
      </c>
      <c r="G54">
        <v>392300</v>
      </c>
      <c r="H54">
        <v>0</v>
      </c>
      <c r="I54">
        <v>0</v>
      </c>
      <c r="J54">
        <v>0</v>
      </c>
      <c r="K54" t="b">
        <f>TrafficData[[#This Row],[disposedChallan]]+TrafficData[[#This Row],[pendingChallan]]=TrafficData[[#This Row],[totalChallan]]</f>
        <v>1</v>
      </c>
      <c r="L54" t="b">
        <f>TrafficData[[#This Row],[pendingAmount]]+TrafficData[[#This Row],[disposedAmount]]=TrafficData[[#This Row],[totalAmount]]</f>
        <v>1</v>
      </c>
      <c r="M54" t="b">
        <f>TrafficData[[#This Row],[pendingCourt]]+TrafficData[[#This Row],[disposedCourt]]=TrafficData[[#This Row],[totalCourt]]</f>
        <v>1</v>
      </c>
      <c r="N54" s="8" t="b">
        <f>AND(TrafficData[[#This Row],[disposedChallan]]&lt;=TrafficData[[#This Row],[totalChallan]],TrafficData[[#This Row],[pendingChallan]]&lt;=TrafficData[[#This Row],[totalChallan]])</f>
        <v>1</v>
      </c>
      <c r="O54" s="8" t="b">
        <f>AND(TrafficData[[#This Row],[pendingAmount]]&lt;=TrafficData[[#This Row],[totalAmount]],TrafficData[[#This Row],[disposedAmount]]&lt;=TrafficData[[#This Row],[totalAmount]])</f>
        <v>1</v>
      </c>
      <c r="P54" s="8" t="b">
        <f>AND(TrafficData[[#This Row],[pendingCourt]]&lt;=TrafficData[[#This Row],[totalCourt]],TrafficData[[#This Row],[disposedCourt]]&lt;=TrafficData[[#This Row],[totalCourt]])</f>
        <v>1</v>
      </c>
    </row>
    <row r="55" spans="1:16">
      <c r="A55" s="1">
        <v>42058</v>
      </c>
      <c r="B55">
        <v>97</v>
      </c>
      <c r="C55">
        <v>15</v>
      </c>
      <c r="D55">
        <v>82</v>
      </c>
      <c r="E55">
        <v>622500</v>
      </c>
      <c r="F55">
        <v>68500</v>
      </c>
      <c r="G55">
        <v>691000</v>
      </c>
      <c r="H55">
        <v>3</v>
      </c>
      <c r="I55">
        <v>0</v>
      </c>
      <c r="J55">
        <v>3</v>
      </c>
      <c r="K55" t="b">
        <f>TrafficData[[#This Row],[disposedChallan]]+TrafficData[[#This Row],[pendingChallan]]=TrafficData[[#This Row],[totalChallan]]</f>
        <v>1</v>
      </c>
      <c r="L55" t="b">
        <f>TrafficData[[#This Row],[pendingAmount]]+TrafficData[[#This Row],[disposedAmount]]=TrafficData[[#This Row],[totalAmount]]</f>
        <v>1</v>
      </c>
      <c r="M55" t="b">
        <f>TrafficData[[#This Row],[pendingCourt]]+TrafficData[[#This Row],[disposedCourt]]=TrafficData[[#This Row],[totalCourt]]</f>
        <v>1</v>
      </c>
      <c r="N55" s="8" t="b">
        <f>AND(TrafficData[[#This Row],[disposedChallan]]&lt;=TrafficData[[#This Row],[totalChallan]],TrafficData[[#This Row],[pendingChallan]]&lt;=TrafficData[[#This Row],[totalChallan]])</f>
        <v>1</v>
      </c>
      <c r="O55" s="8" t="b">
        <f>AND(TrafficData[[#This Row],[pendingAmount]]&lt;=TrafficData[[#This Row],[totalAmount]],TrafficData[[#This Row],[disposedAmount]]&lt;=TrafficData[[#This Row],[totalAmount]])</f>
        <v>1</v>
      </c>
      <c r="P55" s="8" t="b">
        <f>AND(TrafficData[[#This Row],[pendingCourt]]&lt;=TrafficData[[#This Row],[totalCourt]],TrafficData[[#This Row],[disposedCourt]]&lt;=TrafficData[[#This Row],[totalCourt]])</f>
        <v>1</v>
      </c>
    </row>
    <row r="56" spans="1:16">
      <c r="A56" s="1">
        <v>42059</v>
      </c>
      <c r="B56">
        <v>112</v>
      </c>
      <c r="C56">
        <v>30</v>
      </c>
      <c r="D56">
        <v>82</v>
      </c>
      <c r="E56">
        <v>545150</v>
      </c>
      <c r="F56">
        <v>201160</v>
      </c>
      <c r="G56">
        <v>746310</v>
      </c>
      <c r="H56">
        <v>1</v>
      </c>
      <c r="I56">
        <v>2</v>
      </c>
      <c r="J56">
        <v>3</v>
      </c>
      <c r="K56" t="b">
        <f>TrafficData[[#This Row],[disposedChallan]]+TrafficData[[#This Row],[pendingChallan]]=TrafficData[[#This Row],[totalChallan]]</f>
        <v>1</v>
      </c>
      <c r="L56" t="b">
        <f>TrafficData[[#This Row],[pendingAmount]]+TrafficData[[#This Row],[disposedAmount]]=TrafficData[[#This Row],[totalAmount]]</f>
        <v>1</v>
      </c>
      <c r="M56" t="b">
        <f>TrafficData[[#This Row],[pendingCourt]]+TrafficData[[#This Row],[disposedCourt]]=TrafficData[[#This Row],[totalCourt]]</f>
        <v>1</v>
      </c>
      <c r="N56" s="8" t="b">
        <f>AND(TrafficData[[#This Row],[disposedChallan]]&lt;=TrafficData[[#This Row],[totalChallan]],TrafficData[[#This Row],[pendingChallan]]&lt;=TrafficData[[#This Row],[totalChallan]])</f>
        <v>1</v>
      </c>
      <c r="O56" s="8" t="b">
        <f>AND(TrafficData[[#This Row],[pendingAmount]]&lt;=TrafficData[[#This Row],[totalAmount]],TrafficData[[#This Row],[disposedAmount]]&lt;=TrafficData[[#This Row],[totalAmount]])</f>
        <v>1</v>
      </c>
      <c r="P56" s="8" t="b">
        <f>AND(TrafficData[[#This Row],[pendingCourt]]&lt;=TrafficData[[#This Row],[totalCourt]],TrafficData[[#This Row],[disposedCourt]]&lt;=TrafficData[[#This Row],[totalCourt]])</f>
        <v>1</v>
      </c>
    </row>
    <row r="57" spans="1:16">
      <c r="A57" s="1">
        <v>42060</v>
      </c>
      <c r="B57">
        <v>110</v>
      </c>
      <c r="C57">
        <v>37</v>
      </c>
      <c r="D57">
        <v>73</v>
      </c>
      <c r="E57">
        <v>463000</v>
      </c>
      <c r="F57">
        <v>122950</v>
      </c>
      <c r="G57">
        <v>585950</v>
      </c>
      <c r="H57">
        <v>4</v>
      </c>
      <c r="I57">
        <v>1</v>
      </c>
      <c r="J57">
        <v>5</v>
      </c>
      <c r="K57" t="b">
        <f>TrafficData[[#This Row],[disposedChallan]]+TrafficData[[#This Row],[pendingChallan]]=TrafficData[[#This Row],[totalChallan]]</f>
        <v>1</v>
      </c>
      <c r="L57" t="b">
        <f>TrafficData[[#This Row],[pendingAmount]]+TrafficData[[#This Row],[disposedAmount]]=TrafficData[[#This Row],[totalAmount]]</f>
        <v>1</v>
      </c>
      <c r="M57" t="b">
        <f>TrafficData[[#This Row],[pendingCourt]]+TrafficData[[#This Row],[disposedCourt]]=TrafficData[[#This Row],[totalCourt]]</f>
        <v>1</v>
      </c>
      <c r="N57" s="8" t="b">
        <f>AND(TrafficData[[#This Row],[disposedChallan]]&lt;=TrafficData[[#This Row],[totalChallan]],TrafficData[[#This Row],[pendingChallan]]&lt;=TrafficData[[#This Row],[totalChallan]])</f>
        <v>1</v>
      </c>
      <c r="O57" s="8" t="b">
        <f>AND(TrafficData[[#This Row],[pendingAmount]]&lt;=TrafficData[[#This Row],[totalAmount]],TrafficData[[#This Row],[disposedAmount]]&lt;=TrafficData[[#This Row],[totalAmount]])</f>
        <v>1</v>
      </c>
      <c r="P57" s="8" t="b">
        <f>AND(TrafficData[[#This Row],[pendingCourt]]&lt;=TrafficData[[#This Row],[totalCourt]],TrafficData[[#This Row],[disposedCourt]]&lt;=TrafficData[[#This Row],[totalCourt]])</f>
        <v>1</v>
      </c>
    </row>
    <row r="58" spans="1:16">
      <c r="A58" s="1">
        <v>42061</v>
      </c>
      <c r="B58">
        <v>130</v>
      </c>
      <c r="C58">
        <v>44</v>
      </c>
      <c r="D58">
        <v>86</v>
      </c>
      <c r="E58">
        <v>860450</v>
      </c>
      <c r="F58">
        <v>189700</v>
      </c>
      <c r="G58">
        <v>1050150</v>
      </c>
      <c r="H58">
        <v>1</v>
      </c>
      <c r="I58">
        <v>2</v>
      </c>
      <c r="J58">
        <v>3</v>
      </c>
      <c r="K58" t="b">
        <f>TrafficData[[#This Row],[disposedChallan]]+TrafficData[[#This Row],[pendingChallan]]=TrafficData[[#This Row],[totalChallan]]</f>
        <v>1</v>
      </c>
      <c r="L58" t="b">
        <f>TrafficData[[#This Row],[pendingAmount]]+TrafficData[[#This Row],[disposedAmount]]=TrafficData[[#This Row],[totalAmount]]</f>
        <v>1</v>
      </c>
      <c r="M58" t="b">
        <f>TrafficData[[#This Row],[pendingCourt]]+TrafficData[[#This Row],[disposedCourt]]=TrafficData[[#This Row],[totalCourt]]</f>
        <v>1</v>
      </c>
      <c r="N58" s="8" t="b">
        <f>AND(TrafficData[[#This Row],[disposedChallan]]&lt;=TrafficData[[#This Row],[totalChallan]],TrafficData[[#This Row],[pendingChallan]]&lt;=TrafficData[[#This Row],[totalChallan]])</f>
        <v>1</v>
      </c>
      <c r="O58" s="8" t="b">
        <f>AND(TrafficData[[#This Row],[pendingAmount]]&lt;=TrafficData[[#This Row],[totalAmount]],TrafficData[[#This Row],[disposedAmount]]&lt;=TrafficData[[#This Row],[totalAmount]])</f>
        <v>1</v>
      </c>
      <c r="P58" s="8" t="b">
        <f>AND(TrafficData[[#This Row],[pendingCourt]]&lt;=TrafficData[[#This Row],[totalCourt]],TrafficData[[#This Row],[disposedCourt]]&lt;=TrafficData[[#This Row],[totalCourt]])</f>
        <v>1</v>
      </c>
    </row>
    <row r="59" spans="1:16">
      <c r="A59" s="1">
        <v>42062</v>
      </c>
      <c r="B59">
        <v>105</v>
      </c>
      <c r="C59">
        <v>35</v>
      </c>
      <c r="D59">
        <v>70</v>
      </c>
      <c r="E59">
        <v>529650</v>
      </c>
      <c r="F59">
        <v>166000</v>
      </c>
      <c r="G59">
        <v>695650</v>
      </c>
      <c r="H59">
        <v>1</v>
      </c>
      <c r="I59">
        <v>1</v>
      </c>
      <c r="J59">
        <v>2</v>
      </c>
      <c r="K59" t="b">
        <f>TrafficData[[#This Row],[disposedChallan]]+TrafficData[[#This Row],[pendingChallan]]=TrafficData[[#This Row],[totalChallan]]</f>
        <v>1</v>
      </c>
      <c r="L59" t="b">
        <f>TrafficData[[#This Row],[pendingAmount]]+TrafficData[[#This Row],[disposedAmount]]=TrafficData[[#This Row],[totalAmount]]</f>
        <v>1</v>
      </c>
      <c r="M59" t="b">
        <f>TrafficData[[#This Row],[pendingCourt]]+TrafficData[[#This Row],[disposedCourt]]=TrafficData[[#This Row],[totalCourt]]</f>
        <v>1</v>
      </c>
      <c r="N59" s="8" t="b">
        <f>AND(TrafficData[[#This Row],[disposedChallan]]&lt;=TrafficData[[#This Row],[totalChallan]],TrafficData[[#This Row],[pendingChallan]]&lt;=TrafficData[[#This Row],[totalChallan]])</f>
        <v>1</v>
      </c>
      <c r="O59" s="8" t="b">
        <f>AND(TrafficData[[#This Row],[pendingAmount]]&lt;=TrafficData[[#This Row],[totalAmount]],TrafficData[[#This Row],[disposedAmount]]&lt;=TrafficData[[#This Row],[totalAmount]])</f>
        <v>1</v>
      </c>
      <c r="P59" s="8" t="b">
        <f>AND(TrafficData[[#This Row],[pendingCourt]]&lt;=TrafficData[[#This Row],[totalCourt]],TrafficData[[#This Row],[disposedCourt]]&lt;=TrafficData[[#This Row],[totalCourt]])</f>
        <v>1</v>
      </c>
    </row>
    <row r="60" spans="1:16">
      <c r="A60" s="1">
        <v>42063</v>
      </c>
      <c r="B60">
        <v>58</v>
      </c>
      <c r="C60">
        <v>16</v>
      </c>
      <c r="D60">
        <v>42</v>
      </c>
      <c r="E60">
        <v>310650</v>
      </c>
      <c r="F60">
        <v>68000</v>
      </c>
      <c r="G60">
        <v>378650</v>
      </c>
      <c r="H60">
        <v>0</v>
      </c>
      <c r="I60">
        <v>0</v>
      </c>
      <c r="J60">
        <v>0</v>
      </c>
      <c r="K60" t="b">
        <f>TrafficData[[#This Row],[disposedChallan]]+TrafficData[[#This Row],[pendingChallan]]=TrafficData[[#This Row],[totalChallan]]</f>
        <v>1</v>
      </c>
      <c r="L60" t="b">
        <f>TrafficData[[#This Row],[pendingAmount]]+TrafficData[[#This Row],[disposedAmount]]=TrafficData[[#This Row],[totalAmount]]</f>
        <v>1</v>
      </c>
      <c r="M60" t="b">
        <f>TrafficData[[#This Row],[pendingCourt]]+TrafficData[[#This Row],[disposedCourt]]=TrafficData[[#This Row],[totalCourt]]</f>
        <v>1</v>
      </c>
      <c r="N60" s="8" t="b">
        <f>AND(TrafficData[[#This Row],[disposedChallan]]&lt;=TrafficData[[#This Row],[totalChallan]],TrafficData[[#This Row],[pendingChallan]]&lt;=TrafficData[[#This Row],[totalChallan]])</f>
        <v>1</v>
      </c>
      <c r="O60" s="8" t="b">
        <f>AND(TrafficData[[#This Row],[pendingAmount]]&lt;=TrafficData[[#This Row],[totalAmount]],TrafficData[[#This Row],[disposedAmount]]&lt;=TrafficData[[#This Row],[totalAmount]])</f>
        <v>1</v>
      </c>
      <c r="P60" s="8" t="b">
        <f>AND(TrafficData[[#This Row],[pendingCourt]]&lt;=TrafficData[[#This Row],[totalCourt]],TrafficData[[#This Row],[disposedCourt]]&lt;=TrafficData[[#This Row],[totalCourt]])</f>
        <v>1</v>
      </c>
    </row>
    <row r="61" spans="1:16">
      <c r="A61" s="1">
        <v>42064</v>
      </c>
      <c r="B61">
        <v>61</v>
      </c>
      <c r="C61">
        <v>14</v>
      </c>
      <c r="D61">
        <v>47</v>
      </c>
      <c r="E61">
        <v>373700</v>
      </c>
      <c r="F61">
        <v>92700</v>
      </c>
      <c r="G61">
        <v>466400</v>
      </c>
      <c r="H61">
        <v>1</v>
      </c>
      <c r="I61">
        <v>1</v>
      </c>
      <c r="J61">
        <v>2</v>
      </c>
      <c r="K61" t="b">
        <f>TrafficData[[#This Row],[disposedChallan]]+TrafficData[[#This Row],[pendingChallan]]=TrafficData[[#This Row],[totalChallan]]</f>
        <v>1</v>
      </c>
      <c r="L61" t="b">
        <f>TrafficData[[#This Row],[pendingAmount]]+TrafficData[[#This Row],[disposedAmount]]=TrafficData[[#This Row],[totalAmount]]</f>
        <v>1</v>
      </c>
      <c r="M61" t="b">
        <f>TrafficData[[#This Row],[pendingCourt]]+TrafficData[[#This Row],[disposedCourt]]=TrafficData[[#This Row],[totalCourt]]</f>
        <v>1</v>
      </c>
      <c r="N61" s="8" t="b">
        <f>AND(TrafficData[[#This Row],[disposedChallan]]&lt;=TrafficData[[#This Row],[totalChallan]],TrafficData[[#This Row],[pendingChallan]]&lt;=TrafficData[[#This Row],[totalChallan]])</f>
        <v>1</v>
      </c>
      <c r="O61" s="8" t="b">
        <f>AND(TrafficData[[#This Row],[pendingAmount]]&lt;=TrafficData[[#This Row],[totalAmount]],TrafficData[[#This Row],[disposedAmount]]&lt;=TrafficData[[#This Row],[totalAmount]])</f>
        <v>1</v>
      </c>
      <c r="P61" s="8" t="b">
        <f>AND(TrafficData[[#This Row],[pendingCourt]]&lt;=TrafficData[[#This Row],[totalCourt]],TrafficData[[#This Row],[disposedCourt]]&lt;=TrafficData[[#This Row],[totalCourt]])</f>
        <v>1</v>
      </c>
    </row>
    <row r="62" spans="1:16">
      <c r="A62" s="1">
        <v>42065</v>
      </c>
      <c r="B62">
        <v>101</v>
      </c>
      <c r="C62">
        <v>19</v>
      </c>
      <c r="D62">
        <v>82</v>
      </c>
      <c r="E62">
        <v>787050</v>
      </c>
      <c r="F62">
        <v>28000</v>
      </c>
      <c r="G62">
        <v>815050</v>
      </c>
      <c r="H62">
        <v>2</v>
      </c>
      <c r="I62">
        <v>1</v>
      </c>
      <c r="J62">
        <v>3</v>
      </c>
      <c r="K62" t="b">
        <f>TrafficData[[#This Row],[disposedChallan]]+TrafficData[[#This Row],[pendingChallan]]=TrafficData[[#This Row],[totalChallan]]</f>
        <v>1</v>
      </c>
      <c r="L62" t="b">
        <f>TrafficData[[#This Row],[pendingAmount]]+TrafficData[[#This Row],[disposedAmount]]=TrafficData[[#This Row],[totalAmount]]</f>
        <v>1</v>
      </c>
      <c r="M62" t="b">
        <f>TrafficData[[#This Row],[pendingCourt]]+TrafficData[[#This Row],[disposedCourt]]=TrafficData[[#This Row],[totalCourt]]</f>
        <v>1</v>
      </c>
      <c r="N62" s="8" t="b">
        <f>AND(TrafficData[[#This Row],[disposedChallan]]&lt;=TrafficData[[#This Row],[totalChallan]],TrafficData[[#This Row],[pendingChallan]]&lt;=TrafficData[[#This Row],[totalChallan]])</f>
        <v>1</v>
      </c>
      <c r="O62" s="8" t="b">
        <f>AND(TrafficData[[#This Row],[pendingAmount]]&lt;=TrafficData[[#This Row],[totalAmount]],TrafficData[[#This Row],[disposedAmount]]&lt;=TrafficData[[#This Row],[totalAmount]])</f>
        <v>1</v>
      </c>
      <c r="P62" s="8" t="b">
        <f>AND(TrafficData[[#This Row],[pendingCourt]]&lt;=TrafficData[[#This Row],[totalCourt]],TrafficData[[#This Row],[disposedCourt]]&lt;=TrafficData[[#This Row],[totalCourt]])</f>
        <v>1</v>
      </c>
    </row>
    <row r="63" spans="1:16">
      <c r="A63" s="1">
        <v>42066</v>
      </c>
      <c r="B63">
        <v>144</v>
      </c>
      <c r="C63">
        <v>27</v>
      </c>
      <c r="D63">
        <v>117</v>
      </c>
      <c r="E63">
        <v>908550</v>
      </c>
      <c r="F63">
        <v>171500</v>
      </c>
      <c r="G63">
        <v>1080050</v>
      </c>
      <c r="H63">
        <v>6</v>
      </c>
      <c r="I63">
        <v>1</v>
      </c>
      <c r="J63">
        <v>7</v>
      </c>
      <c r="K63" t="b">
        <f>TrafficData[[#This Row],[disposedChallan]]+TrafficData[[#This Row],[pendingChallan]]=TrafficData[[#This Row],[totalChallan]]</f>
        <v>1</v>
      </c>
      <c r="L63" t="b">
        <f>TrafficData[[#This Row],[pendingAmount]]+TrafficData[[#This Row],[disposedAmount]]=TrafficData[[#This Row],[totalAmount]]</f>
        <v>1</v>
      </c>
      <c r="M63" t="b">
        <f>TrafficData[[#This Row],[pendingCourt]]+TrafficData[[#This Row],[disposedCourt]]=TrafficData[[#This Row],[totalCourt]]</f>
        <v>1</v>
      </c>
      <c r="N63" s="8" t="b">
        <f>AND(TrafficData[[#This Row],[disposedChallan]]&lt;=TrafficData[[#This Row],[totalChallan]],TrafficData[[#This Row],[pendingChallan]]&lt;=TrafficData[[#This Row],[totalChallan]])</f>
        <v>1</v>
      </c>
      <c r="O63" s="8" t="b">
        <f>AND(TrafficData[[#This Row],[pendingAmount]]&lt;=TrafficData[[#This Row],[totalAmount]],TrafficData[[#This Row],[disposedAmount]]&lt;=TrafficData[[#This Row],[totalAmount]])</f>
        <v>1</v>
      </c>
      <c r="P63" s="8" t="b">
        <f>AND(TrafficData[[#This Row],[pendingCourt]]&lt;=TrafficData[[#This Row],[totalCourt]],TrafficData[[#This Row],[disposedCourt]]&lt;=TrafficData[[#This Row],[totalCourt]])</f>
        <v>1</v>
      </c>
    </row>
    <row r="64" spans="1:16">
      <c r="A64" s="1">
        <v>42067</v>
      </c>
      <c r="B64">
        <v>127</v>
      </c>
      <c r="C64">
        <v>26</v>
      </c>
      <c r="D64">
        <v>101</v>
      </c>
      <c r="E64">
        <v>805500</v>
      </c>
      <c r="F64">
        <v>125550</v>
      </c>
      <c r="G64">
        <v>931050</v>
      </c>
      <c r="H64">
        <v>4</v>
      </c>
      <c r="I64">
        <v>0</v>
      </c>
      <c r="J64">
        <v>4</v>
      </c>
      <c r="K64" t="b">
        <f>TrafficData[[#This Row],[disposedChallan]]+TrafficData[[#This Row],[pendingChallan]]=TrafficData[[#This Row],[totalChallan]]</f>
        <v>1</v>
      </c>
      <c r="L64" t="b">
        <f>TrafficData[[#This Row],[pendingAmount]]+TrafficData[[#This Row],[disposedAmount]]=TrafficData[[#This Row],[totalAmount]]</f>
        <v>1</v>
      </c>
      <c r="M64" t="b">
        <f>TrafficData[[#This Row],[pendingCourt]]+TrafficData[[#This Row],[disposedCourt]]=TrafficData[[#This Row],[totalCourt]]</f>
        <v>1</v>
      </c>
      <c r="N64" s="8" t="b">
        <f>AND(TrafficData[[#This Row],[disposedChallan]]&lt;=TrafficData[[#This Row],[totalChallan]],TrafficData[[#This Row],[pendingChallan]]&lt;=TrafficData[[#This Row],[totalChallan]])</f>
        <v>1</v>
      </c>
      <c r="O64" s="8" t="b">
        <f>AND(TrafficData[[#This Row],[pendingAmount]]&lt;=TrafficData[[#This Row],[totalAmount]],TrafficData[[#This Row],[disposedAmount]]&lt;=TrafficData[[#This Row],[totalAmount]])</f>
        <v>1</v>
      </c>
      <c r="P64" s="8" t="b">
        <f>AND(TrafficData[[#This Row],[pendingCourt]]&lt;=TrafficData[[#This Row],[totalCourt]],TrafficData[[#This Row],[disposedCourt]]&lt;=TrafficData[[#This Row],[totalCourt]])</f>
        <v>1</v>
      </c>
    </row>
    <row r="65" spans="1:16">
      <c r="A65" s="1">
        <v>42068</v>
      </c>
      <c r="B65">
        <v>75</v>
      </c>
      <c r="C65">
        <v>19</v>
      </c>
      <c r="D65">
        <v>56</v>
      </c>
      <c r="E65">
        <v>357000</v>
      </c>
      <c r="F65">
        <v>133500</v>
      </c>
      <c r="G65">
        <v>490500</v>
      </c>
      <c r="H65">
        <v>4</v>
      </c>
      <c r="I65">
        <v>1</v>
      </c>
      <c r="J65">
        <v>5</v>
      </c>
      <c r="K65" t="b">
        <f>TrafficData[[#This Row],[disposedChallan]]+TrafficData[[#This Row],[pendingChallan]]=TrafficData[[#This Row],[totalChallan]]</f>
        <v>1</v>
      </c>
      <c r="L65" t="b">
        <f>TrafficData[[#This Row],[pendingAmount]]+TrafficData[[#This Row],[disposedAmount]]=TrafficData[[#This Row],[totalAmount]]</f>
        <v>1</v>
      </c>
      <c r="M65" t="b">
        <f>TrafficData[[#This Row],[pendingCourt]]+TrafficData[[#This Row],[disposedCourt]]=TrafficData[[#This Row],[totalCourt]]</f>
        <v>1</v>
      </c>
      <c r="N65" s="8" t="b">
        <f>AND(TrafficData[[#This Row],[disposedChallan]]&lt;=TrafficData[[#This Row],[totalChallan]],TrafficData[[#This Row],[pendingChallan]]&lt;=TrafficData[[#This Row],[totalChallan]])</f>
        <v>1</v>
      </c>
      <c r="O65" s="8" t="b">
        <f>AND(TrafficData[[#This Row],[pendingAmount]]&lt;=TrafficData[[#This Row],[totalAmount]],TrafficData[[#This Row],[disposedAmount]]&lt;=TrafficData[[#This Row],[totalAmount]])</f>
        <v>1</v>
      </c>
      <c r="P65" s="8" t="b">
        <f>AND(TrafficData[[#This Row],[pendingCourt]]&lt;=TrafficData[[#This Row],[totalCourt]],TrafficData[[#This Row],[disposedCourt]]&lt;=TrafficData[[#This Row],[totalCourt]])</f>
        <v>1</v>
      </c>
    </row>
    <row r="66" spans="1:16">
      <c r="A66" s="1">
        <v>42069</v>
      </c>
      <c r="B66">
        <v>10</v>
      </c>
      <c r="C66">
        <v>7</v>
      </c>
      <c r="D66">
        <v>3</v>
      </c>
      <c r="E66">
        <v>20400</v>
      </c>
      <c r="F66">
        <v>34000</v>
      </c>
      <c r="G66">
        <v>54400</v>
      </c>
      <c r="H66">
        <v>0</v>
      </c>
      <c r="I66">
        <v>0</v>
      </c>
      <c r="J66">
        <v>0</v>
      </c>
      <c r="K66" t="b">
        <f>TrafficData[[#This Row],[disposedChallan]]+TrafficData[[#This Row],[pendingChallan]]=TrafficData[[#This Row],[totalChallan]]</f>
        <v>1</v>
      </c>
      <c r="L66" t="b">
        <f>TrafficData[[#This Row],[pendingAmount]]+TrafficData[[#This Row],[disposedAmount]]=TrafficData[[#This Row],[totalAmount]]</f>
        <v>1</v>
      </c>
      <c r="M66" t="b">
        <f>TrafficData[[#This Row],[pendingCourt]]+TrafficData[[#This Row],[disposedCourt]]=TrafficData[[#This Row],[totalCourt]]</f>
        <v>1</v>
      </c>
      <c r="N66" s="8" t="b">
        <f>AND(TrafficData[[#This Row],[disposedChallan]]&lt;=TrafficData[[#This Row],[totalChallan]],TrafficData[[#This Row],[pendingChallan]]&lt;=TrafficData[[#This Row],[totalChallan]])</f>
        <v>1</v>
      </c>
      <c r="O66" s="8" t="b">
        <f>AND(TrafficData[[#This Row],[pendingAmount]]&lt;=TrafficData[[#This Row],[totalAmount]],TrafficData[[#This Row],[disposedAmount]]&lt;=TrafficData[[#This Row],[totalAmount]])</f>
        <v>1</v>
      </c>
      <c r="P66" s="8" t="b">
        <f>AND(TrafficData[[#This Row],[pendingCourt]]&lt;=TrafficData[[#This Row],[totalCourt]],TrafficData[[#This Row],[disposedCourt]]&lt;=TrafficData[[#This Row],[totalCourt]])</f>
        <v>1</v>
      </c>
    </row>
    <row r="67" spans="1:16">
      <c r="A67" s="1">
        <v>42070</v>
      </c>
      <c r="B67">
        <v>111</v>
      </c>
      <c r="C67">
        <v>23</v>
      </c>
      <c r="D67">
        <v>88</v>
      </c>
      <c r="E67">
        <v>457850</v>
      </c>
      <c r="F67">
        <v>69900</v>
      </c>
      <c r="G67">
        <v>527750</v>
      </c>
      <c r="H67">
        <v>2</v>
      </c>
      <c r="I67">
        <v>0</v>
      </c>
      <c r="J67">
        <v>2</v>
      </c>
      <c r="K67" t="b">
        <f>TrafficData[[#This Row],[disposedChallan]]+TrafficData[[#This Row],[pendingChallan]]=TrafficData[[#This Row],[totalChallan]]</f>
        <v>1</v>
      </c>
      <c r="L67" t="b">
        <f>TrafficData[[#This Row],[pendingAmount]]+TrafficData[[#This Row],[disposedAmount]]=TrafficData[[#This Row],[totalAmount]]</f>
        <v>1</v>
      </c>
      <c r="M67" t="b">
        <f>TrafficData[[#This Row],[pendingCourt]]+TrafficData[[#This Row],[disposedCourt]]=TrafficData[[#This Row],[totalCourt]]</f>
        <v>1</v>
      </c>
      <c r="N67" s="8" t="b">
        <f>AND(TrafficData[[#This Row],[disposedChallan]]&lt;=TrafficData[[#This Row],[totalChallan]],TrafficData[[#This Row],[pendingChallan]]&lt;=TrafficData[[#This Row],[totalChallan]])</f>
        <v>1</v>
      </c>
      <c r="O67" s="8" t="b">
        <f>AND(TrafficData[[#This Row],[pendingAmount]]&lt;=TrafficData[[#This Row],[totalAmount]],TrafficData[[#This Row],[disposedAmount]]&lt;=TrafficData[[#This Row],[totalAmount]])</f>
        <v>1</v>
      </c>
      <c r="P67" s="8" t="b">
        <f>AND(TrafficData[[#This Row],[pendingCourt]]&lt;=TrafficData[[#This Row],[totalCourt]],TrafficData[[#This Row],[disposedCourt]]&lt;=TrafficData[[#This Row],[totalCourt]])</f>
        <v>1</v>
      </c>
    </row>
    <row r="68" spans="1:16">
      <c r="A68" s="1">
        <v>42071</v>
      </c>
      <c r="B68">
        <v>80</v>
      </c>
      <c r="C68">
        <v>22</v>
      </c>
      <c r="D68">
        <v>58</v>
      </c>
      <c r="E68">
        <v>453050</v>
      </c>
      <c r="F68">
        <v>99300</v>
      </c>
      <c r="G68">
        <v>552350</v>
      </c>
      <c r="H68">
        <v>1</v>
      </c>
      <c r="I68">
        <v>0</v>
      </c>
      <c r="J68">
        <v>1</v>
      </c>
      <c r="K68" t="b">
        <f>TrafficData[[#This Row],[disposedChallan]]+TrafficData[[#This Row],[pendingChallan]]=TrafficData[[#This Row],[totalChallan]]</f>
        <v>1</v>
      </c>
      <c r="L68" t="b">
        <f>TrafficData[[#This Row],[pendingAmount]]+TrafficData[[#This Row],[disposedAmount]]=TrafficData[[#This Row],[totalAmount]]</f>
        <v>1</v>
      </c>
      <c r="M68" t="b">
        <f>TrafficData[[#This Row],[pendingCourt]]+TrafficData[[#This Row],[disposedCourt]]=TrafficData[[#This Row],[totalCourt]]</f>
        <v>1</v>
      </c>
      <c r="N68" s="8" t="b">
        <f>AND(TrafficData[[#This Row],[disposedChallan]]&lt;=TrafficData[[#This Row],[totalChallan]],TrafficData[[#This Row],[pendingChallan]]&lt;=TrafficData[[#This Row],[totalChallan]])</f>
        <v>1</v>
      </c>
      <c r="O68" s="8" t="b">
        <f>AND(TrafficData[[#This Row],[pendingAmount]]&lt;=TrafficData[[#This Row],[totalAmount]],TrafficData[[#This Row],[disposedAmount]]&lt;=TrafficData[[#This Row],[totalAmount]])</f>
        <v>1</v>
      </c>
      <c r="P68" s="8" t="b">
        <f>AND(TrafficData[[#This Row],[pendingCourt]]&lt;=TrafficData[[#This Row],[totalCourt]],TrafficData[[#This Row],[disposedCourt]]&lt;=TrafficData[[#This Row],[totalCourt]])</f>
        <v>1</v>
      </c>
    </row>
    <row r="69" spans="1:16">
      <c r="A69" s="1">
        <v>42072</v>
      </c>
      <c r="B69">
        <v>129</v>
      </c>
      <c r="C69">
        <v>28</v>
      </c>
      <c r="D69">
        <v>101</v>
      </c>
      <c r="E69">
        <v>626400</v>
      </c>
      <c r="F69">
        <v>105850</v>
      </c>
      <c r="G69">
        <v>732250</v>
      </c>
      <c r="H69">
        <v>4</v>
      </c>
      <c r="I69">
        <v>1</v>
      </c>
      <c r="J69">
        <v>5</v>
      </c>
      <c r="K69" t="b">
        <f>TrafficData[[#This Row],[disposedChallan]]+TrafficData[[#This Row],[pendingChallan]]=TrafficData[[#This Row],[totalChallan]]</f>
        <v>1</v>
      </c>
      <c r="L69" t="b">
        <f>TrafficData[[#This Row],[pendingAmount]]+TrafficData[[#This Row],[disposedAmount]]=TrafficData[[#This Row],[totalAmount]]</f>
        <v>1</v>
      </c>
      <c r="M69" t="b">
        <f>TrafficData[[#This Row],[pendingCourt]]+TrafficData[[#This Row],[disposedCourt]]=TrafficData[[#This Row],[totalCourt]]</f>
        <v>1</v>
      </c>
      <c r="N69" s="8" t="b">
        <f>AND(TrafficData[[#This Row],[disposedChallan]]&lt;=TrafficData[[#This Row],[totalChallan]],TrafficData[[#This Row],[pendingChallan]]&lt;=TrafficData[[#This Row],[totalChallan]])</f>
        <v>1</v>
      </c>
      <c r="O69" s="8" t="b">
        <f>AND(TrafficData[[#This Row],[pendingAmount]]&lt;=TrafficData[[#This Row],[totalAmount]],TrafficData[[#This Row],[disposedAmount]]&lt;=TrafficData[[#This Row],[totalAmount]])</f>
        <v>1</v>
      </c>
      <c r="P69" s="8" t="b">
        <f>AND(TrafficData[[#This Row],[pendingCourt]]&lt;=TrafficData[[#This Row],[totalCourt]],TrafficData[[#This Row],[disposedCourt]]&lt;=TrafficData[[#This Row],[totalCourt]])</f>
        <v>1</v>
      </c>
    </row>
    <row r="70" spans="1:16">
      <c r="A70" s="1">
        <v>42073</v>
      </c>
      <c r="B70">
        <v>136</v>
      </c>
      <c r="C70">
        <v>35</v>
      </c>
      <c r="D70">
        <v>101</v>
      </c>
      <c r="E70">
        <v>734350</v>
      </c>
      <c r="F70">
        <v>163160</v>
      </c>
      <c r="G70">
        <v>897510</v>
      </c>
      <c r="H70">
        <v>5</v>
      </c>
      <c r="I70">
        <v>2</v>
      </c>
      <c r="J70">
        <v>7</v>
      </c>
      <c r="K70" t="b">
        <f>TrafficData[[#This Row],[disposedChallan]]+TrafficData[[#This Row],[pendingChallan]]=TrafficData[[#This Row],[totalChallan]]</f>
        <v>1</v>
      </c>
      <c r="L70" t="b">
        <f>TrafficData[[#This Row],[pendingAmount]]+TrafficData[[#This Row],[disposedAmount]]=TrafficData[[#This Row],[totalAmount]]</f>
        <v>1</v>
      </c>
      <c r="M70" t="b">
        <f>TrafficData[[#This Row],[pendingCourt]]+TrafficData[[#This Row],[disposedCourt]]=TrafficData[[#This Row],[totalCourt]]</f>
        <v>1</v>
      </c>
      <c r="N70" s="8" t="b">
        <f>AND(TrafficData[[#This Row],[disposedChallan]]&lt;=TrafficData[[#This Row],[totalChallan]],TrafficData[[#This Row],[pendingChallan]]&lt;=TrafficData[[#This Row],[totalChallan]])</f>
        <v>1</v>
      </c>
      <c r="O70" s="8" t="b">
        <f>AND(TrafficData[[#This Row],[pendingAmount]]&lt;=TrafficData[[#This Row],[totalAmount]],TrafficData[[#This Row],[disposedAmount]]&lt;=TrafficData[[#This Row],[totalAmount]])</f>
        <v>1</v>
      </c>
      <c r="P70" s="8" t="b">
        <f>AND(TrafficData[[#This Row],[pendingCourt]]&lt;=TrafficData[[#This Row],[totalCourt]],TrafficData[[#This Row],[disposedCourt]]&lt;=TrafficData[[#This Row],[totalCourt]])</f>
        <v>1</v>
      </c>
    </row>
    <row r="71" spans="1:16">
      <c r="A71" s="1">
        <v>42074</v>
      </c>
      <c r="B71">
        <v>131</v>
      </c>
      <c r="C71">
        <v>43</v>
      </c>
      <c r="D71">
        <v>88</v>
      </c>
      <c r="E71">
        <v>760160</v>
      </c>
      <c r="F71">
        <v>288000</v>
      </c>
      <c r="G71">
        <v>1048160</v>
      </c>
      <c r="H71">
        <v>3</v>
      </c>
      <c r="I71">
        <v>0</v>
      </c>
      <c r="J71">
        <v>3</v>
      </c>
      <c r="K71" t="b">
        <f>TrafficData[[#This Row],[disposedChallan]]+TrafficData[[#This Row],[pendingChallan]]=TrafficData[[#This Row],[totalChallan]]</f>
        <v>1</v>
      </c>
      <c r="L71" t="b">
        <f>TrafficData[[#This Row],[pendingAmount]]+TrafficData[[#This Row],[disposedAmount]]=TrafficData[[#This Row],[totalAmount]]</f>
        <v>1</v>
      </c>
      <c r="M71" t="b">
        <f>TrafficData[[#This Row],[pendingCourt]]+TrafficData[[#This Row],[disposedCourt]]=TrafficData[[#This Row],[totalCourt]]</f>
        <v>1</v>
      </c>
      <c r="N71" s="8" t="b">
        <f>AND(TrafficData[[#This Row],[disposedChallan]]&lt;=TrafficData[[#This Row],[totalChallan]],TrafficData[[#This Row],[pendingChallan]]&lt;=TrafficData[[#This Row],[totalChallan]])</f>
        <v>1</v>
      </c>
      <c r="O71" s="8" t="b">
        <f>AND(TrafficData[[#This Row],[pendingAmount]]&lt;=TrafficData[[#This Row],[totalAmount]],TrafficData[[#This Row],[disposedAmount]]&lt;=TrafficData[[#This Row],[totalAmount]])</f>
        <v>1</v>
      </c>
      <c r="P71" s="8" t="b">
        <f>AND(TrafficData[[#This Row],[pendingCourt]]&lt;=TrafficData[[#This Row],[totalCourt]],TrafficData[[#This Row],[disposedCourt]]&lt;=TrafficData[[#This Row],[totalCourt]])</f>
        <v>1</v>
      </c>
    </row>
    <row r="72" spans="1:16">
      <c r="A72" s="1">
        <v>42075</v>
      </c>
      <c r="B72">
        <v>120</v>
      </c>
      <c r="C72">
        <v>26</v>
      </c>
      <c r="D72">
        <v>94</v>
      </c>
      <c r="E72">
        <v>672050</v>
      </c>
      <c r="F72">
        <v>190410</v>
      </c>
      <c r="G72">
        <v>862460</v>
      </c>
      <c r="H72">
        <v>1</v>
      </c>
      <c r="I72">
        <v>1</v>
      </c>
      <c r="J72">
        <v>2</v>
      </c>
      <c r="K72" t="b">
        <f>TrafficData[[#This Row],[disposedChallan]]+TrafficData[[#This Row],[pendingChallan]]=TrafficData[[#This Row],[totalChallan]]</f>
        <v>1</v>
      </c>
      <c r="L72" t="b">
        <f>TrafficData[[#This Row],[pendingAmount]]+TrafficData[[#This Row],[disposedAmount]]=TrafficData[[#This Row],[totalAmount]]</f>
        <v>1</v>
      </c>
      <c r="M72" t="b">
        <f>TrafficData[[#This Row],[pendingCourt]]+TrafficData[[#This Row],[disposedCourt]]=TrafficData[[#This Row],[totalCourt]]</f>
        <v>1</v>
      </c>
      <c r="N72" s="8" t="b">
        <f>AND(TrafficData[[#This Row],[disposedChallan]]&lt;=TrafficData[[#This Row],[totalChallan]],TrafficData[[#This Row],[pendingChallan]]&lt;=TrafficData[[#This Row],[totalChallan]])</f>
        <v>1</v>
      </c>
      <c r="O72" s="8" t="b">
        <f>AND(TrafficData[[#This Row],[pendingAmount]]&lt;=TrafficData[[#This Row],[totalAmount]],TrafficData[[#This Row],[disposedAmount]]&lt;=TrafficData[[#This Row],[totalAmount]])</f>
        <v>1</v>
      </c>
      <c r="P72" s="8" t="b">
        <f>AND(TrafficData[[#This Row],[pendingCourt]]&lt;=TrafficData[[#This Row],[totalCourt]],TrafficData[[#This Row],[disposedCourt]]&lt;=TrafficData[[#This Row],[totalCourt]])</f>
        <v>1</v>
      </c>
    </row>
    <row r="73" spans="1:16">
      <c r="A73" s="1">
        <v>42076</v>
      </c>
      <c r="B73">
        <v>103</v>
      </c>
      <c r="C73">
        <v>35</v>
      </c>
      <c r="D73">
        <v>68</v>
      </c>
      <c r="E73">
        <v>560600</v>
      </c>
      <c r="F73">
        <v>153320</v>
      </c>
      <c r="G73">
        <v>713920</v>
      </c>
      <c r="H73">
        <v>3</v>
      </c>
      <c r="I73">
        <v>4</v>
      </c>
      <c r="J73">
        <v>7</v>
      </c>
      <c r="K73" t="b">
        <f>TrafficData[[#This Row],[disposedChallan]]+TrafficData[[#This Row],[pendingChallan]]=TrafficData[[#This Row],[totalChallan]]</f>
        <v>1</v>
      </c>
      <c r="L73" t="b">
        <f>TrafficData[[#This Row],[pendingAmount]]+TrafficData[[#This Row],[disposedAmount]]=TrafficData[[#This Row],[totalAmount]]</f>
        <v>1</v>
      </c>
      <c r="M73" t="b">
        <f>TrafficData[[#This Row],[pendingCourt]]+TrafficData[[#This Row],[disposedCourt]]=TrafficData[[#This Row],[totalCourt]]</f>
        <v>1</v>
      </c>
      <c r="N73" s="8" t="b">
        <f>AND(TrafficData[[#This Row],[disposedChallan]]&lt;=TrafficData[[#This Row],[totalChallan]],TrafficData[[#This Row],[pendingChallan]]&lt;=TrafficData[[#This Row],[totalChallan]])</f>
        <v>1</v>
      </c>
      <c r="O73" s="8" t="b">
        <f>AND(TrafficData[[#This Row],[pendingAmount]]&lt;=TrafficData[[#This Row],[totalAmount]],TrafficData[[#This Row],[disposedAmount]]&lt;=TrafficData[[#This Row],[totalAmount]])</f>
        <v>1</v>
      </c>
      <c r="P73" s="8" t="b">
        <f>AND(TrafficData[[#This Row],[pendingCourt]]&lt;=TrafficData[[#This Row],[totalCourt]],TrafficData[[#This Row],[disposedCourt]]&lt;=TrafficData[[#This Row],[totalCourt]])</f>
        <v>1</v>
      </c>
    </row>
    <row r="74" spans="1:16">
      <c r="A74" s="1">
        <v>42077</v>
      </c>
      <c r="B74">
        <v>114</v>
      </c>
      <c r="C74">
        <v>30</v>
      </c>
      <c r="D74">
        <v>84</v>
      </c>
      <c r="E74">
        <v>538600</v>
      </c>
      <c r="F74">
        <v>147610</v>
      </c>
      <c r="G74">
        <v>686210</v>
      </c>
      <c r="H74">
        <v>0</v>
      </c>
      <c r="I74">
        <v>2</v>
      </c>
      <c r="J74">
        <v>2</v>
      </c>
      <c r="K74" t="b">
        <f>TrafficData[[#This Row],[disposedChallan]]+TrafficData[[#This Row],[pendingChallan]]=TrafficData[[#This Row],[totalChallan]]</f>
        <v>1</v>
      </c>
      <c r="L74" t="b">
        <f>TrafficData[[#This Row],[pendingAmount]]+TrafficData[[#This Row],[disposedAmount]]=TrafficData[[#This Row],[totalAmount]]</f>
        <v>1</v>
      </c>
      <c r="M74" t="b">
        <f>TrafficData[[#This Row],[pendingCourt]]+TrafficData[[#This Row],[disposedCourt]]=TrafficData[[#This Row],[totalCourt]]</f>
        <v>1</v>
      </c>
      <c r="N74" s="8" t="b">
        <f>AND(TrafficData[[#This Row],[disposedChallan]]&lt;=TrafficData[[#This Row],[totalChallan]],TrafficData[[#This Row],[pendingChallan]]&lt;=TrafficData[[#This Row],[totalChallan]])</f>
        <v>1</v>
      </c>
      <c r="O74" s="8" t="b">
        <f>AND(TrafficData[[#This Row],[pendingAmount]]&lt;=TrafficData[[#This Row],[totalAmount]],TrafficData[[#This Row],[disposedAmount]]&lt;=TrafficData[[#This Row],[totalAmount]])</f>
        <v>1</v>
      </c>
      <c r="P74" s="8" t="b">
        <f>AND(TrafficData[[#This Row],[pendingCourt]]&lt;=TrafficData[[#This Row],[totalCourt]],TrafficData[[#This Row],[disposedCourt]]&lt;=TrafficData[[#This Row],[totalCourt]])</f>
        <v>1</v>
      </c>
    </row>
    <row r="75" spans="1:16">
      <c r="A75" s="1">
        <v>42078</v>
      </c>
      <c r="B75">
        <v>129</v>
      </c>
      <c r="C75">
        <v>43</v>
      </c>
      <c r="D75">
        <v>86</v>
      </c>
      <c r="E75">
        <v>404150</v>
      </c>
      <c r="F75">
        <v>169449</v>
      </c>
      <c r="G75">
        <v>573599</v>
      </c>
      <c r="H75">
        <v>1</v>
      </c>
      <c r="I75">
        <v>1</v>
      </c>
      <c r="J75">
        <v>2</v>
      </c>
      <c r="K75" t="b">
        <f>TrafficData[[#This Row],[disposedChallan]]+TrafficData[[#This Row],[pendingChallan]]=TrafficData[[#This Row],[totalChallan]]</f>
        <v>1</v>
      </c>
      <c r="L75" t="b">
        <f>TrafficData[[#This Row],[pendingAmount]]+TrafficData[[#This Row],[disposedAmount]]=TrafficData[[#This Row],[totalAmount]]</f>
        <v>1</v>
      </c>
      <c r="M75" t="b">
        <f>TrafficData[[#This Row],[pendingCourt]]+TrafficData[[#This Row],[disposedCourt]]=TrafficData[[#This Row],[totalCourt]]</f>
        <v>1</v>
      </c>
      <c r="N75" s="8" t="b">
        <f>AND(TrafficData[[#This Row],[disposedChallan]]&lt;=TrafficData[[#This Row],[totalChallan]],TrafficData[[#This Row],[pendingChallan]]&lt;=TrafficData[[#This Row],[totalChallan]])</f>
        <v>1</v>
      </c>
      <c r="O75" s="8" t="b">
        <f>AND(TrafficData[[#This Row],[pendingAmount]]&lt;=TrafficData[[#This Row],[totalAmount]],TrafficData[[#This Row],[disposedAmount]]&lt;=TrafficData[[#This Row],[totalAmount]])</f>
        <v>1</v>
      </c>
      <c r="P75" s="8" t="b">
        <f>AND(TrafficData[[#This Row],[pendingCourt]]&lt;=TrafficData[[#This Row],[totalCourt]],TrafficData[[#This Row],[disposedCourt]]&lt;=TrafficData[[#This Row],[totalCourt]])</f>
        <v>1</v>
      </c>
    </row>
    <row r="76" spans="1:16">
      <c r="A76" s="1">
        <v>42079</v>
      </c>
      <c r="B76">
        <v>121</v>
      </c>
      <c r="C76">
        <v>25</v>
      </c>
      <c r="D76">
        <v>96</v>
      </c>
      <c r="E76">
        <v>700600</v>
      </c>
      <c r="F76">
        <v>104130</v>
      </c>
      <c r="G76">
        <v>804730</v>
      </c>
      <c r="H76">
        <v>2</v>
      </c>
      <c r="I76">
        <v>1</v>
      </c>
      <c r="J76">
        <v>3</v>
      </c>
      <c r="K76" t="b">
        <f>TrafficData[[#This Row],[disposedChallan]]+TrafficData[[#This Row],[pendingChallan]]=TrafficData[[#This Row],[totalChallan]]</f>
        <v>1</v>
      </c>
      <c r="L76" t="b">
        <f>TrafficData[[#This Row],[pendingAmount]]+TrafficData[[#This Row],[disposedAmount]]=TrafficData[[#This Row],[totalAmount]]</f>
        <v>1</v>
      </c>
      <c r="M76" t="b">
        <f>TrafficData[[#This Row],[pendingCourt]]+TrafficData[[#This Row],[disposedCourt]]=TrafficData[[#This Row],[totalCourt]]</f>
        <v>1</v>
      </c>
      <c r="N76" s="8" t="b">
        <f>AND(TrafficData[[#This Row],[disposedChallan]]&lt;=TrafficData[[#This Row],[totalChallan]],TrafficData[[#This Row],[pendingChallan]]&lt;=TrafficData[[#This Row],[totalChallan]])</f>
        <v>1</v>
      </c>
      <c r="O76" s="8" t="b">
        <f>AND(TrafficData[[#This Row],[pendingAmount]]&lt;=TrafficData[[#This Row],[totalAmount]],TrafficData[[#This Row],[disposedAmount]]&lt;=TrafficData[[#This Row],[totalAmount]])</f>
        <v>1</v>
      </c>
      <c r="P76" s="8" t="b">
        <f>AND(TrafficData[[#This Row],[pendingCourt]]&lt;=TrafficData[[#This Row],[totalCourt]],TrafficData[[#This Row],[disposedCourt]]&lt;=TrafficData[[#This Row],[totalCourt]])</f>
        <v>1</v>
      </c>
    </row>
    <row r="77" spans="1:16">
      <c r="A77" s="1">
        <v>42080</v>
      </c>
      <c r="B77">
        <v>112</v>
      </c>
      <c r="C77">
        <v>24</v>
      </c>
      <c r="D77">
        <v>88</v>
      </c>
      <c r="E77">
        <v>588900</v>
      </c>
      <c r="F77">
        <v>172548</v>
      </c>
      <c r="G77">
        <v>761448</v>
      </c>
      <c r="H77">
        <v>2</v>
      </c>
      <c r="I77">
        <v>1</v>
      </c>
      <c r="J77">
        <v>3</v>
      </c>
      <c r="K77" t="b">
        <f>TrafficData[[#This Row],[disposedChallan]]+TrafficData[[#This Row],[pendingChallan]]=TrafficData[[#This Row],[totalChallan]]</f>
        <v>1</v>
      </c>
      <c r="L77" t="b">
        <f>TrafficData[[#This Row],[pendingAmount]]+TrafficData[[#This Row],[disposedAmount]]=TrafficData[[#This Row],[totalAmount]]</f>
        <v>1</v>
      </c>
      <c r="M77" t="b">
        <f>TrafficData[[#This Row],[pendingCourt]]+TrafficData[[#This Row],[disposedCourt]]=TrafficData[[#This Row],[totalCourt]]</f>
        <v>1</v>
      </c>
      <c r="N77" s="8" t="b">
        <f>AND(TrafficData[[#This Row],[disposedChallan]]&lt;=TrafficData[[#This Row],[totalChallan]],TrafficData[[#This Row],[pendingChallan]]&lt;=TrafficData[[#This Row],[totalChallan]])</f>
        <v>1</v>
      </c>
      <c r="O77" s="8" t="b">
        <f>AND(TrafficData[[#This Row],[pendingAmount]]&lt;=TrafficData[[#This Row],[totalAmount]],TrafficData[[#This Row],[disposedAmount]]&lt;=TrafficData[[#This Row],[totalAmount]])</f>
        <v>1</v>
      </c>
      <c r="P77" s="8" t="b">
        <f>AND(TrafficData[[#This Row],[pendingCourt]]&lt;=TrafficData[[#This Row],[totalCourt]],TrafficData[[#This Row],[disposedCourt]]&lt;=TrafficData[[#This Row],[totalCourt]])</f>
        <v>1</v>
      </c>
    </row>
    <row r="78" spans="1:16">
      <c r="A78" s="1">
        <v>42081</v>
      </c>
      <c r="B78">
        <v>161</v>
      </c>
      <c r="C78">
        <v>42</v>
      </c>
      <c r="D78">
        <v>119</v>
      </c>
      <c r="E78">
        <v>994400</v>
      </c>
      <c r="F78">
        <v>281950</v>
      </c>
      <c r="G78">
        <v>1276350</v>
      </c>
      <c r="H78">
        <v>3</v>
      </c>
      <c r="I78">
        <v>1</v>
      </c>
      <c r="J78">
        <v>4</v>
      </c>
      <c r="K78" t="b">
        <f>TrafficData[[#This Row],[disposedChallan]]+TrafficData[[#This Row],[pendingChallan]]=TrafficData[[#This Row],[totalChallan]]</f>
        <v>1</v>
      </c>
      <c r="L78" t="b">
        <f>TrafficData[[#This Row],[pendingAmount]]+TrafficData[[#This Row],[disposedAmount]]=TrafficData[[#This Row],[totalAmount]]</f>
        <v>1</v>
      </c>
      <c r="M78" t="b">
        <f>TrafficData[[#This Row],[pendingCourt]]+TrafficData[[#This Row],[disposedCourt]]=TrafficData[[#This Row],[totalCourt]]</f>
        <v>1</v>
      </c>
      <c r="N78" s="8" t="b">
        <f>AND(TrafficData[[#This Row],[disposedChallan]]&lt;=TrafficData[[#This Row],[totalChallan]],TrafficData[[#This Row],[pendingChallan]]&lt;=TrafficData[[#This Row],[totalChallan]])</f>
        <v>1</v>
      </c>
      <c r="O78" s="8" t="b">
        <f>AND(TrafficData[[#This Row],[pendingAmount]]&lt;=TrafficData[[#This Row],[totalAmount]],TrafficData[[#This Row],[disposedAmount]]&lt;=TrafficData[[#This Row],[totalAmount]])</f>
        <v>1</v>
      </c>
      <c r="P78" s="8" t="b">
        <f>AND(TrafficData[[#This Row],[pendingCourt]]&lt;=TrafficData[[#This Row],[totalCourt]],TrafficData[[#This Row],[disposedCourt]]&lt;=TrafficData[[#This Row],[totalCourt]])</f>
        <v>1</v>
      </c>
    </row>
    <row r="79" spans="1:16">
      <c r="A79" s="1">
        <v>42082</v>
      </c>
      <c r="B79">
        <v>156</v>
      </c>
      <c r="C79">
        <v>47</v>
      </c>
      <c r="D79">
        <v>109</v>
      </c>
      <c r="E79">
        <v>1320100</v>
      </c>
      <c r="F79">
        <v>328250</v>
      </c>
      <c r="G79">
        <v>1648350</v>
      </c>
      <c r="H79">
        <v>4</v>
      </c>
      <c r="I79">
        <v>4</v>
      </c>
      <c r="J79">
        <v>8</v>
      </c>
      <c r="K79" t="b">
        <f>TrafficData[[#This Row],[disposedChallan]]+TrafficData[[#This Row],[pendingChallan]]=TrafficData[[#This Row],[totalChallan]]</f>
        <v>1</v>
      </c>
      <c r="L79" t="b">
        <f>TrafficData[[#This Row],[pendingAmount]]+TrafficData[[#This Row],[disposedAmount]]=TrafficData[[#This Row],[totalAmount]]</f>
        <v>1</v>
      </c>
      <c r="M79" t="b">
        <f>TrafficData[[#This Row],[pendingCourt]]+TrafficData[[#This Row],[disposedCourt]]=TrafficData[[#This Row],[totalCourt]]</f>
        <v>1</v>
      </c>
      <c r="N79" s="8" t="b">
        <f>AND(TrafficData[[#This Row],[disposedChallan]]&lt;=TrafficData[[#This Row],[totalChallan]],TrafficData[[#This Row],[pendingChallan]]&lt;=TrafficData[[#This Row],[totalChallan]])</f>
        <v>1</v>
      </c>
      <c r="O79" s="8" t="b">
        <f>AND(TrafficData[[#This Row],[pendingAmount]]&lt;=TrafficData[[#This Row],[totalAmount]],TrafficData[[#This Row],[disposedAmount]]&lt;=TrafficData[[#This Row],[totalAmount]])</f>
        <v>1</v>
      </c>
      <c r="P79" s="8" t="b">
        <f>AND(TrafficData[[#This Row],[pendingCourt]]&lt;=TrafficData[[#This Row],[totalCourt]],TrafficData[[#This Row],[disposedCourt]]&lt;=TrafficData[[#This Row],[totalCourt]])</f>
        <v>1</v>
      </c>
    </row>
    <row r="80" spans="1:16">
      <c r="A80" s="1">
        <v>42083</v>
      </c>
      <c r="B80">
        <v>99</v>
      </c>
      <c r="C80">
        <v>26</v>
      </c>
      <c r="D80">
        <v>73</v>
      </c>
      <c r="E80">
        <v>378401</v>
      </c>
      <c r="F80">
        <v>171554</v>
      </c>
      <c r="G80">
        <v>549955</v>
      </c>
      <c r="H80">
        <v>6</v>
      </c>
      <c r="I80">
        <v>1</v>
      </c>
      <c r="J80">
        <v>7</v>
      </c>
      <c r="K80" t="b">
        <f>TrafficData[[#This Row],[disposedChallan]]+TrafficData[[#This Row],[pendingChallan]]=TrafficData[[#This Row],[totalChallan]]</f>
        <v>1</v>
      </c>
      <c r="L80" t="b">
        <f>TrafficData[[#This Row],[pendingAmount]]+TrafficData[[#This Row],[disposedAmount]]=TrafficData[[#This Row],[totalAmount]]</f>
        <v>1</v>
      </c>
      <c r="M80" t="b">
        <f>TrafficData[[#This Row],[pendingCourt]]+TrafficData[[#This Row],[disposedCourt]]=TrafficData[[#This Row],[totalCourt]]</f>
        <v>1</v>
      </c>
      <c r="N80" s="8" t="b">
        <f>AND(TrafficData[[#This Row],[disposedChallan]]&lt;=TrafficData[[#This Row],[totalChallan]],TrafficData[[#This Row],[pendingChallan]]&lt;=TrafficData[[#This Row],[totalChallan]])</f>
        <v>1</v>
      </c>
      <c r="O80" s="8" t="b">
        <f>AND(TrafficData[[#This Row],[pendingAmount]]&lt;=TrafficData[[#This Row],[totalAmount]],TrafficData[[#This Row],[disposedAmount]]&lt;=TrafficData[[#This Row],[totalAmount]])</f>
        <v>1</v>
      </c>
      <c r="P80" s="8" t="b">
        <f>AND(TrafficData[[#This Row],[pendingCourt]]&lt;=TrafficData[[#This Row],[totalCourt]],TrafficData[[#This Row],[disposedCourt]]&lt;=TrafficData[[#This Row],[totalCourt]])</f>
        <v>1</v>
      </c>
    </row>
    <row r="81" spans="1:16">
      <c r="A81" s="1">
        <v>42084</v>
      </c>
      <c r="B81">
        <v>127</v>
      </c>
      <c r="C81">
        <v>30</v>
      </c>
      <c r="D81">
        <v>97</v>
      </c>
      <c r="E81">
        <v>574250</v>
      </c>
      <c r="F81">
        <v>121750</v>
      </c>
      <c r="G81">
        <v>696000</v>
      </c>
      <c r="H81">
        <v>0</v>
      </c>
      <c r="I81">
        <v>2</v>
      </c>
      <c r="J81">
        <v>2</v>
      </c>
      <c r="K81" t="b">
        <f>TrafficData[[#This Row],[disposedChallan]]+TrafficData[[#This Row],[pendingChallan]]=TrafficData[[#This Row],[totalChallan]]</f>
        <v>1</v>
      </c>
      <c r="L81" t="b">
        <f>TrafficData[[#This Row],[pendingAmount]]+TrafficData[[#This Row],[disposedAmount]]=TrafficData[[#This Row],[totalAmount]]</f>
        <v>1</v>
      </c>
      <c r="M81" t="b">
        <f>TrafficData[[#This Row],[pendingCourt]]+TrafficData[[#This Row],[disposedCourt]]=TrafficData[[#This Row],[totalCourt]]</f>
        <v>1</v>
      </c>
      <c r="N81" s="8" t="b">
        <f>AND(TrafficData[[#This Row],[disposedChallan]]&lt;=TrafficData[[#This Row],[totalChallan]],TrafficData[[#This Row],[pendingChallan]]&lt;=TrafficData[[#This Row],[totalChallan]])</f>
        <v>1</v>
      </c>
      <c r="O81" s="8" t="b">
        <f>AND(TrafficData[[#This Row],[pendingAmount]]&lt;=TrafficData[[#This Row],[totalAmount]],TrafficData[[#This Row],[disposedAmount]]&lt;=TrafficData[[#This Row],[totalAmount]])</f>
        <v>1</v>
      </c>
      <c r="P81" s="8" t="b">
        <f>AND(TrafficData[[#This Row],[pendingCourt]]&lt;=TrafficData[[#This Row],[totalCourt]],TrafficData[[#This Row],[disposedCourt]]&lt;=TrafficData[[#This Row],[totalCourt]])</f>
        <v>1</v>
      </c>
    </row>
    <row r="82" spans="1:16">
      <c r="A82" s="1">
        <v>42085</v>
      </c>
      <c r="B82">
        <v>122</v>
      </c>
      <c r="C82">
        <v>41</v>
      </c>
      <c r="D82">
        <v>81</v>
      </c>
      <c r="E82">
        <v>519200</v>
      </c>
      <c r="F82">
        <v>206380</v>
      </c>
      <c r="G82">
        <v>725580</v>
      </c>
      <c r="H82">
        <v>1</v>
      </c>
      <c r="I82">
        <v>0</v>
      </c>
      <c r="J82">
        <v>1</v>
      </c>
      <c r="K82" t="b">
        <f>TrafficData[[#This Row],[disposedChallan]]+TrafficData[[#This Row],[pendingChallan]]=TrafficData[[#This Row],[totalChallan]]</f>
        <v>1</v>
      </c>
      <c r="L82" t="b">
        <f>TrafficData[[#This Row],[pendingAmount]]+TrafficData[[#This Row],[disposedAmount]]=TrafficData[[#This Row],[totalAmount]]</f>
        <v>1</v>
      </c>
      <c r="M82" t="b">
        <f>TrafficData[[#This Row],[pendingCourt]]+TrafficData[[#This Row],[disposedCourt]]=TrafficData[[#This Row],[totalCourt]]</f>
        <v>1</v>
      </c>
      <c r="N82" s="8" t="b">
        <f>AND(TrafficData[[#This Row],[disposedChallan]]&lt;=TrafficData[[#This Row],[totalChallan]],TrafficData[[#This Row],[pendingChallan]]&lt;=TrafficData[[#This Row],[totalChallan]])</f>
        <v>1</v>
      </c>
      <c r="O82" s="8" t="b">
        <f>AND(TrafficData[[#This Row],[pendingAmount]]&lt;=TrafficData[[#This Row],[totalAmount]],TrafficData[[#This Row],[disposedAmount]]&lt;=TrafficData[[#This Row],[totalAmount]])</f>
        <v>1</v>
      </c>
      <c r="P82" s="8" t="b">
        <f>AND(TrafficData[[#This Row],[pendingCourt]]&lt;=TrafficData[[#This Row],[totalCourt]],TrafficData[[#This Row],[disposedCourt]]&lt;=TrafficData[[#This Row],[totalCourt]])</f>
        <v>1</v>
      </c>
    </row>
    <row r="83" spans="1:16">
      <c r="A83" s="1">
        <v>42086</v>
      </c>
      <c r="B83">
        <v>123</v>
      </c>
      <c r="C83">
        <v>27</v>
      </c>
      <c r="D83">
        <v>96</v>
      </c>
      <c r="E83">
        <v>729000</v>
      </c>
      <c r="F83">
        <v>53500</v>
      </c>
      <c r="G83">
        <v>782500</v>
      </c>
      <c r="H83">
        <v>8</v>
      </c>
      <c r="I83">
        <v>0</v>
      </c>
      <c r="J83">
        <v>8</v>
      </c>
      <c r="K83" t="b">
        <f>TrafficData[[#This Row],[disposedChallan]]+TrafficData[[#This Row],[pendingChallan]]=TrafficData[[#This Row],[totalChallan]]</f>
        <v>1</v>
      </c>
      <c r="L83" t="b">
        <f>TrafficData[[#This Row],[pendingAmount]]+TrafficData[[#This Row],[disposedAmount]]=TrafficData[[#This Row],[totalAmount]]</f>
        <v>1</v>
      </c>
      <c r="M83" t="b">
        <f>TrafficData[[#This Row],[pendingCourt]]+TrafficData[[#This Row],[disposedCourt]]=TrafficData[[#This Row],[totalCourt]]</f>
        <v>1</v>
      </c>
      <c r="N83" s="8" t="b">
        <f>AND(TrafficData[[#This Row],[disposedChallan]]&lt;=TrafficData[[#This Row],[totalChallan]],TrafficData[[#This Row],[pendingChallan]]&lt;=TrafficData[[#This Row],[totalChallan]])</f>
        <v>1</v>
      </c>
      <c r="O83" s="8" t="b">
        <f>AND(TrafficData[[#This Row],[pendingAmount]]&lt;=TrafficData[[#This Row],[totalAmount]],TrafficData[[#This Row],[disposedAmount]]&lt;=TrafficData[[#This Row],[totalAmount]])</f>
        <v>1</v>
      </c>
      <c r="P83" s="8" t="b">
        <f>AND(TrafficData[[#This Row],[pendingCourt]]&lt;=TrafficData[[#This Row],[totalCourt]],TrafficData[[#This Row],[disposedCourt]]&lt;=TrafficData[[#This Row],[totalCourt]])</f>
        <v>1</v>
      </c>
    </row>
    <row r="84" spans="1:16">
      <c r="A84" s="1">
        <v>42087</v>
      </c>
      <c r="B84">
        <v>135</v>
      </c>
      <c r="C84">
        <v>41</v>
      </c>
      <c r="D84">
        <v>94</v>
      </c>
      <c r="E84">
        <v>764750</v>
      </c>
      <c r="F84">
        <v>234600</v>
      </c>
      <c r="G84">
        <v>999350</v>
      </c>
      <c r="H84">
        <v>4</v>
      </c>
      <c r="I84">
        <v>0</v>
      </c>
      <c r="J84">
        <v>4</v>
      </c>
      <c r="K84" t="b">
        <f>TrafficData[[#This Row],[disposedChallan]]+TrafficData[[#This Row],[pendingChallan]]=TrafficData[[#This Row],[totalChallan]]</f>
        <v>1</v>
      </c>
      <c r="L84" t="b">
        <f>TrafficData[[#This Row],[pendingAmount]]+TrafficData[[#This Row],[disposedAmount]]=TrafficData[[#This Row],[totalAmount]]</f>
        <v>1</v>
      </c>
      <c r="M84" t="b">
        <f>TrafficData[[#This Row],[pendingCourt]]+TrafficData[[#This Row],[disposedCourt]]=TrafficData[[#This Row],[totalCourt]]</f>
        <v>1</v>
      </c>
      <c r="N84" s="8" t="b">
        <f>AND(TrafficData[[#This Row],[disposedChallan]]&lt;=TrafficData[[#This Row],[totalChallan]],TrafficData[[#This Row],[pendingChallan]]&lt;=TrafficData[[#This Row],[totalChallan]])</f>
        <v>1</v>
      </c>
      <c r="O84" s="8" t="b">
        <f>AND(TrafficData[[#This Row],[pendingAmount]]&lt;=TrafficData[[#This Row],[totalAmount]],TrafficData[[#This Row],[disposedAmount]]&lt;=TrafficData[[#This Row],[totalAmount]])</f>
        <v>1</v>
      </c>
      <c r="P84" s="8" t="b">
        <f>AND(TrafficData[[#This Row],[pendingCourt]]&lt;=TrafficData[[#This Row],[totalCourt]],TrafficData[[#This Row],[disposedCourt]]&lt;=TrafficData[[#This Row],[totalCourt]])</f>
        <v>1</v>
      </c>
    </row>
    <row r="85" spans="1:16">
      <c r="A85" s="1">
        <v>42088</v>
      </c>
      <c r="B85">
        <v>125</v>
      </c>
      <c r="C85">
        <v>28</v>
      </c>
      <c r="D85">
        <v>97</v>
      </c>
      <c r="E85">
        <v>771050</v>
      </c>
      <c r="F85">
        <v>106838</v>
      </c>
      <c r="G85">
        <v>877888</v>
      </c>
      <c r="H85">
        <v>1</v>
      </c>
      <c r="I85">
        <v>1</v>
      </c>
      <c r="J85">
        <v>2</v>
      </c>
      <c r="K85" t="b">
        <f>TrafficData[[#This Row],[disposedChallan]]+TrafficData[[#This Row],[pendingChallan]]=TrafficData[[#This Row],[totalChallan]]</f>
        <v>1</v>
      </c>
      <c r="L85" t="b">
        <f>TrafficData[[#This Row],[pendingAmount]]+TrafficData[[#This Row],[disposedAmount]]=TrafficData[[#This Row],[totalAmount]]</f>
        <v>1</v>
      </c>
      <c r="M85" t="b">
        <f>TrafficData[[#This Row],[pendingCourt]]+TrafficData[[#This Row],[disposedCourt]]=TrafficData[[#This Row],[totalCourt]]</f>
        <v>1</v>
      </c>
      <c r="N85" s="8" t="b">
        <f>AND(TrafficData[[#This Row],[disposedChallan]]&lt;=TrafficData[[#This Row],[totalChallan]],TrafficData[[#This Row],[pendingChallan]]&lt;=TrafficData[[#This Row],[totalChallan]])</f>
        <v>1</v>
      </c>
      <c r="O85" s="8" t="b">
        <f>AND(TrafficData[[#This Row],[pendingAmount]]&lt;=TrafficData[[#This Row],[totalAmount]],TrafficData[[#This Row],[disposedAmount]]&lt;=TrafficData[[#This Row],[totalAmount]])</f>
        <v>1</v>
      </c>
      <c r="P85" s="8" t="b">
        <f>AND(TrafficData[[#This Row],[pendingCourt]]&lt;=TrafficData[[#This Row],[totalCourt]],TrafficData[[#This Row],[disposedCourt]]&lt;=TrafficData[[#This Row],[totalCourt]])</f>
        <v>1</v>
      </c>
    </row>
    <row r="86" spans="1:16">
      <c r="A86" s="1">
        <v>42089</v>
      </c>
      <c r="B86">
        <v>110</v>
      </c>
      <c r="C86">
        <v>31</v>
      </c>
      <c r="D86">
        <v>79</v>
      </c>
      <c r="E86">
        <v>536650</v>
      </c>
      <c r="F86">
        <v>139430</v>
      </c>
      <c r="G86">
        <v>676080</v>
      </c>
      <c r="H86">
        <v>6</v>
      </c>
      <c r="I86">
        <v>2</v>
      </c>
      <c r="J86">
        <v>8</v>
      </c>
      <c r="K86" t="b">
        <f>TrafficData[[#This Row],[disposedChallan]]+TrafficData[[#This Row],[pendingChallan]]=TrafficData[[#This Row],[totalChallan]]</f>
        <v>1</v>
      </c>
      <c r="L86" t="b">
        <f>TrafficData[[#This Row],[pendingAmount]]+TrafficData[[#This Row],[disposedAmount]]=TrafficData[[#This Row],[totalAmount]]</f>
        <v>1</v>
      </c>
      <c r="M86" t="b">
        <f>TrafficData[[#This Row],[pendingCourt]]+TrafficData[[#This Row],[disposedCourt]]=TrafficData[[#This Row],[totalCourt]]</f>
        <v>1</v>
      </c>
      <c r="N86" s="8" t="b">
        <f>AND(TrafficData[[#This Row],[disposedChallan]]&lt;=TrafficData[[#This Row],[totalChallan]],TrafficData[[#This Row],[pendingChallan]]&lt;=TrafficData[[#This Row],[totalChallan]])</f>
        <v>1</v>
      </c>
      <c r="O86" s="8" t="b">
        <f>AND(TrafficData[[#This Row],[pendingAmount]]&lt;=TrafficData[[#This Row],[totalAmount]],TrafficData[[#This Row],[disposedAmount]]&lt;=TrafficData[[#This Row],[totalAmount]])</f>
        <v>1</v>
      </c>
      <c r="P86" s="8" t="b">
        <f>AND(TrafficData[[#This Row],[pendingCourt]]&lt;=TrafficData[[#This Row],[totalCourt]],TrafficData[[#This Row],[disposedCourt]]&lt;=TrafficData[[#This Row],[totalCourt]])</f>
        <v>1</v>
      </c>
    </row>
    <row r="87" spans="1:16">
      <c r="A87" s="1">
        <v>42090</v>
      </c>
      <c r="B87">
        <v>67</v>
      </c>
      <c r="C87">
        <v>23</v>
      </c>
      <c r="D87">
        <v>44</v>
      </c>
      <c r="E87">
        <v>328200</v>
      </c>
      <c r="F87">
        <v>124324</v>
      </c>
      <c r="G87">
        <v>452524</v>
      </c>
      <c r="H87">
        <v>2</v>
      </c>
      <c r="I87">
        <v>0</v>
      </c>
      <c r="J87">
        <v>2</v>
      </c>
      <c r="K87" t="b">
        <f>TrafficData[[#This Row],[disposedChallan]]+TrafficData[[#This Row],[pendingChallan]]=TrafficData[[#This Row],[totalChallan]]</f>
        <v>1</v>
      </c>
      <c r="L87" t="b">
        <f>TrafficData[[#This Row],[pendingAmount]]+TrafficData[[#This Row],[disposedAmount]]=TrafficData[[#This Row],[totalAmount]]</f>
        <v>1</v>
      </c>
      <c r="M87" t="b">
        <f>TrafficData[[#This Row],[pendingCourt]]+TrafficData[[#This Row],[disposedCourt]]=TrafficData[[#This Row],[totalCourt]]</f>
        <v>1</v>
      </c>
      <c r="N87" s="8" t="b">
        <f>AND(TrafficData[[#This Row],[disposedChallan]]&lt;=TrafficData[[#This Row],[totalChallan]],TrafficData[[#This Row],[pendingChallan]]&lt;=TrafficData[[#This Row],[totalChallan]])</f>
        <v>1</v>
      </c>
      <c r="O87" s="8" t="b">
        <f>AND(TrafficData[[#This Row],[pendingAmount]]&lt;=TrafficData[[#This Row],[totalAmount]],TrafficData[[#This Row],[disposedAmount]]&lt;=TrafficData[[#This Row],[totalAmount]])</f>
        <v>1</v>
      </c>
      <c r="P87" s="8" t="b">
        <f>AND(TrafficData[[#This Row],[pendingCourt]]&lt;=TrafficData[[#This Row],[totalCourt]],TrafficData[[#This Row],[disposedCourt]]&lt;=TrafficData[[#This Row],[totalCourt]])</f>
        <v>1</v>
      </c>
    </row>
    <row r="88" spans="1:16">
      <c r="A88" s="1">
        <v>42091</v>
      </c>
      <c r="B88">
        <v>84</v>
      </c>
      <c r="C88">
        <v>22</v>
      </c>
      <c r="D88">
        <v>62</v>
      </c>
      <c r="E88">
        <v>359700</v>
      </c>
      <c r="F88">
        <v>137900</v>
      </c>
      <c r="G88">
        <v>497600</v>
      </c>
      <c r="H88">
        <v>0</v>
      </c>
      <c r="I88">
        <v>2</v>
      </c>
      <c r="J88">
        <v>2</v>
      </c>
      <c r="K88" t="b">
        <f>TrafficData[[#This Row],[disposedChallan]]+TrafficData[[#This Row],[pendingChallan]]=TrafficData[[#This Row],[totalChallan]]</f>
        <v>1</v>
      </c>
      <c r="L88" t="b">
        <f>TrafficData[[#This Row],[pendingAmount]]+TrafficData[[#This Row],[disposedAmount]]=TrafficData[[#This Row],[totalAmount]]</f>
        <v>1</v>
      </c>
      <c r="M88" t="b">
        <f>TrafficData[[#This Row],[pendingCourt]]+TrafficData[[#This Row],[disposedCourt]]=TrafficData[[#This Row],[totalCourt]]</f>
        <v>1</v>
      </c>
      <c r="N88" s="8" t="b">
        <f>AND(TrafficData[[#This Row],[disposedChallan]]&lt;=TrafficData[[#This Row],[totalChallan]],TrafficData[[#This Row],[pendingChallan]]&lt;=TrafficData[[#This Row],[totalChallan]])</f>
        <v>1</v>
      </c>
      <c r="O88" s="8" t="b">
        <f>AND(TrafficData[[#This Row],[pendingAmount]]&lt;=TrafficData[[#This Row],[totalAmount]],TrafficData[[#This Row],[disposedAmount]]&lt;=TrafficData[[#This Row],[totalAmount]])</f>
        <v>1</v>
      </c>
      <c r="P88" s="8" t="b">
        <f>AND(TrafficData[[#This Row],[pendingCourt]]&lt;=TrafficData[[#This Row],[totalCourt]],TrafficData[[#This Row],[disposedCourt]]&lt;=TrafficData[[#This Row],[totalCourt]])</f>
        <v>1</v>
      </c>
    </row>
    <row r="89" spans="1:16">
      <c r="A89" s="1">
        <v>42092</v>
      </c>
      <c r="B89">
        <v>100</v>
      </c>
      <c r="C89">
        <v>24</v>
      </c>
      <c r="D89">
        <v>76</v>
      </c>
      <c r="E89">
        <v>411800</v>
      </c>
      <c r="F89">
        <v>75900</v>
      </c>
      <c r="G89">
        <v>487700</v>
      </c>
      <c r="H89">
        <v>0</v>
      </c>
      <c r="I89">
        <v>0</v>
      </c>
      <c r="J89">
        <v>0</v>
      </c>
      <c r="K89" t="b">
        <f>TrafficData[[#This Row],[disposedChallan]]+TrafficData[[#This Row],[pendingChallan]]=TrafficData[[#This Row],[totalChallan]]</f>
        <v>1</v>
      </c>
      <c r="L89" t="b">
        <f>TrafficData[[#This Row],[pendingAmount]]+TrafficData[[#This Row],[disposedAmount]]=TrafficData[[#This Row],[totalAmount]]</f>
        <v>1</v>
      </c>
      <c r="M89" t="b">
        <f>TrafficData[[#This Row],[pendingCourt]]+TrafficData[[#This Row],[disposedCourt]]=TrafficData[[#This Row],[totalCourt]]</f>
        <v>1</v>
      </c>
      <c r="N89" s="8" t="b">
        <f>AND(TrafficData[[#This Row],[disposedChallan]]&lt;=TrafficData[[#This Row],[totalChallan]],TrafficData[[#This Row],[pendingChallan]]&lt;=TrafficData[[#This Row],[totalChallan]])</f>
        <v>1</v>
      </c>
      <c r="O89" s="8" t="b">
        <f>AND(TrafficData[[#This Row],[pendingAmount]]&lt;=TrafficData[[#This Row],[totalAmount]],TrafficData[[#This Row],[disposedAmount]]&lt;=TrafficData[[#This Row],[totalAmount]])</f>
        <v>1</v>
      </c>
      <c r="P89" s="8" t="b">
        <f>AND(TrafficData[[#This Row],[pendingCourt]]&lt;=TrafficData[[#This Row],[totalCourt]],TrafficData[[#This Row],[disposedCourt]]&lt;=TrafficData[[#This Row],[totalCourt]])</f>
        <v>1</v>
      </c>
    </row>
    <row r="90" spans="1:16">
      <c r="A90" s="1">
        <v>42093</v>
      </c>
      <c r="B90">
        <v>102</v>
      </c>
      <c r="C90">
        <v>21</v>
      </c>
      <c r="D90">
        <v>81</v>
      </c>
      <c r="E90">
        <v>508630</v>
      </c>
      <c r="F90">
        <v>60720</v>
      </c>
      <c r="G90">
        <v>569350</v>
      </c>
      <c r="H90">
        <v>2</v>
      </c>
      <c r="I90">
        <v>2</v>
      </c>
      <c r="J90">
        <v>4</v>
      </c>
      <c r="K90" t="b">
        <f>TrafficData[[#This Row],[disposedChallan]]+TrafficData[[#This Row],[pendingChallan]]=TrafficData[[#This Row],[totalChallan]]</f>
        <v>1</v>
      </c>
      <c r="L90" t="b">
        <f>TrafficData[[#This Row],[pendingAmount]]+TrafficData[[#This Row],[disposedAmount]]=TrafficData[[#This Row],[totalAmount]]</f>
        <v>1</v>
      </c>
      <c r="M90" t="b">
        <f>TrafficData[[#This Row],[pendingCourt]]+TrafficData[[#This Row],[disposedCourt]]=TrafficData[[#This Row],[totalCourt]]</f>
        <v>1</v>
      </c>
      <c r="N90" s="8" t="b">
        <f>AND(TrafficData[[#This Row],[disposedChallan]]&lt;=TrafficData[[#This Row],[totalChallan]],TrafficData[[#This Row],[pendingChallan]]&lt;=TrafficData[[#This Row],[totalChallan]])</f>
        <v>1</v>
      </c>
      <c r="O90" s="8" t="b">
        <f>AND(TrafficData[[#This Row],[pendingAmount]]&lt;=TrafficData[[#This Row],[totalAmount]],TrafficData[[#This Row],[disposedAmount]]&lt;=TrafficData[[#This Row],[totalAmount]])</f>
        <v>1</v>
      </c>
      <c r="P90" s="8" t="b">
        <f>AND(TrafficData[[#This Row],[pendingCourt]]&lt;=TrafficData[[#This Row],[totalCourt]],TrafficData[[#This Row],[disposedCourt]]&lt;=TrafficData[[#This Row],[totalCourt]])</f>
        <v>1</v>
      </c>
    </row>
    <row r="91" spans="1:16">
      <c r="A91" s="1">
        <v>42094</v>
      </c>
      <c r="B91">
        <v>96</v>
      </c>
      <c r="C91">
        <v>26</v>
      </c>
      <c r="D91">
        <v>70</v>
      </c>
      <c r="E91">
        <v>383800</v>
      </c>
      <c r="F91">
        <v>104300</v>
      </c>
      <c r="G91">
        <v>488100</v>
      </c>
      <c r="H91">
        <v>1</v>
      </c>
      <c r="I91">
        <v>0</v>
      </c>
      <c r="J91">
        <v>1</v>
      </c>
      <c r="K91" t="b">
        <f>TrafficData[[#This Row],[disposedChallan]]+TrafficData[[#This Row],[pendingChallan]]=TrafficData[[#This Row],[totalChallan]]</f>
        <v>1</v>
      </c>
      <c r="L91" t="b">
        <f>TrafficData[[#This Row],[pendingAmount]]+TrafficData[[#This Row],[disposedAmount]]=TrafficData[[#This Row],[totalAmount]]</f>
        <v>1</v>
      </c>
      <c r="M91" t="b">
        <f>TrafficData[[#This Row],[pendingCourt]]+TrafficData[[#This Row],[disposedCourt]]=TrafficData[[#This Row],[totalCourt]]</f>
        <v>1</v>
      </c>
      <c r="N91" s="8" t="b">
        <f>AND(TrafficData[[#This Row],[disposedChallan]]&lt;=TrafficData[[#This Row],[totalChallan]],TrafficData[[#This Row],[pendingChallan]]&lt;=TrafficData[[#This Row],[totalChallan]])</f>
        <v>1</v>
      </c>
      <c r="O91" s="8" t="b">
        <f>AND(TrafficData[[#This Row],[pendingAmount]]&lt;=TrafficData[[#This Row],[totalAmount]],TrafficData[[#This Row],[disposedAmount]]&lt;=TrafficData[[#This Row],[totalAmount]])</f>
        <v>1</v>
      </c>
      <c r="P91" s="8" t="b">
        <f>AND(TrafficData[[#This Row],[pendingCourt]]&lt;=TrafficData[[#This Row],[totalCourt]],TrafficData[[#This Row],[disposedCourt]]&lt;=TrafficData[[#This Row],[totalCourt]])</f>
        <v>1</v>
      </c>
    </row>
    <row r="92" spans="1:16">
      <c r="A92" s="1">
        <v>42095</v>
      </c>
      <c r="B92">
        <v>73</v>
      </c>
      <c r="C92">
        <v>22</v>
      </c>
      <c r="D92">
        <v>51</v>
      </c>
      <c r="E92">
        <v>335100</v>
      </c>
      <c r="F92">
        <v>113775</v>
      </c>
      <c r="G92">
        <v>448875</v>
      </c>
      <c r="H92">
        <v>1</v>
      </c>
      <c r="I92">
        <v>1</v>
      </c>
      <c r="J92">
        <v>2</v>
      </c>
      <c r="K92" t="b">
        <f>TrafficData[[#This Row],[disposedChallan]]+TrafficData[[#This Row],[pendingChallan]]=TrafficData[[#This Row],[totalChallan]]</f>
        <v>1</v>
      </c>
      <c r="L92" t="b">
        <f>TrafficData[[#This Row],[pendingAmount]]+TrafficData[[#This Row],[disposedAmount]]=TrafficData[[#This Row],[totalAmount]]</f>
        <v>1</v>
      </c>
      <c r="M92" t="b">
        <f>TrafficData[[#This Row],[pendingCourt]]+TrafficData[[#This Row],[disposedCourt]]=TrafficData[[#This Row],[totalCourt]]</f>
        <v>1</v>
      </c>
      <c r="N92" s="8" t="b">
        <f>AND(TrafficData[[#This Row],[disposedChallan]]&lt;=TrafficData[[#This Row],[totalChallan]],TrafficData[[#This Row],[pendingChallan]]&lt;=TrafficData[[#This Row],[totalChallan]])</f>
        <v>1</v>
      </c>
      <c r="O92" s="8" t="b">
        <f>AND(TrafficData[[#This Row],[pendingAmount]]&lt;=TrafficData[[#This Row],[totalAmount]],TrafficData[[#This Row],[disposedAmount]]&lt;=TrafficData[[#This Row],[totalAmount]])</f>
        <v>1</v>
      </c>
      <c r="P92" s="8" t="b">
        <f>AND(TrafficData[[#This Row],[pendingCourt]]&lt;=TrafficData[[#This Row],[totalCourt]],TrafficData[[#This Row],[disposedCourt]]&lt;=TrafficData[[#This Row],[totalCourt]])</f>
        <v>1</v>
      </c>
    </row>
    <row r="93" spans="1:16">
      <c r="A93" s="1">
        <v>42096</v>
      </c>
      <c r="B93">
        <v>105</v>
      </c>
      <c r="C93">
        <v>31</v>
      </c>
      <c r="D93">
        <v>74</v>
      </c>
      <c r="E93">
        <v>426747</v>
      </c>
      <c r="F93">
        <v>117960</v>
      </c>
      <c r="G93">
        <v>544707</v>
      </c>
      <c r="H93">
        <v>1</v>
      </c>
      <c r="I93">
        <v>0</v>
      </c>
      <c r="J93">
        <v>1</v>
      </c>
      <c r="K93" t="b">
        <f>TrafficData[[#This Row],[disposedChallan]]+TrafficData[[#This Row],[pendingChallan]]=TrafficData[[#This Row],[totalChallan]]</f>
        <v>1</v>
      </c>
      <c r="L93" t="b">
        <f>TrafficData[[#This Row],[pendingAmount]]+TrafficData[[#This Row],[disposedAmount]]=TrafficData[[#This Row],[totalAmount]]</f>
        <v>1</v>
      </c>
      <c r="M93" t="b">
        <f>TrafficData[[#This Row],[pendingCourt]]+TrafficData[[#This Row],[disposedCourt]]=TrafficData[[#This Row],[totalCourt]]</f>
        <v>1</v>
      </c>
      <c r="N93" s="8" t="b">
        <f>AND(TrafficData[[#This Row],[disposedChallan]]&lt;=TrafficData[[#This Row],[totalChallan]],TrafficData[[#This Row],[pendingChallan]]&lt;=TrafficData[[#This Row],[totalChallan]])</f>
        <v>1</v>
      </c>
      <c r="O93" s="8" t="b">
        <f>AND(TrafficData[[#This Row],[pendingAmount]]&lt;=TrafficData[[#This Row],[totalAmount]],TrafficData[[#This Row],[disposedAmount]]&lt;=TrafficData[[#This Row],[totalAmount]])</f>
        <v>1</v>
      </c>
      <c r="P93" s="8" t="b">
        <f>AND(TrafficData[[#This Row],[pendingCourt]]&lt;=TrafficData[[#This Row],[totalCourt]],TrafficData[[#This Row],[disposedCourt]]&lt;=TrafficData[[#This Row],[totalCourt]])</f>
        <v>1</v>
      </c>
    </row>
    <row r="94" spans="1:16">
      <c r="A94" s="1">
        <v>42097</v>
      </c>
      <c r="B94">
        <v>100</v>
      </c>
      <c r="C94">
        <v>24</v>
      </c>
      <c r="D94">
        <v>76</v>
      </c>
      <c r="E94">
        <v>621300</v>
      </c>
      <c r="F94">
        <v>121800</v>
      </c>
      <c r="G94">
        <v>743100</v>
      </c>
      <c r="H94">
        <v>3</v>
      </c>
      <c r="I94">
        <v>0</v>
      </c>
      <c r="J94">
        <v>3</v>
      </c>
      <c r="K94" t="b">
        <f>TrafficData[[#This Row],[disposedChallan]]+TrafficData[[#This Row],[pendingChallan]]=TrafficData[[#This Row],[totalChallan]]</f>
        <v>1</v>
      </c>
      <c r="L94" t="b">
        <f>TrafficData[[#This Row],[pendingAmount]]+TrafficData[[#This Row],[disposedAmount]]=TrafficData[[#This Row],[totalAmount]]</f>
        <v>1</v>
      </c>
      <c r="M94" t="b">
        <f>TrafficData[[#This Row],[pendingCourt]]+TrafficData[[#This Row],[disposedCourt]]=TrafficData[[#This Row],[totalCourt]]</f>
        <v>1</v>
      </c>
      <c r="N94" s="8" t="b">
        <f>AND(TrafficData[[#This Row],[disposedChallan]]&lt;=TrafficData[[#This Row],[totalChallan]],TrafficData[[#This Row],[pendingChallan]]&lt;=TrafficData[[#This Row],[totalChallan]])</f>
        <v>1</v>
      </c>
      <c r="O94" s="8" t="b">
        <f>AND(TrafficData[[#This Row],[pendingAmount]]&lt;=TrafficData[[#This Row],[totalAmount]],TrafficData[[#This Row],[disposedAmount]]&lt;=TrafficData[[#This Row],[totalAmount]])</f>
        <v>1</v>
      </c>
      <c r="P94" s="8" t="b">
        <f>AND(TrafficData[[#This Row],[pendingCourt]]&lt;=TrafficData[[#This Row],[totalCourt]],TrafficData[[#This Row],[disposedCourt]]&lt;=TrafficData[[#This Row],[totalCourt]])</f>
        <v>1</v>
      </c>
    </row>
    <row r="95" spans="1:16">
      <c r="A95" s="1">
        <v>42098</v>
      </c>
      <c r="B95">
        <v>83</v>
      </c>
      <c r="C95">
        <v>14</v>
      </c>
      <c r="D95">
        <v>69</v>
      </c>
      <c r="E95">
        <v>379600</v>
      </c>
      <c r="F95">
        <v>37060</v>
      </c>
      <c r="G95">
        <v>416660</v>
      </c>
      <c r="H95">
        <v>0</v>
      </c>
      <c r="I95">
        <v>0</v>
      </c>
      <c r="J95">
        <v>0</v>
      </c>
      <c r="K95" t="b">
        <f>TrafficData[[#This Row],[disposedChallan]]+TrafficData[[#This Row],[pendingChallan]]=TrafficData[[#This Row],[totalChallan]]</f>
        <v>1</v>
      </c>
      <c r="L95" t="b">
        <f>TrafficData[[#This Row],[pendingAmount]]+TrafficData[[#This Row],[disposedAmount]]=TrafficData[[#This Row],[totalAmount]]</f>
        <v>1</v>
      </c>
      <c r="M95" t="b">
        <f>TrafficData[[#This Row],[pendingCourt]]+TrafficData[[#This Row],[disposedCourt]]=TrafficData[[#This Row],[totalCourt]]</f>
        <v>1</v>
      </c>
      <c r="N95" s="8" t="b">
        <f>AND(TrafficData[[#This Row],[disposedChallan]]&lt;=TrafficData[[#This Row],[totalChallan]],TrafficData[[#This Row],[pendingChallan]]&lt;=TrafficData[[#This Row],[totalChallan]])</f>
        <v>1</v>
      </c>
      <c r="O95" s="8" t="b">
        <f>AND(TrafficData[[#This Row],[pendingAmount]]&lt;=TrafficData[[#This Row],[totalAmount]],TrafficData[[#This Row],[disposedAmount]]&lt;=TrafficData[[#This Row],[totalAmount]])</f>
        <v>1</v>
      </c>
      <c r="P95" s="8" t="b">
        <f>AND(TrafficData[[#This Row],[pendingCourt]]&lt;=TrafficData[[#This Row],[totalCourt]],TrafficData[[#This Row],[disposedCourt]]&lt;=TrafficData[[#This Row],[totalCourt]])</f>
        <v>1</v>
      </c>
    </row>
    <row r="96" spans="1:16">
      <c r="A96" s="1">
        <v>42099</v>
      </c>
      <c r="B96">
        <v>105</v>
      </c>
      <c r="C96">
        <v>29</v>
      </c>
      <c r="D96">
        <v>76</v>
      </c>
      <c r="E96">
        <v>510430</v>
      </c>
      <c r="F96">
        <v>139950</v>
      </c>
      <c r="G96">
        <v>650380</v>
      </c>
      <c r="H96">
        <v>1</v>
      </c>
      <c r="I96">
        <v>0</v>
      </c>
      <c r="J96">
        <v>1</v>
      </c>
      <c r="K96" t="b">
        <f>TrafficData[[#This Row],[disposedChallan]]+TrafficData[[#This Row],[pendingChallan]]=TrafficData[[#This Row],[totalChallan]]</f>
        <v>1</v>
      </c>
      <c r="L96" t="b">
        <f>TrafficData[[#This Row],[pendingAmount]]+TrafficData[[#This Row],[disposedAmount]]=TrafficData[[#This Row],[totalAmount]]</f>
        <v>1</v>
      </c>
      <c r="M96" t="b">
        <f>TrafficData[[#This Row],[pendingCourt]]+TrafficData[[#This Row],[disposedCourt]]=TrafficData[[#This Row],[totalCourt]]</f>
        <v>1</v>
      </c>
      <c r="N96" s="8" t="b">
        <f>AND(TrafficData[[#This Row],[disposedChallan]]&lt;=TrafficData[[#This Row],[totalChallan]],TrafficData[[#This Row],[pendingChallan]]&lt;=TrafficData[[#This Row],[totalChallan]])</f>
        <v>1</v>
      </c>
      <c r="O96" s="8" t="b">
        <f>AND(TrafficData[[#This Row],[pendingAmount]]&lt;=TrafficData[[#This Row],[totalAmount]],TrafficData[[#This Row],[disposedAmount]]&lt;=TrafficData[[#This Row],[totalAmount]])</f>
        <v>1</v>
      </c>
      <c r="P96" s="8" t="b">
        <f>AND(TrafficData[[#This Row],[pendingCourt]]&lt;=TrafficData[[#This Row],[totalCourt]],TrafficData[[#This Row],[disposedCourt]]&lt;=TrafficData[[#This Row],[totalCourt]])</f>
        <v>1</v>
      </c>
    </row>
    <row r="97" spans="1:16">
      <c r="A97" s="1">
        <v>42100</v>
      </c>
      <c r="B97">
        <v>108</v>
      </c>
      <c r="C97">
        <v>23</v>
      </c>
      <c r="D97">
        <v>85</v>
      </c>
      <c r="E97">
        <v>663120</v>
      </c>
      <c r="F97">
        <v>67200</v>
      </c>
      <c r="G97">
        <v>730320</v>
      </c>
      <c r="H97">
        <v>0</v>
      </c>
      <c r="I97">
        <v>0</v>
      </c>
      <c r="J97">
        <v>0</v>
      </c>
      <c r="K97" t="b">
        <f>TrafficData[[#This Row],[disposedChallan]]+TrafficData[[#This Row],[pendingChallan]]=TrafficData[[#This Row],[totalChallan]]</f>
        <v>1</v>
      </c>
      <c r="L97" t="b">
        <f>TrafficData[[#This Row],[pendingAmount]]+TrafficData[[#This Row],[disposedAmount]]=TrafficData[[#This Row],[totalAmount]]</f>
        <v>1</v>
      </c>
      <c r="M97" t="b">
        <f>TrafficData[[#This Row],[pendingCourt]]+TrafficData[[#This Row],[disposedCourt]]=TrafficData[[#This Row],[totalCourt]]</f>
        <v>1</v>
      </c>
      <c r="N97" s="8" t="b">
        <f>AND(TrafficData[[#This Row],[disposedChallan]]&lt;=TrafficData[[#This Row],[totalChallan]],TrafficData[[#This Row],[pendingChallan]]&lt;=TrafficData[[#This Row],[totalChallan]])</f>
        <v>1</v>
      </c>
      <c r="O97" s="8" t="b">
        <f>AND(TrafficData[[#This Row],[pendingAmount]]&lt;=TrafficData[[#This Row],[totalAmount]],TrafficData[[#This Row],[disposedAmount]]&lt;=TrafficData[[#This Row],[totalAmount]])</f>
        <v>1</v>
      </c>
      <c r="P97" s="8" t="b">
        <f>AND(TrafficData[[#This Row],[pendingCourt]]&lt;=TrafficData[[#This Row],[totalCourt]],TrafficData[[#This Row],[disposedCourt]]&lt;=TrafficData[[#This Row],[totalCourt]])</f>
        <v>1</v>
      </c>
    </row>
    <row r="98" spans="1:16">
      <c r="A98" s="1">
        <v>42101</v>
      </c>
      <c r="B98">
        <v>119</v>
      </c>
      <c r="C98">
        <v>22</v>
      </c>
      <c r="D98">
        <v>97</v>
      </c>
      <c r="E98">
        <v>586650</v>
      </c>
      <c r="F98">
        <v>109790</v>
      </c>
      <c r="G98">
        <v>696440</v>
      </c>
      <c r="H98">
        <v>7</v>
      </c>
      <c r="I98">
        <v>0</v>
      </c>
      <c r="J98">
        <v>7</v>
      </c>
      <c r="K98" t="b">
        <f>TrafficData[[#This Row],[disposedChallan]]+TrafficData[[#This Row],[pendingChallan]]=TrafficData[[#This Row],[totalChallan]]</f>
        <v>1</v>
      </c>
      <c r="L98" t="b">
        <f>TrafficData[[#This Row],[pendingAmount]]+TrafficData[[#This Row],[disposedAmount]]=TrafficData[[#This Row],[totalAmount]]</f>
        <v>1</v>
      </c>
      <c r="M98" t="b">
        <f>TrafficData[[#This Row],[pendingCourt]]+TrafficData[[#This Row],[disposedCourt]]=TrafficData[[#This Row],[totalCourt]]</f>
        <v>1</v>
      </c>
      <c r="N98" s="8" t="b">
        <f>AND(TrafficData[[#This Row],[disposedChallan]]&lt;=TrafficData[[#This Row],[totalChallan]],TrafficData[[#This Row],[pendingChallan]]&lt;=TrafficData[[#This Row],[totalChallan]])</f>
        <v>1</v>
      </c>
      <c r="O98" s="8" t="b">
        <f>AND(TrafficData[[#This Row],[pendingAmount]]&lt;=TrafficData[[#This Row],[totalAmount]],TrafficData[[#This Row],[disposedAmount]]&lt;=TrafficData[[#This Row],[totalAmount]])</f>
        <v>1</v>
      </c>
      <c r="P98" s="8" t="b">
        <f>AND(TrafficData[[#This Row],[pendingCourt]]&lt;=TrafficData[[#This Row],[totalCourt]],TrafficData[[#This Row],[disposedCourt]]&lt;=TrafficData[[#This Row],[totalCourt]])</f>
        <v>1</v>
      </c>
    </row>
    <row r="99" spans="1:16">
      <c r="A99" s="1">
        <v>42102</v>
      </c>
      <c r="B99">
        <v>125</v>
      </c>
      <c r="C99">
        <v>39</v>
      </c>
      <c r="D99">
        <v>86</v>
      </c>
      <c r="E99">
        <v>559220</v>
      </c>
      <c r="F99">
        <v>253410</v>
      </c>
      <c r="G99">
        <v>812630</v>
      </c>
      <c r="H99">
        <v>2</v>
      </c>
      <c r="I99">
        <v>0</v>
      </c>
      <c r="J99">
        <v>2</v>
      </c>
      <c r="K99" t="b">
        <f>TrafficData[[#This Row],[disposedChallan]]+TrafficData[[#This Row],[pendingChallan]]=TrafficData[[#This Row],[totalChallan]]</f>
        <v>1</v>
      </c>
      <c r="L99" t="b">
        <f>TrafficData[[#This Row],[pendingAmount]]+TrafficData[[#This Row],[disposedAmount]]=TrafficData[[#This Row],[totalAmount]]</f>
        <v>1</v>
      </c>
      <c r="M99" t="b">
        <f>TrafficData[[#This Row],[pendingCourt]]+TrafficData[[#This Row],[disposedCourt]]=TrafficData[[#This Row],[totalCourt]]</f>
        <v>1</v>
      </c>
      <c r="N99" s="8" t="b">
        <f>AND(TrafficData[[#This Row],[disposedChallan]]&lt;=TrafficData[[#This Row],[totalChallan]],TrafficData[[#This Row],[pendingChallan]]&lt;=TrafficData[[#This Row],[totalChallan]])</f>
        <v>1</v>
      </c>
      <c r="O99" s="8" t="b">
        <f>AND(TrafficData[[#This Row],[pendingAmount]]&lt;=TrafficData[[#This Row],[totalAmount]],TrafficData[[#This Row],[disposedAmount]]&lt;=TrafficData[[#This Row],[totalAmount]])</f>
        <v>1</v>
      </c>
      <c r="P99" s="8" t="b">
        <f>AND(TrafficData[[#This Row],[pendingCourt]]&lt;=TrafficData[[#This Row],[totalCourt]],TrafficData[[#This Row],[disposedCourt]]&lt;=TrafficData[[#This Row],[totalCourt]])</f>
        <v>1</v>
      </c>
    </row>
    <row r="100" spans="1:16">
      <c r="A100" s="1">
        <v>42103</v>
      </c>
      <c r="B100">
        <v>128</v>
      </c>
      <c r="C100">
        <v>40</v>
      </c>
      <c r="D100">
        <v>88</v>
      </c>
      <c r="E100">
        <v>823300</v>
      </c>
      <c r="F100">
        <v>232380</v>
      </c>
      <c r="G100">
        <v>1055680</v>
      </c>
      <c r="H100">
        <v>3</v>
      </c>
      <c r="I100">
        <v>3</v>
      </c>
      <c r="J100">
        <v>6</v>
      </c>
      <c r="K100" t="b">
        <f>TrafficData[[#This Row],[disposedChallan]]+TrafficData[[#This Row],[pendingChallan]]=TrafficData[[#This Row],[totalChallan]]</f>
        <v>1</v>
      </c>
      <c r="L100" t="b">
        <f>TrafficData[[#This Row],[pendingAmount]]+TrafficData[[#This Row],[disposedAmount]]=TrafficData[[#This Row],[totalAmount]]</f>
        <v>1</v>
      </c>
      <c r="M100" t="b">
        <f>TrafficData[[#This Row],[pendingCourt]]+TrafficData[[#This Row],[disposedCourt]]=TrafficData[[#This Row],[totalCourt]]</f>
        <v>1</v>
      </c>
      <c r="N100" s="8" t="b">
        <f>AND(TrafficData[[#This Row],[disposedChallan]]&lt;=TrafficData[[#This Row],[totalChallan]],TrafficData[[#This Row],[pendingChallan]]&lt;=TrafficData[[#This Row],[totalChallan]])</f>
        <v>1</v>
      </c>
      <c r="O100" s="8" t="b">
        <f>AND(TrafficData[[#This Row],[pendingAmount]]&lt;=TrafficData[[#This Row],[totalAmount]],TrafficData[[#This Row],[disposedAmount]]&lt;=TrafficData[[#This Row],[totalAmount]])</f>
        <v>1</v>
      </c>
      <c r="P100" s="8" t="b">
        <f>AND(TrafficData[[#This Row],[pendingCourt]]&lt;=TrafficData[[#This Row],[totalCourt]],TrafficData[[#This Row],[disposedCourt]]&lt;=TrafficData[[#This Row],[totalCourt]])</f>
        <v>1</v>
      </c>
    </row>
    <row r="101" spans="1:16">
      <c r="A101" s="1">
        <v>42104</v>
      </c>
      <c r="B101">
        <v>72</v>
      </c>
      <c r="C101">
        <v>13</v>
      </c>
      <c r="D101">
        <v>59</v>
      </c>
      <c r="E101">
        <v>503600</v>
      </c>
      <c r="F101">
        <v>50800</v>
      </c>
      <c r="G101">
        <v>554400</v>
      </c>
      <c r="H101">
        <v>1</v>
      </c>
      <c r="I101">
        <v>1</v>
      </c>
      <c r="J101">
        <v>2</v>
      </c>
      <c r="K101" t="b">
        <f>TrafficData[[#This Row],[disposedChallan]]+TrafficData[[#This Row],[pendingChallan]]=TrafficData[[#This Row],[totalChallan]]</f>
        <v>1</v>
      </c>
      <c r="L101" t="b">
        <f>TrafficData[[#This Row],[pendingAmount]]+TrafficData[[#This Row],[disposedAmount]]=TrafficData[[#This Row],[totalAmount]]</f>
        <v>1</v>
      </c>
      <c r="M101" t="b">
        <f>TrafficData[[#This Row],[pendingCourt]]+TrafficData[[#This Row],[disposedCourt]]=TrafficData[[#This Row],[totalCourt]]</f>
        <v>1</v>
      </c>
      <c r="N101" s="8" t="b">
        <f>AND(TrafficData[[#This Row],[disposedChallan]]&lt;=TrafficData[[#This Row],[totalChallan]],TrafficData[[#This Row],[pendingChallan]]&lt;=TrafficData[[#This Row],[totalChallan]])</f>
        <v>1</v>
      </c>
      <c r="O101" s="8" t="b">
        <f>AND(TrafficData[[#This Row],[pendingAmount]]&lt;=TrafficData[[#This Row],[totalAmount]],TrafficData[[#This Row],[disposedAmount]]&lt;=TrafficData[[#This Row],[totalAmount]])</f>
        <v>1</v>
      </c>
      <c r="P101" s="8" t="b">
        <f>AND(TrafficData[[#This Row],[pendingCourt]]&lt;=TrafficData[[#This Row],[totalCourt]],TrafficData[[#This Row],[disposedCourt]]&lt;=TrafficData[[#This Row],[totalCourt]])</f>
        <v>1</v>
      </c>
    </row>
    <row r="102" spans="1:16">
      <c r="A102" s="1">
        <v>42105</v>
      </c>
      <c r="B102">
        <v>87</v>
      </c>
      <c r="C102">
        <v>36</v>
      </c>
      <c r="D102">
        <v>51</v>
      </c>
      <c r="E102">
        <v>310501</v>
      </c>
      <c r="F102">
        <v>109300</v>
      </c>
      <c r="G102">
        <v>419801</v>
      </c>
      <c r="H102">
        <v>0</v>
      </c>
      <c r="I102">
        <v>1</v>
      </c>
      <c r="J102">
        <v>1</v>
      </c>
      <c r="K102" t="b">
        <f>TrafficData[[#This Row],[disposedChallan]]+TrafficData[[#This Row],[pendingChallan]]=TrafficData[[#This Row],[totalChallan]]</f>
        <v>1</v>
      </c>
      <c r="L102" t="b">
        <f>TrafficData[[#This Row],[pendingAmount]]+TrafficData[[#This Row],[disposedAmount]]=TrafficData[[#This Row],[totalAmount]]</f>
        <v>1</v>
      </c>
      <c r="M102" t="b">
        <f>TrafficData[[#This Row],[pendingCourt]]+TrafficData[[#This Row],[disposedCourt]]=TrafficData[[#This Row],[totalCourt]]</f>
        <v>1</v>
      </c>
      <c r="N102" s="8" t="b">
        <f>AND(TrafficData[[#This Row],[disposedChallan]]&lt;=TrafficData[[#This Row],[totalChallan]],TrafficData[[#This Row],[pendingChallan]]&lt;=TrafficData[[#This Row],[totalChallan]])</f>
        <v>1</v>
      </c>
      <c r="O102" s="8" t="b">
        <f>AND(TrafficData[[#This Row],[pendingAmount]]&lt;=TrafficData[[#This Row],[totalAmount]],TrafficData[[#This Row],[disposedAmount]]&lt;=TrafficData[[#This Row],[totalAmount]])</f>
        <v>1</v>
      </c>
      <c r="P102" s="8" t="b">
        <f>AND(TrafficData[[#This Row],[pendingCourt]]&lt;=TrafficData[[#This Row],[totalCourt]],TrafficData[[#This Row],[disposedCourt]]&lt;=TrafficData[[#This Row],[totalCourt]])</f>
        <v>1</v>
      </c>
    </row>
    <row r="103" spans="1:16">
      <c r="A103" s="1">
        <v>42106</v>
      </c>
      <c r="B103">
        <v>89</v>
      </c>
      <c r="C103">
        <v>20</v>
      </c>
      <c r="D103">
        <v>69</v>
      </c>
      <c r="E103">
        <v>385700</v>
      </c>
      <c r="F103">
        <v>83300</v>
      </c>
      <c r="G103">
        <v>469000</v>
      </c>
      <c r="H103">
        <v>0</v>
      </c>
      <c r="I103">
        <v>0</v>
      </c>
      <c r="J103">
        <v>0</v>
      </c>
      <c r="K103" t="b">
        <f>TrafficData[[#This Row],[disposedChallan]]+TrafficData[[#This Row],[pendingChallan]]=TrafficData[[#This Row],[totalChallan]]</f>
        <v>1</v>
      </c>
      <c r="L103" t="b">
        <f>TrafficData[[#This Row],[pendingAmount]]+TrafficData[[#This Row],[disposedAmount]]=TrafficData[[#This Row],[totalAmount]]</f>
        <v>1</v>
      </c>
      <c r="M103" t="b">
        <f>TrafficData[[#This Row],[pendingCourt]]+TrafficData[[#This Row],[disposedCourt]]=TrafficData[[#This Row],[totalCourt]]</f>
        <v>1</v>
      </c>
      <c r="N103" s="8" t="b">
        <f>AND(TrafficData[[#This Row],[disposedChallan]]&lt;=TrafficData[[#This Row],[totalChallan]],TrafficData[[#This Row],[pendingChallan]]&lt;=TrafficData[[#This Row],[totalChallan]])</f>
        <v>1</v>
      </c>
      <c r="O103" s="8" t="b">
        <f>AND(TrafficData[[#This Row],[pendingAmount]]&lt;=TrafficData[[#This Row],[totalAmount]],TrafficData[[#This Row],[disposedAmount]]&lt;=TrafficData[[#This Row],[totalAmount]])</f>
        <v>1</v>
      </c>
      <c r="P103" s="8" t="b">
        <f>AND(TrafficData[[#This Row],[pendingCourt]]&lt;=TrafficData[[#This Row],[totalCourt]],TrafficData[[#This Row],[disposedCourt]]&lt;=TrafficData[[#This Row],[totalCourt]])</f>
        <v>1</v>
      </c>
    </row>
    <row r="104" spans="1:16">
      <c r="A104" s="1">
        <v>42107</v>
      </c>
      <c r="B104">
        <v>97</v>
      </c>
      <c r="C104">
        <v>24</v>
      </c>
      <c r="D104">
        <v>73</v>
      </c>
      <c r="E104">
        <v>746950</v>
      </c>
      <c r="F104">
        <v>100050</v>
      </c>
      <c r="G104">
        <v>847000</v>
      </c>
      <c r="H104">
        <v>1</v>
      </c>
      <c r="I104">
        <v>3</v>
      </c>
      <c r="J104">
        <v>4</v>
      </c>
      <c r="K104" t="b">
        <f>TrafficData[[#This Row],[disposedChallan]]+TrafficData[[#This Row],[pendingChallan]]=TrafficData[[#This Row],[totalChallan]]</f>
        <v>1</v>
      </c>
      <c r="L104" t="b">
        <f>TrafficData[[#This Row],[pendingAmount]]+TrafficData[[#This Row],[disposedAmount]]=TrafficData[[#This Row],[totalAmount]]</f>
        <v>1</v>
      </c>
      <c r="M104" t="b">
        <f>TrafficData[[#This Row],[pendingCourt]]+TrafficData[[#This Row],[disposedCourt]]=TrafficData[[#This Row],[totalCourt]]</f>
        <v>1</v>
      </c>
      <c r="N104" s="8" t="b">
        <f>AND(TrafficData[[#This Row],[disposedChallan]]&lt;=TrafficData[[#This Row],[totalChallan]],TrafficData[[#This Row],[pendingChallan]]&lt;=TrafficData[[#This Row],[totalChallan]])</f>
        <v>1</v>
      </c>
      <c r="O104" s="8" t="b">
        <f>AND(TrafficData[[#This Row],[pendingAmount]]&lt;=TrafficData[[#This Row],[totalAmount]],TrafficData[[#This Row],[disposedAmount]]&lt;=TrafficData[[#This Row],[totalAmount]])</f>
        <v>1</v>
      </c>
      <c r="P104" s="8" t="b">
        <f>AND(TrafficData[[#This Row],[pendingCourt]]&lt;=TrafficData[[#This Row],[totalCourt]],TrafficData[[#This Row],[disposedCourt]]&lt;=TrafficData[[#This Row],[totalCourt]])</f>
        <v>1</v>
      </c>
    </row>
    <row r="105" spans="1:16">
      <c r="A105" s="1">
        <v>42108</v>
      </c>
      <c r="B105">
        <v>79</v>
      </c>
      <c r="C105">
        <v>19</v>
      </c>
      <c r="D105">
        <v>60</v>
      </c>
      <c r="E105">
        <v>319050</v>
      </c>
      <c r="F105">
        <v>90400</v>
      </c>
      <c r="G105">
        <v>409450</v>
      </c>
      <c r="H105">
        <v>4</v>
      </c>
      <c r="I105">
        <v>0</v>
      </c>
      <c r="J105">
        <v>4</v>
      </c>
      <c r="K105" t="b">
        <f>TrafficData[[#This Row],[disposedChallan]]+TrafficData[[#This Row],[pendingChallan]]=TrafficData[[#This Row],[totalChallan]]</f>
        <v>1</v>
      </c>
      <c r="L105" t="b">
        <f>TrafficData[[#This Row],[pendingAmount]]+TrafficData[[#This Row],[disposedAmount]]=TrafficData[[#This Row],[totalAmount]]</f>
        <v>1</v>
      </c>
      <c r="M105" t="b">
        <f>TrafficData[[#This Row],[pendingCourt]]+TrafficData[[#This Row],[disposedCourt]]=TrafficData[[#This Row],[totalCourt]]</f>
        <v>1</v>
      </c>
      <c r="N105" s="8" t="b">
        <f>AND(TrafficData[[#This Row],[disposedChallan]]&lt;=TrafficData[[#This Row],[totalChallan]],TrafficData[[#This Row],[pendingChallan]]&lt;=TrafficData[[#This Row],[totalChallan]])</f>
        <v>1</v>
      </c>
      <c r="O105" s="8" t="b">
        <f>AND(TrafficData[[#This Row],[pendingAmount]]&lt;=TrafficData[[#This Row],[totalAmount]],TrafficData[[#This Row],[disposedAmount]]&lt;=TrafficData[[#This Row],[totalAmount]])</f>
        <v>1</v>
      </c>
      <c r="P105" s="8" t="b">
        <f>AND(TrafficData[[#This Row],[pendingCourt]]&lt;=TrafficData[[#This Row],[totalCourt]],TrafficData[[#This Row],[disposedCourt]]&lt;=TrafficData[[#This Row],[totalCourt]])</f>
        <v>1</v>
      </c>
    </row>
    <row r="106" spans="1:16">
      <c r="A106" s="1">
        <v>42109</v>
      </c>
      <c r="B106">
        <v>108</v>
      </c>
      <c r="C106">
        <v>29</v>
      </c>
      <c r="D106">
        <v>79</v>
      </c>
      <c r="E106">
        <v>838500</v>
      </c>
      <c r="F106">
        <v>197000</v>
      </c>
      <c r="G106">
        <v>1035500</v>
      </c>
      <c r="H106">
        <v>0</v>
      </c>
      <c r="I106">
        <v>1</v>
      </c>
      <c r="J106">
        <v>1</v>
      </c>
      <c r="K106" t="b">
        <f>TrafficData[[#This Row],[disposedChallan]]+TrafficData[[#This Row],[pendingChallan]]=TrafficData[[#This Row],[totalChallan]]</f>
        <v>1</v>
      </c>
      <c r="L106" t="b">
        <f>TrafficData[[#This Row],[pendingAmount]]+TrafficData[[#This Row],[disposedAmount]]=TrafficData[[#This Row],[totalAmount]]</f>
        <v>1</v>
      </c>
      <c r="M106" t="b">
        <f>TrafficData[[#This Row],[pendingCourt]]+TrafficData[[#This Row],[disposedCourt]]=TrafficData[[#This Row],[totalCourt]]</f>
        <v>1</v>
      </c>
      <c r="N106" s="8" t="b">
        <f>AND(TrafficData[[#This Row],[disposedChallan]]&lt;=TrafficData[[#This Row],[totalChallan]],TrafficData[[#This Row],[pendingChallan]]&lt;=TrafficData[[#This Row],[totalChallan]])</f>
        <v>1</v>
      </c>
      <c r="O106" s="8" t="b">
        <f>AND(TrafficData[[#This Row],[pendingAmount]]&lt;=TrafficData[[#This Row],[totalAmount]],TrafficData[[#This Row],[disposedAmount]]&lt;=TrafficData[[#This Row],[totalAmount]])</f>
        <v>1</v>
      </c>
      <c r="P106" s="8" t="b">
        <f>AND(TrafficData[[#This Row],[pendingCourt]]&lt;=TrafficData[[#This Row],[totalCourt]],TrafficData[[#This Row],[disposedCourt]]&lt;=TrafficData[[#This Row],[totalCourt]])</f>
        <v>1</v>
      </c>
    </row>
    <row r="107" spans="1:16">
      <c r="A107" s="1">
        <v>42110</v>
      </c>
      <c r="B107">
        <v>115</v>
      </c>
      <c r="C107">
        <v>35</v>
      </c>
      <c r="D107">
        <v>80</v>
      </c>
      <c r="E107">
        <v>1098300</v>
      </c>
      <c r="F107">
        <v>202600</v>
      </c>
      <c r="G107">
        <v>1300900</v>
      </c>
      <c r="H107">
        <v>3</v>
      </c>
      <c r="I107">
        <v>1</v>
      </c>
      <c r="J107">
        <v>4</v>
      </c>
      <c r="K107" t="b">
        <f>TrafficData[[#This Row],[disposedChallan]]+TrafficData[[#This Row],[pendingChallan]]=TrafficData[[#This Row],[totalChallan]]</f>
        <v>1</v>
      </c>
      <c r="L107" t="b">
        <f>TrafficData[[#This Row],[pendingAmount]]+TrafficData[[#This Row],[disposedAmount]]=TrafficData[[#This Row],[totalAmount]]</f>
        <v>1</v>
      </c>
      <c r="M107" t="b">
        <f>TrafficData[[#This Row],[pendingCourt]]+TrafficData[[#This Row],[disposedCourt]]=TrafficData[[#This Row],[totalCourt]]</f>
        <v>1</v>
      </c>
      <c r="N107" s="8" t="b">
        <f>AND(TrafficData[[#This Row],[disposedChallan]]&lt;=TrafficData[[#This Row],[totalChallan]],TrafficData[[#This Row],[pendingChallan]]&lt;=TrafficData[[#This Row],[totalChallan]])</f>
        <v>1</v>
      </c>
      <c r="O107" s="8" t="b">
        <f>AND(TrafficData[[#This Row],[pendingAmount]]&lt;=TrafficData[[#This Row],[totalAmount]],TrafficData[[#This Row],[disposedAmount]]&lt;=TrafficData[[#This Row],[totalAmount]])</f>
        <v>1</v>
      </c>
      <c r="P107" s="8" t="b">
        <f>AND(TrafficData[[#This Row],[pendingCourt]]&lt;=TrafficData[[#This Row],[totalCourt]],TrafficData[[#This Row],[disposedCourt]]&lt;=TrafficData[[#This Row],[totalCourt]])</f>
        <v>1</v>
      </c>
    </row>
    <row r="108" spans="1:16">
      <c r="A108" s="1">
        <v>42111</v>
      </c>
      <c r="B108">
        <v>83</v>
      </c>
      <c r="C108">
        <v>28</v>
      </c>
      <c r="D108">
        <v>55</v>
      </c>
      <c r="E108">
        <v>311000</v>
      </c>
      <c r="F108">
        <v>93500</v>
      </c>
      <c r="G108">
        <v>404500</v>
      </c>
      <c r="H108">
        <v>4</v>
      </c>
      <c r="I108">
        <v>2</v>
      </c>
      <c r="J108">
        <v>6</v>
      </c>
      <c r="K108" t="b">
        <f>TrafficData[[#This Row],[disposedChallan]]+TrafficData[[#This Row],[pendingChallan]]=TrafficData[[#This Row],[totalChallan]]</f>
        <v>1</v>
      </c>
      <c r="L108" t="b">
        <f>TrafficData[[#This Row],[pendingAmount]]+TrafficData[[#This Row],[disposedAmount]]=TrafficData[[#This Row],[totalAmount]]</f>
        <v>1</v>
      </c>
      <c r="M108" t="b">
        <f>TrafficData[[#This Row],[pendingCourt]]+TrafficData[[#This Row],[disposedCourt]]=TrafficData[[#This Row],[totalCourt]]</f>
        <v>1</v>
      </c>
      <c r="N108" s="8" t="b">
        <f>AND(TrafficData[[#This Row],[disposedChallan]]&lt;=TrafficData[[#This Row],[totalChallan]],TrafficData[[#This Row],[pendingChallan]]&lt;=TrafficData[[#This Row],[totalChallan]])</f>
        <v>1</v>
      </c>
      <c r="O108" s="8" t="b">
        <f>AND(TrafficData[[#This Row],[pendingAmount]]&lt;=TrafficData[[#This Row],[totalAmount]],TrafficData[[#This Row],[disposedAmount]]&lt;=TrafficData[[#This Row],[totalAmount]])</f>
        <v>1</v>
      </c>
      <c r="P108" s="8" t="b">
        <f>AND(TrafficData[[#This Row],[pendingCourt]]&lt;=TrafficData[[#This Row],[totalCourt]],TrafficData[[#This Row],[disposedCourt]]&lt;=TrafficData[[#This Row],[totalCourt]])</f>
        <v>1</v>
      </c>
    </row>
    <row r="109" spans="1:16">
      <c r="A109" s="1">
        <v>42112</v>
      </c>
      <c r="B109">
        <v>82</v>
      </c>
      <c r="C109">
        <v>23</v>
      </c>
      <c r="D109">
        <v>59</v>
      </c>
      <c r="E109">
        <v>510770</v>
      </c>
      <c r="F109">
        <v>107200</v>
      </c>
      <c r="G109">
        <v>617970</v>
      </c>
      <c r="H109">
        <v>4</v>
      </c>
      <c r="I109">
        <v>1</v>
      </c>
      <c r="J109">
        <v>5</v>
      </c>
      <c r="K109" t="b">
        <f>TrafficData[[#This Row],[disposedChallan]]+TrafficData[[#This Row],[pendingChallan]]=TrafficData[[#This Row],[totalChallan]]</f>
        <v>1</v>
      </c>
      <c r="L109" t="b">
        <f>TrafficData[[#This Row],[pendingAmount]]+TrafficData[[#This Row],[disposedAmount]]=TrafficData[[#This Row],[totalAmount]]</f>
        <v>1</v>
      </c>
      <c r="M109" t="b">
        <f>TrafficData[[#This Row],[pendingCourt]]+TrafficData[[#This Row],[disposedCourt]]=TrafficData[[#This Row],[totalCourt]]</f>
        <v>1</v>
      </c>
      <c r="N109" s="8" t="b">
        <f>AND(TrafficData[[#This Row],[disposedChallan]]&lt;=TrafficData[[#This Row],[totalChallan]],TrafficData[[#This Row],[pendingChallan]]&lt;=TrafficData[[#This Row],[totalChallan]])</f>
        <v>1</v>
      </c>
      <c r="O109" s="8" t="b">
        <f>AND(TrafficData[[#This Row],[pendingAmount]]&lt;=TrafficData[[#This Row],[totalAmount]],TrafficData[[#This Row],[disposedAmount]]&lt;=TrafficData[[#This Row],[totalAmount]])</f>
        <v>1</v>
      </c>
      <c r="P109" s="8" t="b">
        <f>AND(TrafficData[[#This Row],[pendingCourt]]&lt;=TrafficData[[#This Row],[totalCourt]],TrafficData[[#This Row],[disposedCourt]]&lt;=TrafficData[[#This Row],[totalCourt]])</f>
        <v>1</v>
      </c>
    </row>
    <row r="110" spans="1:16">
      <c r="A110" s="1">
        <v>42113</v>
      </c>
      <c r="B110">
        <v>63</v>
      </c>
      <c r="C110">
        <v>15</v>
      </c>
      <c r="D110">
        <v>48</v>
      </c>
      <c r="E110">
        <v>261350</v>
      </c>
      <c r="F110">
        <v>80000</v>
      </c>
      <c r="G110">
        <v>341350</v>
      </c>
      <c r="H110">
        <v>0</v>
      </c>
      <c r="I110">
        <v>0</v>
      </c>
      <c r="J110">
        <v>0</v>
      </c>
      <c r="K110" t="b">
        <f>TrafficData[[#This Row],[disposedChallan]]+TrafficData[[#This Row],[pendingChallan]]=TrafficData[[#This Row],[totalChallan]]</f>
        <v>1</v>
      </c>
      <c r="L110" t="b">
        <f>TrafficData[[#This Row],[pendingAmount]]+TrafficData[[#This Row],[disposedAmount]]=TrafficData[[#This Row],[totalAmount]]</f>
        <v>1</v>
      </c>
      <c r="M110" t="b">
        <f>TrafficData[[#This Row],[pendingCourt]]+TrafficData[[#This Row],[disposedCourt]]=TrafficData[[#This Row],[totalCourt]]</f>
        <v>1</v>
      </c>
      <c r="N110" s="8" t="b">
        <f>AND(TrafficData[[#This Row],[disposedChallan]]&lt;=TrafficData[[#This Row],[totalChallan]],TrafficData[[#This Row],[pendingChallan]]&lt;=TrafficData[[#This Row],[totalChallan]])</f>
        <v>1</v>
      </c>
      <c r="O110" s="8" t="b">
        <f>AND(TrafficData[[#This Row],[pendingAmount]]&lt;=TrafficData[[#This Row],[totalAmount]],TrafficData[[#This Row],[disposedAmount]]&lt;=TrafficData[[#This Row],[totalAmount]])</f>
        <v>1</v>
      </c>
      <c r="P110" s="8" t="b">
        <f>AND(TrafficData[[#This Row],[pendingCourt]]&lt;=TrafficData[[#This Row],[totalCourt]],TrafficData[[#This Row],[disposedCourt]]&lt;=TrafficData[[#This Row],[totalCourt]])</f>
        <v>1</v>
      </c>
    </row>
    <row r="111" spans="1:16">
      <c r="A111" s="1">
        <v>42114</v>
      </c>
      <c r="B111">
        <v>104</v>
      </c>
      <c r="C111">
        <v>26</v>
      </c>
      <c r="D111">
        <v>78</v>
      </c>
      <c r="E111">
        <v>357900</v>
      </c>
      <c r="F111">
        <v>152700</v>
      </c>
      <c r="G111">
        <v>510600</v>
      </c>
      <c r="H111">
        <v>5</v>
      </c>
      <c r="I111">
        <v>1</v>
      </c>
      <c r="J111">
        <v>6</v>
      </c>
      <c r="K111" t="b">
        <f>TrafficData[[#This Row],[disposedChallan]]+TrafficData[[#This Row],[pendingChallan]]=TrafficData[[#This Row],[totalChallan]]</f>
        <v>1</v>
      </c>
      <c r="L111" t="b">
        <f>TrafficData[[#This Row],[pendingAmount]]+TrafficData[[#This Row],[disposedAmount]]=TrafficData[[#This Row],[totalAmount]]</f>
        <v>1</v>
      </c>
      <c r="M111" t="b">
        <f>TrafficData[[#This Row],[pendingCourt]]+TrafficData[[#This Row],[disposedCourt]]=TrafficData[[#This Row],[totalCourt]]</f>
        <v>1</v>
      </c>
      <c r="N111" s="8" t="b">
        <f>AND(TrafficData[[#This Row],[disposedChallan]]&lt;=TrafficData[[#This Row],[totalChallan]],TrafficData[[#This Row],[pendingChallan]]&lt;=TrafficData[[#This Row],[totalChallan]])</f>
        <v>1</v>
      </c>
      <c r="O111" s="8" t="b">
        <f>AND(TrafficData[[#This Row],[pendingAmount]]&lt;=TrafficData[[#This Row],[totalAmount]],TrafficData[[#This Row],[disposedAmount]]&lt;=TrafficData[[#This Row],[totalAmount]])</f>
        <v>1</v>
      </c>
      <c r="P111" s="8" t="b">
        <f>AND(TrafficData[[#This Row],[pendingCourt]]&lt;=TrafficData[[#This Row],[totalCourt]],TrafficData[[#This Row],[disposedCourt]]&lt;=TrafficData[[#This Row],[totalCourt]])</f>
        <v>1</v>
      </c>
    </row>
    <row r="112" spans="1:16">
      <c r="A112" s="1">
        <v>42115</v>
      </c>
      <c r="B112">
        <v>89</v>
      </c>
      <c r="C112">
        <v>27</v>
      </c>
      <c r="D112">
        <v>62</v>
      </c>
      <c r="E112">
        <v>377450</v>
      </c>
      <c r="F112">
        <v>117900</v>
      </c>
      <c r="G112">
        <v>495350</v>
      </c>
      <c r="H112">
        <v>2</v>
      </c>
      <c r="I112">
        <v>3</v>
      </c>
      <c r="J112">
        <v>5</v>
      </c>
      <c r="K112" t="b">
        <f>TrafficData[[#This Row],[disposedChallan]]+TrafficData[[#This Row],[pendingChallan]]=TrafficData[[#This Row],[totalChallan]]</f>
        <v>1</v>
      </c>
      <c r="L112" t="b">
        <f>TrafficData[[#This Row],[pendingAmount]]+TrafficData[[#This Row],[disposedAmount]]=TrafficData[[#This Row],[totalAmount]]</f>
        <v>1</v>
      </c>
      <c r="M112" t="b">
        <f>TrafficData[[#This Row],[pendingCourt]]+TrafficData[[#This Row],[disposedCourt]]=TrafficData[[#This Row],[totalCourt]]</f>
        <v>1</v>
      </c>
      <c r="N112" s="8" t="b">
        <f>AND(TrafficData[[#This Row],[disposedChallan]]&lt;=TrafficData[[#This Row],[totalChallan]],TrafficData[[#This Row],[pendingChallan]]&lt;=TrafficData[[#This Row],[totalChallan]])</f>
        <v>1</v>
      </c>
      <c r="O112" s="8" t="b">
        <f>AND(TrafficData[[#This Row],[pendingAmount]]&lt;=TrafficData[[#This Row],[totalAmount]],TrafficData[[#This Row],[disposedAmount]]&lt;=TrafficData[[#This Row],[totalAmount]])</f>
        <v>1</v>
      </c>
      <c r="P112" s="8" t="b">
        <f>AND(TrafficData[[#This Row],[pendingCourt]]&lt;=TrafficData[[#This Row],[totalCourt]],TrafficData[[#This Row],[disposedCourt]]&lt;=TrafficData[[#This Row],[totalCourt]])</f>
        <v>1</v>
      </c>
    </row>
    <row r="113" spans="1:16">
      <c r="A113" s="1">
        <v>42116</v>
      </c>
      <c r="B113">
        <v>91</v>
      </c>
      <c r="C113">
        <v>32</v>
      </c>
      <c r="D113">
        <v>59</v>
      </c>
      <c r="E113">
        <v>442560</v>
      </c>
      <c r="F113">
        <v>115800</v>
      </c>
      <c r="G113">
        <v>558360</v>
      </c>
      <c r="H113">
        <v>1</v>
      </c>
      <c r="I113">
        <v>1</v>
      </c>
      <c r="J113">
        <v>2</v>
      </c>
      <c r="K113" t="b">
        <f>TrafficData[[#This Row],[disposedChallan]]+TrafficData[[#This Row],[pendingChallan]]=TrafficData[[#This Row],[totalChallan]]</f>
        <v>1</v>
      </c>
      <c r="L113" t="b">
        <f>TrafficData[[#This Row],[pendingAmount]]+TrafficData[[#This Row],[disposedAmount]]=TrafficData[[#This Row],[totalAmount]]</f>
        <v>1</v>
      </c>
      <c r="M113" t="b">
        <f>TrafficData[[#This Row],[pendingCourt]]+TrafficData[[#This Row],[disposedCourt]]=TrafficData[[#This Row],[totalCourt]]</f>
        <v>1</v>
      </c>
      <c r="N113" s="8" t="b">
        <f>AND(TrafficData[[#This Row],[disposedChallan]]&lt;=TrafficData[[#This Row],[totalChallan]],TrafficData[[#This Row],[pendingChallan]]&lt;=TrafficData[[#This Row],[totalChallan]])</f>
        <v>1</v>
      </c>
      <c r="O113" s="8" t="b">
        <f>AND(TrafficData[[#This Row],[pendingAmount]]&lt;=TrafficData[[#This Row],[totalAmount]],TrafficData[[#This Row],[disposedAmount]]&lt;=TrafficData[[#This Row],[totalAmount]])</f>
        <v>1</v>
      </c>
      <c r="P113" s="8" t="b">
        <f>AND(TrafficData[[#This Row],[pendingCourt]]&lt;=TrafficData[[#This Row],[totalCourt]],TrafficData[[#This Row],[disposedCourt]]&lt;=TrafficData[[#This Row],[totalCourt]])</f>
        <v>1</v>
      </c>
    </row>
    <row r="114" spans="1:16">
      <c r="A114" s="1">
        <v>42117</v>
      </c>
      <c r="B114">
        <v>97</v>
      </c>
      <c r="C114">
        <v>32</v>
      </c>
      <c r="D114">
        <v>65</v>
      </c>
      <c r="E114">
        <v>564100</v>
      </c>
      <c r="F114">
        <v>177525</v>
      </c>
      <c r="G114">
        <v>741625</v>
      </c>
      <c r="H114">
        <v>3</v>
      </c>
      <c r="I114">
        <v>3</v>
      </c>
      <c r="J114">
        <v>6</v>
      </c>
      <c r="K114" t="b">
        <f>TrafficData[[#This Row],[disposedChallan]]+TrafficData[[#This Row],[pendingChallan]]=TrafficData[[#This Row],[totalChallan]]</f>
        <v>1</v>
      </c>
      <c r="L114" t="b">
        <f>TrafficData[[#This Row],[pendingAmount]]+TrafficData[[#This Row],[disposedAmount]]=TrafficData[[#This Row],[totalAmount]]</f>
        <v>1</v>
      </c>
      <c r="M114" t="b">
        <f>TrafficData[[#This Row],[pendingCourt]]+TrafficData[[#This Row],[disposedCourt]]=TrafficData[[#This Row],[totalCourt]]</f>
        <v>1</v>
      </c>
      <c r="N114" s="8" t="b">
        <f>AND(TrafficData[[#This Row],[disposedChallan]]&lt;=TrafficData[[#This Row],[totalChallan]],TrafficData[[#This Row],[pendingChallan]]&lt;=TrafficData[[#This Row],[totalChallan]])</f>
        <v>1</v>
      </c>
      <c r="O114" s="8" t="b">
        <f>AND(TrafficData[[#This Row],[pendingAmount]]&lt;=TrafficData[[#This Row],[totalAmount]],TrafficData[[#This Row],[disposedAmount]]&lt;=TrafficData[[#This Row],[totalAmount]])</f>
        <v>1</v>
      </c>
      <c r="P114" s="8" t="b">
        <f>AND(TrafficData[[#This Row],[pendingCourt]]&lt;=TrafficData[[#This Row],[totalCourt]],TrafficData[[#This Row],[disposedCourt]]&lt;=TrafficData[[#This Row],[totalCourt]])</f>
        <v>1</v>
      </c>
    </row>
    <row r="115" spans="1:16">
      <c r="A115" s="1">
        <v>42118</v>
      </c>
      <c r="B115">
        <v>72</v>
      </c>
      <c r="C115">
        <v>16</v>
      </c>
      <c r="D115">
        <v>56</v>
      </c>
      <c r="E115">
        <v>323900</v>
      </c>
      <c r="F115">
        <v>151500</v>
      </c>
      <c r="G115">
        <v>475400</v>
      </c>
      <c r="H115">
        <v>2</v>
      </c>
      <c r="I115">
        <v>0</v>
      </c>
      <c r="J115">
        <v>2</v>
      </c>
      <c r="K115" t="b">
        <f>TrafficData[[#This Row],[disposedChallan]]+TrafficData[[#This Row],[pendingChallan]]=TrafficData[[#This Row],[totalChallan]]</f>
        <v>1</v>
      </c>
      <c r="L115" t="b">
        <f>TrafficData[[#This Row],[pendingAmount]]+TrafficData[[#This Row],[disposedAmount]]=TrafficData[[#This Row],[totalAmount]]</f>
        <v>1</v>
      </c>
      <c r="M115" t="b">
        <f>TrafficData[[#This Row],[pendingCourt]]+TrafficData[[#This Row],[disposedCourt]]=TrafficData[[#This Row],[totalCourt]]</f>
        <v>1</v>
      </c>
      <c r="N115" s="8" t="b">
        <f>AND(TrafficData[[#This Row],[disposedChallan]]&lt;=TrafficData[[#This Row],[totalChallan]],TrafficData[[#This Row],[pendingChallan]]&lt;=TrafficData[[#This Row],[totalChallan]])</f>
        <v>1</v>
      </c>
      <c r="O115" s="8" t="b">
        <f>AND(TrafficData[[#This Row],[pendingAmount]]&lt;=TrafficData[[#This Row],[totalAmount]],TrafficData[[#This Row],[disposedAmount]]&lt;=TrafficData[[#This Row],[totalAmount]])</f>
        <v>1</v>
      </c>
      <c r="P115" s="8" t="b">
        <f>AND(TrafficData[[#This Row],[pendingCourt]]&lt;=TrafficData[[#This Row],[totalCourt]],TrafficData[[#This Row],[disposedCourt]]&lt;=TrafficData[[#This Row],[totalCourt]])</f>
        <v>1</v>
      </c>
    </row>
    <row r="116" spans="1:16">
      <c r="A116" s="1">
        <v>42119</v>
      </c>
      <c r="B116">
        <v>53</v>
      </c>
      <c r="C116">
        <v>21</v>
      </c>
      <c r="D116">
        <v>32</v>
      </c>
      <c r="E116">
        <v>181900</v>
      </c>
      <c r="F116">
        <v>112550</v>
      </c>
      <c r="G116">
        <v>294450</v>
      </c>
      <c r="H116">
        <v>2</v>
      </c>
      <c r="I116">
        <v>2</v>
      </c>
      <c r="J116">
        <v>4</v>
      </c>
      <c r="K116" t="b">
        <f>TrafficData[[#This Row],[disposedChallan]]+TrafficData[[#This Row],[pendingChallan]]=TrafficData[[#This Row],[totalChallan]]</f>
        <v>1</v>
      </c>
      <c r="L116" t="b">
        <f>TrafficData[[#This Row],[pendingAmount]]+TrafficData[[#This Row],[disposedAmount]]=TrafficData[[#This Row],[totalAmount]]</f>
        <v>1</v>
      </c>
      <c r="M116" t="b">
        <f>TrafficData[[#This Row],[pendingCourt]]+TrafficData[[#This Row],[disposedCourt]]=TrafficData[[#This Row],[totalCourt]]</f>
        <v>1</v>
      </c>
      <c r="N116" s="8" t="b">
        <f>AND(TrafficData[[#This Row],[disposedChallan]]&lt;=TrafficData[[#This Row],[totalChallan]],TrafficData[[#This Row],[pendingChallan]]&lt;=TrafficData[[#This Row],[totalChallan]])</f>
        <v>1</v>
      </c>
      <c r="O116" s="8" t="b">
        <f>AND(TrafficData[[#This Row],[pendingAmount]]&lt;=TrafficData[[#This Row],[totalAmount]],TrafficData[[#This Row],[disposedAmount]]&lt;=TrafficData[[#This Row],[totalAmount]])</f>
        <v>1</v>
      </c>
      <c r="P116" s="8" t="b">
        <f>AND(TrafficData[[#This Row],[pendingCourt]]&lt;=TrafficData[[#This Row],[totalCourt]],TrafficData[[#This Row],[disposedCourt]]&lt;=TrafficData[[#This Row],[totalCourt]])</f>
        <v>1</v>
      </c>
    </row>
    <row r="117" spans="1:16">
      <c r="A117" s="1">
        <v>42120</v>
      </c>
      <c r="B117">
        <v>46</v>
      </c>
      <c r="C117">
        <v>16</v>
      </c>
      <c r="D117">
        <v>30</v>
      </c>
      <c r="E117">
        <v>169850</v>
      </c>
      <c r="F117">
        <v>100700</v>
      </c>
      <c r="G117">
        <v>270550</v>
      </c>
      <c r="H117">
        <v>0</v>
      </c>
      <c r="I117">
        <v>0</v>
      </c>
      <c r="J117">
        <v>0</v>
      </c>
      <c r="K117" t="b">
        <f>TrafficData[[#This Row],[disposedChallan]]+TrafficData[[#This Row],[pendingChallan]]=TrafficData[[#This Row],[totalChallan]]</f>
        <v>1</v>
      </c>
      <c r="L117" t="b">
        <f>TrafficData[[#This Row],[pendingAmount]]+TrafficData[[#This Row],[disposedAmount]]=TrafficData[[#This Row],[totalAmount]]</f>
        <v>1</v>
      </c>
      <c r="M117" t="b">
        <f>TrafficData[[#This Row],[pendingCourt]]+TrafficData[[#This Row],[disposedCourt]]=TrafficData[[#This Row],[totalCourt]]</f>
        <v>1</v>
      </c>
      <c r="N117" s="8" t="b">
        <f>AND(TrafficData[[#This Row],[disposedChallan]]&lt;=TrafficData[[#This Row],[totalChallan]],TrafficData[[#This Row],[pendingChallan]]&lt;=TrafficData[[#This Row],[totalChallan]])</f>
        <v>1</v>
      </c>
      <c r="O117" s="8" t="b">
        <f>AND(TrafficData[[#This Row],[pendingAmount]]&lt;=TrafficData[[#This Row],[totalAmount]],TrafficData[[#This Row],[disposedAmount]]&lt;=TrafficData[[#This Row],[totalAmount]])</f>
        <v>1</v>
      </c>
      <c r="P117" s="8" t="b">
        <f>AND(TrafficData[[#This Row],[pendingCourt]]&lt;=TrafficData[[#This Row],[totalCourt]],TrafficData[[#This Row],[disposedCourt]]&lt;=TrafficData[[#This Row],[totalCourt]])</f>
        <v>1</v>
      </c>
    </row>
    <row r="118" spans="1:16">
      <c r="A118" s="1">
        <v>42121</v>
      </c>
      <c r="B118">
        <v>85</v>
      </c>
      <c r="C118">
        <v>24</v>
      </c>
      <c r="D118">
        <v>61</v>
      </c>
      <c r="E118">
        <v>470250</v>
      </c>
      <c r="F118">
        <v>153250</v>
      </c>
      <c r="G118">
        <v>623500</v>
      </c>
      <c r="H118">
        <v>4</v>
      </c>
      <c r="I118">
        <v>1</v>
      </c>
      <c r="J118">
        <v>5</v>
      </c>
      <c r="K118" t="b">
        <f>TrafficData[[#This Row],[disposedChallan]]+TrafficData[[#This Row],[pendingChallan]]=TrafficData[[#This Row],[totalChallan]]</f>
        <v>1</v>
      </c>
      <c r="L118" t="b">
        <f>TrafficData[[#This Row],[pendingAmount]]+TrafficData[[#This Row],[disposedAmount]]=TrafficData[[#This Row],[totalAmount]]</f>
        <v>1</v>
      </c>
      <c r="M118" t="b">
        <f>TrafficData[[#This Row],[pendingCourt]]+TrafficData[[#This Row],[disposedCourt]]=TrafficData[[#This Row],[totalCourt]]</f>
        <v>1</v>
      </c>
      <c r="N118" s="8" t="b">
        <f>AND(TrafficData[[#This Row],[disposedChallan]]&lt;=TrafficData[[#This Row],[totalChallan]],TrafficData[[#This Row],[pendingChallan]]&lt;=TrafficData[[#This Row],[totalChallan]])</f>
        <v>1</v>
      </c>
      <c r="O118" s="8" t="b">
        <f>AND(TrafficData[[#This Row],[pendingAmount]]&lt;=TrafficData[[#This Row],[totalAmount]],TrafficData[[#This Row],[disposedAmount]]&lt;=TrafficData[[#This Row],[totalAmount]])</f>
        <v>1</v>
      </c>
      <c r="P118" s="8" t="b">
        <f>AND(TrafficData[[#This Row],[pendingCourt]]&lt;=TrafficData[[#This Row],[totalCourt]],TrafficData[[#This Row],[disposedCourt]]&lt;=TrafficData[[#This Row],[totalCourt]])</f>
        <v>1</v>
      </c>
    </row>
    <row r="119" spans="1:16">
      <c r="A119" s="1">
        <v>42122</v>
      </c>
      <c r="B119">
        <v>100</v>
      </c>
      <c r="C119">
        <v>18</v>
      </c>
      <c r="D119">
        <v>82</v>
      </c>
      <c r="E119">
        <v>611000</v>
      </c>
      <c r="F119">
        <v>43750</v>
      </c>
      <c r="G119">
        <v>654750</v>
      </c>
      <c r="H119">
        <v>4</v>
      </c>
      <c r="I119">
        <v>1</v>
      </c>
      <c r="J119">
        <v>5</v>
      </c>
      <c r="K119" t="b">
        <f>TrafficData[[#This Row],[disposedChallan]]+TrafficData[[#This Row],[pendingChallan]]=TrafficData[[#This Row],[totalChallan]]</f>
        <v>1</v>
      </c>
      <c r="L119" t="b">
        <f>TrafficData[[#This Row],[pendingAmount]]+TrafficData[[#This Row],[disposedAmount]]=TrafficData[[#This Row],[totalAmount]]</f>
        <v>1</v>
      </c>
      <c r="M119" t="b">
        <f>TrafficData[[#This Row],[pendingCourt]]+TrafficData[[#This Row],[disposedCourt]]=TrafficData[[#This Row],[totalCourt]]</f>
        <v>1</v>
      </c>
      <c r="N119" s="8" t="b">
        <f>AND(TrafficData[[#This Row],[disposedChallan]]&lt;=TrafficData[[#This Row],[totalChallan]],TrafficData[[#This Row],[pendingChallan]]&lt;=TrafficData[[#This Row],[totalChallan]])</f>
        <v>1</v>
      </c>
      <c r="O119" s="8" t="b">
        <f>AND(TrafficData[[#This Row],[pendingAmount]]&lt;=TrafficData[[#This Row],[totalAmount]],TrafficData[[#This Row],[disposedAmount]]&lt;=TrafficData[[#This Row],[totalAmount]])</f>
        <v>1</v>
      </c>
      <c r="P119" s="8" t="b">
        <f>AND(TrafficData[[#This Row],[pendingCourt]]&lt;=TrafficData[[#This Row],[totalCourt]],TrafficData[[#This Row],[disposedCourt]]&lt;=TrafficData[[#This Row],[totalCourt]])</f>
        <v>1</v>
      </c>
    </row>
    <row r="120" spans="1:16">
      <c r="A120" s="1">
        <v>42123</v>
      </c>
      <c r="B120">
        <v>64</v>
      </c>
      <c r="C120">
        <v>17</v>
      </c>
      <c r="D120">
        <v>47</v>
      </c>
      <c r="E120">
        <v>345200</v>
      </c>
      <c r="F120">
        <v>96075</v>
      </c>
      <c r="G120">
        <v>441275</v>
      </c>
      <c r="H120">
        <v>2</v>
      </c>
      <c r="I120">
        <v>0</v>
      </c>
      <c r="J120">
        <v>2</v>
      </c>
      <c r="K120" t="b">
        <f>TrafficData[[#This Row],[disposedChallan]]+TrafficData[[#This Row],[pendingChallan]]=TrafficData[[#This Row],[totalChallan]]</f>
        <v>1</v>
      </c>
      <c r="L120" t="b">
        <f>TrafficData[[#This Row],[pendingAmount]]+TrafficData[[#This Row],[disposedAmount]]=TrafficData[[#This Row],[totalAmount]]</f>
        <v>1</v>
      </c>
      <c r="M120" t="b">
        <f>TrafficData[[#This Row],[pendingCourt]]+TrafficData[[#This Row],[disposedCourt]]=TrafficData[[#This Row],[totalCourt]]</f>
        <v>1</v>
      </c>
      <c r="N120" s="8" t="b">
        <f>AND(TrafficData[[#This Row],[disposedChallan]]&lt;=TrafficData[[#This Row],[totalChallan]],TrafficData[[#This Row],[pendingChallan]]&lt;=TrafficData[[#This Row],[totalChallan]])</f>
        <v>1</v>
      </c>
      <c r="O120" s="8" t="b">
        <f>AND(TrafficData[[#This Row],[pendingAmount]]&lt;=TrafficData[[#This Row],[totalAmount]],TrafficData[[#This Row],[disposedAmount]]&lt;=TrafficData[[#This Row],[totalAmount]])</f>
        <v>1</v>
      </c>
      <c r="P120" s="8" t="b">
        <f>AND(TrafficData[[#This Row],[pendingCourt]]&lt;=TrafficData[[#This Row],[totalCourt]],TrafficData[[#This Row],[disposedCourt]]&lt;=TrafficData[[#This Row],[totalCourt]])</f>
        <v>1</v>
      </c>
    </row>
    <row r="121" spans="1:16">
      <c r="A121" s="1">
        <v>42124</v>
      </c>
      <c r="B121">
        <v>74</v>
      </c>
      <c r="C121">
        <v>23</v>
      </c>
      <c r="D121">
        <v>51</v>
      </c>
      <c r="E121">
        <v>441100</v>
      </c>
      <c r="F121">
        <v>119500</v>
      </c>
      <c r="G121">
        <v>560600</v>
      </c>
      <c r="H121">
        <v>0</v>
      </c>
      <c r="I121">
        <v>0</v>
      </c>
      <c r="J121">
        <v>0</v>
      </c>
      <c r="K121" t="b">
        <f>TrafficData[[#This Row],[disposedChallan]]+TrafficData[[#This Row],[pendingChallan]]=TrafficData[[#This Row],[totalChallan]]</f>
        <v>1</v>
      </c>
      <c r="L121" t="b">
        <f>TrafficData[[#This Row],[pendingAmount]]+TrafficData[[#This Row],[disposedAmount]]=TrafficData[[#This Row],[totalAmount]]</f>
        <v>1</v>
      </c>
      <c r="M121" t="b">
        <f>TrafficData[[#This Row],[pendingCourt]]+TrafficData[[#This Row],[disposedCourt]]=TrafficData[[#This Row],[totalCourt]]</f>
        <v>1</v>
      </c>
      <c r="N121" s="8" t="b">
        <f>AND(TrafficData[[#This Row],[disposedChallan]]&lt;=TrafficData[[#This Row],[totalChallan]],TrafficData[[#This Row],[pendingChallan]]&lt;=TrafficData[[#This Row],[totalChallan]])</f>
        <v>1</v>
      </c>
      <c r="O121" s="8" t="b">
        <f>AND(TrafficData[[#This Row],[pendingAmount]]&lt;=TrafficData[[#This Row],[totalAmount]],TrafficData[[#This Row],[disposedAmount]]&lt;=TrafficData[[#This Row],[totalAmount]])</f>
        <v>1</v>
      </c>
      <c r="P121" s="8" t="b">
        <f>AND(TrafficData[[#This Row],[pendingCourt]]&lt;=TrafficData[[#This Row],[totalCourt]],TrafficData[[#This Row],[disposedCourt]]&lt;=TrafficData[[#This Row],[totalCourt]])</f>
        <v>1</v>
      </c>
    </row>
    <row r="122" spans="1:16">
      <c r="A122" s="1">
        <v>42125</v>
      </c>
      <c r="B122">
        <v>63</v>
      </c>
      <c r="C122">
        <v>12</v>
      </c>
      <c r="D122">
        <v>51</v>
      </c>
      <c r="E122">
        <v>434440</v>
      </c>
      <c r="F122">
        <v>52550</v>
      </c>
      <c r="G122">
        <v>486990</v>
      </c>
      <c r="H122">
        <v>1</v>
      </c>
      <c r="I122">
        <v>1</v>
      </c>
      <c r="J122">
        <v>2</v>
      </c>
      <c r="K122" t="b">
        <f>TrafficData[[#This Row],[disposedChallan]]+TrafficData[[#This Row],[pendingChallan]]=TrafficData[[#This Row],[totalChallan]]</f>
        <v>1</v>
      </c>
      <c r="L122" t="b">
        <f>TrafficData[[#This Row],[pendingAmount]]+TrafficData[[#This Row],[disposedAmount]]=TrafficData[[#This Row],[totalAmount]]</f>
        <v>1</v>
      </c>
      <c r="M122" t="b">
        <f>TrafficData[[#This Row],[pendingCourt]]+TrafficData[[#This Row],[disposedCourt]]=TrafficData[[#This Row],[totalCourt]]</f>
        <v>1</v>
      </c>
      <c r="N122" s="8" t="b">
        <f>AND(TrafficData[[#This Row],[disposedChallan]]&lt;=TrafficData[[#This Row],[totalChallan]],TrafficData[[#This Row],[pendingChallan]]&lt;=TrafficData[[#This Row],[totalChallan]])</f>
        <v>1</v>
      </c>
      <c r="O122" s="8" t="b">
        <f>AND(TrafficData[[#This Row],[pendingAmount]]&lt;=TrafficData[[#This Row],[totalAmount]],TrafficData[[#This Row],[disposedAmount]]&lt;=TrafficData[[#This Row],[totalAmount]])</f>
        <v>1</v>
      </c>
      <c r="P122" s="8" t="b">
        <f>AND(TrafficData[[#This Row],[pendingCourt]]&lt;=TrafficData[[#This Row],[totalCourt]],TrafficData[[#This Row],[disposedCourt]]&lt;=TrafficData[[#This Row],[totalCourt]])</f>
        <v>1</v>
      </c>
    </row>
    <row r="123" spans="1:16">
      <c r="A123" s="1">
        <v>42126</v>
      </c>
      <c r="B123">
        <v>62</v>
      </c>
      <c r="C123">
        <v>15</v>
      </c>
      <c r="D123">
        <v>47</v>
      </c>
      <c r="E123">
        <v>391000</v>
      </c>
      <c r="F123">
        <v>85350</v>
      </c>
      <c r="G123">
        <v>476350</v>
      </c>
      <c r="H123">
        <v>1</v>
      </c>
      <c r="I123">
        <v>0</v>
      </c>
      <c r="J123">
        <v>1</v>
      </c>
      <c r="K123" t="b">
        <f>TrafficData[[#This Row],[disposedChallan]]+TrafficData[[#This Row],[pendingChallan]]=TrafficData[[#This Row],[totalChallan]]</f>
        <v>1</v>
      </c>
      <c r="L123" t="b">
        <f>TrafficData[[#This Row],[pendingAmount]]+TrafficData[[#This Row],[disposedAmount]]=TrafficData[[#This Row],[totalAmount]]</f>
        <v>1</v>
      </c>
      <c r="M123" t="b">
        <f>TrafficData[[#This Row],[pendingCourt]]+TrafficData[[#This Row],[disposedCourt]]=TrafficData[[#This Row],[totalCourt]]</f>
        <v>1</v>
      </c>
      <c r="N123" s="8" t="b">
        <f>AND(TrafficData[[#This Row],[disposedChallan]]&lt;=TrafficData[[#This Row],[totalChallan]],TrafficData[[#This Row],[pendingChallan]]&lt;=TrafficData[[#This Row],[totalChallan]])</f>
        <v>1</v>
      </c>
      <c r="O123" s="8" t="b">
        <f>AND(TrafficData[[#This Row],[pendingAmount]]&lt;=TrafficData[[#This Row],[totalAmount]],TrafficData[[#This Row],[disposedAmount]]&lt;=TrafficData[[#This Row],[totalAmount]])</f>
        <v>1</v>
      </c>
      <c r="P123" s="8" t="b">
        <f>AND(TrafficData[[#This Row],[pendingCourt]]&lt;=TrafficData[[#This Row],[totalCourt]],TrafficData[[#This Row],[disposedCourt]]&lt;=TrafficData[[#This Row],[totalCourt]])</f>
        <v>1</v>
      </c>
    </row>
    <row r="124" spans="1:16">
      <c r="A124" s="1">
        <v>42127</v>
      </c>
      <c r="B124">
        <v>46</v>
      </c>
      <c r="C124">
        <v>22</v>
      </c>
      <c r="D124">
        <v>24</v>
      </c>
      <c r="E124">
        <v>129000</v>
      </c>
      <c r="F124">
        <v>103350</v>
      </c>
      <c r="G124">
        <v>232350</v>
      </c>
      <c r="H124">
        <v>0</v>
      </c>
      <c r="I124">
        <v>0</v>
      </c>
      <c r="J124">
        <v>0</v>
      </c>
      <c r="K124" t="b">
        <f>TrafficData[[#This Row],[disposedChallan]]+TrafficData[[#This Row],[pendingChallan]]=TrafficData[[#This Row],[totalChallan]]</f>
        <v>1</v>
      </c>
      <c r="L124" t="b">
        <f>TrafficData[[#This Row],[pendingAmount]]+TrafficData[[#This Row],[disposedAmount]]=TrafficData[[#This Row],[totalAmount]]</f>
        <v>1</v>
      </c>
      <c r="M124" t="b">
        <f>TrafficData[[#This Row],[pendingCourt]]+TrafficData[[#This Row],[disposedCourt]]=TrafficData[[#This Row],[totalCourt]]</f>
        <v>1</v>
      </c>
      <c r="N124" s="8" t="b">
        <f>AND(TrafficData[[#This Row],[disposedChallan]]&lt;=TrafficData[[#This Row],[totalChallan]],TrafficData[[#This Row],[pendingChallan]]&lt;=TrafficData[[#This Row],[totalChallan]])</f>
        <v>1</v>
      </c>
      <c r="O124" s="8" t="b">
        <f>AND(TrafficData[[#This Row],[pendingAmount]]&lt;=TrafficData[[#This Row],[totalAmount]],TrafficData[[#This Row],[disposedAmount]]&lt;=TrafficData[[#This Row],[totalAmount]])</f>
        <v>1</v>
      </c>
      <c r="P124" s="8" t="b">
        <f>AND(TrafficData[[#This Row],[pendingCourt]]&lt;=TrafficData[[#This Row],[totalCourt]],TrafficData[[#This Row],[disposedCourt]]&lt;=TrafficData[[#This Row],[totalCourt]])</f>
        <v>1</v>
      </c>
    </row>
    <row r="125" spans="1:16">
      <c r="A125" s="1">
        <v>42128</v>
      </c>
      <c r="B125">
        <v>52</v>
      </c>
      <c r="C125">
        <v>11</v>
      </c>
      <c r="D125">
        <v>41</v>
      </c>
      <c r="E125">
        <v>319900</v>
      </c>
      <c r="F125">
        <v>40438</v>
      </c>
      <c r="G125">
        <v>360338</v>
      </c>
      <c r="H125">
        <v>0</v>
      </c>
      <c r="I125">
        <v>0</v>
      </c>
      <c r="J125">
        <v>0</v>
      </c>
      <c r="K125" t="b">
        <f>TrafficData[[#This Row],[disposedChallan]]+TrafficData[[#This Row],[pendingChallan]]=TrafficData[[#This Row],[totalChallan]]</f>
        <v>1</v>
      </c>
      <c r="L125" t="b">
        <f>TrafficData[[#This Row],[pendingAmount]]+TrafficData[[#This Row],[disposedAmount]]=TrafficData[[#This Row],[totalAmount]]</f>
        <v>1</v>
      </c>
      <c r="M125" t="b">
        <f>TrafficData[[#This Row],[pendingCourt]]+TrafficData[[#This Row],[disposedCourt]]=TrafficData[[#This Row],[totalCourt]]</f>
        <v>1</v>
      </c>
      <c r="N125" s="8" t="b">
        <f>AND(TrafficData[[#This Row],[disposedChallan]]&lt;=TrafficData[[#This Row],[totalChallan]],TrafficData[[#This Row],[pendingChallan]]&lt;=TrafficData[[#This Row],[totalChallan]])</f>
        <v>1</v>
      </c>
      <c r="O125" s="8" t="b">
        <f>AND(TrafficData[[#This Row],[pendingAmount]]&lt;=TrafficData[[#This Row],[totalAmount]],TrafficData[[#This Row],[disposedAmount]]&lt;=TrafficData[[#This Row],[totalAmount]])</f>
        <v>1</v>
      </c>
      <c r="P125" s="8" t="b">
        <f>AND(TrafficData[[#This Row],[pendingCourt]]&lt;=TrafficData[[#This Row],[totalCourt]],TrafficData[[#This Row],[disposedCourt]]&lt;=TrafficData[[#This Row],[totalCourt]])</f>
        <v>1</v>
      </c>
    </row>
    <row r="126" spans="1:16">
      <c r="A126" s="1">
        <v>42129</v>
      </c>
      <c r="B126">
        <v>92</v>
      </c>
      <c r="C126">
        <v>29</v>
      </c>
      <c r="D126">
        <v>63</v>
      </c>
      <c r="E126">
        <v>427098</v>
      </c>
      <c r="F126">
        <v>234800</v>
      </c>
      <c r="G126">
        <v>661898</v>
      </c>
      <c r="H126">
        <v>1</v>
      </c>
      <c r="I126">
        <v>0</v>
      </c>
      <c r="J126">
        <v>1</v>
      </c>
      <c r="K126" t="b">
        <f>TrafficData[[#This Row],[disposedChallan]]+TrafficData[[#This Row],[pendingChallan]]=TrafficData[[#This Row],[totalChallan]]</f>
        <v>1</v>
      </c>
      <c r="L126" t="b">
        <f>TrafficData[[#This Row],[pendingAmount]]+TrafficData[[#This Row],[disposedAmount]]=TrafficData[[#This Row],[totalAmount]]</f>
        <v>1</v>
      </c>
      <c r="M126" t="b">
        <f>TrafficData[[#This Row],[pendingCourt]]+TrafficData[[#This Row],[disposedCourt]]=TrafficData[[#This Row],[totalCourt]]</f>
        <v>1</v>
      </c>
      <c r="N126" s="8" t="b">
        <f>AND(TrafficData[[#This Row],[disposedChallan]]&lt;=TrafficData[[#This Row],[totalChallan]],TrafficData[[#This Row],[pendingChallan]]&lt;=TrafficData[[#This Row],[totalChallan]])</f>
        <v>1</v>
      </c>
      <c r="O126" s="8" t="b">
        <f>AND(TrafficData[[#This Row],[pendingAmount]]&lt;=TrafficData[[#This Row],[totalAmount]],TrafficData[[#This Row],[disposedAmount]]&lt;=TrafficData[[#This Row],[totalAmount]])</f>
        <v>1</v>
      </c>
      <c r="P126" s="8" t="b">
        <f>AND(TrafficData[[#This Row],[pendingCourt]]&lt;=TrafficData[[#This Row],[totalCourt]],TrafficData[[#This Row],[disposedCourt]]&lt;=TrafficData[[#This Row],[totalCourt]])</f>
        <v>1</v>
      </c>
    </row>
    <row r="127" spans="1:16">
      <c r="A127" s="1">
        <v>42130</v>
      </c>
      <c r="B127">
        <v>99</v>
      </c>
      <c r="C127">
        <v>31</v>
      </c>
      <c r="D127">
        <v>68</v>
      </c>
      <c r="E127">
        <v>674475</v>
      </c>
      <c r="F127">
        <v>176600</v>
      </c>
      <c r="G127">
        <v>851075</v>
      </c>
      <c r="H127">
        <v>0</v>
      </c>
      <c r="I127">
        <v>1</v>
      </c>
      <c r="J127">
        <v>1</v>
      </c>
      <c r="K127" t="b">
        <f>TrafficData[[#This Row],[disposedChallan]]+TrafficData[[#This Row],[pendingChallan]]=TrafficData[[#This Row],[totalChallan]]</f>
        <v>1</v>
      </c>
      <c r="L127" t="b">
        <f>TrafficData[[#This Row],[pendingAmount]]+TrafficData[[#This Row],[disposedAmount]]=TrafficData[[#This Row],[totalAmount]]</f>
        <v>1</v>
      </c>
      <c r="M127" t="b">
        <f>TrafficData[[#This Row],[pendingCourt]]+TrafficData[[#This Row],[disposedCourt]]=TrafficData[[#This Row],[totalCourt]]</f>
        <v>1</v>
      </c>
      <c r="N127" s="8" t="b">
        <f>AND(TrafficData[[#This Row],[disposedChallan]]&lt;=TrafficData[[#This Row],[totalChallan]],TrafficData[[#This Row],[pendingChallan]]&lt;=TrafficData[[#This Row],[totalChallan]])</f>
        <v>1</v>
      </c>
      <c r="O127" s="8" t="b">
        <f>AND(TrafficData[[#This Row],[pendingAmount]]&lt;=TrafficData[[#This Row],[totalAmount]],TrafficData[[#This Row],[disposedAmount]]&lt;=TrafficData[[#This Row],[totalAmount]])</f>
        <v>1</v>
      </c>
      <c r="P127" s="8" t="b">
        <f>AND(TrafficData[[#This Row],[pendingCourt]]&lt;=TrafficData[[#This Row],[totalCourt]],TrafficData[[#This Row],[disposedCourt]]&lt;=TrafficData[[#This Row],[totalCourt]])</f>
        <v>1</v>
      </c>
    </row>
    <row r="128" spans="1:16">
      <c r="A128" s="1">
        <v>42131</v>
      </c>
      <c r="B128">
        <v>93</v>
      </c>
      <c r="C128">
        <v>42</v>
      </c>
      <c r="D128">
        <v>51</v>
      </c>
      <c r="E128">
        <v>509100</v>
      </c>
      <c r="F128">
        <v>231773</v>
      </c>
      <c r="G128">
        <v>740873</v>
      </c>
      <c r="H128">
        <v>1</v>
      </c>
      <c r="I128">
        <v>1</v>
      </c>
      <c r="J128">
        <v>2</v>
      </c>
      <c r="K128" t="b">
        <f>TrafficData[[#This Row],[disposedChallan]]+TrafficData[[#This Row],[pendingChallan]]=TrafficData[[#This Row],[totalChallan]]</f>
        <v>1</v>
      </c>
      <c r="L128" t="b">
        <f>TrafficData[[#This Row],[pendingAmount]]+TrafficData[[#This Row],[disposedAmount]]=TrafficData[[#This Row],[totalAmount]]</f>
        <v>1</v>
      </c>
      <c r="M128" t="b">
        <f>TrafficData[[#This Row],[pendingCourt]]+TrafficData[[#This Row],[disposedCourt]]=TrafficData[[#This Row],[totalCourt]]</f>
        <v>1</v>
      </c>
      <c r="N128" s="8" t="b">
        <f>AND(TrafficData[[#This Row],[disposedChallan]]&lt;=TrafficData[[#This Row],[totalChallan]],TrafficData[[#This Row],[pendingChallan]]&lt;=TrafficData[[#This Row],[totalChallan]])</f>
        <v>1</v>
      </c>
      <c r="O128" s="8" t="b">
        <f>AND(TrafficData[[#This Row],[pendingAmount]]&lt;=TrafficData[[#This Row],[totalAmount]],TrafficData[[#This Row],[disposedAmount]]&lt;=TrafficData[[#This Row],[totalAmount]])</f>
        <v>1</v>
      </c>
      <c r="P128" s="8" t="b">
        <f>AND(TrafficData[[#This Row],[pendingCourt]]&lt;=TrafficData[[#This Row],[totalCourt]],TrafficData[[#This Row],[disposedCourt]]&lt;=TrafficData[[#This Row],[totalCourt]])</f>
        <v>1</v>
      </c>
    </row>
    <row r="129" spans="1:16">
      <c r="A129" s="1">
        <v>42132</v>
      </c>
      <c r="B129">
        <v>73</v>
      </c>
      <c r="C129">
        <v>20</v>
      </c>
      <c r="D129">
        <v>53</v>
      </c>
      <c r="E129">
        <v>510500</v>
      </c>
      <c r="F129">
        <v>111500</v>
      </c>
      <c r="G129">
        <v>622000</v>
      </c>
      <c r="H129">
        <v>3</v>
      </c>
      <c r="I129">
        <v>0</v>
      </c>
      <c r="J129">
        <v>3</v>
      </c>
      <c r="K129" t="b">
        <f>TrafficData[[#This Row],[disposedChallan]]+TrafficData[[#This Row],[pendingChallan]]=TrafficData[[#This Row],[totalChallan]]</f>
        <v>1</v>
      </c>
      <c r="L129" t="b">
        <f>TrafficData[[#This Row],[pendingAmount]]+TrafficData[[#This Row],[disposedAmount]]=TrafficData[[#This Row],[totalAmount]]</f>
        <v>1</v>
      </c>
      <c r="M129" t="b">
        <f>TrafficData[[#This Row],[pendingCourt]]+TrafficData[[#This Row],[disposedCourt]]=TrafficData[[#This Row],[totalCourt]]</f>
        <v>1</v>
      </c>
      <c r="N129" s="8" t="b">
        <f>AND(TrafficData[[#This Row],[disposedChallan]]&lt;=TrafficData[[#This Row],[totalChallan]],TrafficData[[#This Row],[pendingChallan]]&lt;=TrafficData[[#This Row],[totalChallan]])</f>
        <v>1</v>
      </c>
      <c r="O129" s="8" t="b">
        <f>AND(TrafficData[[#This Row],[pendingAmount]]&lt;=TrafficData[[#This Row],[totalAmount]],TrafficData[[#This Row],[disposedAmount]]&lt;=TrafficData[[#This Row],[totalAmount]])</f>
        <v>1</v>
      </c>
      <c r="P129" s="8" t="b">
        <f>AND(TrafficData[[#This Row],[pendingCourt]]&lt;=TrafficData[[#This Row],[totalCourt]],TrafficData[[#This Row],[disposedCourt]]&lt;=TrafficData[[#This Row],[totalCourt]])</f>
        <v>1</v>
      </c>
    </row>
    <row r="130" spans="1:16">
      <c r="A130" s="1">
        <v>42133</v>
      </c>
      <c r="B130">
        <v>100</v>
      </c>
      <c r="C130">
        <v>28</v>
      </c>
      <c r="D130">
        <v>72</v>
      </c>
      <c r="E130">
        <v>612550</v>
      </c>
      <c r="F130">
        <v>159550</v>
      </c>
      <c r="G130">
        <v>772100</v>
      </c>
      <c r="H130">
        <v>1</v>
      </c>
      <c r="I130">
        <v>2</v>
      </c>
      <c r="J130">
        <v>3</v>
      </c>
      <c r="K130" t="b">
        <f>TrafficData[[#This Row],[disposedChallan]]+TrafficData[[#This Row],[pendingChallan]]=TrafficData[[#This Row],[totalChallan]]</f>
        <v>1</v>
      </c>
      <c r="L130" t="b">
        <f>TrafficData[[#This Row],[pendingAmount]]+TrafficData[[#This Row],[disposedAmount]]=TrafficData[[#This Row],[totalAmount]]</f>
        <v>1</v>
      </c>
      <c r="M130" t="b">
        <f>TrafficData[[#This Row],[pendingCourt]]+TrafficData[[#This Row],[disposedCourt]]=TrafficData[[#This Row],[totalCourt]]</f>
        <v>1</v>
      </c>
      <c r="N130" s="8" t="b">
        <f>AND(TrafficData[[#This Row],[disposedChallan]]&lt;=TrafficData[[#This Row],[totalChallan]],TrafficData[[#This Row],[pendingChallan]]&lt;=TrafficData[[#This Row],[totalChallan]])</f>
        <v>1</v>
      </c>
      <c r="O130" s="8" t="b">
        <f>AND(TrafficData[[#This Row],[pendingAmount]]&lt;=TrafficData[[#This Row],[totalAmount]],TrafficData[[#This Row],[disposedAmount]]&lt;=TrafficData[[#This Row],[totalAmount]])</f>
        <v>1</v>
      </c>
      <c r="P130" s="8" t="b">
        <f>AND(TrafficData[[#This Row],[pendingCourt]]&lt;=TrafficData[[#This Row],[totalCourt]],TrafficData[[#This Row],[disposedCourt]]&lt;=TrafficData[[#This Row],[totalCourt]])</f>
        <v>1</v>
      </c>
    </row>
    <row r="131" spans="1:16">
      <c r="A131" s="1">
        <v>42134</v>
      </c>
      <c r="B131">
        <v>91</v>
      </c>
      <c r="C131">
        <v>33</v>
      </c>
      <c r="D131">
        <v>58</v>
      </c>
      <c r="E131">
        <v>366347</v>
      </c>
      <c r="F131">
        <v>109500</v>
      </c>
      <c r="G131">
        <v>475847</v>
      </c>
      <c r="H131">
        <v>3</v>
      </c>
      <c r="I131">
        <v>1</v>
      </c>
      <c r="J131">
        <v>4</v>
      </c>
      <c r="K131" t="b">
        <f>TrafficData[[#This Row],[disposedChallan]]+TrafficData[[#This Row],[pendingChallan]]=TrafficData[[#This Row],[totalChallan]]</f>
        <v>1</v>
      </c>
      <c r="L131" t="b">
        <f>TrafficData[[#This Row],[pendingAmount]]+TrafficData[[#This Row],[disposedAmount]]=TrafficData[[#This Row],[totalAmount]]</f>
        <v>1</v>
      </c>
      <c r="M131" t="b">
        <f>TrafficData[[#This Row],[pendingCourt]]+TrafficData[[#This Row],[disposedCourt]]=TrafficData[[#This Row],[totalCourt]]</f>
        <v>1</v>
      </c>
      <c r="N131" s="8" t="b">
        <f>AND(TrafficData[[#This Row],[disposedChallan]]&lt;=TrafficData[[#This Row],[totalChallan]],TrafficData[[#This Row],[pendingChallan]]&lt;=TrafficData[[#This Row],[totalChallan]])</f>
        <v>1</v>
      </c>
      <c r="O131" s="8" t="b">
        <f>AND(TrafficData[[#This Row],[pendingAmount]]&lt;=TrafficData[[#This Row],[totalAmount]],TrafficData[[#This Row],[disposedAmount]]&lt;=TrafficData[[#This Row],[totalAmount]])</f>
        <v>1</v>
      </c>
      <c r="P131" s="8" t="b">
        <f>AND(TrafficData[[#This Row],[pendingCourt]]&lt;=TrafficData[[#This Row],[totalCourt]],TrafficData[[#This Row],[disposedCourt]]&lt;=TrafficData[[#This Row],[totalCourt]])</f>
        <v>1</v>
      </c>
    </row>
    <row r="132" spans="1:16">
      <c r="A132" s="1">
        <v>42135</v>
      </c>
      <c r="B132">
        <v>96</v>
      </c>
      <c r="C132">
        <v>30</v>
      </c>
      <c r="D132">
        <v>66</v>
      </c>
      <c r="E132">
        <v>349148</v>
      </c>
      <c r="F132">
        <v>94633</v>
      </c>
      <c r="G132">
        <v>443781</v>
      </c>
      <c r="H132">
        <v>3</v>
      </c>
      <c r="I132">
        <v>1</v>
      </c>
      <c r="J132">
        <v>4</v>
      </c>
      <c r="K132" t="b">
        <f>TrafficData[[#This Row],[disposedChallan]]+TrafficData[[#This Row],[pendingChallan]]=TrafficData[[#This Row],[totalChallan]]</f>
        <v>1</v>
      </c>
      <c r="L132" t="b">
        <f>TrafficData[[#This Row],[pendingAmount]]+TrafficData[[#This Row],[disposedAmount]]=TrafficData[[#This Row],[totalAmount]]</f>
        <v>1</v>
      </c>
      <c r="M132" t="b">
        <f>TrafficData[[#This Row],[pendingCourt]]+TrafficData[[#This Row],[disposedCourt]]=TrafficData[[#This Row],[totalCourt]]</f>
        <v>1</v>
      </c>
      <c r="N132" s="8" t="b">
        <f>AND(TrafficData[[#This Row],[disposedChallan]]&lt;=TrafficData[[#This Row],[totalChallan]],TrafficData[[#This Row],[pendingChallan]]&lt;=TrafficData[[#This Row],[totalChallan]])</f>
        <v>1</v>
      </c>
      <c r="O132" s="8" t="b">
        <f>AND(TrafficData[[#This Row],[pendingAmount]]&lt;=TrafficData[[#This Row],[totalAmount]],TrafficData[[#This Row],[disposedAmount]]&lt;=TrafficData[[#This Row],[totalAmount]])</f>
        <v>1</v>
      </c>
      <c r="P132" s="8" t="b">
        <f>AND(TrafficData[[#This Row],[pendingCourt]]&lt;=TrafficData[[#This Row],[totalCourt]],TrafficData[[#This Row],[disposedCourt]]&lt;=TrafficData[[#This Row],[totalCourt]])</f>
        <v>1</v>
      </c>
    </row>
    <row r="133" spans="1:16">
      <c r="A133" s="1">
        <v>42136</v>
      </c>
      <c r="B133">
        <v>110</v>
      </c>
      <c r="C133">
        <v>22</v>
      </c>
      <c r="D133">
        <v>88</v>
      </c>
      <c r="E133">
        <v>533947</v>
      </c>
      <c r="F133">
        <v>132760</v>
      </c>
      <c r="G133">
        <v>666707</v>
      </c>
      <c r="H133">
        <v>2</v>
      </c>
      <c r="I133">
        <v>1</v>
      </c>
      <c r="J133">
        <v>3</v>
      </c>
      <c r="K133" t="b">
        <f>TrafficData[[#This Row],[disposedChallan]]+TrafficData[[#This Row],[pendingChallan]]=TrafficData[[#This Row],[totalChallan]]</f>
        <v>1</v>
      </c>
      <c r="L133" t="b">
        <f>TrafficData[[#This Row],[pendingAmount]]+TrafficData[[#This Row],[disposedAmount]]=TrafficData[[#This Row],[totalAmount]]</f>
        <v>1</v>
      </c>
      <c r="M133" t="b">
        <f>TrafficData[[#This Row],[pendingCourt]]+TrafficData[[#This Row],[disposedCourt]]=TrafficData[[#This Row],[totalCourt]]</f>
        <v>1</v>
      </c>
      <c r="N133" s="8" t="b">
        <f>AND(TrafficData[[#This Row],[disposedChallan]]&lt;=TrafficData[[#This Row],[totalChallan]],TrafficData[[#This Row],[pendingChallan]]&lt;=TrafficData[[#This Row],[totalChallan]])</f>
        <v>1</v>
      </c>
      <c r="O133" s="8" t="b">
        <f>AND(TrafficData[[#This Row],[pendingAmount]]&lt;=TrafficData[[#This Row],[totalAmount]],TrafficData[[#This Row],[disposedAmount]]&lt;=TrafficData[[#This Row],[totalAmount]])</f>
        <v>1</v>
      </c>
      <c r="P133" s="8" t="b">
        <f>AND(TrafficData[[#This Row],[pendingCourt]]&lt;=TrafficData[[#This Row],[totalCourt]],TrafficData[[#This Row],[disposedCourt]]&lt;=TrafficData[[#This Row],[totalCourt]])</f>
        <v>1</v>
      </c>
    </row>
    <row r="134" spans="1:16">
      <c r="A134" s="1">
        <v>42137</v>
      </c>
      <c r="B134">
        <v>110</v>
      </c>
      <c r="C134">
        <v>34</v>
      </c>
      <c r="D134">
        <v>76</v>
      </c>
      <c r="E134">
        <v>566200</v>
      </c>
      <c r="F134">
        <v>120450</v>
      </c>
      <c r="G134">
        <v>686650</v>
      </c>
      <c r="H134">
        <v>3</v>
      </c>
      <c r="I134">
        <v>0</v>
      </c>
      <c r="J134">
        <v>3</v>
      </c>
      <c r="K134" t="b">
        <f>TrafficData[[#This Row],[disposedChallan]]+TrafficData[[#This Row],[pendingChallan]]=TrafficData[[#This Row],[totalChallan]]</f>
        <v>1</v>
      </c>
      <c r="L134" t="b">
        <f>TrafficData[[#This Row],[pendingAmount]]+TrafficData[[#This Row],[disposedAmount]]=TrafficData[[#This Row],[totalAmount]]</f>
        <v>1</v>
      </c>
      <c r="M134" t="b">
        <f>TrafficData[[#This Row],[pendingCourt]]+TrafficData[[#This Row],[disposedCourt]]=TrafficData[[#This Row],[totalCourt]]</f>
        <v>1</v>
      </c>
      <c r="N134" s="8" t="b">
        <f>AND(TrafficData[[#This Row],[disposedChallan]]&lt;=TrafficData[[#This Row],[totalChallan]],TrafficData[[#This Row],[pendingChallan]]&lt;=TrafficData[[#This Row],[totalChallan]])</f>
        <v>1</v>
      </c>
      <c r="O134" s="8" t="b">
        <f>AND(TrafficData[[#This Row],[pendingAmount]]&lt;=TrafficData[[#This Row],[totalAmount]],TrafficData[[#This Row],[disposedAmount]]&lt;=TrafficData[[#This Row],[totalAmount]])</f>
        <v>1</v>
      </c>
      <c r="P134" s="8" t="b">
        <f>AND(TrafficData[[#This Row],[pendingCourt]]&lt;=TrafficData[[#This Row],[totalCourt]],TrafficData[[#This Row],[disposedCourt]]&lt;=TrafficData[[#This Row],[totalCourt]])</f>
        <v>1</v>
      </c>
    </row>
    <row r="135" spans="1:16">
      <c r="A135" s="1">
        <v>42138</v>
      </c>
      <c r="B135">
        <v>114</v>
      </c>
      <c r="C135">
        <v>34</v>
      </c>
      <c r="D135">
        <v>80</v>
      </c>
      <c r="E135">
        <v>442646</v>
      </c>
      <c r="F135">
        <v>156450</v>
      </c>
      <c r="G135">
        <v>599096</v>
      </c>
      <c r="H135">
        <v>2</v>
      </c>
      <c r="I135">
        <v>0</v>
      </c>
      <c r="J135">
        <v>2</v>
      </c>
      <c r="K135" t="b">
        <f>TrafficData[[#This Row],[disposedChallan]]+TrafficData[[#This Row],[pendingChallan]]=TrafficData[[#This Row],[totalChallan]]</f>
        <v>1</v>
      </c>
      <c r="L135" t="b">
        <f>TrafficData[[#This Row],[pendingAmount]]+TrafficData[[#This Row],[disposedAmount]]=TrafficData[[#This Row],[totalAmount]]</f>
        <v>1</v>
      </c>
      <c r="M135" t="b">
        <f>TrafficData[[#This Row],[pendingCourt]]+TrafficData[[#This Row],[disposedCourt]]=TrafficData[[#This Row],[totalCourt]]</f>
        <v>1</v>
      </c>
      <c r="N135" s="8" t="b">
        <f>AND(TrafficData[[#This Row],[disposedChallan]]&lt;=TrafficData[[#This Row],[totalChallan]],TrafficData[[#This Row],[pendingChallan]]&lt;=TrafficData[[#This Row],[totalChallan]])</f>
        <v>1</v>
      </c>
      <c r="O135" s="8" t="b">
        <f>AND(TrafficData[[#This Row],[pendingAmount]]&lt;=TrafficData[[#This Row],[totalAmount]],TrafficData[[#This Row],[disposedAmount]]&lt;=TrafficData[[#This Row],[totalAmount]])</f>
        <v>1</v>
      </c>
      <c r="P135" s="8" t="b">
        <f>AND(TrafficData[[#This Row],[pendingCourt]]&lt;=TrafficData[[#This Row],[totalCourt]],TrafficData[[#This Row],[disposedCourt]]&lt;=TrafficData[[#This Row],[totalCourt]])</f>
        <v>1</v>
      </c>
    </row>
    <row r="136" spans="1:16">
      <c r="A136" s="1">
        <v>42139</v>
      </c>
      <c r="B136">
        <v>117</v>
      </c>
      <c r="C136">
        <v>31</v>
      </c>
      <c r="D136">
        <v>86</v>
      </c>
      <c r="E136">
        <v>721438</v>
      </c>
      <c r="F136">
        <v>323950</v>
      </c>
      <c r="G136">
        <v>1045388</v>
      </c>
      <c r="H136">
        <v>3</v>
      </c>
      <c r="I136">
        <v>1</v>
      </c>
      <c r="J136">
        <v>4</v>
      </c>
      <c r="K136" t="b">
        <f>TrafficData[[#This Row],[disposedChallan]]+TrafficData[[#This Row],[pendingChallan]]=TrafficData[[#This Row],[totalChallan]]</f>
        <v>1</v>
      </c>
      <c r="L136" t="b">
        <f>TrafficData[[#This Row],[pendingAmount]]+TrafficData[[#This Row],[disposedAmount]]=TrafficData[[#This Row],[totalAmount]]</f>
        <v>1</v>
      </c>
      <c r="M136" t="b">
        <f>TrafficData[[#This Row],[pendingCourt]]+TrafficData[[#This Row],[disposedCourt]]=TrafficData[[#This Row],[totalCourt]]</f>
        <v>1</v>
      </c>
      <c r="N136" s="8" t="b">
        <f>AND(TrafficData[[#This Row],[disposedChallan]]&lt;=TrafficData[[#This Row],[totalChallan]],TrafficData[[#This Row],[pendingChallan]]&lt;=TrafficData[[#This Row],[totalChallan]])</f>
        <v>1</v>
      </c>
      <c r="O136" s="8" t="b">
        <f>AND(TrafficData[[#This Row],[pendingAmount]]&lt;=TrafficData[[#This Row],[totalAmount]],TrafficData[[#This Row],[disposedAmount]]&lt;=TrafficData[[#This Row],[totalAmount]])</f>
        <v>1</v>
      </c>
      <c r="P136" s="8" t="b">
        <f>AND(TrafficData[[#This Row],[pendingCourt]]&lt;=TrafficData[[#This Row],[totalCourt]],TrafficData[[#This Row],[disposedCourt]]&lt;=TrafficData[[#This Row],[totalCourt]])</f>
        <v>1</v>
      </c>
    </row>
    <row r="137" spans="1:16">
      <c r="A137" s="1">
        <v>42140</v>
      </c>
      <c r="B137">
        <v>157</v>
      </c>
      <c r="C137">
        <v>44</v>
      </c>
      <c r="D137">
        <v>113</v>
      </c>
      <c r="E137">
        <v>690450</v>
      </c>
      <c r="F137">
        <v>202550</v>
      </c>
      <c r="G137">
        <v>893000</v>
      </c>
      <c r="H137">
        <v>2</v>
      </c>
      <c r="I137">
        <v>2</v>
      </c>
      <c r="J137">
        <v>4</v>
      </c>
      <c r="K137" t="b">
        <f>TrafficData[[#This Row],[disposedChallan]]+TrafficData[[#This Row],[pendingChallan]]=TrafficData[[#This Row],[totalChallan]]</f>
        <v>1</v>
      </c>
      <c r="L137" t="b">
        <f>TrafficData[[#This Row],[pendingAmount]]+TrafficData[[#This Row],[disposedAmount]]=TrafficData[[#This Row],[totalAmount]]</f>
        <v>1</v>
      </c>
      <c r="M137" t="b">
        <f>TrafficData[[#This Row],[pendingCourt]]+TrafficData[[#This Row],[disposedCourt]]=TrafficData[[#This Row],[totalCourt]]</f>
        <v>1</v>
      </c>
      <c r="N137" s="8" t="b">
        <f>AND(TrafficData[[#This Row],[disposedChallan]]&lt;=TrafficData[[#This Row],[totalChallan]],TrafficData[[#This Row],[pendingChallan]]&lt;=TrafficData[[#This Row],[totalChallan]])</f>
        <v>1</v>
      </c>
      <c r="O137" s="8" t="b">
        <f>AND(TrafficData[[#This Row],[pendingAmount]]&lt;=TrafficData[[#This Row],[totalAmount]],TrafficData[[#This Row],[disposedAmount]]&lt;=TrafficData[[#This Row],[totalAmount]])</f>
        <v>1</v>
      </c>
      <c r="P137" s="8" t="b">
        <f>AND(TrafficData[[#This Row],[pendingCourt]]&lt;=TrafficData[[#This Row],[totalCourt]],TrafficData[[#This Row],[disposedCourt]]&lt;=TrafficData[[#This Row],[totalCourt]])</f>
        <v>1</v>
      </c>
    </row>
    <row r="138" spans="1:16">
      <c r="A138" s="1">
        <v>42141</v>
      </c>
      <c r="B138">
        <v>104</v>
      </c>
      <c r="C138">
        <v>21</v>
      </c>
      <c r="D138">
        <v>83</v>
      </c>
      <c r="E138">
        <v>600400</v>
      </c>
      <c r="F138">
        <v>74250</v>
      </c>
      <c r="G138">
        <v>674650</v>
      </c>
      <c r="H138">
        <v>3</v>
      </c>
      <c r="I138">
        <v>0</v>
      </c>
      <c r="J138">
        <v>3</v>
      </c>
      <c r="K138" t="b">
        <f>TrafficData[[#This Row],[disposedChallan]]+TrafficData[[#This Row],[pendingChallan]]=TrafficData[[#This Row],[totalChallan]]</f>
        <v>1</v>
      </c>
      <c r="L138" t="b">
        <f>TrafficData[[#This Row],[pendingAmount]]+TrafficData[[#This Row],[disposedAmount]]=TrafficData[[#This Row],[totalAmount]]</f>
        <v>1</v>
      </c>
      <c r="M138" t="b">
        <f>TrafficData[[#This Row],[pendingCourt]]+TrafficData[[#This Row],[disposedCourt]]=TrafficData[[#This Row],[totalCourt]]</f>
        <v>1</v>
      </c>
      <c r="N138" s="8" t="b">
        <f>AND(TrafficData[[#This Row],[disposedChallan]]&lt;=TrafficData[[#This Row],[totalChallan]],TrafficData[[#This Row],[pendingChallan]]&lt;=TrafficData[[#This Row],[totalChallan]])</f>
        <v>1</v>
      </c>
      <c r="O138" s="8" t="b">
        <f>AND(TrafficData[[#This Row],[pendingAmount]]&lt;=TrafficData[[#This Row],[totalAmount]],TrafficData[[#This Row],[disposedAmount]]&lt;=TrafficData[[#This Row],[totalAmount]])</f>
        <v>1</v>
      </c>
      <c r="P138" s="8" t="b">
        <f>AND(TrafficData[[#This Row],[pendingCourt]]&lt;=TrafficData[[#This Row],[totalCourt]],TrafficData[[#This Row],[disposedCourt]]&lt;=TrafficData[[#This Row],[totalCourt]])</f>
        <v>1</v>
      </c>
    </row>
    <row r="139" spans="1:16">
      <c r="A139" s="1">
        <v>42142</v>
      </c>
      <c r="B139">
        <v>135</v>
      </c>
      <c r="C139">
        <v>28</v>
      </c>
      <c r="D139">
        <v>107</v>
      </c>
      <c r="E139">
        <v>812548</v>
      </c>
      <c r="F139">
        <v>96850</v>
      </c>
      <c r="G139">
        <v>909398</v>
      </c>
      <c r="H139">
        <v>3</v>
      </c>
      <c r="I139">
        <v>1</v>
      </c>
      <c r="J139">
        <v>4</v>
      </c>
      <c r="K139" t="b">
        <f>TrafficData[[#This Row],[disposedChallan]]+TrafficData[[#This Row],[pendingChallan]]=TrafficData[[#This Row],[totalChallan]]</f>
        <v>1</v>
      </c>
      <c r="L139" t="b">
        <f>TrafficData[[#This Row],[pendingAmount]]+TrafficData[[#This Row],[disposedAmount]]=TrafficData[[#This Row],[totalAmount]]</f>
        <v>1</v>
      </c>
      <c r="M139" t="b">
        <f>TrafficData[[#This Row],[pendingCourt]]+TrafficData[[#This Row],[disposedCourt]]=TrafficData[[#This Row],[totalCourt]]</f>
        <v>1</v>
      </c>
      <c r="N139" s="8" t="b">
        <f>AND(TrafficData[[#This Row],[disposedChallan]]&lt;=TrafficData[[#This Row],[totalChallan]],TrafficData[[#This Row],[pendingChallan]]&lt;=TrafficData[[#This Row],[totalChallan]])</f>
        <v>1</v>
      </c>
      <c r="O139" s="8" t="b">
        <f>AND(TrafficData[[#This Row],[pendingAmount]]&lt;=TrafficData[[#This Row],[totalAmount]],TrafficData[[#This Row],[disposedAmount]]&lt;=TrafficData[[#This Row],[totalAmount]])</f>
        <v>1</v>
      </c>
      <c r="P139" s="8" t="b">
        <f>AND(TrafficData[[#This Row],[pendingCourt]]&lt;=TrafficData[[#This Row],[totalCourt]],TrafficData[[#This Row],[disposedCourt]]&lt;=TrafficData[[#This Row],[totalCourt]])</f>
        <v>1</v>
      </c>
    </row>
    <row r="140" spans="1:16">
      <c r="A140" s="1">
        <v>42143</v>
      </c>
      <c r="B140">
        <v>116</v>
      </c>
      <c r="C140">
        <v>27</v>
      </c>
      <c r="D140">
        <v>89</v>
      </c>
      <c r="E140">
        <v>715000</v>
      </c>
      <c r="F140">
        <v>92700</v>
      </c>
      <c r="G140">
        <v>807700</v>
      </c>
      <c r="H140">
        <v>3</v>
      </c>
      <c r="I140">
        <v>0</v>
      </c>
      <c r="J140">
        <v>3</v>
      </c>
      <c r="K140" t="b">
        <f>TrafficData[[#This Row],[disposedChallan]]+TrafficData[[#This Row],[pendingChallan]]=TrafficData[[#This Row],[totalChallan]]</f>
        <v>1</v>
      </c>
      <c r="L140" t="b">
        <f>TrafficData[[#This Row],[pendingAmount]]+TrafficData[[#This Row],[disposedAmount]]=TrafficData[[#This Row],[totalAmount]]</f>
        <v>1</v>
      </c>
      <c r="M140" t="b">
        <f>TrafficData[[#This Row],[pendingCourt]]+TrafficData[[#This Row],[disposedCourt]]=TrafficData[[#This Row],[totalCourt]]</f>
        <v>1</v>
      </c>
      <c r="N140" s="8" t="b">
        <f>AND(TrafficData[[#This Row],[disposedChallan]]&lt;=TrafficData[[#This Row],[totalChallan]],TrafficData[[#This Row],[pendingChallan]]&lt;=TrafficData[[#This Row],[totalChallan]])</f>
        <v>1</v>
      </c>
      <c r="O140" s="8" t="b">
        <f>AND(TrafficData[[#This Row],[pendingAmount]]&lt;=TrafficData[[#This Row],[totalAmount]],TrafficData[[#This Row],[disposedAmount]]&lt;=TrafficData[[#This Row],[totalAmount]])</f>
        <v>1</v>
      </c>
      <c r="P140" s="8" t="b">
        <f>AND(TrafficData[[#This Row],[pendingCourt]]&lt;=TrafficData[[#This Row],[totalCourt]],TrafficData[[#This Row],[disposedCourt]]&lt;=TrafficData[[#This Row],[totalCourt]])</f>
        <v>1</v>
      </c>
    </row>
    <row r="141" spans="1:16">
      <c r="A141" s="1">
        <v>42144</v>
      </c>
      <c r="B141">
        <v>118</v>
      </c>
      <c r="C141">
        <v>34</v>
      </c>
      <c r="D141">
        <v>84</v>
      </c>
      <c r="E141">
        <v>557400</v>
      </c>
      <c r="F141">
        <v>223050</v>
      </c>
      <c r="G141">
        <v>780450</v>
      </c>
      <c r="H141">
        <v>2</v>
      </c>
      <c r="I141">
        <v>2</v>
      </c>
      <c r="J141">
        <v>4</v>
      </c>
      <c r="K141" t="b">
        <f>TrafficData[[#This Row],[disposedChallan]]+TrafficData[[#This Row],[pendingChallan]]=TrafficData[[#This Row],[totalChallan]]</f>
        <v>1</v>
      </c>
      <c r="L141" t="b">
        <f>TrafficData[[#This Row],[pendingAmount]]+TrafficData[[#This Row],[disposedAmount]]=TrafficData[[#This Row],[totalAmount]]</f>
        <v>1</v>
      </c>
      <c r="M141" t="b">
        <f>TrafficData[[#This Row],[pendingCourt]]+TrafficData[[#This Row],[disposedCourt]]=TrafficData[[#This Row],[totalCourt]]</f>
        <v>1</v>
      </c>
      <c r="N141" s="8" t="b">
        <f>AND(TrafficData[[#This Row],[disposedChallan]]&lt;=TrafficData[[#This Row],[totalChallan]],TrafficData[[#This Row],[pendingChallan]]&lt;=TrafficData[[#This Row],[totalChallan]])</f>
        <v>1</v>
      </c>
      <c r="O141" s="8" t="b">
        <f>AND(TrafficData[[#This Row],[pendingAmount]]&lt;=TrafficData[[#This Row],[totalAmount]],TrafficData[[#This Row],[disposedAmount]]&lt;=TrafficData[[#This Row],[totalAmount]])</f>
        <v>1</v>
      </c>
      <c r="P141" s="8" t="b">
        <f>AND(TrafficData[[#This Row],[pendingCourt]]&lt;=TrafficData[[#This Row],[totalCourt]],TrafficData[[#This Row],[disposedCourt]]&lt;=TrafficData[[#This Row],[totalCourt]])</f>
        <v>1</v>
      </c>
    </row>
    <row r="142" spans="1:16">
      <c r="A142" s="1">
        <v>42145</v>
      </c>
      <c r="B142">
        <v>104</v>
      </c>
      <c r="C142">
        <v>20</v>
      </c>
      <c r="D142">
        <v>84</v>
      </c>
      <c r="E142">
        <v>954750</v>
      </c>
      <c r="F142">
        <v>87400</v>
      </c>
      <c r="G142">
        <v>1042150</v>
      </c>
      <c r="H142">
        <v>2</v>
      </c>
      <c r="I142">
        <v>1</v>
      </c>
      <c r="J142">
        <v>3</v>
      </c>
      <c r="K142" t="b">
        <f>TrafficData[[#This Row],[disposedChallan]]+TrafficData[[#This Row],[pendingChallan]]=TrafficData[[#This Row],[totalChallan]]</f>
        <v>1</v>
      </c>
      <c r="L142" t="b">
        <f>TrafficData[[#This Row],[pendingAmount]]+TrafficData[[#This Row],[disposedAmount]]=TrafficData[[#This Row],[totalAmount]]</f>
        <v>1</v>
      </c>
      <c r="M142" t="b">
        <f>TrafficData[[#This Row],[pendingCourt]]+TrafficData[[#This Row],[disposedCourt]]=TrafficData[[#This Row],[totalCourt]]</f>
        <v>1</v>
      </c>
      <c r="N142" s="8" t="b">
        <f>AND(TrafficData[[#This Row],[disposedChallan]]&lt;=TrafficData[[#This Row],[totalChallan]],TrafficData[[#This Row],[pendingChallan]]&lt;=TrafficData[[#This Row],[totalChallan]])</f>
        <v>1</v>
      </c>
      <c r="O142" s="8" t="b">
        <f>AND(TrafficData[[#This Row],[pendingAmount]]&lt;=TrafficData[[#This Row],[totalAmount]],TrafficData[[#This Row],[disposedAmount]]&lt;=TrafficData[[#This Row],[totalAmount]])</f>
        <v>1</v>
      </c>
      <c r="P142" s="8" t="b">
        <f>AND(TrafficData[[#This Row],[pendingCourt]]&lt;=TrafficData[[#This Row],[totalCourt]],TrafficData[[#This Row],[disposedCourt]]&lt;=TrafficData[[#This Row],[totalCourt]])</f>
        <v>1</v>
      </c>
    </row>
    <row r="143" spans="1:16">
      <c r="A143" s="1">
        <v>42146</v>
      </c>
      <c r="B143">
        <v>62</v>
      </c>
      <c r="C143">
        <v>20</v>
      </c>
      <c r="D143">
        <v>42</v>
      </c>
      <c r="E143">
        <v>358950</v>
      </c>
      <c r="F143">
        <v>125899</v>
      </c>
      <c r="G143">
        <v>484849</v>
      </c>
      <c r="H143">
        <v>2</v>
      </c>
      <c r="I143">
        <v>0</v>
      </c>
      <c r="J143">
        <v>2</v>
      </c>
      <c r="K143" t="b">
        <f>TrafficData[[#This Row],[disposedChallan]]+TrafficData[[#This Row],[pendingChallan]]=TrafficData[[#This Row],[totalChallan]]</f>
        <v>1</v>
      </c>
      <c r="L143" t="b">
        <f>TrafficData[[#This Row],[pendingAmount]]+TrafficData[[#This Row],[disposedAmount]]=TrafficData[[#This Row],[totalAmount]]</f>
        <v>1</v>
      </c>
      <c r="M143" t="b">
        <f>TrafficData[[#This Row],[pendingCourt]]+TrafficData[[#This Row],[disposedCourt]]=TrafficData[[#This Row],[totalCourt]]</f>
        <v>1</v>
      </c>
      <c r="N143" s="8" t="b">
        <f>AND(TrafficData[[#This Row],[disposedChallan]]&lt;=TrafficData[[#This Row],[totalChallan]],TrafficData[[#This Row],[pendingChallan]]&lt;=TrafficData[[#This Row],[totalChallan]])</f>
        <v>1</v>
      </c>
      <c r="O143" s="8" t="b">
        <f>AND(TrafficData[[#This Row],[pendingAmount]]&lt;=TrafficData[[#This Row],[totalAmount]],TrafficData[[#This Row],[disposedAmount]]&lt;=TrafficData[[#This Row],[totalAmount]])</f>
        <v>1</v>
      </c>
      <c r="P143" s="8" t="b">
        <f>AND(TrafficData[[#This Row],[pendingCourt]]&lt;=TrafficData[[#This Row],[totalCourt]],TrafficData[[#This Row],[disposedCourt]]&lt;=TrafficData[[#This Row],[totalCourt]])</f>
        <v>1</v>
      </c>
    </row>
    <row r="144" spans="1:16">
      <c r="A144" s="1">
        <v>42147</v>
      </c>
      <c r="B144">
        <v>81</v>
      </c>
      <c r="C144">
        <v>22</v>
      </c>
      <c r="D144">
        <v>59</v>
      </c>
      <c r="E144">
        <v>385500</v>
      </c>
      <c r="F144">
        <v>61025</v>
      </c>
      <c r="G144">
        <v>446525</v>
      </c>
      <c r="H144">
        <v>0</v>
      </c>
      <c r="I144">
        <v>1</v>
      </c>
      <c r="J144">
        <v>1</v>
      </c>
      <c r="K144" t="b">
        <f>TrafficData[[#This Row],[disposedChallan]]+TrafficData[[#This Row],[pendingChallan]]=TrafficData[[#This Row],[totalChallan]]</f>
        <v>1</v>
      </c>
      <c r="L144" t="b">
        <f>TrafficData[[#This Row],[pendingAmount]]+TrafficData[[#This Row],[disposedAmount]]=TrafficData[[#This Row],[totalAmount]]</f>
        <v>1</v>
      </c>
      <c r="M144" t="b">
        <f>TrafficData[[#This Row],[pendingCourt]]+TrafficData[[#This Row],[disposedCourt]]=TrafficData[[#This Row],[totalCourt]]</f>
        <v>1</v>
      </c>
      <c r="N144" s="8" t="b">
        <f>AND(TrafficData[[#This Row],[disposedChallan]]&lt;=TrafficData[[#This Row],[totalChallan]],TrafficData[[#This Row],[pendingChallan]]&lt;=TrafficData[[#This Row],[totalChallan]])</f>
        <v>1</v>
      </c>
      <c r="O144" s="8" t="b">
        <f>AND(TrafficData[[#This Row],[pendingAmount]]&lt;=TrafficData[[#This Row],[totalAmount]],TrafficData[[#This Row],[disposedAmount]]&lt;=TrafficData[[#This Row],[totalAmount]])</f>
        <v>1</v>
      </c>
      <c r="P144" s="8" t="b">
        <f>AND(TrafficData[[#This Row],[pendingCourt]]&lt;=TrafficData[[#This Row],[totalCourt]],TrafficData[[#This Row],[disposedCourt]]&lt;=TrafficData[[#This Row],[totalCourt]])</f>
        <v>1</v>
      </c>
    </row>
    <row r="145" spans="1:16">
      <c r="A145" s="1">
        <v>42148</v>
      </c>
      <c r="B145">
        <v>63</v>
      </c>
      <c r="C145">
        <v>16</v>
      </c>
      <c r="D145">
        <v>47</v>
      </c>
      <c r="E145">
        <v>308450</v>
      </c>
      <c r="F145">
        <v>59350</v>
      </c>
      <c r="G145">
        <v>367800</v>
      </c>
      <c r="H145">
        <v>0</v>
      </c>
      <c r="I145">
        <v>0</v>
      </c>
      <c r="J145">
        <v>0</v>
      </c>
      <c r="K145" t="b">
        <f>TrafficData[[#This Row],[disposedChallan]]+TrafficData[[#This Row],[pendingChallan]]=TrafficData[[#This Row],[totalChallan]]</f>
        <v>1</v>
      </c>
      <c r="L145" t="b">
        <f>TrafficData[[#This Row],[pendingAmount]]+TrafficData[[#This Row],[disposedAmount]]=TrafficData[[#This Row],[totalAmount]]</f>
        <v>1</v>
      </c>
      <c r="M145" t="b">
        <f>TrafficData[[#This Row],[pendingCourt]]+TrafficData[[#This Row],[disposedCourt]]=TrafficData[[#This Row],[totalCourt]]</f>
        <v>1</v>
      </c>
      <c r="N145" s="8" t="b">
        <f>AND(TrafficData[[#This Row],[disposedChallan]]&lt;=TrafficData[[#This Row],[totalChallan]],TrafficData[[#This Row],[pendingChallan]]&lt;=TrafficData[[#This Row],[totalChallan]])</f>
        <v>1</v>
      </c>
      <c r="O145" s="8" t="b">
        <f>AND(TrafficData[[#This Row],[pendingAmount]]&lt;=TrafficData[[#This Row],[totalAmount]],TrafficData[[#This Row],[disposedAmount]]&lt;=TrafficData[[#This Row],[totalAmount]])</f>
        <v>1</v>
      </c>
      <c r="P145" s="8" t="b">
        <f>AND(TrafficData[[#This Row],[pendingCourt]]&lt;=TrafficData[[#This Row],[totalCourt]],TrafficData[[#This Row],[disposedCourt]]&lt;=TrafficData[[#This Row],[totalCourt]])</f>
        <v>1</v>
      </c>
    </row>
    <row r="146" spans="1:16">
      <c r="A146" s="1">
        <v>42149</v>
      </c>
      <c r="B146">
        <v>108</v>
      </c>
      <c r="C146">
        <v>35</v>
      </c>
      <c r="D146">
        <v>73</v>
      </c>
      <c r="E146">
        <v>481650</v>
      </c>
      <c r="F146">
        <v>156800</v>
      </c>
      <c r="G146">
        <v>638450</v>
      </c>
      <c r="H146">
        <v>4</v>
      </c>
      <c r="I146">
        <v>0</v>
      </c>
      <c r="J146">
        <v>4</v>
      </c>
      <c r="K146" t="b">
        <f>TrafficData[[#This Row],[disposedChallan]]+TrafficData[[#This Row],[pendingChallan]]=TrafficData[[#This Row],[totalChallan]]</f>
        <v>1</v>
      </c>
      <c r="L146" t="b">
        <f>TrafficData[[#This Row],[pendingAmount]]+TrafficData[[#This Row],[disposedAmount]]=TrafficData[[#This Row],[totalAmount]]</f>
        <v>1</v>
      </c>
      <c r="M146" t="b">
        <f>TrafficData[[#This Row],[pendingCourt]]+TrafficData[[#This Row],[disposedCourt]]=TrafficData[[#This Row],[totalCourt]]</f>
        <v>1</v>
      </c>
      <c r="N146" s="8" t="b">
        <f>AND(TrafficData[[#This Row],[disposedChallan]]&lt;=TrafficData[[#This Row],[totalChallan]],TrafficData[[#This Row],[pendingChallan]]&lt;=TrafficData[[#This Row],[totalChallan]])</f>
        <v>1</v>
      </c>
      <c r="O146" s="8" t="b">
        <f>AND(TrafficData[[#This Row],[pendingAmount]]&lt;=TrafficData[[#This Row],[totalAmount]],TrafficData[[#This Row],[disposedAmount]]&lt;=TrafficData[[#This Row],[totalAmount]])</f>
        <v>1</v>
      </c>
      <c r="P146" s="8" t="b">
        <f>AND(TrafficData[[#This Row],[pendingCourt]]&lt;=TrafficData[[#This Row],[totalCourt]],TrafficData[[#This Row],[disposedCourt]]&lt;=TrafficData[[#This Row],[totalCourt]])</f>
        <v>1</v>
      </c>
    </row>
    <row r="147" spans="1:16">
      <c r="A147" s="1">
        <v>42150</v>
      </c>
      <c r="B147">
        <v>77</v>
      </c>
      <c r="C147">
        <v>19</v>
      </c>
      <c r="D147">
        <v>58</v>
      </c>
      <c r="E147">
        <v>439950</v>
      </c>
      <c r="F147">
        <v>103430</v>
      </c>
      <c r="G147">
        <v>543380</v>
      </c>
      <c r="H147">
        <v>0</v>
      </c>
      <c r="I147">
        <v>0</v>
      </c>
      <c r="J147">
        <v>0</v>
      </c>
      <c r="K147" t="b">
        <f>TrafficData[[#This Row],[disposedChallan]]+TrafficData[[#This Row],[pendingChallan]]=TrafficData[[#This Row],[totalChallan]]</f>
        <v>1</v>
      </c>
      <c r="L147" t="b">
        <f>TrafficData[[#This Row],[pendingAmount]]+TrafficData[[#This Row],[disposedAmount]]=TrafficData[[#This Row],[totalAmount]]</f>
        <v>1</v>
      </c>
      <c r="M147" t="b">
        <f>TrafficData[[#This Row],[pendingCourt]]+TrafficData[[#This Row],[disposedCourt]]=TrafficData[[#This Row],[totalCourt]]</f>
        <v>1</v>
      </c>
      <c r="N147" s="8" t="b">
        <f>AND(TrafficData[[#This Row],[disposedChallan]]&lt;=TrafficData[[#This Row],[totalChallan]],TrafficData[[#This Row],[pendingChallan]]&lt;=TrafficData[[#This Row],[totalChallan]])</f>
        <v>1</v>
      </c>
      <c r="O147" s="8" t="b">
        <f>AND(TrafficData[[#This Row],[pendingAmount]]&lt;=TrafficData[[#This Row],[totalAmount]],TrafficData[[#This Row],[disposedAmount]]&lt;=TrafficData[[#This Row],[totalAmount]])</f>
        <v>1</v>
      </c>
      <c r="P147" s="8" t="b">
        <f>AND(TrafficData[[#This Row],[pendingCourt]]&lt;=TrafficData[[#This Row],[totalCourt]],TrafficData[[#This Row],[disposedCourt]]&lt;=TrafficData[[#This Row],[totalCourt]])</f>
        <v>1</v>
      </c>
    </row>
    <row r="148" spans="1:16">
      <c r="A148" s="1">
        <v>42151</v>
      </c>
      <c r="B148">
        <v>111</v>
      </c>
      <c r="C148">
        <v>33</v>
      </c>
      <c r="D148">
        <v>78</v>
      </c>
      <c r="E148">
        <v>715150</v>
      </c>
      <c r="F148">
        <v>209300</v>
      </c>
      <c r="G148">
        <v>924450</v>
      </c>
      <c r="H148">
        <v>2</v>
      </c>
      <c r="I148">
        <v>0</v>
      </c>
      <c r="J148">
        <v>2</v>
      </c>
      <c r="K148" t="b">
        <f>TrafficData[[#This Row],[disposedChallan]]+TrafficData[[#This Row],[pendingChallan]]=TrafficData[[#This Row],[totalChallan]]</f>
        <v>1</v>
      </c>
      <c r="L148" t="b">
        <f>TrafficData[[#This Row],[pendingAmount]]+TrafficData[[#This Row],[disposedAmount]]=TrafficData[[#This Row],[totalAmount]]</f>
        <v>1</v>
      </c>
      <c r="M148" t="b">
        <f>TrafficData[[#This Row],[pendingCourt]]+TrafficData[[#This Row],[disposedCourt]]=TrafficData[[#This Row],[totalCourt]]</f>
        <v>1</v>
      </c>
      <c r="N148" s="8" t="b">
        <f>AND(TrafficData[[#This Row],[disposedChallan]]&lt;=TrafficData[[#This Row],[totalChallan]],TrafficData[[#This Row],[pendingChallan]]&lt;=TrafficData[[#This Row],[totalChallan]])</f>
        <v>1</v>
      </c>
      <c r="O148" s="8" t="b">
        <f>AND(TrafficData[[#This Row],[pendingAmount]]&lt;=TrafficData[[#This Row],[totalAmount]],TrafficData[[#This Row],[disposedAmount]]&lt;=TrafficData[[#This Row],[totalAmount]])</f>
        <v>1</v>
      </c>
      <c r="P148" s="8" t="b">
        <f>AND(TrafficData[[#This Row],[pendingCourt]]&lt;=TrafficData[[#This Row],[totalCourt]],TrafficData[[#This Row],[disposedCourt]]&lt;=TrafficData[[#This Row],[totalCourt]])</f>
        <v>1</v>
      </c>
    </row>
    <row r="149" spans="1:16">
      <c r="A149" s="1">
        <v>42152</v>
      </c>
      <c r="B149">
        <v>94</v>
      </c>
      <c r="C149">
        <v>22</v>
      </c>
      <c r="D149">
        <v>72</v>
      </c>
      <c r="E149">
        <v>480300</v>
      </c>
      <c r="F149">
        <v>131800</v>
      </c>
      <c r="G149">
        <v>612100</v>
      </c>
      <c r="H149">
        <v>5</v>
      </c>
      <c r="I149">
        <v>1</v>
      </c>
      <c r="J149">
        <v>6</v>
      </c>
      <c r="K149" t="b">
        <f>TrafficData[[#This Row],[disposedChallan]]+TrafficData[[#This Row],[pendingChallan]]=TrafficData[[#This Row],[totalChallan]]</f>
        <v>1</v>
      </c>
      <c r="L149" t="b">
        <f>TrafficData[[#This Row],[pendingAmount]]+TrafficData[[#This Row],[disposedAmount]]=TrafficData[[#This Row],[totalAmount]]</f>
        <v>1</v>
      </c>
      <c r="M149" t="b">
        <f>TrafficData[[#This Row],[pendingCourt]]+TrafficData[[#This Row],[disposedCourt]]=TrafficData[[#This Row],[totalCourt]]</f>
        <v>1</v>
      </c>
      <c r="N149" s="8" t="b">
        <f>AND(TrafficData[[#This Row],[disposedChallan]]&lt;=TrafficData[[#This Row],[totalChallan]],TrafficData[[#This Row],[pendingChallan]]&lt;=TrafficData[[#This Row],[totalChallan]])</f>
        <v>1</v>
      </c>
      <c r="O149" s="8" t="b">
        <f>AND(TrafficData[[#This Row],[pendingAmount]]&lt;=TrafficData[[#This Row],[totalAmount]],TrafficData[[#This Row],[disposedAmount]]&lt;=TrafficData[[#This Row],[totalAmount]])</f>
        <v>1</v>
      </c>
      <c r="P149" s="8" t="b">
        <f>AND(TrafficData[[#This Row],[pendingCourt]]&lt;=TrafficData[[#This Row],[totalCourt]],TrafficData[[#This Row],[disposedCourt]]&lt;=TrafficData[[#This Row],[totalCourt]])</f>
        <v>1</v>
      </c>
    </row>
    <row r="150" spans="1:16">
      <c r="A150" s="1">
        <v>42153</v>
      </c>
      <c r="B150">
        <v>97</v>
      </c>
      <c r="C150">
        <v>19</v>
      </c>
      <c r="D150">
        <v>78</v>
      </c>
      <c r="E150">
        <v>518250</v>
      </c>
      <c r="F150">
        <v>92100</v>
      </c>
      <c r="G150">
        <v>610350</v>
      </c>
      <c r="H150">
        <v>6</v>
      </c>
      <c r="I150">
        <v>0</v>
      </c>
      <c r="J150">
        <v>6</v>
      </c>
      <c r="K150" t="b">
        <f>TrafficData[[#This Row],[disposedChallan]]+TrafficData[[#This Row],[pendingChallan]]=TrafficData[[#This Row],[totalChallan]]</f>
        <v>1</v>
      </c>
      <c r="L150" t="b">
        <f>TrafficData[[#This Row],[pendingAmount]]+TrafficData[[#This Row],[disposedAmount]]=TrafficData[[#This Row],[totalAmount]]</f>
        <v>1</v>
      </c>
      <c r="M150" t="b">
        <f>TrafficData[[#This Row],[pendingCourt]]+TrafficData[[#This Row],[disposedCourt]]=TrafficData[[#This Row],[totalCourt]]</f>
        <v>1</v>
      </c>
      <c r="N150" s="8" t="b">
        <f>AND(TrafficData[[#This Row],[disposedChallan]]&lt;=TrafficData[[#This Row],[totalChallan]],TrafficData[[#This Row],[pendingChallan]]&lt;=TrafficData[[#This Row],[totalChallan]])</f>
        <v>1</v>
      </c>
      <c r="O150" s="8" t="b">
        <f>AND(TrafficData[[#This Row],[pendingAmount]]&lt;=TrafficData[[#This Row],[totalAmount]],TrafficData[[#This Row],[disposedAmount]]&lt;=TrafficData[[#This Row],[totalAmount]])</f>
        <v>1</v>
      </c>
      <c r="P150" s="8" t="b">
        <f>AND(TrafficData[[#This Row],[pendingCourt]]&lt;=TrafficData[[#This Row],[totalCourt]],TrafficData[[#This Row],[disposedCourt]]&lt;=TrafficData[[#This Row],[totalCourt]])</f>
        <v>1</v>
      </c>
    </row>
    <row r="151" spans="1:16">
      <c r="A151" s="1">
        <v>42154</v>
      </c>
      <c r="B151">
        <v>105</v>
      </c>
      <c r="C151">
        <v>44</v>
      </c>
      <c r="D151">
        <v>61</v>
      </c>
      <c r="E151">
        <v>302800</v>
      </c>
      <c r="F151">
        <v>242100</v>
      </c>
      <c r="G151">
        <v>544900</v>
      </c>
      <c r="H151">
        <v>2</v>
      </c>
      <c r="I151">
        <v>1</v>
      </c>
      <c r="J151">
        <v>3</v>
      </c>
      <c r="K151" t="b">
        <f>TrafficData[[#This Row],[disposedChallan]]+TrafficData[[#This Row],[pendingChallan]]=TrafficData[[#This Row],[totalChallan]]</f>
        <v>1</v>
      </c>
      <c r="L151" t="b">
        <f>TrafficData[[#This Row],[pendingAmount]]+TrafficData[[#This Row],[disposedAmount]]=TrafficData[[#This Row],[totalAmount]]</f>
        <v>1</v>
      </c>
      <c r="M151" t="b">
        <f>TrafficData[[#This Row],[pendingCourt]]+TrafficData[[#This Row],[disposedCourt]]=TrafficData[[#This Row],[totalCourt]]</f>
        <v>1</v>
      </c>
      <c r="N151" s="8" t="b">
        <f>AND(TrafficData[[#This Row],[disposedChallan]]&lt;=TrafficData[[#This Row],[totalChallan]],TrafficData[[#This Row],[pendingChallan]]&lt;=TrafficData[[#This Row],[totalChallan]])</f>
        <v>1</v>
      </c>
      <c r="O151" s="8" t="b">
        <f>AND(TrafficData[[#This Row],[pendingAmount]]&lt;=TrafficData[[#This Row],[totalAmount]],TrafficData[[#This Row],[disposedAmount]]&lt;=TrafficData[[#This Row],[totalAmount]])</f>
        <v>1</v>
      </c>
      <c r="P151" s="8" t="b">
        <f>AND(TrafficData[[#This Row],[pendingCourt]]&lt;=TrafficData[[#This Row],[totalCourt]],TrafficData[[#This Row],[disposedCourt]]&lt;=TrafficData[[#This Row],[totalCourt]])</f>
        <v>1</v>
      </c>
    </row>
    <row r="152" spans="1:16">
      <c r="A152" s="1">
        <v>42155</v>
      </c>
      <c r="B152">
        <v>58</v>
      </c>
      <c r="C152">
        <v>19</v>
      </c>
      <c r="D152">
        <v>39</v>
      </c>
      <c r="E152">
        <v>277901</v>
      </c>
      <c r="F152">
        <v>113200</v>
      </c>
      <c r="G152">
        <v>391101</v>
      </c>
      <c r="H152">
        <v>0</v>
      </c>
      <c r="I152">
        <v>1</v>
      </c>
      <c r="J152">
        <v>1</v>
      </c>
      <c r="K152" t="b">
        <f>TrafficData[[#This Row],[disposedChallan]]+TrafficData[[#This Row],[pendingChallan]]=TrafficData[[#This Row],[totalChallan]]</f>
        <v>1</v>
      </c>
      <c r="L152" t="b">
        <f>TrafficData[[#This Row],[pendingAmount]]+TrafficData[[#This Row],[disposedAmount]]=TrafficData[[#This Row],[totalAmount]]</f>
        <v>1</v>
      </c>
      <c r="M152" t="b">
        <f>TrafficData[[#This Row],[pendingCourt]]+TrafficData[[#This Row],[disposedCourt]]=TrafficData[[#This Row],[totalCourt]]</f>
        <v>1</v>
      </c>
      <c r="N152" s="8" t="b">
        <f>AND(TrafficData[[#This Row],[disposedChallan]]&lt;=TrafficData[[#This Row],[totalChallan]],TrafficData[[#This Row],[pendingChallan]]&lt;=TrafficData[[#This Row],[totalChallan]])</f>
        <v>1</v>
      </c>
      <c r="O152" s="8" t="b">
        <f>AND(TrafficData[[#This Row],[pendingAmount]]&lt;=TrafficData[[#This Row],[totalAmount]],TrafficData[[#This Row],[disposedAmount]]&lt;=TrafficData[[#This Row],[totalAmount]])</f>
        <v>1</v>
      </c>
      <c r="P152" s="8" t="b">
        <f>AND(TrafficData[[#This Row],[pendingCourt]]&lt;=TrafficData[[#This Row],[totalCourt]],TrafficData[[#This Row],[disposedCourt]]&lt;=TrafficData[[#This Row],[totalCourt]])</f>
        <v>1</v>
      </c>
    </row>
    <row r="153" spans="1:16">
      <c r="A153" s="1">
        <v>42156</v>
      </c>
      <c r="B153">
        <v>107</v>
      </c>
      <c r="C153">
        <v>36</v>
      </c>
      <c r="D153">
        <v>71</v>
      </c>
      <c r="E153">
        <v>632450</v>
      </c>
      <c r="F153">
        <v>244000</v>
      </c>
      <c r="G153">
        <v>876450</v>
      </c>
      <c r="H153">
        <v>3</v>
      </c>
      <c r="I153">
        <v>1</v>
      </c>
      <c r="J153">
        <v>4</v>
      </c>
      <c r="K153" t="b">
        <f>TrafficData[[#This Row],[disposedChallan]]+TrafficData[[#This Row],[pendingChallan]]=TrafficData[[#This Row],[totalChallan]]</f>
        <v>1</v>
      </c>
      <c r="L153" t="b">
        <f>TrafficData[[#This Row],[pendingAmount]]+TrafficData[[#This Row],[disposedAmount]]=TrafficData[[#This Row],[totalAmount]]</f>
        <v>1</v>
      </c>
      <c r="M153" t="b">
        <f>TrafficData[[#This Row],[pendingCourt]]+TrafficData[[#This Row],[disposedCourt]]=TrafficData[[#This Row],[totalCourt]]</f>
        <v>1</v>
      </c>
      <c r="N153" s="8" t="b">
        <f>AND(TrafficData[[#This Row],[disposedChallan]]&lt;=TrafficData[[#This Row],[totalChallan]],TrafficData[[#This Row],[pendingChallan]]&lt;=TrafficData[[#This Row],[totalChallan]])</f>
        <v>1</v>
      </c>
      <c r="O153" s="8" t="b">
        <f>AND(TrafficData[[#This Row],[pendingAmount]]&lt;=TrafficData[[#This Row],[totalAmount]],TrafficData[[#This Row],[disposedAmount]]&lt;=TrafficData[[#This Row],[totalAmount]])</f>
        <v>1</v>
      </c>
      <c r="P153" s="8" t="b">
        <f>AND(TrafficData[[#This Row],[pendingCourt]]&lt;=TrafficData[[#This Row],[totalCourt]],TrafficData[[#This Row],[disposedCourt]]&lt;=TrafficData[[#This Row],[totalCourt]])</f>
        <v>1</v>
      </c>
    </row>
    <row r="154" spans="1:16">
      <c r="A154" s="1">
        <v>42157</v>
      </c>
      <c r="B154">
        <v>98</v>
      </c>
      <c r="C154">
        <v>31</v>
      </c>
      <c r="D154">
        <v>67</v>
      </c>
      <c r="E154">
        <v>561550</v>
      </c>
      <c r="F154">
        <v>160405</v>
      </c>
      <c r="G154">
        <v>721955</v>
      </c>
      <c r="H154">
        <v>6</v>
      </c>
      <c r="I154">
        <v>0</v>
      </c>
      <c r="J154">
        <v>6</v>
      </c>
      <c r="K154" t="b">
        <f>TrafficData[[#This Row],[disposedChallan]]+TrafficData[[#This Row],[pendingChallan]]=TrafficData[[#This Row],[totalChallan]]</f>
        <v>1</v>
      </c>
      <c r="L154" t="b">
        <f>TrafficData[[#This Row],[pendingAmount]]+TrafficData[[#This Row],[disposedAmount]]=TrafficData[[#This Row],[totalAmount]]</f>
        <v>1</v>
      </c>
      <c r="M154" t="b">
        <f>TrafficData[[#This Row],[pendingCourt]]+TrafficData[[#This Row],[disposedCourt]]=TrafficData[[#This Row],[totalCourt]]</f>
        <v>1</v>
      </c>
      <c r="N154" s="8" t="b">
        <f>AND(TrafficData[[#This Row],[disposedChallan]]&lt;=TrafficData[[#This Row],[totalChallan]],TrafficData[[#This Row],[pendingChallan]]&lt;=TrafficData[[#This Row],[totalChallan]])</f>
        <v>1</v>
      </c>
      <c r="O154" s="8" t="b">
        <f>AND(TrafficData[[#This Row],[pendingAmount]]&lt;=TrafficData[[#This Row],[totalAmount]],TrafficData[[#This Row],[disposedAmount]]&lt;=TrafficData[[#This Row],[totalAmount]])</f>
        <v>1</v>
      </c>
      <c r="P154" s="8" t="b">
        <f>AND(TrafficData[[#This Row],[pendingCourt]]&lt;=TrafficData[[#This Row],[totalCourt]],TrafficData[[#This Row],[disposedCourt]]&lt;=TrafficData[[#This Row],[totalCourt]])</f>
        <v>1</v>
      </c>
    </row>
    <row r="155" spans="1:16">
      <c r="A155" s="1">
        <v>42158</v>
      </c>
      <c r="B155">
        <v>156</v>
      </c>
      <c r="C155">
        <v>46</v>
      </c>
      <c r="D155">
        <v>110</v>
      </c>
      <c r="E155">
        <v>971600</v>
      </c>
      <c r="F155">
        <v>378240</v>
      </c>
      <c r="G155">
        <v>1349840</v>
      </c>
      <c r="H155">
        <v>2</v>
      </c>
      <c r="I155">
        <v>1</v>
      </c>
      <c r="J155">
        <v>3</v>
      </c>
      <c r="K155" t="b">
        <f>TrafficData[[#This Row],[disposedChallan]]+TrafficData[[#This Row],[pendingChallan]]=TrafficData[[#This Row],[totalChallan]]</f>
        <v>1</v>
      </c>
      <c r="L155" t="b">
        <f>TrafficData[[#This Row],[pendingAmount]]+TrafficData[[#This Row],[disposedAmount]]=TrafficData[[#This Row],[totalAmount]]</f>
        <v>1</v>
      </c>
      <c r="M155" t="b">
        <f>TrafficData[[#This Row],[pendingCourt]]+TrafficData[[#This Row],[disposedCourt]]=TrafficData[[#This Row],[totalCourt]]</f>
        <v>1</v>
      </c>
      <c r="N155" s="8" t="b">
        <f>AND(TrafficData[[#This Row],[disposedChallan]]&lt;=TrafficData[[#This Row],[totalChallan]],TrafficData[[#This Row],[pendingChallan]]&lt;=TrafficData[[#This Row],[totalChallan]])</f>
        <v>1</v>
      </c>
      <c r="O155" s="8" t="b">
        <f>AND(TrafficData[[#This Row],[pendingAmount]]&lt;=TrafficData[[#This Row],[totalAmount]],TrafficData[[#This Row],[disposedAmount]]&lt;=TrafficData[[#This Row],[totalAmount]])</f>
        <v>1</v>
      </c>
      <c r="P155" s="8" t="b">
        <f>AND(TrafficData[[#This Row],[pendingCourt]]&lt;=TrafficData[[#This Row],[totalCourt]],TrafficData[[#This Row],[disposedCourt]]&lt;=TrafficData[[#This Row],[totalCourt]])</f>
        <v>1</v>
      </c>
    </row>
    <row r="156" spans="1:16">
      <c r="A156" s="1">
        <v>42159</v>
      </c>
      <c r="B156">
        <v>139</v>
      </c>
      <c r="C156">
        <v>41</v>
      </c>
      <c r="D156">
        <v>98</v>
      </c>
      <c r="E156">
        <v>779900</v>
      </c>
      <c r="F156">
        <v>200440</v>
      </c>
      <c r="G156">
        <v>980340</v>
      </c>
      <c r="H156">
        <v>0</v>
      </c>
      <c r="I156">
        <v>0</v>
      </c>
      <c r="J156">
        <v>0</v>
      </c>
      <c r="K156" t="b">
        <f>TrafficData[[#This Row],[disposedChallan]]+TrafficData[[#This Row],[pendingChallan]]=TrafficData[[#This Row],[totalChallan]]</f>
        <v>1</v>
      </c>
      <c r="L156" t="b">
        <f>TrafficData[[#This Row],[pendingAmount]]+TrafficData[[#This Row],[disposedAmount]]=TrafficData[[#This Row],[totalAmount]]</f>
        <v>1</v>
      </c>
      <c r="M156" t="b">
        <f>TrafficData[[#This Row],[pendingCourt]]+TrafficData[[#This Row],[disposedCourt]]=TrafficData[[#This Row],[totalCourt]]</f>
        <v>1</v>
      </c>
      <c r="N156" s="8" t="b">
        <f>AND(TrafficData[[#This Row],[disposedChallan]]&lt;=TrafficData[[#This Row],[totalChallan]],TrafficData[[#This Row],[pendingChallan]]&lt;=TrafficData[[#This Row],[totalChallan]])</f>
        <v>1</v>
      </c>
      <c r="O156" s="8" t="b">
        <f>AND(TrafficData[[#This Row],[pendingAmount]]&lt;=TrafficData[[#This Row],[totalAmount]],TrafficData[[#This Row],[disposedAmount]]&lt;=TrafficData[[#This Row],[totalAmount]])</f>
        <v>1</v>
      </c>
      <c r="P156" s="8" t="b">
        <f>AND(TrafficData[[#This Row],[pendingCourt]]&lt;=TrafficData[[#This Row],[totalCourt]],TrafficData[[#This Row],[disposedCourt]]&lt;=TrafficData[[#This Row],[totalCourt]])</f>
        <v>1</v>
      </c>
    </row>
    <row r="157" spans="1:16">
      <c r="A157" s="1">
        <v>42160</v>
      </c>
      <c r="B157">
        <v>103</v>
      </c>
      <c r="C157">
        <v>28</v>
      </c>
      <c r="D157">
        <v>75</v>
      </c>
      <c r="E157">
        <v>678650</v>
      </c>
      <c r="F157">
        <v>201790</v>
      </c>
      <c r="G157">
        <v>880440</v>
      </c>
      <c r="H157">
        <v>1</v>
      </c>
      <c r="I157">
        <v>1</v>
      </c>
      <c r="J157">
        <v>2</v>
      </c>
      <c r="K157" t="b">
        <f>TrafficData[[#This Row],[disposedChallan]]+TrafficData[[#This Row],[pendingChallan]]=TrafficData[[#This Row],[totalChallan]]</f>
        <v>1</v>
      </c>
      <c r="L157" t="b">
        <f>TrafficData[[#This Row],[pendingAmount]]+TrafficData[[#This Row],[disposedAmount]]=TrafficData[[#This Row],[totalAmount]]</f>
        <v>1</v>
      </c>
      <c r="M157" t="b">
        <f>TrafficData[[#This Row],[pendingCourt]]+TrafficData[[#This Row],[disposedCourt]]=TrafficData[[#This Row],[totalCourt]]</f>
        <v>1</v>
      </c>
      <c r="N157" s="8" t="b">
        <f>AND(TrafficData[[#This Row],[disposedChallan]]&lt;=TrafficData[[#This Row],[totalChallan]],TrafficData[[#This Row],[pendingChallan]]&lt;=TrafficData[[#This Row],[totalChallan]])</f>
        <v>1</v>
      </c>
      <c r="O157" s="8" t="b">
        <f>AND(TrafficData[[#This Row],[pendingAmount]]&lt;=TrafficData[[#This Row],[totalAmount]],TrafficData[[#This Row],[disposedAmount]]&lt;=TrafficData[[#This Row],[totalAmount]])</f>
        <v>1</v>
      </c>
      <c r="P157" s="8" t="b">
        <f>AND(TrafficData[[#This Row],[pendingCourt]]&lt;=TrafficData[[#This Row],[totalCourt]],TrafficData[[#This Row],[disposedCourt]]&lt;=TrafficData[[#This Row],[totalCourt]])</f>
        <v>1</v>
      </c>
    </row>
    <row r="158" spans="1:16">
      <c r="A158" s="1">
        <v>42161</v>
      </c>
      <c r="B158">
        <v>98</v>
      </c>
      <c r="C158">
        <v>26</v>
      </c>
      <c r="D158">
        <v>72</v>
      </c>
      <c r="E158">
        <v>584250</v>
      </c>
      <c r="F158">
        <v>163998</v>
      </c>
      <c r="G158">
        <v>748248</v>
      </c>
      <c r="H158">
        <v>1</v>
      </c>
      <c r="I158">
        <v>0</v>
      </c>
      <c r="J158">
        <v>1</v>
      </c>
      <c r="K158" t="b">
        <f>TrafficData[[#This Row],[disposedChallan]]+TrafficData[[#This Row],[pendingChallan]]=TrafficData[[#This Row],[totalChallan]]</f>
        <v>1</v>
      </c>
      <c r="L158" t="b">
        <f>TrafficData[[#This Row],[pendingAmount]]+TrafficData[[#This Row],[disposedAmount]]=TrafficData[[#This Row],[totalAmount]]</f>
        <v>1</v>
      </c>
      <c r="M158" t="b">
        <f>TrafficData[[#This Row],[pendingCourt]]+TrafficData[[#This Row],[disposedCourt]]=TrafficData[[#This Row],[totalCourt]]</f>
        <v>1</v>
      </c>
      <c r="N158" s="8" t="b">
        <f>AND(TrafficData[[#This Row],[disposedChallan]]&lt;=TrafficData[[#This Row],[totalChallan]],TrafficData[[#This Row],[pendingChallan]]&lt;=TrafficData[[#This Row],[totalChallan]])</f>
        <v>1</v>
      </c>
      <c r="O158" s="8" t="b">
        <f>AND(TrafficData[[#This Row],[pendingAmount]]&lt;=TrafficData[[#This Row],[totalAmount]],TrafficData[[#This Row],[disposedAmount]]&lt;=TrafficData[[#This Row],[totalAmount]])</f>
        <v>1</v>
      </c>
      <c r="P158" s="8" t="b">
        <f>AND(TrafficData[[#This Row],[pendingCourt]]&lt;=TrafficData[[#This Row],[totalCourt]],TrafficData[[#This Row],[disposedCourt]]&lt;=TrafficData[[#This Row],[totalCourt]])</f>
        <v>1</v>
      </c>
    </row>
    <row r="159" spans="1:16">
      <c r="A159" s="1">
        <v>42162</v>
      </c>
      <c r="B159">
        <v>82</v>
      </c>
      <c r="C159">
        <v>29</v>
      </c>
      <c r="D159">
        <v>53</v>
      </c>
      <c r="E159">
        <v>431550</v>
      </c>
      <c r="F159">
        <v>170400</v>
      </c>
      <c r="G159">
        <v>601950</v>
      </c>
      <c r="H159">
        <v>0</v>
      </c>
      <c r="I159">
        <v>1</v>
      </c>
      <c r="J159">
        <v>1</v>
      </c>
      <c r="K159" t="b">
        <f>TrafficData[[#This Row],[disposedChallan]]+TrafficData[[#This Row],[pendingChallan]]=TrafficData[[#This Row],[totalChallan]]</f>
        <v>1</v>
      </c>
      <c r="L159" t="b">
        <f>TrafficData[[#This Row],[pendingAmount]]+TrafficData[[#This Row],[disposedAmount]]=TrafficData[[#This Row],[totalAmount]]</f>
        <v>1</v>
      </c>
      <c r="M159" t="b">
        <f>TrafficData[[#This Row],[pendingCourt]]+TrafficData[[#This Row],[disposedCourt]]=TrafficData[[#This Row],[totalCourt]]</f>
        <v>1</v>
      </c>
      <c r="N159" s="8" t="b">
        <f>AND(TrafficData[[#This Row],[disposedChallan]]&lt;=TrafficData[[#This Row],[totalChallan]],TrafficData[[#This Row],[pendingChallan]]&lt;=TrafficData[[#This Row],[totalChallan]])</f>
        <v>1</v>
      </c>
      <c r="O159" s="8" t="b">
        <f>AND(TrafficData[[#This Row],[pendingAmount]]&lt;=TrafficData[[#This Row],[totalAmount]],TrafficData[[#This Row],[disposedAmount]]&lt;=TrafficData[[#This Row],[totalAmount]])</f>
        <v>1</v>
      </c>
      <c r="P159" s="8" t="b">
        <f>AND(TrafficData[[#This Row],[pendingCourt]]&lt;=TrafficData[[#This Row],[totalCourt]],TrafficData[[#This Row],[disposedCourt]]&lt;=TrafficData[[#This Row],[totalCourt]])</f>
        <v>1</v>
      </c>
    </row>
    <row r="160" spans="1:16">
      <c r="A160" s="1">
        <v>42163</v>
      </c>
      <c r="B160">
        <v>113</v>
      </c>
      <c r="C160">
        <v>36</v>
      </c>
      <c r="D160">
        <v>77</v>
      </c>
      <c r="E160">
        <v>712700</v>
      </c>
      <c r="F160">
        <v>173480</v>
      </c>
      <c r="G160">
        <v>886180</v>
      </c>
      <c r="H160">
        <v>2</v>
      </c>
      <c r="I160">
        <v>0</v>
      </c>
      <c r="J160">
        <v>2</v>
      </c>
      <c r="K160" t="b">
        <f>TrafficData[[#This Row],[disposedChallan]]+TrafficData[[#This Row],[pendingChallan]]=TrafficData[[#This Row],[totalChallan]]</f>
        <v>1</v>
      </c>
      <c r="L160" t="b">
        <f>TrafficData[[#This Row],[pendingAmount]]+TrafficData[[#This Row],[disposedAmount]]=TrafficData[[#This Row],[totalAmount]]</f>
        <v>1</v>
      </c>
      <c r="M160" t="b">
        <f>TrafficData[[#This Row],[pendingCourt]]+TrafficData[[#This Row],[disposedCourt]]=TrafficData[[#This Row],[totalCourt]]</f>
        <v>1</v>
      </c>
      <c r="N160" s="8" t="b">
        <f>AND(TrafficData[[#This Row],[disposedChallan]]&lt;=TrafficData[[#This Row],[totalChallan]],TrafficData[[#This Row],[pendingChallan]]&lt;=TrafficData[[#This Row],[totalChallan]])</f>
        <v>1</v>
      </c>
      <c r="O160" s="8" t="b">
        <f>AND(TrafficData[[#This Row],[pendingAmount]]&lt;=TrafficData[[#This Row],[totalAmount]],TrafficData[[#This Row],[disposedAmount]]&lt;=TrafficData[[#This Row],[totalAmount]])</f>
        <v>1</v>
      </c>
      <c r="P160" s="8" t="b">
        <f>AND(TrafficData[[#This Row],[pendingCourt]]&lt;=TrafficData[[#This Row],[totalCourt]],TrafficData[[#This Row],[disposedCourt]]&lt;=TrafficData[[#This Row],[totalCourt]])</f>
        <v>1</v>
      </c>
    </row>
    <row r="161" spans="1:16">
      <c r="A161" s="1">
        <v>42164</v>
      </c>
      <c r="B161">
        <v>93</v>
      </c>
      <c r="C161">
        <v>21</v>
      </c>
      <c r="D161">
        <v>72</v>
      </c>
      <c r="E161">
        <v>591500</v>
      </c>
      <c r="F161">
        <v>111600</v>
      </c>
      <c r="G161">
        <v>703100</v>
      </c>
      <c r="H161">
        <v>0</v>
      </c>
      <c r="I161">
        <v>0</v>
      </c>
      <c r="J161">
        <v>0</v>
      </c>
      <c r="K161" t="b">
        <f>TrafficData[[#This Row],[disposedChallan]]+TrafficData[[#This Row],[pendingChallan]]=TrafficData[[#This Row],[totalChallan]]</f>
        <v>1</v>
      </c>
      <c r="L161" t="b">
        <f>TrafficData[[#This Row],[pendingAmount]]+TrafficData[[#This Row],[disposedAmount]]=TrafficData[[#This Row],[totalAmount]]</f>
        <v>1</v>
      </c>
      <c r="M161" t="b">
        <f>TrafficData[[#This Row],[pendingCourt]]+TrafficData[[#This Row],[disposedCourt]]=TrafficData[[#This Row],[totalCourt]]</f>
        <v>1</v>
      </c>
      <c r="N161" s="8" t="b">
        <f>AND(TrafficData[[#This Row],[disposedChallan]]&lt;=TrafficData[[#This Row],[totalChallan]],TrafficData[[#This Row],[pendingChallan]]&lt;=TrafficData[[#This Row],[totalChallan]])</f>
        <v>1</v>
      </c>
      <c r="O161" s="8" t="b">
        <f>AND(TrafficData[[#This Row],[pendingAmount]]&lt;=TrafficData[[#This Row],[totalAmount]],TrafficData[[#This Row],[disposedAmount]]&lt;=TrafficData[[#This Row],[totalAmount]])</f>
        <v>1</v>
      </c>
      <c r="P161" s="8" t="b">
        <f>AND(TrafficData[[#This Row],[pendingCourt]]&lt;=TrafficData[[#This Row],[totalCourt]],TrafficData[[#This Row],[disposedCourt]]&lt;=TrafficData[[#This Row],[totalCourt]])</f>
        <v>1</v>
      </c>
    </row>
    <row r="162" spans="1:16">
      <c r="A162" s="1">
        <v>42165</v>
      </c>
      <c r="B162">
        <v>182</v>
      </c>
      <c r="C162">
        <v>68</v>
      </c>
      <c r="D162">
        <v>114</v>
      </c>
      <c r="E162">
        <v>853150</v>
      </c>
      <c r="F162">
        <v>344160</v>
      </c>
      <c r="G162">
        <v>1197310</v>
      </c>
      <c r="H162">
        <v>1</v>
      </c>
      <c r="I162">
        <v>2</v>
      </c>
      <c r="J162">
        <v>3</v>
      </c>
      <c r="K162" t="b">
        <f>TrafficData[[#This Row],[disposedChallan]]+TrafficData[[#This Row],[pendingChallan]]=TrafficData[[#This Row],[totalChallan]]</f>
        <v>1</v>
      </c>
      <c r="L162" t="b">
        <f>TrafficData[[#This Row],[pendingAmount]]+TrafficData[[#This Row],[disposedAmount]]=TrafficData[[#This Row],[totalAmount]]</f>
        <v>1</v>
      </c>
      <c r="M162" t="b">
        <f>TrafficData[[#This Row],[pendingCourt]]+TrafficData[[#This Row],[disposedCourt]]=TrafficData[[#This Row],[totalCourt]]</f>
        <v>1</v>
      </c>
      <c r="N162" s="8" t="b">
        <f>AND(TrafficData[[#This Row],[disposedChallan]]&lt;=TrafficData[[#This Row],[totalChallan]],TrafficData[[#This Row],[pendingChallan]]&lt;=TrafficData[[#This Row],[totalChallan]])</f>
        <v>1</v>
      </c>
      <c r="O162" s="8" t="b">
        <f>AND(TrafficData[[#This Row],[pendingAmount]]&lt;=TrafficData[[#This Row],[totalAmount]],TrafficData[[#This Row],[disposedAmount]]&lt;=TrafficData[[#This Row],[totalAmount]])</f>
        <v>1</v>
      </c>
      <c r="P162" s="8" t="b">
        <f>AND(TrafficData[[#This Row],[pendingCourt]]&lt;=TrafficData[[#This Row],[totalCourt]],TrafficData[[#This Row],[disposedCourt]]&lt;=TrafficData[[#This Row],[totalCourt]])</f>
        <v>1</v>
      </c>
    </row>
    <row r="163" spans="1:16">
      <c r="A163" s="1">
        <v>42166</v>
      </c>
      <c r="B163">
        <v>112</v>
      </c>
      <c r="C163">
        <v>38</v>
      </c>
      <c r="D163">
        <v>74</v>
      </c>
      <c r="E163">
        <v>631100</v>
      </c>
      <c r="F163">
        <v>165250</v>
      </c>
      <c r="G163">
        <v>796350</v>
      </c>
      <c r="H163">
        <v>0</v>
      </c>
      <c r="I163">
        <v>0</v>
      </c>
      <c r="J163">
        <v>0</v>
      </c>
      <c r="K163" t="b">
        <f>TrafficData[[#This Row],[disposedChallan]]+TrafficData[[#This Row],[pendingChallan]]=TrafficData[[#This Row],[totalChallan]]</f>
        <v>1</v>
      </c>
      <c r="L163" t="b">
        <f>TrafficData[[#This Row],[pendingAmount]]+TrafficData[[#This Row],[disposedAmount]]=TrafficData[[#This Row],[totalAmount]]</f>
        <v>1</v>
      </c>
      <c r="M163" t="b">
        <f>TrafficData[[#This Row],[pendingCourt]]+TrafficData[[#This Row],[disposedCourt]]=TrafficData[[#This Row],[totalCourt]]</f>
        <v>1</v>
      </c>
      <c r="N163" s="8" t="b">
        <f>AND(TrafficData[[#This Row],[disposedChallan]]&lt;=TrafficData[[#This Row],[totalChallan]],TrafficData[[#This Row],[pendingChallan]]&lt;=TrafficData[[#This Row],[totalChallan]])</f>
        <v>1</v>
      </c>
      <c r="O163" s="8" t="b">
        <f>AND(TrafficData[[#This Row],[pendingAmount]]&lt;=TrafficData[[#This Row],[totalAmount]],TrafficData[[#This Row],[disposedAmount]]&lt;=TrafficData[[#This Row],[totalAmount]])</f>
        <v>1</v>
      </c>
      <c r="P163" s="8" t="b">
        <f>AND(TrafficData[[#This Row],[pendingCourt]]&lt;=TrafficData[[#This Row],[totalCourt]],TrafficData[[#This Row],[disposedCourt]]&lt;=TrafficData[[#This Row],[totalCourt]])</f>
        <v>1</v>
      </c>
    </row>
    <row r="164" spans="1:16">
      <c r="A164" s="1">
        <v>42167</v>
      </c>
      <c r="B164">
        <v>128</v>
      </c>
      <c r="C164">
        <v>33</v>
      </c>
      <c r="D164">
        <v>95</v>
      </c>
      <c r="E164">
        <v>699850</v>
      </c>
      <c r="F164">
        <v>177750</v>
      </c>
      <c r="G164">
        <v>877600</v>
      </c>
      <c r="H164">
        <v>1</v>
      </c>
      <c r="I164">
        <v>0</v>
      </c>
      <c r="J164">
        <v>1</v>
      </c>
      <c r="K164" t="b">
        <f>TrafficData[[#This Row],[disposedChallan]]+TrafficData[[#This Row],[pendingChallan]]=TrafficData[[#This Row],[totalChallan]]</f>
        <v>1</v>
      </c>
      <c r="L164" t="b">
        <f>TrafficData[[#This Row],[pendingAmount]]+TrafficData[[#This Row],[disposedAmount]]=TrafficData[[#This Row],[totalAmount]]</f>
        <v>1</v>
      </c>
      <c r="M164" t="b">
        <f>TrafficData[[#This Row],[pendingCourt]]+TrafficData[[#This Row],[disposedCourt]]=TrafficData[[#This Row],[totalCourt]]</f>
        <v>1</v>
      </c>
      <c r="N164" s="8" t="b">
        <f>AND(TrafficData[[#This Row],[disposedChallan]]&lt;=TrafficData[[#This Row],[totalChallan]],TrafficData[[#This Row],[pendingChallan]]&lt;=TrafficData[[#This Row],[totalChallan]])</f>
        <v>1</v>
      </c>
      <c r="O164" s="8" t="b">
        <f>AND(TrafficData[[#This Row],[pendingAmount]]&lt;=TrafficData[[#This Row],[totalAmount]],TrafficData[[#This Row],[disposedAmount]]&lt;=TrafficData[[#This Row],[totalAmount]])</f>
        <v>1</v>
      </c>
      <c r="P164" s="8" t="b">
        <f>AND(TrafficData[[#This Row],[pendingCourt]]&lt;=TrafficData[[#This Row],[totalCourt]],TrafficData[[#This Row],[disposedCourt]]&lt;=TrafficData[[#This Row],[totalCourt]])</f>
        <v>1</v>
      </c>
    </row>
    <row r="165" spans="1:16">
      <c r="A165" s="1">
        <v>42168</v>
      </c>
      <c r="B165">
        <v>96</v>
      </c>
      <c r="C165">
        <v>26</v>
      </c>
      <c r="D165">
        <v>70</v>
      </c>
      <c r="E165">
        <v>498248</v>
      </c>
      <c r="F165">
        <v>116450</v>
      </c>
      <c r="G165">
        <v>614698</v>
      </c>
      <c r="H165">
        <v>2</v>
      </c>
      <c r="I165">
        <v>0</v>
      </c>
      <c r="J165">
        <v>2</v>
      </c>
      <c r="K165" t="b">
        <f>TrafficData[[#This Row],[disposedChallan]]+TrafficData[[#This Row],[pendingChallan]]=TrafficData[[#This Row],[totalChallan]]</f>
        <v>1</v>
      </c>
      <c r="L165" t="b">
        <f>TrafficData[[#This Row],[pendingAmount]]+TrafficData[[#This Row],[disposedAmount]]=TrafficData[[#This Row],[totalAmount]]</f>
        <v>1</v>
      </c>
      <c r="M165" t="b">
        <f>TrafficData[[#This Row],[pendingCourt]]+TrafficData[[#This Row],[disposedCourt]]=TrafficData[[#This Row],[totalCourt]]</f>
        <v>1</v>
      </c>
      <c r="N165" s="8" t="b">
        <f>AND(TrafficData[[#This Row],[disposedChallan]]&lt;=TrafficData[[#This Row],[totalChallan]],TrafficData[[#This Row],[pendingChallan]]&lt;=TrafficData[[#This Row],[totalChallan]])</f>
        <v>1</v>
      </c>
      <c r="O165" s="8" t="b">
        <f>AND(TrafficData[[#This Row],[pendingAmount]]&lt;=TrafficData[[#This Row],[totalAmount]],TrafficData[[#This Row],[disposedAmount]]&lt;=TrafficData[[#This Row],[totalAmount]])</f>
        <v>1</v>
      </c>
      <c r="P165" s="8" t="b">
        <f>AND(TrafficData[[#This Row],[pendingCourt]]&lt;=TrafficData[[#This Row],[totalCourt]],TrafficData[[#This Row],[disposedCourt]]&lt;=TrafficData[[#This Row],[totalCourt]])</f>
        <v>1</v>
      </c>
    </row>
    <row r="166" spans="1:16">
      <c r="A166" s="1">
        <v>42169</v>
      </c>
      <c r="B166">
        <v>79</v>
      </c>
      <c r="C166">
        <v>24</v>
      </c>
      <c r="D166">
        <v>55</v>
      </c>
      <c r="E166">
        <v>504250</v>
      </c>
      <c r="F166">
        <v>75600</v>
      </c>
      <c r="G166">
        <v>579850</v>
      </c>
      <c r="H166">
        <v>2</v>
      </c>
      <c r="I166">
        <v>1</v>
      </c>
      <c r="J166">
        <v>3</v>
      </c>
      <c r="K166" t="b">
        <f>TrafficData[[#This Row],[disposedChallan]]+TrafficData[[#This Row],[pendingChallan]]=TrafficData[[#This Row],[totalChallan]]</f>
        <v>1</v>
      </c>
      <c r="L166" t="b">
        <f>TrafficData[[#This Row],[pendingAmount]]+TrafficData[[#This Row],[disposedAmount]]=TrafficData[[#This Row],[totalAmount]]</f>
        <v>1</v>
      </c>
      <c r="M166" t="b">
        <f>TrafficData[[#This Row],[pendingCourt]]+TrafficData[[#This Row],[disposedCourt]]=TrafficData[[#This Row],[totalCourt]]</f>
        <v>1</v>
      </c>
      <c r="N166" s="8" t="b">
        <f>AND(TrafficData[[#This Row],[disposedChallan]]&lt;=TrafficData[[#This Row],[totalChallan]],TrafficData[[#This Row],[pendingChallan]]&lt;=TrafficData[[#This Row],[totalChallan]])</f>
        <v>1</v>
      </c>
      <c r="O166" s="8" t="b">
        <f>AND(TrafficData[[#This Row],[pendingAmount]]&lt;=TrafficData[[#This Row],[totalAmount]],TrafficData[[#This Row],[disposedAmount]]&lt;=TrafficData[[#This Row],[totalAmount]])</f>
        <v>1</v>
      </c>
      <c r="P166" s="8" t="b">
        <f>AND(TrafficData[[#This Row],[pendingCourt]]&lt;=TrafficData[[#This Row],[totalCourt]],TrafficData[[#This Row],[disposedCourt]]&lt;=TrafficData[[#This Row],[totalCourt]])</f>
        <v>1</v>
      </c>
    </row>
    <row r="167" spans="1:16">
      <c r="A167" s="1">
        <v>42170</v>
      </c>
      <c r="B167">
        <v>124</v>
      </c>
      <c r="C167">
        <v>31</v>
      </c>
      <c r="D167">
        <v>93</v>
      </c>
      <c r="E167">
        <v>732950</v>
      </c>
      <c r="F167">
        <v>196300</v>
      </c>
      <c r="G167">
        <v>929250</v>
      </c>
      <c r="H167">
        <v>4</v>
      </c>
      <c r="I167">
        <v>0</v>
      </c>
      <c r="J167">
        <v>4</v>
      </c>
      <c r="K167" t="b">
        <f>TrafficData[[#This Row],[disposedChallan]]+TrafficData[[#This Row],[pendingChallan]]=TrafficData[[#This Row],[totalChallan]]</f>
        <v>1</v>
      </c>
      <c r="L167" t="b">
        <f>TrafficData[[#This Row],[pendingAmount]]+TrafficData[[#This Row],[disposedAmount]]=TrafficData[[#This Row],[totalAmount]]</f>
        <v>1</v>
      </c>
      <c r="M167" t="b">
        <f>TrafficData[[#This Row],[pendingCourt]]+TrafficData[[#This Row],[disposedCourt]]=TrafficData[[#This Row],[totalCourt]]</f>
        <v>1</v>
      </c>
      <c r="N167" s="8" t="b">
        <f>AND(TrafficData[[#This Row],[disposedChallan]]&lt;=TrafficData[[#This Row],[totalChallan]],TrafficData[[#This Row],[pendingChallan]]&lt;=TrafficData[[#This Row],[totalChallan]])</f>
        <v>1</v>
      </c>
      <c r="O167" s="8" t="b">
        <f>AND(TrafficData[[#This Row],[pendingAmount]]&lt;=TrafficData[[#This Row],[totalAmount]],TrafficData[[#This Row],[disposedAmount]]&lt;=TrafficData[[#This Row],[totalAmount]])</f>
        <v>1</v>
      </c>
      <c r="P167" s="8" t="b">
        <f>AND(TrafficData[[#This Row],[pendingCourt]]&lt;=TrafficData[[#This Row],[totalCourt]],TrafficData[[#This Row],[disposedCourt]]&lt;=TrafficData[[#This Row],[totalCourt]])</f>
        <v>1</v>
      </c>
    </row>
    <row r="168" spans="1:16">
      <c r="A168" s="1">
        <v>42171</v>
      </c>
      <c r="B168">
        <v>95</v>
      </c>
      <c r="C168">
        <v>25</v>
      </c>
      <c r="D168">
        <v>70</v>
      </c>
      <c r="E168">
        <v>513700</v>
      </c>
      <c r="F168">
        <v>113100</v>
      </c>
      <c r="G168">
        <v>626800</v>
      </c>
      <c r="H168">
        <v>8</v>
      </c>
      <c r="I168">
        <v>0</v>
      </c>
      <c r="J168">
        <v>8</v>
      </c>
      <c r="K168" t="b">
        <f>TrafficData[[#This Row],[disposedChallan]]+TrafficData[[#This Row],[pendingChallan]]=TrafficData[[#This Row],[totalChallan]]</f>
        <v>1</v>
      </c>
      <c r="L168" t="b">
        <f>TrafficData[[#This Row],[pendingAmount]]+TrafficData[[#This Row],[disposedAmount]]=TrafficData[[#This Row],[totalAmount]]</f>
        <v>1</v>
      </c>
      <c r="M168" t="b">
        <f>TrafficData[[#This Row],[pendingCourt]]+TrafficData[[#This Row],[disposedCourt]]=TrafficData[[#This Row],[totalCourt]]</f>
        <v>1</v>
      </c>
      <c r="N168" s="8" t="b">
        <f>AND(TrafficData[[#This Row],[disposedChallan]]&lt;=TrafficData[[#This Row],[totalChallan]],TrafficData[[#This Row],[pendingChallan]]&lt;=TrafficData[[#This Row],[totalChallan]])</f>
        <v>1</v>
      </c>
      <c r="O168" s="8" t="b">
        <f>AND(TrafficData[[#This Row],[pendingAmount]]&lt;=TrafficData[[#This Row],[totalAmount]],TrafficData[[#This Row],[disposedAmount]]&lt;=TrafficData[[#This Row],[totalAmount]])</f>
        <v>1</v>
      </c>
      <c r="P168" s="8" t="b">
        <f>AND(TrafficData[[#This Row],[pendingCourt]]&lt;=TrafficData[[#This Row],[totalCourt]],TrafficData[[#This Row],[disposedCourt]]&lt;=TrafficData[[#This Row],[totalCourt]])</f>
        <v>1</v>
      </c>
    </row>
    <row r="169" spans="1:16">
      <c r="A169" s="1">
        <v>42172</v>
      </c>
      <c r="B169">
        <v>103</v>
      </c>
      <c r="C169">
        <v>36</v>
      </c>
      <c r="D169">
        <v>67</v>
      </c>
      <c r="E169">
        <v>512320</v>
      </c>
      <c r="F169">
        <v>169630</v>
      </c>
      <c r="G169">
        <v>681950</v>
      </c>
      <c r="H169">
        <v>5</v>
      </c>
      <c r="I169">
        <v>0</v>
      </c>
      <c r="J169">
        <v>5</v>
      </c>
      <c r="K169" t="b">
        <f>TrafficData[[#This Row],[disposedChallan]]+TrafficData[[#This Row],[pendingChallan]]=TrafficData[[#This Row],[totalChallan]]</f>
        <v>1</v>
      </c>
      <c r="L169" t="b">
        <f>TrafficData[[#This Row],[pendingAmount]]+TrafficData[[#This Row],[disposedAmount]]=TrafficData[[#This Row],[totalAmount]]</f>
        <v>1</v>
      </c>
      <c r="M169" t="b">
        <f>TrafficData[[#This Row],[pendingCourt]]+TrafficData[[#This Row],[disposedCourt]]=TrafficData[[#This Row],[totalCourt]]</f>
        <v>1</v>
      </c>
      <c r="N169" s="8" t="b">
        <f>AND(TrafficData[[#This Row],[disposedChallan]]&lt;=TrafficData[[#This Row],[totalChallan]],TrafficData[[#This Row],[pendingChallan]]&lt;=TrafficData[[#This Row],[totalChallan]])</f>
        <v>1</v>
      </c>
      <c r="O169" s="8" t="b">
        <f>AND(TrafficData[[#This Row],[pendingAmount]]&lt;=TrafficData[[#This Row],[totalAmount]],TrafficData[[#This Row],[disposedAmount]]&lt;=TrafficData[[#This Row],[totalAmount]])</f>
        <v>1</v>
      </c>
      <c r="P169" s="8" t="b">
        <f>AND(TrafficData[[#This Row],[pendingCourt]]&lt;=TrafficData[[#This Row],[totalCourt]],TrafficData[[#This Row],[disposedCourt]]&lt;=TrafficData[[#This Row],[totalCourt]])</f>
        <v>1</v>
      </c>
    </row>
    <row r="170" spans="1:16">
      <c r="A170" s="1">
        <v>42173</v>
      </c>
      <c r="B170">
        <v>116</v>
      </c>
      <c r="C170">
        <v>36</v>
      </c>
      <c r="D170">
        <v>80</v>
      </c>
      <c r="E170">
        <v>366400</v>
      </c>
      <c r="F170">
        <v>277400</v>
      </c>
      <c r="G170">
        <v>643800</v>
      </c>
      <c r="H170">
        <v>18</v>
      </c>
      <c r="I170">
        <v>1</v>
      </c>
      <c r="J170">
        <v>19</v>
      </c>
      <c r="K170" t="b">
        <f>TrafficData[[#This Row],[disposedChallan]]+TrafficData[[#This Row],[pendingChallan]]=TrafficData[[#This Row],[totalChallan]]</f>
        <v>1</v>
      </c>
      <c r="L170" t="b">
        <f>TrafficData[[#This Row],[pendingAmount]]+TrafficData[[#This Row],[disposedAmount]]=TrafficData[[#This Row],[totalAmount]]</f>
        <v>1</v>
      </c>
      <c r="M170" t="b">
        <f>TrafficData[[#This Row],[pendingCourt]]+TrafficData[[#This Row],[disposedCourt]]=TrafficData[[#This Row],[totalCourt]]</f>
        <v>1</v>
      </c>
      <c r="N170" s="8" t="b">
        <f>AND(TrafficData[[#This Row],[disposedChallan]]&lt;=TrafficData[[#This Row],[totalChallan]],TrafficData[[#This Row],[pendingChallan]]&lt;=TrafficData[[#This Row],[totalChallan]])</f>
        <v>1</v>
      </c>
      <c r="O170" s="8" t="b">
        <f>AND(TrafficData[[#This Row],[pendingAmount]]&lt;=TrafficData[[#This Row],[totalAmount]],TrafficData[[#This Row],[disposedAmount]]&lt;=TrafficData[[#This Row],[totalAmount]])</f>
        <v>1</v>
      </c>
      <c r="P170" s="8" t="b">
        <f>AND(TrafficData[[#This Row],[pendingCourt]]&lt;=TrafficData[[#This Row],[totalCourt]],TrafficData[[#This Row],[disposedCourt]]&lt;=TrafficData[[#This Row],[totalCourt]])</f>
        <v>1</v>
      </c>
    </row>
    <row r="171" spans="1:16">
      <c r="A171" s="1">
        <v>42174</v>
      </c>
      <c r="B171">
        <v>79</v>
      </c>
      <c r="C171">
        <v>17</v>
      </c>
      <c r="D171">
        <v>62</v>
      </c>
      <c r="E171">
        <v>514590</v>
      </c>
      <c r="F171">
        <v>132355</v>
      </c>
      <c r="G171">
        <v>646945</v>
      </c>
      <c r="H171">
        <v>6</v>
      </c>
      <c r="I171">
        <v>0</v>
      </c>
      <c r="J171">
        <v>6</v>
      </c>
      <c r="K171" t="b">
        <f>TrafficData[[#This Row],[disposedChallan]]+TrafficData[[#This Row],[pendingChallan]]=TrafficData[[#This Row],[totalChallan]]</f>
        <v>1</v>
      </c>
      <c r="L171" t="b">
        <f>TrafficData[[#This Row],[pendingAmount]]+TrafficData[[#This Row],[disposedAmount]]=TrafficData[[#This Row],[totalAmount]]</f>
        <v>1</v>
      </c>
      <c r="M171" t="b">
        <f>TrafficData[[#This Row],[pendingCourt]]+TrafficData[[#This Row],[disposedCourt]]=TrafficData[[#This Row],[totalCourt]]</f>
        <v>1</v>
      </c>
      <c r="N171" s="8" t="b">
        <f>AND(TrafficData[[#This Row],[disposedChallan]]&lt;=TrafficData[[#This Row],[totalChallan]],TrafficData[[#This Row],[pendingChallan]]&lt;=TrafficData[[#This Row],[totalChallan]])</f>
        <v>1</v>
      </c>
      <c r="O171" s="8" t="b">
        <f>AND(TrafficData[[#This Row],[pendingAmount]]&lt;=TrafficData[[#This Row],[totalAmount]],TrafficData[[#This Row],[disposedAmount]]&lt;=TrafficData[[#This Row],[totalAmount]])</f>
        <v>1</v>
      </c>
      <c r="P171" s="8" t="b">
        <f>AND(TrafficData[[#This Row],[pendingCourt]]&lt;=TrafficData[[#This Row],[totalCourt]],TrafficData[[#This Row],[disposedCourt]]&lt;=TrafficData[[#This Row],[totalCourt]])</f>
        <v>1</v>
      </c>
    </row>
    <row r="172" spans="1:16">
      <c r="A172" s="1">
        <v>42175</v>
      </c>
      <c r="B172">
        <v>118</v>
      </c>
      <c r="C172">
        <v>30</v>
      </c>
      <c r="D172">
        <v>88</v>
      </c>
      <c r="E172">
        <v>779800</v>
      </c>
      <c r="F172">
        <v>104150</v>
      </c>
      <c r="G172">
        <v>883950</v>
      </c>
      <c r="H172">
        <v>12</v>
      </c>
      <c r="I172">
        <v>2</v>
      </c>
      <c r="J172">
        <v>14</v>
      </c>
      <c r="K172" t="b">
        <f>TrafficData[[#This Row],[disposedChallan]]+TrafficData[[#This Row],[pendingChallan]]=TrafficData[[#This Row],[totalChallan]]</f>
        <v>1</v>
      </c>
      <c r="L172" t="b">
        <f>TrafficData[[#This Row],[pendingAmount]]+TrafficData[[#This Row],[disposedAmount]]=TrafficData[[#This Row],[totalAmount]]</f>
        <v>1</v>
      </c>
      <c r="M172" t="b">
        <f>TrafficData[[#This Row],[pendingCourt]]+TrafficData[[#This Row],[disposedCourt]]=TrafficData[[#This Row],[totalCourt]]</f>
        <v>1</v>
      </c>
      <c r="N172" s="8" t="b">
        <f>AND(TrafficData[[#This Row],[disposedChallan]]&lt;=TrafficData[[#This Row],[totalChallan]],TrafficData[[#This Row],[pendingChallan]]&lt;=TrafficData[[#This Row],[totalChallan]])</f>
        <v>1</v>
      </c>
      <c r="O172" s="8" t="b">
        <f>AND(TrafficData[[#This Row],[pendingAmount]]&lt;=TrafficData[[#This Row],[totalAmount]],TrafficData[[#This Row],[disposedAmount]]&lt;=TrafficData[[#This Row],[totalAmount]])</f>
        <v>1</v>
      </c>
      <c r="P172" s="8" t="b">
        <f>AND(TrafficData[[#This Row],[pendingCourt]]&lt;=TrafficData[[#This Row],[totalCourt]],TrafficData[[#This Row],[disposedCourt]]&lt;=TrafficData[[#This Row],[totalCourt]])</f>
        <v>1</v>
      </c>
    </row>
    <row r="173" spans="1:16">
      <c r="A173" s="1">
        <v>42176</v>
      </c>
      <c r="B173">
        <v>109</v>
      </c>
      <c r="C173">
        <v>29</v>
      </c>
      <c r="D173">
        <v>80</v>
      </c>
      <c r="E173">
        <v>680698</v>
      </c>
      <c r="F173">
        <v>98000</v>
      </c>
      <c r="G173">
        <v>778698</v>
      </c>
      <c r="H173">
        <v>1</v>
      </c>
      <c r="I173">
        <v>0</v>
      </c>
      <c r="J173">
        <v>1</v>
      </c>
      <c r="K173" t="b">
        <f>TrafficData[[#This Row],[disposedChallan]]+TrafficData[[#This Row],[pendingChallan]]=TrafficData[[#This Row],[totalChallan]]</f>
        <v>1</v>
      </c>
      <c r="L173" t="b">
        <f>TrafficData[[#This Row],[pendingAmount]]+TrafficData[[#This Row],[disposedAmount]]=TrafficData[[#This Row],[totalAmount]]</f>
        <v>1</v>
      </c>
      <c r="M173" t="b">
        <f>TrafficData[[#This Row],[pendingCourt]]+TrafficData[[#This Row],[disposedCourt]]=TrafficData[[#This Row],[totalCourt]]</f>
        <v>1</v>
      </c>
      <c r="N173" s="8" t="b">
        <f>AND(TrafficData[[#This Row],[disposedChallan]]&lt;=TrafficData[[#This Row],[totalChallan]],TrafficData[[#This Row],[pendingChallan]]&lt;=TrafficData[[#This Row],[totalChallan]])</f>
        <v>1</v>
      </c>
      <c r="O173" s="8" t="b">
        <f>AND(TrafficData[[#This Row],[pendingAmount]]&lt;=TrafficData[[#This Row],[totalAmount]],TrafficData[[#This Row],[disposedAmount]]&lt;=TrafficData[[#This Row],[totalAmount]])</f>
        <v>1</v>
      </c>
      <c r="P173" s="8" t="b">
        <f>AND(TrafficData[[#This Row],[pendingCourt]]&lt;=TrafficData[[#This Row],[totalCourt]],TrafficData[[#This Row],[disposedCourt]]&lt;=TrafficData[[#This Row],[totalCourt]])</f>
        <v>1</v>
      </c>
    </row>
    <row r="174" spans="1:16">
      <c r="A174" s="1">
        <v>42177</v>
      </c>
      <c r="B174">
        <v>117</v>
      </c>
      <c r="C174">
        <v>25</v>
      </c>
      <c r="D174">
        <v>92</v>
      </c>
      <c r="E174">
        <v>634400</v>
      </c>
      <c r="F174">
        <v>122400</v>
      </c>
      <c r="G174">
        <v>756800</v>
      </c>
      <c r="H174">
        <v>0</v>
      </c>
      <c r="I174">
        <v>1</v>
      </c>
      <c r="J174">
        <v>1</v>
      </c>
      <c r="K174" t="b">
        <f>TrafficData[[#This Row],[disposedChallan]]+TrafficData[[#This Row],[pendingChallan]]=TrafficData[[#This Row],[totalChallan]]</f>
        <v>1</v>
      </c>
      <c r="L174" t="b">
        <f>TrafficData[[#This Row],[pendingAmount]]+TrafficData[[#This Row],[disposedAmount]]=TrafficData[[#This Row],[totalAmount]]</f>
        <v>1</v>
      </c>
      <c r="M174" t="b">
        <f>TrafficData[[#This Row],[pendingCourt]]+TrafficData[[#This Row],[disposedCourt]]=TrafficData[[#This Row],[totalCourt]]</f>
        <v>1</v>
      </c>
      <c r="N174" s="8" t="b">
        <f>AND(TrafficData[[#This Row],[disposedChallan]]&lt;=TrafficData[[#This Row],[totalChallan]],TrafficData[[#This Row],[pendingChallan]]&lt;=TrafficData[[#This Row],[totalChallan]])</f>
        <v>1</v>
      </c>
      <c r="O174" s="8" t="b">
        <f>AND(TrafficData[[#This Row],[pendingAmount]]&lt;=TrafficData[[#This Row],[totalAmount]],TrafficData[[#This Row],[disposedAmount]]&lt;=TrafficData[[#This Row],[totalAmount]])</f>
        <v>1</v>
      </c>
      <c r="P174" s="8" t="b">
        <f>AND(TrafficData[[#This Row],[pendingCourt]]&lt;=TrafficData[[#This Row],[totalCourt]],TrafficData[[#This Row],[disposedCourt]]&lt;=TrafficData[[#This Row],[totalCourt]])</f>
        <v>1</v>
      </c>
    </row>
    <row r="175" spans="1:16">
      <c r="A175" s="1">
        <v>42178</v>
      </c>
      <c r="B175">
        <v>88</v>
      </c>
      <c r="C175">
        <v>20</v>
      </c>
      <c r="D175">
        <v>68</v>
      </c>
      <c r="E175">
        <v>675030</v>
      </c>
      <c r="F175">
        <v>103000</v>
      </c>
      <c r="G175">
        <v>778030</v>
      </c>
      <c r="H175">
        <v>4</v>
      </c>
      <c r="I175">
        <v>0</v>
      </c>
      <c r="J175">
        <v>4</v>
      </c>
      <c r="K175" t="b">
        <f>TrafficData[[#This Row],[disposedChallan]]+TrafficData[[#This Row],[pendingChallan]]=TrafficData[[#This Row],[totalChallan]]</f>
        <v>1</v>
      </c>
      <c r="L175" t="b">
        <f>TrafficData[[#This Row],[pendingAmount]]+TrafficData[[#This Row],[disposedAmount]]=TrafficData[[#This Row],[totalAmount]]</f>
        <v>1</v>
      </c>
      <c r="M175" t="b">
        <f>TrafficData[[#This Row],[pendingCourt]]+TrafficData[[#This Row],[disposedCourt]]=TrafficData[[#This Row],[totalCourt]]</f>
        <v>1</v>
      </c>
      <c r="N175" s="8" t="b">
        <f>AND(TrafficData[[#This Row],[disposedChallan]]&lt;=TrafficData[[#This Row],[totalChallan]],TrafficData[[#This Row],[pendingChallan]]&lt;=TrafficData[[#This Row],[totalChallan]])</f>
        <v>1</v>
      </c>
      <c r="O175" s="8" t="b">
        <f>AND(TrafficData[[#This Row],[pendingAmount]]&lt;=TrafficData[[#This Row],[totalAmount]],TrafficData[[#This Row],[disposedAmount]]&lt;=TrafficData[[#This Row],[totalAmount]])</f>
        <v>1</v>
      </c>
      <c r="P175" s="8" t="b">
        <f>AND(TrafficData[[#This Row],[pendingCourt]]&lt;=TrafficData[[#This Row],[totalCourt]],TrafficData[[#This Row],[disposedCourt]]&lt;=TrafficData[[#This Row],[totalCourt]])</f>
        <v>1</v>
      </c>
    </row>
    <row r="176" spans="1:16">
      <c r="A176" s="1">
        <v>42179</v>
      </c>
      <c r="B176">
        <v>79</v>
      </c>
      <c r="C176">
        <v>26</v>
      </c>
      <c r="D176">
        <v>53</v>
      </c>
      <c r="E176">
        <v>469390</v>
      </c>
      <c r="F176">
        <v>119450</v>
      </c>
      <c r="G176">
        <v>588840</v>
      </c>
      <c r="H176">
        <v>2</v>
      </c>
      <c r="I176">
        <v>1</v>
      </c>
      <c r="J176">
        <v>3</v>
      </c>
      <c r="K176" t="b">
        <f>TrafficData[[#This Row],[disposedChallan]]+TrafficData[[#This Row],[pendingChallan]]=TrafficData[[#This Row],[totalChallan]]</f>
        <v>1</v>
      </c>
      <c r="L176" t="b">
        <f>TrafficData[[#This Row],[pendingAmount]]+TrafficData[[#This Row],[disposedAmount]]=TrafficData[[#This Row],[totalAmount]]</f>
        <v>1</v>
      </c>
      <c r="M176" t="b">
        <f>TrafficData[[#This Row],[pendingCourt]]+TrafficData[[#This Row],[disposedCourt]]=TrafficData[[#This Row],[totalCourt]]</f>
        <v>1</v>
      </c>
      <c r="N176" s="8" t="b">
        <f>AND(TrafficData[[#This Row],[disposedChallan]]&lt;=TrafficData[[#This Row],[totalChallan]],TrafficData[[#This Row],[pendingChallan]]&lt;=TrafficData[[#This Row],[totalChallan]])</f>
        <v>1</v>
      </c>
      <c r="O176" s="8" t="b">
        <f>AND(TrafficData[[#This Row],[pendingAmount]]&lt;=TrafficData[[#This Row],[totalAmount]],TrafficData[[#This Row],[disposedAmount]]&lt;=TrafficData[[#This Row],[totalAmount]])</f>
        <v>1</v>
      </c>
      <c r="P176" s="8" t="b">
        <f>AND(TrafficData[[#This Row],[pendingCourt]]&lt;=TrafficData[[#This Row],[totalCourt]],TrafficData[[#This Row],[disposedCourt]]&lt;=TrafficData[[#This Row],[totalCourt]])</f>
        <v>1</v>
      </c>
    </row>
    <row r="177" spans="1:16">
      <c r="A177" s="1">
        <v>42180</v>
      </c>
      <c r="B177">
        <v>127</v>
      </c>
      <c r="C177">
        <v>34</v>
      </c>
      <c r="D177">
        <v>93</v>
      </c>
      <c r="E177">
        <v>961950</v>
      </c>
      <c r="F177">
        <v>130700</v>
      </c>
      <c r="G177">
        <v>1092650</v>
      </c>
      <c r="H177">
        <v>1</v>
      </c>
      <c r="I177">
        <v>1</v>
      </c>
      <c r="J177">
        <v>2</v>
      </c>
      <c r="K177" t="b">
        <f>TrafficData[[#This Row],[disposedChallan]]+TrafficData[[#This Row],[pendingChallan]]=TrafficData[[#This Row],[totalChallan]]</f>
        <v>1</v>
      </c>
      <c r="L177" t="b">
        <f>TrafficData[[#This Row],[pendingAmount]]+TrafficData[[#This Row],[disposedAmount]]=TrafficData[[#This Row],[totalAmount]]</f>
        <v>1</v>
      </c>
      <c r="M177" t="b">
        <f>TrafficData[[#This Row],[pendingCourt]]+TrafficData[[#This Row],[disposedCourt]]=TrafficData[[#This Row],[totalCourt]]</f>
        <v>1</v>
      </c>
      <c r="N177" s="8" t="b">
        <f>AND(TrafficData[[#This Row],[disposedChallan]]&lt;=TrafficData[[#This Row],[totalChallan]],TrafficData[[#This Row],[pendingChallan]]&lt;=TrafficData[[#This Row],[totalChallan]])</f>
        <v>1</v>
      </c>
      <c r="O177" s="8" t="b">
        <f>AND(TrafficData[[#This Row],[pendingAmount]]&lt;=TrafficData[[#This Row],[totalAmount]],TrafficData[[#This Row],[disposedAmount]]&lt;=TrafficData[[#This Row],[totalAmount]])</f>
        <v>1</v>
      </c>
      <c r="P177" s="8" t="b">
        <f>AND(TrafficData[[#This Row],[pendingCourt]]&lt;=TrafficData[[#This Row],[totalCourt]],TrafficData[[#This Row],[disposedCourt]]&lt;=TrafficData[[#This Row],[totalCourt]])</f>
        <v>1</v>
      </c>
    </row>
    <row r="178" spans="1:16">
      <c r="A178" s="1">
        <v>42181</v>
      </c>
      <c r="B178">
        <v>124</v>
      </c>
      <c r="C178">
        <v>31</v>
      </c>
      <c r="D178">
        <v>93</v>
      </c>
      <c r="E178">
        <v>1077100</v>
      </c>
      <c r="F178">
        <v>223575</v>
      </c>
      <c r="G178">
        <v>1300675</v>
      </c>
      <c r="H178">
        <v>2</v>
      </c>
      <c r="I178">
        <v>0</v>
      </c>
      <c r="J178">
        <v>2</v>
      </c>
      <c r="K178" t="b">
        <f>TrafficData[[#This Row],[disposedChallan]]+TrafficData[[#This Row],[pendingChallan]]=TrafficData[[#This Row],[totalChallan]]</f>
        <v>1</v>
      </c>
      <c r="L178" t="b">
        <f>TrafficData[[#This Row],[pendingAmount]]+TrafficData[[#This Row],[disposedAmount]]=TrafficData[[#This Row],[totalAmount]]</f>
        <v>1</v>
      </c>
      <c r="M178" t="b">
        <f>TrafficData[[#This Row],[pendingCourt]]+TrafficData[[#This Row],[disposedCourt]]=TrafficData[[#This Row],[totalCourt]]</f>
        <v>1</v>
      </c>
      <c r="N178" s="8" t="b">
        <f>AND(TrafficData[[#This Row],[disposedChallan]]&lt;=TrafficData[[#This Row],[totalChallan]],TrafficData[[#This Row],[pendingChallan]]&lt;=TrafficData[[#This Row],[totalChallan]])</f>
        <v>1</v>
      </c>
      <c r="O178" s="8" t="b">
        <f>AND(TrafficData[[#This Row],[pendingAmount]]&lt;=TrafficData[[#This Row],[totalAmount]],TrafficData[[#This Row],[disposedAmount]]&lt;=TrafficData[[#This Row],[totalAmount]])</f>
        <v>1</v>
      </c>
      <c r="P178" s="8" t="b">
        <f>AND(TrafficData[[#This Row],[pendingCourt]]&lt;=TrafficData[[#This Row],[totalCourt]],TrafficData[[#This Row],[disposedCourt]]&lt;=TrafficData[[#This Row],[totalCourt]])</f>
        <v>1</v>
      </c>
    </row>
    <row r="179" spans="1:16">
      <c r="A179" s="1">
        <v>42182</v>
      </c>
      <c r="B179">
        <v>80</v>
      </c>
      <c r="C179">
        <v>19</v>
      </c>
      <c r="D179">
        <v>61</v>
      </c>
      <c r="E179">
        <v>434150</v>
      </c>
      <c r="F179">
        <v>94200</v>
      </c>
      <c r="G179">
        <v>528350</v>
      </c>
      <c r="H179">
        <v>1</v>
      </c>
      <c r="I179">
        <v>1</v>
      </c>
      <c r="J179">
        <v>2</v>
      </c>
      <c r="K179" t="b">
        <f>TrafficData[[#This Row],[disposedChallan]]+TrafficData[[#This Row],[pendingChallan]]=TrafficData[[#This Row],[totalChallan]]</f>
        <v>1</v>
      </c>
      <c r="L179" t="b">
        <f>TrafficData[[#This Row],[pendingAmount]]+TrafficData[[#This Row],[disposedAmount]]=TrafficData[[#This Row],[totalAmount]]</f>
        <v>1</v>
      </c>
      <c r="M179" t="b">
        <f>TrafficData[[#This Row],[pendingCourt]]+TrafficData[[#This Row],[disposedCourt]]=TrafficData[[#This Row],[totalCourt]]</f>
        <v>1</v>
      </c>
      <c r="N179" s="8" t="b">
        <f>AND(TrafficData[[#This Row],[disposedChallan]]&lt;=TrafficData[[#This Row],[totalChallan]],TrafficData[[#This Row],[pendingChallan]]&lt;=TrafficData[[#This Row],[totalChallan]])</f>
        <v>1</v>
      </c>
      <c r="O179" s="8" t="b">
        <f>AND(TrafficData[[#This Row],[pendingAmount]]&lt;=TrafficData[[#This Row],[totalAmount]],TrafficData[[#This Row],[disposedAmount]]&lt;=TrafficData[[#This Row],[totalAmount]])</f>
        <v>1</v>
      </c>
      <c r="P179" s="8" t="b">
        <f>AND(TrafficData[[#This Row],[pendingCourt]]&lt;=TrafficData[[#This Row],[totalCourt]],TrafficData[[#This Row],[disposedCourt]]&lt;=TrafficData[[#This Row],[totalCourt]])</f>
        <v>1</v>
      </c>
    </row>
    <row r="180" spans="1:16">
      <c r="A180" s="1">
        <v>42183</v>
      </c>
      <c r="B180">
        <v>63</v>
      </c>
      <c r="C180">
        <v>10</v>
      </c>
      <c r="D180">
        <v>53</v>
      </c>
      <c r="E180">
        <v>336400</v>
      </c>
      <c r="F180">
        <v>32300</v>
      </c>
      <c r="G180">
        <v>368700</v>
      </c>
      <c r="H180">
        <v>0</v>
      </c>
      <c r="I180">
        <v>0</v>
      </c>
      <c r="J180">
        <v>0</v>
      </c>
      <c r="K180" t="b">
        <f>TrafficData[[#This Row],[disposedChallan]]+TrafficData[[#This Row],[pendingChallan]]=TrafficData[[#This Row],[totalChallan]]</f>
        <v>1</v>
      </c>
      <c r="L180" t="b">
        <f>TrafficData[[#This Row],[pendingAmount]]+TrafficData[[#This Row],[disposedAmount]]=TrafficData[[#This Row],[totalAmount]]</f>
        <v>1</v>
      </c>
      <c r="M180" t="b">
        <f>TrafficData[[#This Row],[pendingCourt]]+TrafficData[[#This Row],[disposedCourt]]=TrafficData[[#This Row],[totalCourt]]</f>
        <v>1</v>
      </c>
      <c r="N180" s="8" t="b">
        <f>AND(TrafficData[[#This Row],[disposedChallan]]&lt;=TrafficData[[#This Row],[totalChallan]],TrafficData[[#This Row],[pendingChallan]]&lt;=TrafficData[[#This Row],[totalChallan]])</f>
        <v>1</v>
      </c>
      <c r="O180" s="8" t="b">
        <f>AND(TrafficData[[#This Row],[pendingAmount]]&lt;=TrafficData[[#This Row],[totalAmount]],TrafficData[[#This Row],[disposedAmount]]&lt;=TrafficData[[#This Row],[totalAmount]])</f>
        <v>1</v>
      </c>
      <c r="P180" s="8" t="b">
        <f>AND(TrafficData[[#This Row],[pendingCourt]]&lt;=TrafficData[[#This Row],[totalCourt]],TrafficData[[#This Row],[disposedCourt]]&lt;=TrafficData[[#This Row],[totalCourt]])</f>
        <v>1</v>
      </c>
    </row>
    <row r="181" spans="1:16">
      <c r="A181" s="1">
        <v>42184</v>
      </c>
      <c r="B181">
        <v>101</v>
      </c>
      <c r="C181">
        <v>23</v>
      </c>
      <c r="D181">
        <v>78</v>
      </c>
      <c r="E181">
        <v>518500</v>
      </c>
      <c r="F181">
        <v>135580</v>
      </c>
      <c r="G181">
        <v>654080</v>
      </c>
      <c r="H181">
        <v>5</v>
      </c>
      <c r="I181">
        <v>0</v>
      </c>
      <c r="J181">
        <v>5</v>
      </c>
      <c r="K181" t="b">
        <f>TrafficData[[#This Row],[disposedChallan]]+TrafficData[[#This Row],[pendingChallan]]=TrafficData[[#This Row],[totalChallan]]</f>
        <v>1</v>
      </c>
      <c r="L181" t="b">
        <f>TrafficData[[#This Row],[pendingAmount]]+TrafficData[[#This Row],[disposedAmount]]=TrafficData[[#This Row],[totalAmount]]</f>
        <v>1</v>
      </c>
      <c r="M181" t="b">
        <f>TrafficData[[#This Row],[pendingCourt]]+TrafficData[[#This Row],[disposedCourt]]=TrafficData[[#This Row],[totalCourt]]</f>
        <v>1</v>
      </c>
      <c r="N181" s="8" t="b">
        <f>AND(TrafficData[[#This Row],[disposedChallan]]&lt;=TrafficData[[#This Row],[totalChallan]],TrafficData[[#This Row],[pendingChallan]]&lt;=TrafficData[[#This Row],[totalChallan]])</f>
        <v>1</v>
      </c>
      <c r="O181" s="8" t="b">
        <f>AND(TrafficData[[#This Row],[pendingAmount]]&lt;=TrafficData[[#This Row],[totalAmount]],TrafficData[[#This Row],[disposedAmount]]&lt;=TrafficData[[#This Row],[totalAmount]])</f>
        <v>1</v>
      </c>
      <c r="P181" s="8" t="b">
        <f>AND(TrafficData[[#This Row],[pendingCourt]]&lt;=TrafficData[[#This Row],[totalCourt]],TrafficData[[#This Row],[disposedCourt]]&lt;=TrafficData[[#This Row],[totalCourt]])</f>
        <v>1</v>
      </c>
    </row>
    <row r="182" spans="1:16">
      <c r="A182" s="1">
        <v>42185</v>
      </c>
      <c r="B182">
        <v>95</v>
      </c>
      <c r="C182">
        <v>25</v>
      </c>
      <c r="D182">
        <v>70</v>
      </c>
      <c r="E182">
        <v>423850</v>
      </c>
      <c r="F182">
        <v>92700</v>
      </c>
      <c r="G182">
        <v>516550</v>
      </c>
      <c r="H182">
        <v>2</v>
      </c>
      <c r="I182">
        <v>3</v>
      </c>
      <c r="J182">
        <v>5</v>
      </c>
      <c r="K182" t="b">
        <f>TrafficData[[#This Row],[disposedChallan]]+TrafficData[[#This Row],[pendingChallan]]=TrafficData[[#This Row],[totalChallan]]</f>
        <v>1</v>
      </c>
      <c r="L182" t="b">
        <f>TrafficData[[#This Row],[pendingAmount]]+TrafficData[[#This Row],[disposedAmount]]=TrafficData[[#This Row],[totalAmount]]</f>
        <v>1</v>
      </c>
      <c r="M182" t="b">
        <f>TrafficData[[#This Row],[pendingCourt]]+TrafficData[[#This Row],[disposedCourt]]=TrafficData[[#This Row],[totalCourt]]</f>
        <v>1</v>
      </c>
      <c r="N182" s="8" t="b">
        <f>AND(TrafficData[[#This Row],[disposedChallan]]&lt;=TrafficData[[#This Row],[totalChallan]],TrafficData[[#This Row],[pendingChallan]]&lt;=TrafficData[[#This Row],[totalChallan]])</f>
        <v>1</v>
      </c>
      <c r="O182" s="8" t="b">
        <f>AND(TrafficData[[#This Row],[pendingAmount]]&lt;=TrafficData[[#This Row],[totalAmount]],TrafficData[[#This Row],[disposedAmount]]&lt;=TrafficData[[#This Row],[totalAmount]])</f>
        <v>1</v>
      </c>
      <c r="P182" s="8" t="b">
        <f>AND(TrafficData[[#This Row],[pendingCourt]]&lt;=TrafficData[[#This Row],[totalCourt]],TrafficData[[#This Row],[disposedCourt]]&lt;=TrafficData[[#This Row],[totalCourt]])</f>
        <v>1</v>
      </c>
    </row>
    <row r="183" spans="1:16">
      <c r="A183" s="1">
        <v>42186</v>
      </c>
      <c r="B183">
        <v>93</v>
      </c>
      <c r="C183">
        <v>28</v>
      </c>
      <c r="D183">
        <v>65</v>
      </c>
      <c r="E183">
        <v>672150</v>
      </c>
      <c r="F183">
        <v>144110</v>
      </c>
      <c r="G183">
        <v>816260</v>
      </c>
      <c r="H183">
        <v>1</v>
      </c>
      <c r="I183">
        <v>0</v>
      </c>
      <c r="J183">
        <v>1</v>
      </c>
      <c r="K183" t="b">
        <f>TrafficData[[#This Row],[disposedChallan]]+TrafficData[[#This Row],[pendingChallan]]=TrafficData[[#This Row],[totalChallan]]</f>
        <v>1</v>
      </c>
      <c r="L183" t="b">
        <f>TrafficData[[#This Row],[pendingAmount]]+TrafficData[[#This Row],[disposedAmount]]=TrafficData[[#This Row],[totalAmount]]</f>
        <v>1</v>
      </c>
      <c r="M183" t="b">
        <f>TrafficData[[#This Row],[pendingCourt]]+TrafficData[[#This Row],[disposedCourt]]=TrafficData[[#This Row],[totalCourt]]</f>
        <v>1</v>
      </c>
      <c r="N183" s="8" t="b">
        <f>AND(TrafficData[[#This Row],[disposedChallan]]&lt;=TrafficData[[#This Row],[totalChallan]],TrafficData[[#This Row],[pendingChallan]]&lt;=TrafficData[[#This Row],[totalChallan]])</f>
        <v>1</v>
      </c>
      <c r="O183" s="8" t="b">
        <f>AND(TrafficData[[#This Row],[pendingAmount]]&lt;=TrafficData[[#This Row],[totalAmount]],TrafficData[[#This Row],[disposedAmount]]&lt;=TrafficData[[#This Row],[totalAmount]])</f>
        <v>1</v>
      </c>
      <c r="P183" s="8" t="b">
        <f>AND(TrafficData[[#This Row],[pendingCourt]]&lt;=TrafficData[[#This Row],[totalCourt]],TrafficData[[#This Row],[disposedCourt]]&lt;=TrafficData[[#This Row],[totalCourt]])</f>
        <v>1</v>
      </c>
    </row>
    <row r="184" spans="1:16">
      <c r="A184" s="1">
        <v>42187</v>
      </c>
      <c r="B184">
        <v>117</v>
      </c>
      <c r="C184">
        <v>34</v>
      </c>
      <c r="D184">
        <v>83</v>
      </c>
      <c r="E184">
        <v>663950</v>
      </c>
      <c r="F184">
        <v>159350</v>
      </c>
      <c r="G184">
        <v>823300</v>
      </c>
      <c r="H184">
        <v>0</v>
      </c>
      <c r="I184">
        <v>0</v>
      </c>
      <c r="J184">
        <v>0</v>
      </c>
      <c r="K184" t="b">
        <f>TrafficData[[#This Row],[disposedChallan]]+TrafficData[[#This Row],[pendingChallan]]=TrafficData[[#This Row],[totalChallan]]</f>
        <v>1</v>
      </c>
      <c r="L184" t="b">
        <f>TrafficData[[#This Row],[pendingAmount]]+TrafficData[[#This Row],[disposedAmount]]=TrafficData[[#This Row],[totalAmount]]</f>
        <v>1</v>
      </c>
      <c r="M184" t="b">
        <f>TrafficData[[#This Row],[pendingCourt]]+TrafficData[[#This Row],[disposedCourt]]=TrafficData[[#This Row],[totalCourt]]</f>
        <v>1</v>
      </c>
      <c r="N184" s="8" t="b">
        <f>AND(TrafficData[[#This Row],[disposedChallan]]&lt;=TrafficData[[#This Row],[totalChallan]],TrafficData[[#This Row],[pendingChallan]]&lt;=TrafficData[[#This Row],[totalChallan]])</f>
        <v>1</v>
      </c>
      <c r="O184" s="8" t="b">
        <f>AND(TrafficData[[#This Row],[pendingAmount]]&lt;=TrafficData[[#This Row],[totalAmount]],TrafficData[[#This Row],[disposedAmount]]&lt;=TrafficData[[#This Row],[totalAmount]])</f>
        <v>1</v>
      </c>
      <c r="P184" s="8" t="b">
        <f>AND(TrafficData[[#This Row],[pendingCourt]]&lt;=TrafficData[[#This Row],[totalCourt]],TrafficData[[#This Row],[disposedCourt]]&lt;=TrafficData[[#This Row],[totalCourt]])</f>
        <v>1</v>
      </c>
    </row>
    <row r="185" spans="1:16">
      <c r="A185" s="1">
        <v>42188</v>
      </c>
      <c r="B185">
        <v>113</v>
      </c>
      <c r="C185">
        <v>41</v>
      </c>
      <c r="D185">
        <v>72</v>
      </c>
      <c r="E185">
        <v>540250</v>
      </c>
      <c r="F185">
        <v>164610</v>
      </c>
      <c r="G185">
        <v>704860</v>
      </c>
      <c r="H185">
        <v>1</v>
      </c>
      <c r="I185">
        <v>0</v>
      </c>
      <c r="J185">
        <v>1</v>
      </c>
      <c r="K185" t="b">
        <f>TrafficData[[#This Row],[disposedChallan]]+TrafficData[[#This Row],[pendingChallan]]=TrafficData[[#This Row],[totalChallan]]</f>
        <v>1</v>
      </c>
      <c r="L185" t="b">
        <f>TrafficData[[#This Row],[pendingAmount]]+TrafficData[[#This Row],[disposedAmount]]=TrafficData[[#This Row],[totalAmount]]</f>
        <v>1</v>
      </c>
      <c r="M185" t="b">
        <f>TrafficData[[#This Row],[pendingCourt]]+TrafficData[[#This Row],[disposedCourt]]=TrafficData[[#This Row],[totalCourt]]</f>
        <v>1</v>
      </c>
      <c r="N185" s="8" t="b">
        <f>AND(TrafficData[[#This Row],[disposedChallan]]&lt;=TrafficData[[#This Row],[totalChallan]],TrafficData[[#This Row],[pendingChallan]]&lt;=TrafficData[[#This Row],[totalChallan]])</f>
        <v>1</v>
      </c>
      <c r="O185" s="8" t="b">
        <f>AND(TrafficData[[#This Row],[pendingAmount]]&lt;=TrafficData[[#This Row],[totalAmount]],TrafficData[[#This Row],[disposedAmount]]&lt;=TrafficData[[#This Row],[totalAmount]])</f>
        <v>1</v>
      </c>
      <c r="P185" s="8" t="b">
        <f>AND(TrafficData[[#This Row],[pendingCourt]]&lt;=TrafficData[[#This Row],[totalCourt]],TrafficData[[#This Row],[disposedCourt]]&lt;=TrafficData[[#This Row],[totalCourt]])</f>
        <v>1</v>
      </c>
    </row>
    <row r="186" spans="1:16">
      <c r="A186" s="1">
        <v>42189</v>
      </c>
      <c r="B186">
        <v>142</v>
      </c>
      <c r="C186">
        <v>39</v>
      </c>
      <c r="D186">
        <v>103</v>
      </c>
      <c r="E186">
        <v>619000</v>
      </c>
      <c r="F186">
        <v>276157</v>
      </c>
      <c r="G186">
        <v>895157</v>
      </c>
      <c r="H186">
        <v>0</v>
      </c>
      <c r="I186">
        <v>0</v>
      </c>
      <c r="J186">
        <v>0</v>
      </c>
      <c r="K186" t="b">
        <f>TrafficData[[#This Row],[disposedChallan]]+TrafficData[[#This Row],[pendingChallan]]=TrafficData[[#This Row],[totalChallan]]</f>
        <v>1</v>
      </c>
      <c r="L186" t="b">
        <f>TrafficData[[#This Row],[pendingAmount]]+TrafficData[[#This Row],[disposedAmount]]=TrafficData[[#This Row],[totalAmount]]</f>
        <v>1</v>
      </c>
      <c r="M186" t="b">
        <f>TrafficData[[#This Row],[pendingCourt]]+TrafficData[[#This Row],[disposedCourt]]=TrafficData[[#This Row],[totalCourt]]</f>
        <v>1</v>
      </c>
      <c r="N186" s="8" t="b">
        <f>AND(TrafficData[[#This Row],[disposedChallan]]&lt;=TrafficData[[#This Row],[totalChallan]],TrafficData[[#This Row],[pendingChallan]]&lt;=TrafficData[[#This Row],[totalChallan]])</f>
        <v>1</v>
      </c>
      <c r="O186" s="8" t="b">
        <f>AND(TrafficData[[#This Row],[pendingAmount]]&lt;=TrafficData[[#This Row],[totalAmount]],TrafficData[[#This Row],[disposedAmount]]&lt;=TrafficData[[#This Row],[totalAmount]])</f>
        <v>1</v>
      </c>
      <c r="P186" s="8" t="b">
        <f>AND(TrafficData[[#This Row],[pendingCourt]]&lt;=TrafficData[[#This Row],[totalCourt]],TrafficData[[#This Row],[disposedCourt]]&lt;=TrafficData[[#This Row],[totalCourt]])</f>
        <v>1</v>
      </c>
    </row>
    <row r="187" spans="1:16">
      <c r="A187" s="1">
        <v>42190</v>
      </c>
      <c r="B187">
        <v>78</v>
      </c>
      <c r="C187">
        <v>31</v>
      </c>
      <c r="D187">
        <v>47</v>
      </c>
      <c r="E187">
        <v>346300</v>
      </c>
      <c r="F187">
        <v>164300</v>
      </c>
      <c r="G187">
        <v>510600</v>
      </c>
      <c r="H187">
        <v>0</v>
      </c>
      <c r="I187">
        <v>1</v>
      </c>
      <c r="J187">
        <v>1</v>
      </c>
      <c r="K187" t="b">
        <f>TrafficData[[#This Row],[disposedChallan]]+TrafficData[[#This Row],[pendingChallan]]=TrafficData[[#This Row],[totalChallan]]</f>
        <v>1</v>
      </c>
      <c r="L187" t="b">
        <f>TrafficData[[#This Row],[pendingAmount]]+TrafficData[[#This Row],[disposedAmount]]=TrafficData[[#This Row],[totalAmount]]</f>
        <v>1</v>
      </c>
      <c r="M187" t="b">
        <f>TrafficData[[#This Row],[pendingCourt]]+TrafficData[[#This Row],[disposedCourt]]=TrafficData[[#This Row],[totalCourt]]</f>
        <v>1</v>
      </c>
      <c r="N187" s="8" t="b">
        <f>AND(TrafficData[[#This Row],[disposedChallan]]&lt;=TrafficData[[#This Row],[totalChallan]],TrafficData[[#This Row],[pendingChallan]]&lt;=TrafficData[[#This Row],[totalChallan]])</f>
        <v>1</v>
      </c>
      <c r="O187" s="8" t="b">
        <f>AND(TrafficData[[#This Row],[pendingAmount]]&lt;=TrafficData[[#This Row],[totalAmount]],TrafficData[[#This Row],[disposedAmount]]&lt;=TrafficData[[#This Row],[totalAmount]])</f>
        <v>1</v>
      </c>
      <c r="P187" s="8" t="b">
        <f>AND(TrafficData[[#This Row],[pendingCourt]]&lt;=TrafficData[[#This Row],[totalCourt]],TrafficData[[#This Row],[disposedCourt]]&lt;=TrafficData[[#This Row],[totalCourt]])</f>
        <v>1</v>
      </c>
    </row>
    <row r="188" spans="1:16">
      <c r="A188" s="1">
        <v>42191</v>
      </c>
      <c r="B188">
        <v>130</v>
      </c>
      <c r="C188">
        <v>34</v>
      </c>
      <c r="D188">
        <v>96</v>
      </c>
      <c r="E188">
        <v>731300</v>
      </c>
      <c r="F188">
        <v>204220</v>
      </c>
      <c r="G188">
        <v>935520</v>
      </c>
      <c r="H188">
        <v>0</v>
      </c>
      <c r="I188">
        <v>1</v>
      </c>
      <c r="J188">
        <v>1</v>
      </c>
      <c r="K188" t="b">
        <f>TrafficData[[#This Row],[disposedChallan]]+TrafficData[[#This Row],[pendingChallan]]=TrafficData[[#This Row],[totalChallan]]</f>
        <v>1</v>
      </c>
      <c r="L188" t="b">
        <f>TrafficData[[#This Row],[pendingAmount]]+TrafficData[[#This Row],[disposedAmount]]=TrafficData[[#This Row],[totalAmount]]</f>
        <v>1</v>
      </c>
      <c r="M188" t="b">
        <f>TrafficData[[#This Row],[pendingCourt]]+TrafficData[[#This Row],[disposedCourt]]=TrafficData[[#This Row],[totalCourt]]</f>
        <v>1</v>
      </c>
      <c r="N188" s="8" t="b">
        <f>AND(TrafficData[[#This Row],[disposedChallan]]&lt;=TrafficData[[#This Row],[totalChallan]],TrafficData[[#This Row],[pendingChallan]]&lt;=TrafficData[[#This Row],[totalChallan]])</f>
        <v>1</v>
      </c>
      <c r="O188" s="8" t="b">
        <f>AND(TrafficData[[#This Row],[pendingAmount]]&lt;=TrafficData[[#This Row],[totalAmount]],TrafficData[[#This Row],[disposedAmount]]&lt;=TrafficData[[#This Row],[totalAmount]])</f>
        <v>1</v>
      </c>
      <c r="P188" s="8" t="b">
        <f>AND(TrafficData[[#This Row],[pendingCourt]]&lt;=TrafficData[[#This Row],[totalCourt]],TrafficData[[#This Row],[disposedCourt]]&lt;=TrafficData[[#This Row],[totalCourt]])</f>
        <v>1</v>
      </c>
    </row>
    <row r="189" spans="1:16">
      <c r="A189" s="1">
        <v>42192</v>
      </c>
      <c r="B189">
        <v>118</v>
      </c>
      <c r="C189">
        <v>27</v>
      </c>
      <c r="D189">
        <v>91</v>
      </c>
      <c r="E189">
        <v>772375</v>
      </c>
      <c r="F189">
        <v>130550</v>
      </c>
      <c r="G189">
        <v>902925</v>
      </c>
      <c r="H189">
        <v>1</v>
      </c>
      <c r="I189">
        <v>0</v>
      </c>
      <c r="J189">
        <v>1</v>
      </c>
      <c r="K189" t="b">
        <f>TrafficData[[#This Row],[disposedChallan]]+TrafficData[[#This Row],[pendingChallan]]=TrafficData[[#This Row],[totalChallan]]</f>
        <v>1</v>
      </c>
      <c r="L189" t="b">
        <f>TrafficData[[#This Row],[pendingAmount]]+TrafficData[[#This Row],[disposedAmount]]=TrafficData[[#This Row],[totalAmount]]</f>
        <v>1</v>
      </c>
      <c r="M189" t="b">
        <f>TrafficData[[#This Row],[pendingCourt]]+TrafficData[[#This Row],[disposedCourt]]=TrafficData[[#This Row],[totalCourt]]</f>
        <v>1</v>
      </c>
      <c r="N189" s="8" t="b">
        <f>AND(TrafficData[[#This Row],[disposedChallan]]&lt;=TrafficData[[#This Row],[totalChallan]],TrafficData[[#This Row],[pendingChallan]]&lt;=TrafficData[[#This Row],[totalChallan]])</f>
        <v>1</v>
      </c>
      <c r="O189" s="8" t="b">
        <f>AND(TrafficData[[#This Row],[pendingAmount]]&lt;=TrafficData[[#This Row],[totalAmount]],TrafficData[[#This Row],[disposedAmount]]&lt;=TrafficData[[#This Row],[totalAmount]])</f>
        <v>1</v>
      </c>
      <c r="P189" s="8" t="b">
        <f>AND(TrafficData[[#This Row],[pendingCourt]]&lt;=TrafficData[[#This Row],[totalCourt]],TrafficData[[#This Row],[disposedCourt]]&lt;=TrafficData[[#This Row],[totalCourt]])</f>
        <v>1</v>
      </c>
    </row>
    <row r="190" spans="1:16">
      <c r="A190" s="1">
        <v>42193</v>
      </c>
      <c r="B190">
        <v>131</v>
      </c>
      <c r="C190">
        <v>52</v>
      </c>
      <c r="D190">
        <v>79</v>
      </c>
      <c r="E190">
        <v>993500</v>
      </c>
      <c r="F190">
        <v>381938</v>
      </c>
      <c r="G190">
        <v>1375438</v>
      </c>
      <c r="H190">
        <v>0</v>
      </c>
      <c r="I190">
        <v>2</v>
      </c>
      <c r="J190">
        <v>2</v>
      </c>
      <c r="K190" t="b">
        <f>TrafficData[[#This Row],[disposedChallan]]+TrafficData[[#This Row],[pendingChallan]]=TrafficData[[#This Row],[totalChallan]]</f>
        <v>1</v>
      </c>
      <c r="L190" t="b">
        <f>TrafficData[[#This Row],[pendingAmount]]+TrafficData[[#This Row],[disposedAmount]]=TrafficData[[#This Row],[totalAmount]]</f>
        <v>1</v>
      </c>
      <c r="M190" t="b">
        <f>TrafficData[[#This Row],[pendingCourt]]+TrafficData[[#This Row],[disposedCourt]]=TrafficData[[#This Row],[totalCourt]]</f>
        <v>1</v>
      </c>
      <c r="N190" s="8" t="b">
        <f>AND(TrafficData[[#This Row],[disposedChallan]]&lt;=TrafficData[[#This Row],[totalChallan]],TrafficData[[#This Row],[pendingChallan]]&lt;=TrafficData[[#This Row],[totalChallan]])</f>
        <v>1</v>
      </c>
      <c r="O190" s="8" t="b">
        <f>AND(TrafficData[[#This Row],[pendingAmount]]&lt;=TrafficData[[#This Row],[totalAmount]],TrafficData[[#This Row],[disposedAmount]]&lt;=TrafficData[[#This Row],[totalAmount]])</f>
        <v>1</v>
      </c>
      <c r="P190" s="8" t="b">
        <f>AND(TrafficData[[#This Row],[pendingCourt]]&lt;=TrafficData[[#This Row],[totalCourt]],TrafficData[[#This Row],[disposedCourt]]&lt;=TrafficData[[#This Row],[totalCourt]])</f>
        <v>1</v>
      </c>
    </row>
    <row r="191" spans="1:16">
      <c r="A191" s="1">
        <v>42194</v>
      </c>
      <c r="B191">
        <v>259</v>
      </c>
      <c r="C191">
        <v>88</v>
      </c>
      <c r="D191">
        <v>171</v>
      </c>
      <c r="E191">
        <v>1804180</v>
      </c>
      <c r="F191">
        <v>749500</v>
      </c>
      <c r="G191">
        <v>2553680</v>
      </c>
      <c r="H191">
        <v>2</v>
      </c>
      <c r="I191">
        <v>1</v>
      </c>
      <c r="J191">
        <v>3</v>
      </c>
      <c r="K191" t="b">
        <f>TrafficData[[#This Row],[disposedChallan]]+TrafficData[[#This Row],[pendingChallan]]=TrafficData[[#This Row],[totalChallan]]</f>
        <v>1</v>
      </c>
      <c r="L191" t="b">
        <f>TrafficData[[#This Row],[pendingAmount]]+TrafficData[[#This Row],[disposedAmount]]=TrafficData[[#This Row],[totalAmount]]</f>
        <v>1</v>
      </c>
      <c r="M191" t="b">
        <f>TrafficData[[#This Row],[pendingCourt]]+TrafficData[[#This Row],[disposedCourt]]=TrafficData[[#This Row],[totalCourt]]</f>
        <v>1</v>
      </c>
      <c r="N191" s="8" t="b">
        <f>AND(TrafficData[[#This Row],[disposedChallan]]&lt;=TrafficData[[#This Row],[totalChallan]],TrafficData[[#This Row],[pendingChallan]]&lt;=TrafficData[[#This Row],[totalChallan]])</f>
        <v>1</v>
      </c>
      <c r="O191" s="8" t="b">
        <f>AND(TrafficData[[#This Row],[pendingAmount]]&lt;=TrafficData[[#This Row],[totalAmount]],TrafficData[[#This Row],[disposedAmount]]&lt;=TrafficData[[#This Row],[totalAmount]])</f>
        <v>1</v>
      </c>
      <c r="P191" s="8" t="b">
        <f>AND(TrafficData[[#This Row],[pendingCourt]]&lt;=TrafficData[[#This Row],[totalCourt]],TrafficData[[#This Row],[disposedCourt]]&lt;=TrafficData[[#This Row],[totalCourt]])</f>
        <v>1</v>
      </c>
    </row>
    <row r="192" spans="1:16">
      <c r="A192" s="1">
        <v>42195</v>
      </c>
      <c r="B192">
        <v>154</v>
      </c>
      <c r="C192">
        <v>62</v>
      </c>
      <c r="D192">
        <v>92</v>
      </c>
      <c r="E192">
        <v>1088100</v>
      </c>
      <c r="F192">
        <v>509860</v>
      </c>
      <c r="G192">
        <v>1597960</v>
      </c>
      <c r="H192">
        <v>1</v>
      </c>
      <c r="I192">
        <v>1</v>
      </c>
      <c r="J192">
        <v>2</v>
      </c>
      <c r="K192" t="b">
        <f>TrafficData[[#This Row],[disposedChallan]]+TrafficData[[#This Row],[pendingChallan]]=TrafficData[[#This Row],[totalChallan]]</f>
        <v>1</v>
      </c>
      <c r="L192" t="b">
        <f>TrafficData[[#This Row],[pendingAmount]]+TrafficData[[#This Row],[disposedAmount]]=TrafficData[[#This Row],[totalAmount]]</f>
        <v>1</v>
      </c>
      <c r="M192" t="b">
        <f>TrafficData[[#This Row],[pendingCourt]]+TrafficData[[#This Row],[disposedCourt]]=TrafficData[[#This Row],[totalCourt]]</f>
        <v>1</v>
      </c>
      <c r="N192" s="8" t="b">
        <f>AND(TrafficData[[#This Row],[disposedChallan]]&lt;=TrafficData[[#This Row],[totalChallan]],TrafficData[[#This Row],[pendingChallan]]&lt;=TrafficData[[#This Row],[totalChallan]])</f>
        <v>1</v>
      </c>
      <c r="O192" s="8" t="b">
        <f>AND(TrafficData[[#This Row],[pendingAmount]]&lt;=TrafficData[[#This Row],[totalAmount]],TrafficData[[#This Row],[disposedAmount]]&lt;=TrafficData[[#This Row],[totalAmount]])</f>
        <v>1</v>
      </c>
      <c r="P192" s="8" t="b">
        <f>AND(TrafficData[[#This Row],[pendingCourt]]&lt;=TrafficData[[#This Row],[totalCourt]],TrafficData[[#This Row],[disposedCourt]]&lt;=TrafficData[[#This Row],[totalCourt]])</f>
        <v>1</v>
      </c>
    </row>
    <row r="193" spans="1:16">
      <c r="A193" s="1">
        <v>42196</v>
      </c>
      <c r="B193">
        <v>244</v>
      </c>
      <c r="C193">
        <v>100</v>
      </c>
      <c r="D193">
        <v>144</v>
      </c>
      <c r="E193">
        <v>1521147</v>
      </c>
      <c r="F193">
        <v>730210</v>
      </c>
      <c r="G193">
        <v>2251357</v>
      </c>
      <c r="H193">
        <v>0</v>
      </c>
      <c r="I193">
        <v>0</v>
      </c>
      <c r="J193">
        <v>0</v>
      </c>
      <c r="K193" t="b">
        <f>TrafficData[[#This Row],[disposedChallan]]+TrafficData[[#This Row],[pendingChallan]]=TrafficData[[#This Row],[totalChallan]]</f>
        <v>1</v>
      </c>
      <c r="L193" t="b">
        <f>TrafficData[[#This Row],[pendingAmount]]+TrafficData[[#This Row],[disposedAmount]]=TrafficData[[#This Row],[totalAmount]]</f>
        <v>1</v>
      </c>
      <c r="M193" t="b">
        <f>TrafficData[[#This Row],[pendingCourt]]+TrafficData[[#This Row],[disposedCourt]]=TrafficData[[#This Row],[totalCourt]]</f>
        <v>1</v>
      </c>
      <c r="N193" s="8" t="b">
        <f>AND(TrafficData[[#This Row],[disposedChallan]]&lt;=TrafficData[[#This Row],[totalChallan]],TrafficData[[#This Row],[pendingChallan]]&lt;=TrafficData[[#This Row],[totalChallan]])</f>
        <v>1</v>
      </c>
      <c r="O193" s="8" t="b">
        <f>AND(TrafficData[[#This Row],[pendingAmount]]&lt;=TrafficData[[#This Row],[totalAmount]],TrafficData[[#This Row],[disposedAmount]]&lt;=TrafficData[[#This Row],[totalAmount]])</f>
        <v>1</v>
      </c>
      <c r="P193" s="8" t="b">
        <f>AND(TrafficData[[#This Row],[pendingCourt]]&lt;=TrafficData[[#This Row],[totalCourt]],TrafficData[[#This Row],[disposedCourt]]&lt;=TrafficData[[#This Row],[totalCourt]])</f>
        <v>1</v>
      </c>
    </row>
    <row r="194" spans="1:16">
      <c r="A194" s="1">
        <v>42197</v>
      </c>
      <c r="B194">
        <v>95</v>
      </c>
      <c r="C194">
        <v>42</v>
      </c>
      <c r="D194">
        <v>53</v>
      </c>
      <c r="E194">
        <v>752800</v>
      </c>
      <c r="F194">
        <v>347500</v>
      </c>
      <c r="G194">
        <v>1100300</v>
      </c>
      <c r="H194">
        <v>0</v>
      </c>
      <c r="I194">
        <v>0</v>
      </c>
      <c r="J194">
        <v>0</v>
      </c>
      <c r="K194" t="b">
        <f>TrafficData[[#This Row],[disposedChallan]]+TrafficData[[#This Row],[pendingChallan]]=TrafficData[[#This Row],[totalChallan]]</f>
        <v>1</v>
      </c>
      <c r="L194" t="b">
        <f>TrafficData[[#This Row],[pendingAmount]]+TrafficData[[#This Row],[disposedAmount]]=TrafficData[[#This Row],[totalAmount]]</f>
        <v>1</v>
      </c>
      <c r="M194" t="b">
        <f>TrafficData[[#This Row],[pendingCourt]]+TrafficData[[#This Row],[disposedCourt]]=TrafficData[[#This Row],[totalCourt]]</f>
        <v>1</v>
      </c>
      <c r="N194" s="8" t="b">
        <f>AND(TrafficData[[#This Row],[disposedChallan]]&lt;=TrafficData[[#This Row],[totalChallan]],TrafficData[[#This Row],[pendingChallan]]&lt;=TrafficData[[#This Row],[totalChallan]])</f>
        <v>1</v>
      </c>
      <c r="O194" s="8" t="b">
        <f>AND(TrafficData[[#This Row],[pendingAmount]]&lt;=TrafficData[[#This Row],[totalAmount]],TrafficData[[#This Row],[disposedAmount]]&lt;=TrafficData[[#This Row],[totalAmount]])</f>
        <v>1</v>
      </c>
      <c r="P194" s="8" t="b">
        <f>AND(TrafficData[[#This Row],[pendingCourt]]&lt;=TrafficData[[#This Row],[totalCourt]],TrafficData[[#This Row],[disposedCourt]]&lt;=TrafficData[[#This Row],[totalCourt]])</f>
        <v>1</v>
      </c>
    </row>
    <row r="195" spans="1:16">
      <c r="A195" s="1">
        <v>42198</v>
      </c>
      <c r="B195">
        <v>136</v>
      </c>
      <c r="C195">
        <v>53</v>
      </c>
      <c r="D195">
        <v>83</v>
      </c>
      <c r="E195">
        <v>684704</v>
      </c>
      <c r="F195">
        <v>467800</v>
      </c>
      <c r="G195">
        <v>1152504</v>
      </c>
      <c r="H195">
        <v>2</v>
      </c>
      <c r="I195">
        <v>1</v>
      </c>
      <c r="J195">
        <v>3</v>
      </c>
      <c r="K195" t="b">
        <f>TrafficData[[#This Row],[disposedChallan]]+TrafficData[[#This Row],[pendingChallan]]=TrafficData[[#This Row],[totalChallan]]</f>
        <v>1</v>
      </c>
      <c r="L195" t="b">
        <f>TrafficData[[#This Row],[pendingAmount]]+TrafficData[[#This Row],[disposedAmount]]=TrafficData[[#This Row],[totalAmount]]</f>
        <v>1</v>
      </c>
      <c r="M195" t="b">
        <f>TrafficData[[#This Row],[pendingCourt]]+TrafficData[[#This Row],[disposedCourt]]=TrafficData[[#This Row],[totalCourt]]</f>
        <v>1</v>
      </c>
      <c r="N195" s="8" t="b">
        <f>AND(TrafficData[[#This Row],[disposedChallan]]&lt;=TrafficData[[#This Row],[totalChallan]],TrafficData[[#This Row],[pendingChallan]]&lt;=TrafficData[[#This Row],[totalChallan]])</f>
        <v>1</v>
      </c>
      <c r="O195" s="8" t="b">
        <f>AND(TrafficData[[#This Row],[pendingAmount]]&lt;=TrafficData[[#This Row],[totalAmount]],TrafficData[[#This Row],[disposedAmount]]&lt;=TrafficData[[#This Row],[totalAmount]])</f>
        <v>1</v>
      </c>
      <c r="P195" s="8" t="b">
        <f>AND(TrafficData[[#This Row],[pendingCourt]]&lt;=TrafficData[[#This Row],[totalCourt]],TrafficData[[#This Row],[disposedCourt]]&lt;=TrafficData[[#This Row],[totalCourt]])</f>
        <v>1</v>
      </c>
    </row>
    <row r="196" spans="1:16">
      <c r="A196" s="1">
        <v>42199</v>
      </c>
      <c r="B196">
        <v>121</v>
      </c>
      <c r="C196">
        <v>45</v>
      </c>
      <c r="D196">
        <v>76</v>
      </c>
      <c r="E196">
        <v>758770</v>
      </c>
      <c r="F196">
        <v>314850</v>
      </c>
      <c r="G196">
        <v>1073620</v>
      </c>
      <c r="H196">
        <v>2</v>
      </c>
      <c r="I196">
        <v>0</v>
      </c>
      <c r="J196">
        <v>2</v>
      </c>
      <c r="K196" t="b">
        <f>TrafficData[[#This Row],[disposedChallan]]+TrafficData[[#This Row],[pendingChallan]]=TrafficData[[#This Row],[totalChallan]]</f>
        <v>1</v>
      </c>
      <c r="L196" t="b">
        <f>TrafficData[[#This Row],[pendingAmount]]+TrafficData[[#This Row],[disposedAmount]]=TrafficData[[#This Row],[totalAmount]]</f>
        <v>1</v>
      </c>
      <c r="M196" t="b">
        <f>TrafficData[[#This Row],[pendingCourt]]+TrafficData[[#This Row],[disposedCourt]]=TrafficData[[#This Row],[totalCourt]]</f>
        <v>1</v>
      </c>
      <c r="N196" s="8" t="b">
        <f>AND(TrafficData[[#This Row],[disposedChallan]]&lt;=TrafficData[[#This Row],[totalChallan]],TrafficData[[#This Row],[pendingChallan]]&lt;=TrafficData[[#This Row],[totalChallan]])</f>
        <v>1</v>
      </c>
      <c r="O196" s="8" t="b">
        <f>AND(TrafficData[[#This Row],[pendingAmount]]&lt;=TrafficData[[#This Row],[totalAmount]],TrafficData[[#This Row],[disposedAmount]]&lt;=TrafficData[[#This Row],[totalAmount]])</f>
        <v>1</v>
      </c>
      <c r="P196" s="8" t="b">
        <f>AND(TrafficData[[#This Row],[pendingCourt]]&lt;=TrafficData[[#This Row],[totalCourt]],TrafficData[[#This Row],[disposedCourt]]&lt;=TrafficData[[#This Row],[totalCourt]])</f>
        <v>1</v>
      </c>
    </row>
    <row r="197" spans="1:16">
      <c r="A197" s="1">
        <v>42200</v>
      </c>
      <c r="B197">
        <v>142</v>
      </c>
      <c r="C197">
        <v>55</v>
      </c>
      <c r="D197">
        <v>87</v>
      </c>
      <c r="E197">
        <v>959500</v>
      </c>
      <c r="F197">
        <v>403985</v>
      </c>
      <c r="G197">
        <v>1363485</v>
      </c>
      <c r="H197">
        <v>0</v>
      </c>
      <c r="I197">
        <v>0</v>
      </c>
      <c r="J197">
        <v>0</v>
      </c>
      <c r="K197" t="b">
        <f>TrafficData[[#This Row],[disposedChallan]]+TrafficData[[#This Row],[pendingChallan]]=TrafficData[[#This Row],[totalChallan]]</f>
        <v>1</v>
      </c>
      <c r="L197" t="b">
        <f>TrafficData[[#This Row],[pendingAmount]]+TrafficData[[#This Row],[disposedAmount]]=TrafficData[[#This Row],[totalAmount]]</f>
        <v>1</v>
      </c>
      <c r="M197" t="b">
        <f>TrafficData[[#This Row],[pendingCourt]]+TrafficData[[#This Row],[disposedCourt]]=TrafficData[[#This Row],[totalCourt]]</f>
        <v>1</v>
      </c>
      <c r="N197" s="8" t="b">
        <f>AND(TrafficData[[#This Row],[disposedChallan]]&lt;=TrafficData[[#This Row],[totalChallan]],TrafficData[[#This Row],[pendingChallan]]&lt;=TrafficData[[#This Row],[totalChallan]])</f>
        <v>1</v>
      </c>
      <c r="O197" s="8" t="b">
        <f>AND(TrafficData[[#This Row],[pendingAmount]]&lt;=TrafficData[[#This Row],[totalAmount]],TrafficData[[#This Row],[disposedAmount]]&lt;=TrafficData[[#This Row],[totalAmount]])</f>
        <v>1</v>
      </c>
      <c r="P197" s="8" t="b">
        <f>AND(TrafficData[[#This Row],[pendingCourt]]&lt;=TrafficData[[#This Row],[totalCourt]],TrafficData[[#This Row],[disposedCourt]]&lt;=TrafficData[[#This Row],[totalCourt]])</f>
        <v>1</v>
      </c>
    </row>
    <row r="198" spans="1:16">
      <c r="A198" s="1">
        <v>42201</v>
      </c>
      <c r="B198">
        <v>113</v>
      </c>
      <c r="C198">
        <v>29</v>
      </c>
      <c r="D198">
        <v>84</v>
      </c>
      <c r="E198">
        <v>959300</v>
      </c>
      <c r="F198">
        <v>257300</v>
      </c>
      <c r="G198">
        <v>1216600</v>
      </c>
      <c r="H198">
        <v>2</v>
      </c>
      <c r="I198">
        <v>0</v>
      </c>
      <c r="J198">
        <v>2</v>
      </c>
      <c r="K198" t="b">
        <f>TrafficData[[#This Row],[disposedChallan]]+TrafficData[[#This Row],[pendingChallan]]=TrafficData[[#This Row],[totalChallan]]</f>
        <v>1</v>
      </c>
      <c r="L198" t="b">
        <f>TrafficData[[#This Row],[pendingAmount]]+TrafficData[[#This Row],[disposedAmount]]=TrafficData[[#This Row],[totalAmount]]</f>
        <v>1</v>
      </c>
      <c r="M198" t="b">
        <f>TrafficData[[#This Row],[pendingCourt]]+TrafficData[[#This Row],[disposedCourt]]=TrafficData[[#This Row],[totalCourt]]</f>
        <v>1</v>
      </c>
      <c r="N198" s="8" t="b">
        <f>AND(TrafficData[[#This Row],[disposedChallan]]&lt;=TrafficData[[#This Row],[totalChallan]],TrafficData[[#This Row],[pendingChallan]]&lt;=TrafficData[[#This Row],[totalChallan]])</f>
        <v>1</v>
      </c>
      <c r="O198" s="8" t="b">
        <f>AND(TrafficData[[#This Row],[pendingAmount]]&lt;=TrafficData[[#This Row],[totalAmount]],TrafficData[[#This Row],[disposedAmount]]&lt;=TrafficData[[#This Row],[totalAmount]])</f>
        <v>1</v>
      </c>
      <c r="P198" s="8" t="b">
        <f>AND(TrafficData[[#This Row],[pendingCourt]]&lt;=TrafficData[[#This Row],[totalCourt]],TrafficData[[#This Row],[disposedCourt]]&lt;=TrafficData[[#This Row],[totalCourt]])</f>
        <v>1</v>
      </c>
    </row>
    <row r="199" spans="1:16">
      <c r="A199" s="1">
        <v>42202</v>
      </c>
      <c r="B199">
        <v>231</v>
      </c>
      <c r="C199">
        <v>72</v>
      </c>
      <c r="D199">
        <v>159</v>
      </c>
      <c r="E199">
        <v>1279497</v>
      </c>
      <c r="F199">
        <v>547770</v>
      </c>
      <c r="G199">
        <v>1827267</v>
      </c>
      <c r="H199">
        <v>1</v>
      </c>
      <c r="I199">
        <v>2</v>
      </c>
      <c r="J199">
        <v>3</v>
      </c>
      <c r="K199" t="b">
        <f>TrafficData[[#This Row],[disposedChallan]]+TrafficData[[#This Row],[pendingChallan]]=TrafficData[[#This Row],[totalChallan]]</f>
        <v>1</v>
      </c>
      <c r="L199" t="b">
        <f>TrafficData[[#This Row],[pendingAmount]]+TrafficData[[#This Row],[disposedAmount]]=TrafficData[[#This Row],[totalAmount]]</f>
        <v>1</v>
      </c>
      <c r="M199" t="b">
        <f>TrafficData[[#This Row],[pendingCourt]]+TrafficData[[#This Row],[disposedCourt]]=TrafficData[[#This Row],[totalCourt]]</f>
        <v>1</v>
      </c>
      <c r="N199" s="8" t="b">
        <f>AND(TrafficData[[#This Row],[disposedChallan]]&lt;=TrafficData[[#This Row],[totalChallan]],TrafficData[[#This Row],[pendingChallan]]&lt;=TrafficData[[#This Row],[totalChallan]])</f>
        <v>1</v>
      </c>
      <c r="O199" s="8" t="b">
        <f>AND(TrafficData[[#This Row],[pendingAmount]]&lt;=TrafficData[[#This Row],[totalAmount]],TrafficData[[#This Row],[disposedAmount]]&lt;=TrafficData[[#This Row],[totalAmount]])</f>
        <v>1</v>
      </c>
      <c r="P199" s="8" t="b">
        <f>AND(TrafficData[[#This Row],[pendingCourt]]&lt;=TrafficData[[#This Row],[totalCourt]],TrafficData[[#This Row],[disposedCourt]]&lt;=TrafficData[[#This Row],[totalCourt]])</f>
        <v>1</v>
      </c>
    </row>
    <row r="200" spans="1:16">
      <c r="A200" s="1">
        <v>42203</v>
      </c>
      <c r="B200">
        <v>69</v>
      </c>
      <c r="C200">
        <v>25</v>
      </c>
      <c r="D200">
        <v>44</v>
      </c>
      <c r="E200">
        <v>490500</v>
      </c>
      <c r="F200">
        <v>163600</v>
      </c>
      <c r="G200">
        <v>654100</v>
      </c>
      <c r="H200">
        <v>0</v>
      </c>
      <c r="I200">
        <v>0</v>
      </c>
      <c r="J200">
        <v>0</v>
      </c>
      <c r="K200" t="b">
        <f>TrafficData[[#This Row],[disposedChallan]]+TrafficData[[#This Row],[pendingChallan]]=TrafficData[[#This Row],[totalChallan]]</f>
        <v>1</v>
      </c>
      <c r="L200" t="b">
        <f>TrafficData[[#This Row],[pendingAmount]]+TrafficData[[#This Row],[disposedAmount]]=TrafficData[[#This Row],[totalAmount]]</f>
        <v>1</v>
      </c>
      <c r="M200" t="b">
        <f>TrafficData[[#This Row],[pendingCourt]]+TrafficData[[#This Row],[disposedCourt]]=TrafficData[[#This Row],[totalCourt]]</f>
        <v>1</v>
      </c>
      <c r="N200" s="8" t="b">
        <f>AND(TrafficData[[#This Row],[disposedChallan]]&lt;=TrafficData[[#This Row],[totalChallan]],TrafficData[[#This Row],[pendingChallan]]&lt;=TrafficData[[#This Row],[totalChallan]])</f>
        <v>1</v>
      </c>
      <c r="O200" s="8" t="b">
        <f>AND(TrafficData[[#This Row],[pendingAmount]]&lt;=TrafficData[[#This Row],[totalAmount]],TrafficData[[#This Row],[disposedAmount]]&lt;=TrafficData[[#This Row],[totalAmount]])</f>
        <v>1</v>
      </c>
      <c r="P200" s="8" t="b">
        <f>AND(TrafficData[[#This Row],[pendingCourt]]&lt;=TrafficData[[#This Row],[totalCourt]],TrafficData[[#This Row],[disposedCourt]]&lt;=TrafficData[[#This Row],[totalCourt]])</f>
        <v>1</v>
      </c>
    </row>
    <row r="201" spans="1:16">
      <c r="A201" s="1">
        <v>42204</v>
      </c>
      <c r="B201">
        <v>99</v>
      </c>
      <c r="C201">
        <v>20</v>
      </c>
      <c r="D201">
        <v>79</v>
      </c>
      <c r="E201">
        <v>486000</v>
      </c>
      <c r="F201">
        <v>88100</v>
      </c>
      <c r="G201">
        <v>574100</v>
      </c>
      <c r="H201">
        <v>0</v>
      </c>
      <c r="I201">
        <v>0</v>
      </c>
      <c r="J201">
        <v>0</v>
      </c>
      <c r="K201" t="b">
        <f>TrafficData[[#This Row],[disposedChallan]]+TrafficData[[#This Row],[pendingChallan]]=TrafficData[[#This Row],[totalChallan]]</f>
        <v>1</v>
      </c>
      <c r="L201" t="b">
        <f>TrafficData[[#This Row],[pendingAmount]]+TrafficData[[#This Row],[disposedAmount]]=TrafficData[[#This Row],[totalAmount]]</f>
        <v>1</v>
      </c>
      <c r="M201" t="b">
        <f>TrafficData[[#This Row],[pendingCourt]]+TrafficData[[#This Row],[disposedCourt]]=TrafficData[[#This Row],[totalCourt]]</f>
        <v>1</v>
      </c>
      <c r="N201" s="8" t="b">
        <f>AND(TrafficData[[#This Row],[disposedChallan]]&lt;=TrafficData[[#This Row],[totalChallan]],TrafficData[[#This Row],[pendingChallan]]&lt;=TrafficData[[#This Row],[totalChallan]])</f>
        <v>1</v>
      </c>
      <c r="O201" s="8" t="b">
        <f>AND(TrafficData[[#This Row],[pendingAmount]]&lt;=TrafficData[[#This Row],[totalAmount]],TrafficData[[#This Row],[disposedAmount]]&lt;=TrafficData[[#This Row],[totalAmount]])</f>
        <v>1</v>
      </c>
      <c r="P201" s="8" t="b">
        <f>AND(TrafficData[[#This Row],[pendingCourt]]&lt;=TrafficData[[#This Row],[totalCourt]],TrafficData[[#This Row],[disposedCourt]]&lt;=TrafficData[[#This Row],[totalCourt]])</f>
        <v>1</v>
      </c>
    </row>
    <row r="202" spans="1:16">
      <c r="A202" s="1">
        <v>42205</v>
      </c>
      <c r="B202">
        <v>109</v>
      </c>
      <c r="C202">
        <v>28</v>
      </c>
      <c r="D202">
        <v>81</v>
      </c>
      <c r="E202">
        <v>713150</v>
      </c>
      <c r="F202">
        <v>135550</v>
      </c>
      <c r="G202">
        <v>848700</v>
      </c>
      <c r="H202">
        <v>1</v>
      </c>
      <c r="I202">
        <v>1</v>
      </c>
      <c r="J202">
        <v>2</v>
      </c>
      <c r="K202" t="b">
        <f>TrafficData[[#This Row],[disposedChallan]]+TrafficData[[#This Row],[pendingChallan]]=TrafficData[[#This Row],[totalChallan]]</f>
        <v>1</v>
      </c>
      <c r="L202" t="b">
        <f>TrafficData[[#This Row],[pendingAmount]]+TrafficData[[#This Row],[disposedAmount]]=TrafficData[[#This Row],[totalAmount]]</f>
        <v>1</v>
      </c>
      <c r="M202" t="b">
        <f>TrafficData[[#This Row],[pendingCourt]]+TrafficData[[#This Row],[disposedCourt]]=TrafficData[[#This Row],[totalCourt]]</f>
        <v>1</v>
      </c>
      <c r="N202" s="8" t="b">
        <f>AND(TrafficData[[#This Row],[disposedChallan]]&lt;=TrafficData[[#This Row],[totalChallan]],TrafficData[[#This Row],[pendingChallan]]&lt;=TrafficData[[#This Row],[totalChallan]])</f>
        <v>1</v>
      </c>
      <c r="O202" s="8" t="b">
        <f>AND(TrafficData[[#This Row],[pendingAmount]]&lt;=TrafficData[[#This Row],[totalAmount]],TrafficData[[#This Row],[disposedAmount]]&lt;=TrafficData[[#This Row],[totalAmount]])</f>
        <v>1</v>
      </c>
      <c r="P202" s="8" t="b">
        <f>AND(TrafficData[[#This Row],[pendingCourt]]&lt;=TrafficData[[#This Row],[totalCourt]],TrafficData[[#This Row],[disposedCourt]]&lt;=TrafficData[[#This Row],[totalCourt]])</f>
        <v>1</v>
      </c>
    </row>
    <row r="203" spans="1:16">
      <c r="A203" s="1">
        <v>42206</v>
      </c>
      <c r="B203">
        <v>143</v>
      </c>
      <c r="C203">
        <v>48</v>
      </c>
      <c r="D203">
        <v>95</v>
      </c>
      <c r="E203">
        <v>654300</v>
      </c>
      <c r="F203">
        <v>336275</v>
      </c>
      <c r="G203">
        <v>990575</v>
      </c>
      <c r="H203">
        <v>4</v>
      </c>
      <c r="I203">
        <v>0</v>
      </c>
      <c r="J203">
        <v>4</v>
      </c>
      <c r="K203" t="b">
        <f>TrafficData[[#This Row],[disposedChallan]]+TrafficData[[#This Row],[pendingChallan]]=TrafficData[[#This Row],[totalChallan]]</f>
        <v>1</v>
      </c>
      <c r="L203" t="b">
        <f>TrafficData[[#This Row],[pendingAmount]]+TrafficData[[#This Row],[disposedAmount]]=TrafficData[[#This Row],[totalAmount]]</f>
        <v>1</v>
      </c>
      <c r="M203" t="b">
        <f>TrafficData[[#This Row],[pendingCourt]]+TrafficData[[#This Row],[disposedCourt]]=TrafficData[[#This Row],[totalCourt]]</f>
        <v>1</v>
      </c>
      <c r="N203" s="8" t="b">
        <f>AND(TrafficData[[#This Row],[disposedChallan]]&lt;=TrafficData[[#This Row],[totalChallan]],TrafficData[[#This Row],[pendingChallan]]&lt;=TrafficData[[#This Row],[totalChallan]])</f>
        <v>1</v>
      </c>
      <c r="O203" s="8" t="b">
        <f>AND(TrafficData[[#This Row],[pendingAmount]]&lt;=TrafficData[[#This Row],[totalAmount]],TrafficData[[#This Row],[disposedAmount]]&lt;=TrafficData[[#This Row],[totalAmount]])</f>
        <v>1</v>
      </c>
      <c r="P203" s="8" t="b">
        <f>AND(TrafficData[[#This Row],[pendingCourt]]&lt;=TrafficData[[#This Row],[totalCourt]],TrafficData[[#This Row],[disposedCourt]]&lt;=TrafficData[[#This Row],[totalCourt]])</f>
        <v>1</v>
      </c>
    </row>
    <row r="204" spans="1:16">
      <c r="A204" s="1">
        <v>42207</v>
      </c>
      <c r="B204">
        <v>126</v>
      </c>
      <c r="C204">
        <v>47</v>
      </c>
      <c r="D204">
        <v>79</v>
      </c>
      <c r="E204">
        <v>736350</v>
      </c>
      <c r="F204">
        <v>483970</v>
      </c>
      <c r="G204">
        <v>1220320</v>
      </c>
      <c r="H204">
        <v>1</v>
      </c>
      <c r="I204">
        <v>1</v>
      </c>
      <c r="J204">
        <v>2</v>
      </c>
      <c r="K204" t="b">
        <f>TrafficData[[#This Row],[disposedChallan]]+TrafficData[[#This Row],[pendingChallan]]=TrafficData[[#This Row],[totalChallan]]</f>
        <v>1</v>
      </c>
      <c r="L204" t="b">
        <f>TrafficData[[#This Row],[pendingAmount]]+TrafficData[[#This Row],[disposedAmount]]=TrafficData[[#This Row],[totalAmount]]</f>
        <v>1</v>
      </c>
      <c r="M204" t="b">
        <f>TrafficData[[#This Row],[pendingCourt]]+TrafficData[[#This Row],[disposedCourt]]=TrafficData[[#This Row],[totalCourt]]</f>
        <v>1</v>
      </c>
      <c r="N204" s="8" t="b">
        <f>AND(TrafficData[[#This Row],[disposedChallan]]&lt;=TrafficData[[#This Row],[totalChallan]],TrafficData[[#This Row],[pendingChallan]]&lt;=TrafficData[[#This Row],[totalChallan]])</f>
        <v>1</v>
      </c>
      <c r="O204" s="8" t="b">
        <f>AND(TrafficData[[#This Row],[pendingAmount]]&lt;=TrafficData[[#This Row],[totalAmount]],TrafficData[[#This Row],[disposedAmount]]&lt;=TrafficData[[#This Row],[totalAmount]])</f>
        <v>1</v>
      </c>
      <c r="P204" s="8" t="b">
        <f>AND(TrafficData[[#This Row],[pendingCourt]]&lt;=TrafficData[[#This Row],[totalCourt]],TrafficData[[#This Row],[disposedCourt]]&lt;=TrafficData[[#This Row],[totalCourt]])</f>
        <v>1</v>
      </c>
    </row>
    <row r="205" spans="1:16">
      <c r="A205" s="1">
        <v>42208</v>
      </c>
      <c r="B205">
        <v>156</v>
      </c>
      <c r="C205">
        <v>55</v>
      </c>
      <c r="D205">
        <v>101</v>
      </c>
      <c r="E205">
        <v>674951</v>
      </c>
      <c r="F205">
        <v>328370</v>
      </c>
      <c r="G205">
        <v>1003321</v>
      </c>
      <c r="H205">
        <v>1</v>
      </c>
      <c r="I205">
        <v>1</v>
      </c>
      <c r="J205">
        <v>2</v>
      </c>
      <c r="K205" t="b">
        <f>TrafficData[[#This Row],[disposedChallan]]+TrafficData[[#This Row],[pendingChallan]]=TrafficData[[#This Row],[totalChallan]]</f>
        <v>1</v>
      </c>
      <c r="L205" t="b">
        <f>TrafficData[[#This Row],[pendingAmount]]+TrafficData[[#This Row],[disposedAmount]]=TrafficData[[#This Row],[totalAmount]]</f>
        <v>1</v>
      </c>
      <c r="M205" t="b">
        <f>TrafficData[[#This Row],[pendingCourt]]+TrafficData[[#This Row],[disposedCourt]]=TrafficData[[#This Row],[totalCourt]]</f>
        <v>1</v>
      </c>
      <c r="N205" s="8" t="b">
        <f>AND(TrafficData[[#This Row],[disposedChallan]]&lt;=TrafficData[[#This Row],[totalChallan]],TrafficData[[#This Row],[pendingChallan]]&lt;=TrafficData[[#This Row],[totalChallan]])</f>
        <v>1</v>
      </c>
      <c r="O205" s="8" t="b">
        <f>AND(TrafficData[[#This Row],[pendingAmount]]&lt;=TrafficData[[#This Row],[totalAmount]],TrafficData[[#This Row],[disposedAmount]]&lt;=TrafficData[[#This Row],[totalAmount]])</f>
        <v>1</v>
      </c>
      <c r="P205" s="8" t="b">
        <f>AND(TrafficData[[#This Row],[pendingCourt]]&lt;=TrafficData[[#This Row],[totalCourt]],TrafficData[[#This Row],[disposedCourt]]&lt;=TrafficData[[#This Row],[totalCourt]])</f>
        <v>1</v>
      </c>
    </row>
    <row r="206" spans="1:16">
      <c r="A206" s="1">
        <v>42209</v>
      </c>
      <c r="B206">
        <v>126</v>
      </c>
      <c r="C206">
        <v>37</v>
      </c>
      <c r="D206">
        <v>89</v>
      </c>
      <c r="E206">
        <v>589150</v>
      </c>
      <c r="F206">
        <v>187350</v>
      </c>
      <c r="G206">
        <v>776500</v>
      </c>
      <c r="H206">
        <v>4</v>
      </c>
      <c r="I206">
        <v>0</v>
      </c>
      <c r="J206">
        <v>4</v>
      </c>
      <c r="K206" t="b">
        <f>TrafficData[[#This Row],[disposedChallan]]+TrafficData[[#This Row],[pendingChallan]]=TrafficData[[#This Row],[totalChallan]]</f>
        <v>1</v>
      </c>
      <c r="L206" t="b">
        <f>TrafficData[[#This Row],[pendingAmount]]+TrafficData[[#This Row],[disposedAmount]]=TrafficData[[#This Row],[totalAmount]]</f>
        <v>1</v>
      </c>
      <c r="M206" t="b">
        <f>TrafficData[[#This Row],[pendingCourt]]+TrafficData[[#This Row],[disposedCourt]]=TrafficData[[#This Row],[totalCourt]]</f>
        <v>1</v>
      </c>
      <c r="N206" s="8" t="b">
        <f>AND(TrafficData[[#This Row],[disposedChallan]]&lt;=TrafficData[[#This Row],[totalChallan]],TrafficData[[#This Row],[pendingChallan]]&lt;=TrafficData[[#This Row],[totalChallan]])</f>
        <v>1</v>
      </c>
      <c r="O206" s="8" t="b">
        <f>AND(TrafficData[[#This Row],[pendingAmount]]&lt;=TrafficData[[#This Row],[totalAmount]],TrafficData[[#This Row],[disposedAmount]]&lt;=TrafficData[[#This Row],[totalAmount]])</f>
        <v>1</v>
      </c>
      <c r="P206" s="8" t="b">
        <f>AND(TrafficData[[#This Row],[pendingCourt]]&lt;=TrafficData[[#This Row],[totalCourt]],TrafficData[[#This Row],[disposedCourt]]&lt;=TrafficData[[#This Row],[totalCourt]])</f>
        <v>1</v>
      </c>
    </row>
    <row r="207" spans="1:16">
      <c r="A207" s="1">
        <v>42210</v>
      </c>
      <c r="B207">
        <v>102</v>
      </c>
      <c r="C207">
        <v>39</v>
      </c>
      <c r="D207">
        <v>63</v>
      </c>
      <c r="E207">
        <v>546350</v>
      </c>
      <c r="F207">
        <v>209600</v>
      </c>
      <c r="G207">
        <v>755950</v>
      </c>
      <c r="H207">
        <v>0</v>
      </c>
      <c r="I207">
        <v>5</v>
      </c>
      <c r="J207">
        <v>5</v>
      </c>
      <c r="K207" t="b">
        <f>TrafficData[[#This Row],[disposedChallan]]+TrafficData[[#This Row],[pendingChallan]]=TrafficData[[#This Row],[totalChallan]]</f>
        <v>1</v>
      </c>
      <c r="L207" t="b">
        <f>TrafficData[[#This Row],[pendingAmount]]+TrafficData[[#This Row],[disposedAmount]]=TrafficData[[#This Row],[totalAmount]]</f>
        <v>1</v>
      </c>
      <c r="M207" t="b">
        <f>TrafficData[[#This Row],[pendingCourt]]+TrafficData[[#This Row],[disposedCourt]]=TrafficData[[#This Row],[totalCourt]]</f>
        <v>1</v>
      </c>
      <c r="N207" s="8" t="b">
        <f>AND(TrafficData[[#This Row],[disposedChallan]]&lt;=TrafficData[[#This Row],[totalChallan]],TrafficData[[#This Row],[pendingChallan]]&lt;=TrafficData[[#This Row],[totalChallan]])</f>
        <v>1</v>
      </c>
      <c r="O207" s="8" t="b">
        <f>AND(TrafficData[[#This Row],[pendingAmount]]&lt;=TrafficData[[#This Row],[totalAmount]],TrafficData[[#This Row],[disposedAmount]]&lt;=TrafficData[[#This Row],[totalAmount]])</f>
        <v>1</v>
      </c>
      <c r="P207" s="8" t="b">
        <f>AND(TrafficData[[#This Row],[pendingCourt]]&lt;=TrafficData[[#This Row],[totalCourt]],TrafficData[[#This Row],[disposedCourt]]&lt;=TrafficData[[#This Row],[totalCourt]])</f>
        <v>1</v>
      </c>
    </row>
    <row r="208" spans="1:16">
      <c r="A208" s="1">
        <v>42211</v>
      </c>
      <c r="B208">
        <v>87</v>
      </c>
      <c r="C208">
        <v>33</v>
      </c>
      <c r="D208">
        <v>54</v>
      </c>
      <c r="E208">
        <v>416000</v>
      </c>
      <c r="F208">
        <v>220550</v>
      </c>
      <c r="G208">
        <v>636550</v>
      </c>
      <c r="H208">
        <v>0</v>
      </c>
      <c r="I208">
        <v>2</v>
      </c>
      <c r="J208">
        <v>2</v>
      </c>
      <c r="K208" t="b">
        <f>TrafficData[[#This Row],[disposedChallan]]+TrafficData[[#This Row],[pendingChallan]]=TrafficData[[#This Row],[totalChallan]]</f>
        <v>1</v>
      </c>
      <c r="L208" t="b">
        <f>TrafficData[[#This Row],[pendingAmount]]+TrafficData[[#This Row],[disposedAmount]]=TrafficData[[#This Row],[totalAmount]]</f>
        <v>1</v>
      </c>
      <c r="M208" t="b">
        <f>TrafficData[[#This Row],[pendingCourt]]+TrafficData[[#This Row],[disposedCourt]]=TrafficData[[#This Row],[totalCourt]]</f>
        <v>1</v>
      </c>
      <c r="N208" s="8" t="b">
        <f>AND(TrafficData[[#This Row],[disposedChallan]]&lt;=TrafficData[[#This Row],[totalChallan]],TrafficData[[#This Row],[pendingChallan]]&lt;=TrafficData[[#This Row],[totalChallan]])</f>
        <v>1</v>
      </c>
      <c r="O208" s="8" t="b">
        <f>AND(TrafficData[[#This Row],[pendingAmount]]&lt;=TrafficData[[#This Row],[totalAmount]],TrafficData[[#This Row],[disposedAmount]]&lt;=TrafficData[[#This Row],[totalAmount]])</f>
        <v>1</v>
      </c>
      <c r="P208" s="8" t="b">
        <f>AND(TrafficData[[#This Row],[pendingCourt]]&lt;=TrafficData[[#This Row],[totalCourt]],TrafficData[[#This Row],[disposedCourt]]&lt;=TrafficData[[#This Row],[totalCourt]])</f>
        <v>1</v>
      </c>
    </row>
    <row r="209" spans="1:16">
      <c r="A209" s="1">
        <v>42212</v>
      </c>
      <c r="B209">
        <v>75</v>
      </c>
      <c r="C209">
        <v>28</v>
      </c>
      <c r="D209">
        <v>47</v>
      </c>
      <c r="E209">
        <v>491950</v>
      </c>
      <c r="F209">
        <v>198800</v>
      </c>
      <c r="G209">
        <v>690750</v>
      </c>
      <c r="H209">
        <v>0</v>
      </c>
      <c r="I209">
        <v>0</v>
      </c>
      <c r="J209">
        <v>0</v>
      </c>
      <c r="K209" t="b">
        <f>TrafficData[[#This Row],[disposedChallan]]+TrafficData[[#This Row],[pendingChallan]]=TrafficData[[#This Row],[totalChallan]]</f>
        <v>1</v>
      </c>
      <c r="L209" t="b">
        <f>TrafficData[[#This Row],[pendingAmount]]+TrafficData[[#This Row],[disposedAmount]]=TrafficData[[#This Row],[totalAmount]]</f>
        <v>1</v>
      </c>
      <c r="M209" t="b">
        <f>TrafficData[[#This Row],[pendingCourt]]+TrafficData[[#This Row],[disposedCourt]]=TrafficData[[#This Row],[totalCourt]]</f>
        <v>1</v>
      </c>
      <c r="N209" s="8" t="b">
        <f>AND(TrafficData[[#This Row],[disposedChallan]]&lt;=TrafficData[[#This Row],[totalChallan]],TrafficData[[#This Row],[pendingChallan]]&lt;=TrafficData[[#This Row],[totalChallan]])</f>
        <v>1</v>
      </c>
      <c r="O209" s="8" t="b">
        <f>AND(TrafficData[[#This Row],[pendingAmount]]&lt;=TrafficData[[#This Row],[totalAmount]],TrafficData[[#This Row],[disposedAmount]]&lt;=TrafficData[[#This Row],[totalAmount]])</f>
        <v>1</v>
      </c>
      <c r="P209" s="8" t="b">
        <f>AND(TrafficData[[#This Row],[pendingCourt]]&lt;=TrafficData[[#This Row],[totalCourt]],TrafficData[[#This Row],[disposedCourt]]&lt;=TrafficData[[#This Row],[totalCourt]])</f>
        <v>1</v>
      </c>
    </row>
    <row r="210" spans="1:16">
      <c r="A210" s="1">
        <v>42213</v>
      </c>
      <c r="B210">
        <v>46</v>
      </c>
      <c r="C210">
        <v>18</v>
      </c>
      <c r="D210">
        <v>28</v>
      </c>
      <c r="E210">
        <v>175700</v>
      </c>
      <c r="F210">
        <v>117937</v>
      </c>
      <c r="G210">
        <v>293637</v>
      </c>
      <c r="H210">
        <v>5</v>
      </c>
      <c r="I210">
        <v>0</v>
      </c>
      <c r="J210">
        <v>5</v>
      </c>
      <c r="K210" t="b">
        <f>TrafficData[[#This Row],[disposedChallan]]+TrafficData[[#This Row],[pendingChallan]]=TrafficData[[#This Row],[totalChallan]]</f>
        <v>1</v>
      </c>
      <c r="L210" t="b">
        <f>TrafficData[[#This Row],[pendingAmount]]+TrafficData[[#This Row],[disposedAmount]]=TrafficData[[#This Row],[totalAmount]]</f>
        <v>1</v>
      </c>
      <c r="M210" t="b">
        <f>TrafficData[[#This Row],[pendingCourt]]+TrafficData[[#This Row],[disposedCourt]]=TrafficData[[#This Row],[totalCourt]]</f>
        <v>1</v>
      </c>
      <c r="N210" s="8" t="b">
        <f>AND(TrafficData[[#This Row],[disposedChallan]]&lt;=TrafficData[[#This Row],[totalChallan]],TrafficData[[#This Row],[pendingChallan]]&lt;=TrafficData[[#This Row],[totalChallan]])</f>
        <v>1</v>
      </c>
      <c r="O210" s="8" t="b">
        <f>AND(TrafficData[[#This Row],[pendingAmount]]&lt;=TrafficData[[#This Row],[totalAmount]],TrafficData[[#This Row],[disposedAmount]]&lt;=TrafficData[[#This Row],[totalAmount]])</f>
        <v>1</v>
      </c>
      <c r="P210" s="8" t="b">
        <f>AND(TrafficData[[#This Row],[pendingCourt]]&lt;=TrafficData[[#This Row],[totalCourt]],TrafficData[[#This Row],[disposedCourt]]&lt;=TrafficData[[#This Row],[totalCourt]])</f>
        <v>1</v>
      </c>
    </row>
    <row r="211" spans="1:16">
      <c r="A211" s="1">
        <v>42214</v>
      </c>
      <c r="B211">
        <v>63</v>
      </c>
      <c r="C211">
        <v>21</v>
      </c>
      <c r="D211">
        <v>42</v>
      </c>
      <c r="E211">
        <v>465119</v>
      </c>
      <c r="F211">
        <v>117350</v>
      </c>
      <c r="G211">
        <v>582469</v>
      </c>
      <c r="H211">
        <v>1</v>
      </c>
      <c r="I211">
        <v>1</v>
      </c>
      <c r="J211">
        <v>2</v>
      </c>
      <c r="K211" t="b">
        <f>TrafficData[[#This Row],[disposedChallan]]+TrafficData[[#This Row],[pendingChallan]]=TrafficData[[#This Row],[totalChallan]]</f>
        <v>1</v>
      </c>
      <c r="L211" t="b">
        <f>TrafficData[[#This Row],[pendingAmount]]+TrafficData[[#This Row],[disposedAmount]]=TrafficData[[#This Row],[totalAmount]]</f>
        <v>1</v>
      </c>
      <c r="M211" t="b">
        <f>TrafficData[[#This Row],[pendingCourt]]+TrafficData[[#This Row],[disposedCourt]]=TrafficData[[#This Row],[totalCourt]]</f>
        <v>1</v>
      </c>
      <c r="N211" s="8" t="b">
        <f>AND(TrafficData[[#This Row],[disposedChallan]]&lt;=TrafficData[[#This Row],[totalChallan]],TrafficData[[#This Row],[pendingChallan]]&lt;=TrafficData[[#This Row],[totalChallan]])</f>
        <v>1</v>
      </c>
      <c r="O211" s="8" t="b">
        <f>AND(TrafficData[[#This Row],[pendingAmount]]&lt;=TrafficData[[#This Row],[totalAmount]],TrafficData[[#This Row],[disposedAmount]]&lt;=TrafficData[[#This Row],[totalAmount]])</f>
        <v>1</v>
      </c>
      <c r="P211" s="8" t="b">
        <f>AND(TrafficData[[#This Row],[pendingCourt]]&lt;=TrafficData[[#This Row],[totalCourt]],TrafficData[[#This Row],[disposedCourt]]&lt;=TrafficData[[#This Row],[totalCourt]])</f>
        <v>1</v>
      </c>
    </row>
    <row r="212" spans="1:16">
      <c r="A212" s="1">
        <v>42215</v>
      </c>
      <c r="B212">
        <v>106</v>
      </c>
      <c r="C212">
        <v>39</v>
      </c>
      <c r="D212">
        <v>67</v>
      </c>
      <c r="E212">
        <v>459300</v>
      </c>
      <c r="F212">
        <v>312860</v>
      </c>
      <c r="G212">
        <v>772160</v>
      </c>
      <c r="H212">
        <v>1</v>
      </c>
      <c r="I212">
        <v>0</v>
      </c>
      <c r="J212">
        <v>1</v>
      </c>
      <c r="K212" t="b">
        <f>TrafficData[[#This Row],[disposedChallan]]+TrafficData[[#This Row],[pendingChallan]]=TrafficData[[#This Row],[totalChallan]]</f>
        <v>1</v>
      </c>
      <c r="L212" t="b">
        <f>TrafficData[[#This Row],[pendingAmount]]+TrafficData[[#This Row],[disposedAmount]]=TrafficData[[#This Row],[totalAmount]]</f>
        <v>1</v>
      </c>
      <c r="M212" t="b">
        <f>TrafficData[[#This Row],[pendingCourt]]+TrafficData[[#This Row],[disposedCourt]]=TrafficData[[#This Row],[totalCourt]]</f>
        <v>1</v>
      </c>
      <c r="N212" s="8" t="b">
        <f>AND(TrafficData[[#This Row],[disposedChallan]]&lt;=TrafficData[[#This Row],[totalChallan]],TrafficData[[#This Row],[pendingChallan]]&lt;=TrafficData[[#This Row],[totalChallan]])</f>
        <v>1</v>
      </c>
      <c r="O212" s="8" t="b">
        <f>AND(TrafficData[[#This Row],[pendingAmount]]&lt;=TrafficData[[#This Row],[totalAmount]],TrafficData[[#This Row],[disposedAmount]]&lt;=TrafficData[[#This Row],[totalAmount]])</f>
        <v>1</v>
      </c>
      <c r="P212" s="8" t="b">
        <f>AND(TrafficData[[#This Row],[pendingCourt]]&lt;=TrafficData[[#This Row],[totalCourt]],TrafficData[[#This Row],[disposedCourt]]&lt;=TrafficData[[#This Row],[totalCourt]])</f>
        <v>1</v>
      </c>
    </row>
    <row r="213" spans="1:16">
      <c r="A213" s="1">
        <v>42216</v>
      </c>
      <c r="B213">
        <v>128</v>
      </c>
      <c r="C213">
        <v>47</v>
      </c>
      <c r="D213">
        <v>81</v>
      </c>
      <c r="E213">
        <v>560100</v>
      </c>
      <c r="F213">
        <v>361803</v>
      </c>
      <c r="G213">
        <v>921903</v>
      </c>
      <c r="H213">
        <v>0</v>
      </c>
      <c r="I213">
        <v>0</v>
      </c>
      <c r="J213">
        <v>0</v>
      </c>
      <c r="K213" t="b">
        <f>TrafficData[[#This Row],[disposedChallan]]+TrafficData[[#This Row],[pendingChallan]]=TrafficData[[#This Row],[totalChallan]]</f>
        <v>1</v>
      </c>
      <c r="L213" t="b">
        <f>TrafficData[[#This Row],[pendingAmount]]+TrafficData[[#This Row],[disposedAmount]]=TrafficData[[#This Row],[totalAmount]]</f>
        <v>1</v>
      </c>
      <c r="M213" t="b">
        <f>TrafficData[[#This Row],[pendingCourt]]+TrafficData[[#This Row],[disposedCourt]]=TrafficData[[#This Row],[totalCourt]]</f>
        <v>1</v>
      </c>
      <c r="N213" s="8" t="b">
        <f>AND(TrafficData[[#This Row],[disposedChallan]]&lt;=TrafficData[[#This Row],[totalChallan]],TrafficData[[#This Row],[pendingChallan]]&lt;=TrafficData[[#This Row],[totalChallan]])</f>
        <v>1</v>
      </c>
      <c r="O213" s="8" t="b">
        <f>AND(TrafficData[[#This Row],[pendingAmount]]&lt;=TrafficData[[#This Row],[totalAmount]],TrafficData[[#This Row],[disposedAmount]]&lt;=TrafficData[[#This Row],[totalAmount]])</f>
        <v>1</v>
      </c>
      <c r="P213" s="8" t="b">
        <f>AND(TrafficData[[#This Row],[pendingCourt]]&lt;=TrafficData[[#This Row],[totalCourt]],TrafficData[[#This Row],[disposedCourt]]&lt;=TrafficData[[#This Row],[totalCourt]])</f>
        <v>1</v>
      </c>
    </row>
    <row r="214" spans="1:16">
      <c r="A214" s="1">
        <v>42217</v>
      </c>
      <c r="B214">
        <v>92</v>
      </c>
      <c r="C214">
        <v>26</v>
      </c>
      <c r="D214">
        <v>66</v>
      </c>
      <c r="E214">
        <v>756250</v>
      </c>
      <c r="F214">
        <v>130700</v>
      </c>
      <c r="G214">
        <v>886950</v>
      </c>
      <c r="H214">
        <v>5</v>
      </c>
      <c r="I214">
        <v>1</v>
      </c>
      <c r="J214">
        <v>6</v>
      </c>
      <c r="K214" t="b">
        <f>TrafficData[[#This Row],[disposedChallan]]+TrafficData[[#This Row],[pendingChallan]]=TrafficData[[#This Row],[totalChallan]]</f>
        <v>1</v>
      </c>
      <c r="L214" t="b">
        <f>TrafficData[[#This Row],[pendingAmount]]+TrafficData[[#This Row],[disposedAmount]]=TrafficData[[#This Row],[totalAmount]]</f>
        <v>1</v>
      </c>
      <c r="M214" t="b">
        <f>TrafficData[[#This Row],[pendingCourt]]+TrafficData[[#This Row],[disposedCourt]]=TrafficData[[#This Row],[totalCourt]]</f>
        <v>1</v>
      </c>
      <c r="N214" s="8" t="b">
        <f>AND(TrafficData[[#This Row],[disposedChallan]]&lt;=TrafficData[[#This Row],[totalChallan]],TrafficData[[#This Row],[pendingChallan]]&lt;=TrafficData[[#This Row],[totalChallan]])</f>
        <v>1</v>
      </c>
      <c r="O214" s="8" t="b">
        <f>AND(TrafficData[[#This Row],[pendingAmount]]&lt;=TrafficData[[#This Row],[totalAmount]],TrafficData[[#This Row],[disposedAmount]]&lt;=TrafficData[[#This Row],[totalAmount]])</f>
        <v>1</v>
      </c>
      <c r="P214" s="8" t="b">
        <f>AND(TrafficData[[#This Row],[pendingCourt]]&lt;=TrafficData[[#This Row],[totalCourt]],TrafficData[[#This Row],[disposedCourt]]&lt;=TrafficData[[#This Row],[totalCourt]])</f>
        <v>1</v>
      </c>
    </row>
    <row r="215" spans="1:16">
      <c r="A215" s="1">
        <v>42218</v>
      </c>
      <c r="B215">
        <v>96</v>
      </c>
      <c r="C215">
        <v>42</v>
      </c>
      <c r="D215">
        <v>54</v>
      </c>
      <c r="E215">
        <v>573550</v>
      </c>
      <c r="F215">
        <v>346050</v>
      </c>
      <c r="G215">
        <v>919600</v>
      </c>
      <c r="H215">
        <v>0</v>
      </c>
      <c r="I215">
        <v>0</v>
      </c>
      <c r="J215">
        <v>0</v>
      </c>
      <c r="K215" t="b">
        <f>TrafficData[[#This Row],[disposedChallan]]+TrafficData[[#This Row],[pendingChallan]]=TrafficData[[#This Row],[totalChallan]]</f>
        <v>1</v>
      </c>
      <c r="L215" t="b">
        <f>TrafficData[[#This Row],[pendingAmount]]+TrafficData[[#This Row],[disposedAmount]]=TrafficData[[#This Row],[totalAmount]]</f>
        <v>1</v>
      </c>
      <c r="M215" t="b">
        <f>TrafficData[[#This Row],[pendingCourt]]+TrafficData[[#This Row],[disposedCourt]]=TrafficData[[#This Row],[totalCourt]]</f>
        <v>1</v>
      </c>
      <c r="N215" s="8" t="b">
        <f>AND(TrafficData[[#This Row],[disposedChallan]]&lt;=TrafficData[[#This Row],[totalChallan]],TrafficData[[#This Row],[pendingChallan]]&lt;=TrafficData[[#This Row],[totalChallan]])</f>
        <v>1</v>
      </c>
      <c r="O215" s="8" t="b">
        <f>AND(TrafficData[[#This Row],[pendingAmount]]&lt;=TrafficData[[#This Row],[totalAmount]],TrafficData[[#This Row],[disposedAmount]]&lt;=TrafficData[[#This Row],[totalAmount]])</f>
        <v>1</v>
      </c>
      <c r="P215" s="8" t="b">
        <f>AND(TrafficData[[#This Row],[pendingCourt]]&lt;=TrafficData[[#This Row],[totalCourt]],TrafficData[[#This Row],[disposedCourt]]&lt;=TrafficData[[#This Row],[totalCourt]])</f>
        <v>1</v>
      </c>
    </row>
    <row r="216" spans="1:16">
      <c r="A216" s="1">
        <v>42219</v>
      </c>
      <c r="B216">
        <v>99</v>
      </c>
      <c r="C216">
        <v>31</v>
      </c>
      <c r="D216">
        <v>68</v>
      </c>
      <c r="E216">
        <v>356370</v>
      </c>
      <c r="F216">
        <v>199992</v>
      </c>
      <c r="G216">
        <v>556362</v>
      </c>
      <c r="H216">
        <v>3</v>
      </c>
      <c r="I216">
        <v>0</v>
      </c>
      <c r="J216">
        <v>3</v>
      </c>
      <c r="K216" t="b">
        <f>TrafficData[[#This Row],[disposedChallan]]+TrafficData[[#This Row],[pendingChallan]]=TrafficData[[#This Row],[totalChallan]]</f>
        <v>1</v>
      </c>
      <c r="L216" t="b">
        <f>TrafficData[[#This Row],[pendingAmount]]+TrafficData[[#This Row],[disposedAmount]]=TrafficData[[#This Row],[totalAmount]]</f>
        <v>1</v>
      </c>
      <c r="M216" t="b">
        <f>TrafficData[[#This Row],[pendingCourt]]+TrafficData[[#This Row],[disposedCourt]]=TrafficData[[#This Row],[totalCourt]]</f>
        <v>1</v>
      </c>
      <c r="N216" s="8" t="b">
        <f>AND(TrafficData[[#This Row],[disposedChallan]]&lt;=TrafficData[[#This Row],[totalChallan]],TrafficData[[#This Row],[pendingChallan]]&lt;=TrafficData[[#This Row],[totalChallan]])</f>
        <v>1</v>
      </c>
      <c r="O216" s="8" t="b">
        <f>AND(TrafficData[[#This Row],[pendingAmount]]&lt;=TrafficData[[#This Row],[totalAmount]],TrafficData[[#This Row],[disposedAmount]]&lt;=TrafficData[[#This Row],[totalAmount]])</f>
        <v>1</v>
      </c>
      <c r="P216" s="8" t="b">
        <f>AND(TrafficData[[#This Row],[pendingCourt]]&lt;=TrafficData[[#This Row],[totalCourt]],TrafficData[[#This Row],[disposedCourt]]&lt;=TrafficData[[#This Row],[totalCourt]])</f>
        <v>1</v>
      </c>
    </row>
    <row r="217" spans="1:16">
      <c r="A217" s="1">
        <v>42220</v>
      </c>
      <c r="B217">
        <v>92</v>
      </c>
      <c r="C217">
        <v>29</v>
      </c>
      <c r="D217">
        <v>63</v>
      </c>
      <c r="E217">
        <v>431550</v>
      </c>
      <c r="F217">
        <v>108200</v>
      </c>
      <c r="G217">
        <v>539750</v>
      </c>
      <c r="H217">
        <v>0</v>
      </c>
      <c r="I217">
        <v>0</v>
      </c>
      <c r="J217">
        <v>0</v>
      </c>
      <c r="K217" t="b">
        <f>TrafficData[[#This Row],[disposedChallan]]+TrafficData[[#This Row],[pendingChallan]]=TrafficData[[#This Row],[totalChallan]]</f>
        <v>1</v>
      </c>
      <c r="L217" t="b">
        <f>TrafficData[[#This Row],[pendingAmount]]+TrafficData[[#This Row],[disposedAmount]]=TrafficData[[#This Row],[totalAmount]]</f>
        <v>1</v>
      </c>
      <c r="M217" t="b">
        <f>TrafficData[[#This Row],[pendingCourt]]+TrafficData[[#This Row],[disposedCourt]]=TrafficData[[#This Row],[totalCourt]]</f>
        <v>1</v>
      </c>
      <c r="N217" s="8" t="b">
        <f>AND(TrafficData[[#This Row],[disposedChallan]]&lt;=TrafficData[[#This Row],[totalChallan]],TrafficData[[#This Row],[pendingChallan]]&lt;=TrafficData[[#This Row],[totalChallan]])</f>
        <v>1</v>
      </c>
      <c r="O217" s="8" t="b">
        <f>AND(TrafficData[[#This Row],[pendingAmount]]&lt;=TrafficData[[#This Row],[totalAmount]],TrafficData[[#This Row],[disposedAmount]]&lt;=TrafficData[[#This Row],[totalAmount]])</f>
        <v>1</v>
      </c>
      <c r="P217" s="8" t="b">
        <f>AND(TrafficData[[#This Row],[pendingCourt]]&lt;=TrafficData[[#This Row],[totalCourt]],TrafficData[[#This Row],[disposedCourt]]&lt;=TrafficData[[#This Row],[totalCourt]])</f>
        <v>1</v>
      </c>
    </row>
    <row r="218" spans="1:16">
      <c r="A218" s="1">
        <v>42221</v>
      </c>
      <c r="B218">
        <v>145</v>
      </c>
      <c r="C218">
        <v>70</v>
      </c>
      <c r="D218">
        <v>75</v>
      </c>
      <c r="E218">
        <v>824320</v>
      </c>
      <c r="F218">
        <v>977870</v>
      </c>
      <c r="G218">
        <v>1802190</v>
      </c>
      <c r="H218">
        <v>2</v>
      </c>
      <c r="I218">
        <v>0</v>
      </c>
      <c r="J218">
        <v>2</v>
      </c>
      <c r="K218" t="b">
        <f>TrafficData[[#This Row],[disposedChallan]]+TrafficData[[#This Row],[pendingChallan]]=TrafficData[[#This Row],[totalChallan]]</f>
        <v>1</v>
      </c>
      <c r="L218" t="b">
        <f>TrafficData[[#This Row],[pendingAmount]]+TrafficData[[#This Row],[disposedAmount]]=TrafficData[[#This Row],[totalAmount]]</f>
        <v>1</v>
      </c>
      <c r="M218" t="b">
        <f>TrafficData[[#This Row],[pendingCourt]]+TrafficData[[#This Row],[disposedCourt]]=TrafficData[[#This Row],[totalCourt]]</f>
        <v>1</v>
      </c>
      <c r="N218" s="8" t="b">
        <f>AND(TrafficData[[#This Row],[disposedChallan]]&lt;=TrafficData[[#This Row],[totalChallan]],TrafficData[[#This Row],[pendingChallan]]&lt;=TrafficData[[#This Row],[totalChallan]])</f>
        <v>1</v>
      </c>
      <c r="O218" s="8" t="b">
        <f>AND(TrafficData[[#This Row],[pendingAmount]]&lt;=TrafficData[[#This Row],[totalAmount]],TrafficData[[#This Row],[disposedAmount]]&lt;=TrafficData[[#This Row],[totalAmount]])</f>
        <v>1</v>
      </c>
      <c r="P218" s="8" t="b">
        <f>AND(TrafficData[[#This Row],[pendingCourt]]&lt;=TrafficData[[#This Row],[totalCourt]],TrafficData[[#This Row],[disposedCourt]]&lt;=TrafficData[[#This Row],[totalCourt]])</f>
        <v>1</v>
      </c>
    </row>
    <row r="219" spans="1:16">
      <c r="A219" s="1">
        <v>42222</v>
      </c>
      <c r="B219">
        <v>98</v>
      </c>
      <c r="C219">
        <v>38</v>
      </c>
      <c r="D219">
        <v>60</v>
      </c>
      <c r="E219">
        <v>502700</v>
      </c>
      <c r="F219">
        <v>233140</v>
      </c>
      <c r="G219">
        <v>735840</v>
      </c>
      <c r="H219">
        <v>4</v>
      </c>
      <c r="I219">
        <v>0</v>
      </c>
      <c r="J219">
        <v>4</v>
      </c>
      <c r="K219" t="b">
        <f>TrafficData[[#This Row],[disposedChallan]]+TrafficData[[#This Row],[pendingChallan]]=TrafficData[[#This Row],[totalChallan]]</f>
        <v>1</v>
      </c>
      <c r="L219" t="b">
        <f>TrafficData[[#This Row],[pendingAmount]]+TrafficData[[#This Row],[disposedAmount]]=TrafficData[[#This Row],[totalAmount]]</f>
        <v>1</v>
      </c>
      <c r="M219" t="b">
        <f>TrafficData[[#This Row],[pendingCourt]]+TrafficData[[#This Row],[disposedCourt]]=TrafficData[[#This Row],[totalCourt]]</f>
        <v>1</v>
      </c>
      <c r="N219" s="8" t="b">
        <f>AND(TrafficData[[#This Row],[disposedChallan]]&lt;=TrafficData[[#This Row],[totalChallan]],TrafficData[[#This Row],[pendingChallan]]&lt;=TrafficData[[#This Row],[totalChallan]])</f>
        <v>1</v>
      </c>
      <c r="O219" s="8" t="b">
        <f>AND(TrafficData[[#This Row],[pendingAmount]]&lt;=TrafficData[[#This Row],[totalAmount]],TrafficData[[#This Row],[disposedAmount]]&lt;=TrafficData[[#This Row],[totalAmount]])</f>
        <v>1</v>
      </c>
      <c r="P219" s="8" t="b">
        <f>AND(TrafficData[[#This Row],[pendingCourt]]&lt;=TrafficData[[#This Row],[totalCourt]],TrafficData[[#This Row],[disposedCourt]]&lt;=TrafficData[[#This Row],[totalCourt]])</f>
        <v>1</v>
      </c>
    </row>
    <row r="220" spans="1:16">
      <c r="A220" s="1">
        <v>42223</v>
      </c>
      <c r="B220">
        <v>105</v>
      </c>
      <c r="C220">
        <v>35</v>
      </c>
      <c r="D220">
        <v>70</v>
      </c>
      <c r="E220">
        <v>494570</v>
      </c>
      <c r="F220">
        <v>271020</v>
      </c>
      <c r="G220">
        <v>765590</v>
      </c>
      <c r="H220">
        <v>6</v>
      </c>
      <c r="I220">
        <v>1</v>
      </c>
      <c r="J220">
        <v>7</v>
      </c>
      <c r="K220" t="b">
        <f>TrafficData[[#This Row],[disposedChallan]]+TrafficData[[#This Row],[pendingChallan]]=TrafficData[[#This Row],[totalChallan]]</f>
        <v>1</v>
      </c>
      <c r="L220" t="b">
        <f>TrafficData[[#This Row],[pendingAmount]]+TrafficData[[#This Row],[disposedAmount]]=TrafficData[[#This Row],[totalAmount]]</f>
        <v>1</v>
      </c>
      <c r="M220" t="b">
        <f>TrafficData[[#This Row],[pendingCourt]]+TrafficData[[#This Row],[disposedCourt]]=TrafficData[[#This Row],[totalCourt]]</f>
        <v>1</v>
      </c>
      <c r="N220" s="8" t="b">
        <f>AND(TrafficData[[#This Row],[disposedChallan]]&lt;=TrafficData[[#This Row],[totalChallan]],TrafficData[[#This Row],[pendingChallan]]&lt;=TrafficData[[#This Row],[totalChallan]])</f>
        <v>1</v>
      </c>
      <c r="O220" s="8" t="b">
        <f>AND(TrafficData[[#This Row],[pendingAmount]]&lt;=TrafficData[[#This Row],[totalAmount]],TrafficData[[#This Row],[disposedAmount]]&lt;=TrafficData[[#This Row],[totalAmount]])</f>
        <v>1</v>
      </c>
      <c r="P220" s="8" t="b">
        <f>AND(TrafficData[[#This Row],[pendingCourt]]&lt;=TrafficData[[#This Row],[totalCourt]],TrafficData[[#This Row],[disposedCourt]]&lt;=TrafficData[[#This Row],[totalCourt]])</f>
        <v>1</v>
      </c>
    </row>
    <row r="221" spans="1:16">
      <c r="A221" s="1">
        <v>42224</v>
      </c>
      <c r="B221">
        <v>96</v>
      </c>
      <c r="C221">
        <v>29</v>
      </c>
      <c r="D221">
        <v>67</v>
      </c>
      <c r="E221">
        <v>418300</v>
      </c>
      <c r="F221">
        <v>116900</v>
      </c>
      <c r="G221">
        <v>535200</v>
      </c>
      <c r="H221">
        <v>0</v>
      </c>
      <c r="I221">
        <v>1</v>
      </c>
      <c r="J221">
        <v>1</v>
      </c>
      <c r="K221" t="b">
        <f>TrafficData[[#This Row],[disposedChallan]]+TrafficData[[#This Row],[pendingChallan]]=TrafficData[[#This Row],[totalChallan]]</f>
        <v>1</v>
      </c>
      <c r="L221" t="b">
        <f>TrafficData[[#This Row],[pendingAmount]]+TrafficData[[#This Row],[disposedAmount]]=TrafficData[[#This Row],[totalAmount]]</f>
        <v>1</v>
      </c>
      <c r="M221" t="b">
        <f>TrafficData[[#This Row],[pendingCourt]]+TrafficData[[#This Row],[disposedCourt]]=TrafficData[[#This Row],[totalCourt]]</f>
        <v>1</v>
      </c>
      <c r="N221" s="8" t="b">
        <f>AND(TrafficData[[#This Row],[disposedChallan]]&lt;=TrafficData[[#This Row],[totalChallan]],TrafficData[[#This Row],[pendingChallan]]&lt;=TrafficData[[#This Row],[totalChallan]])</f>
        <v>1</v>
      </c>
      <c r="O221" s="8" t="b">
        <f>AND(TrafficData[[#This Row],[pendingAmount]]&lt;=TrafficData[[#This Row],[totalAmount]],TrafficData[[#This Row],[disposedAmount]]&lt;=TrafficData[[#This Row],[totalAmount]])</f>
        <v>1</v>
      </c>
      <c r="P221" s="8" t="b">
        <f>AND(TrafficData[[#This Row],[pendingCourt]]&lt;=TrafficData[[#This Row],[totalCourt]],TrafficData[[#This Row],[disposedCourt]]&lt;=TrafficData[[#This Row],[totalCourt]])</f>
        <v>1</v>
      </c>
    </row>
    <row r="222" spans="1:16">
      <c r="A222" s="1">
        <v>42225</v>
      </c>
      <c r="B222">
        <v>64</v>
      </c>
      <c r="C222">
        <v>18</v>
      </c>
      <c r="D222">
        <v>46</v>
      </c>
      <c r="E222">
        <v>182100</v>
      </c>
      <c r="F222">
        <v>121800</v>
      </c>
      <c r="G222">
        <v>303900</v>
      </c>
      <c r="H222">
        <v>0</v>
      </c>
      <c r="I222">
        <v>1</v>
      </c>
      <c r="J222">
        <v>1</v>
      </c>
      <c r="K222" t="b">
        <f>TrafficData[[#This Row],[disposedChallan]]+TrafficData[[#This Row],[pendingChallan]]=TrafficData[[#This Row],[totalChallan]]</f>
        <v>1</v>
      </c>
      <c r="L222" t="b">
        <f>TrafficData[[#This Row],[pendingAmount]]+TrafficData[[#This Row],[disposedAmount]]=TrafficData[[#This Row],[totalAmount]]</f>
        <v>1</v>
      </c>
      <c r="M222" t="b">
        <f>TrafficData[[#This Row],[pendingCourt]]+TrafficData[[#This Row],[disposedCourt]]=TrafficData[[#This Row],[totalCourt]]</f>
        <v>1</v>
      </c>
      <c r="N222" s="8" t="b">
        <f>AND(TrafficData[[#This Row],[disposedChallan]]&lt;=TrafficData[[#This Row],[totalChallan]],TrafficData[[#This Row],[pendingChallan]]&lt;=TrafficData[[#This Row],[totalChallan]])</f>
        <v>1</v>
      </c>
      <c r="O222" s="8" t="b">
        <f>AND(TrafficData[[#This Row],[pendingAmount]]&lt;=TrafficData[[#This Row],[totalAmount]],TrafficData[[#This Row],[disposedAmount]]&lt;=TrafficData[[#This Row],[totalAmount]])</f>
        <v>1</v>
      </c>
      <c r="P222" s="8" t="b">
        <f>AND(TrafficData[[#This Row],[pendingCourt]]&lt;=TrafficData[[#This Row],[totalCourt]],TrafficData[[#This Row],[disposedCourt]]&lt;=TrafficData[[#This Row],[totalCourt]])</f>
        <v>1</v>
      </c>
    </row>
    <row r="223" spans="1:16">
      <c r="A223" s="1">
        <v>42226</v>
      </c>
      <c r="B223">
        <v>93</v>
      </c>
      <c r="C223">
        <v>23</v>
      </c>
      <c r="D223">
        <v>70</v>
      </c>
      <c r="E223">
        <v>526169</v>
      </c>
      <c r="F223">
        <v>110600</v>
      </c>
      <c r="G223">
        <v>636769</v>
      </c>
      <c r="H223">
        <v>1</v>
      </c>
      <c r="I223">
        <v>0</v>
      </c>
      <c r="J223">
        <v>1</v>
      </c>
      <c r="K223" t="b">
        <f>TrafficData[[#This Row],[disposedChallan]]+TrafficData[[#This Row],[pendingChallan]]=TrafficData[[#This Row],[totalChallan]]</f>
        <v>1</v>
      </c>
      <c r="L223" t="b">
        <f>TrafficData[[#This Row],[pendingAmount]]+TrafficData[[#This Row],[disposedAmount]]=TrafficData[[#This Row],[totalAmount]]</f>
        <v>1</v>
      </c>
      <c r="M223" t="b">
        <f>TrafficData[[#This Row],[pendingCourt]]+TrafficData[[#This Row],[disposedCourt]]=TrafficData[[#This Row],[totalCourt]]</f>
        <v>1</v>
      </c>
      <c r="N223" s="8" t="b">
        <f>AND(TrafficData[[#This Row],[disposedChallan]]&lt;=TrafficData[[#This Row],[totalChallan]],TrafficData[[#This Row],[pendingChallan]]&lt;=TrafficData[[#This Row],[totalChallan]])</f>
        <v>1</v>
      </c>
      <c r="O223" s="8" t="b">
        <f>AND(TrafficData[[#This Row],[pendingAmount]]&lt;=TrafficData[[#This Row],[totalAmount]],TrafficData[[#This Row],[disposedAmount]]&lt;=TrafficData[[#This Row],[totalAmount]])</f>
        <v>1</v>
      </c>
      <c r="P223" s="8" t="b">
        <f>AND(TrafficData[[#This Row],[pendingCourt]]&lt;=TrafficData[[#This Row],[totalCourt]],TrafficData[[#This Row],[disposedCourt]]&lt;=TrafficData[[#This Row],[totalCourt]])</f>
        <v>1</v>
      </c>
    </row>
    <row r="224" spans="1:16">
      <c r="A224" s="1">
        <v>42227</v>
      </c>
      <c r="B224">
        <v>76</v>
      </c>
      <c r="C224">
        <v>21</v>
      </c>
      <c r="D224">
        <v>55</v>
      </c>
      <c r="E224">
        <v>281850</v>
      </c>
      <c r="F224">
        <v>132030</v>
      </c>
      <c r="G224">
        <v>413880</v>
      </c>
      <c r="H224">
        <v>4</v>
      </c>
      <c r="I224">
        <v>0</v>
      </c>
      <c r="J224">
        <v>4</v>
      </c>
      <c r="K224" t="b">
        <f>TrafficData[[#This Row],[disposedChallan]]+TrafficData[[#This Row],[pendingChallan]]=TrafficData[[#This Row],[totalChallan]]</f>
        <v>1</v>
      </c>
      <c r="L224" t="b">
        <f>TrafficData[[#This Row],[pendingAmount]]+TrafficData[[#This Row],[disposedAmount]]=TrafficData[[#This Row],[totalAmount]]</f>
        <v>1</v>
      </c>
      <c r="M224" t="b">
        <f>TrafficData[[#This Row],[pendingCourt]]+TrafficData[[#This Row],[disposedCourt]]=TrafficData[[#This Row],[totalCourt]]</f>
        <v>1</v>
      </c>
      <c r="N224" s="8" t="b">
        <f>AND(TrafficData[[#This Row],[disposedChallan]]&lt;=TrafficData[[#This Row],[totalChallan]],TrafficData[[#This Row],[pendingChallan]]&lt;=TrafficData[[#This Row],[totalChallan]])</f>
        <v>1</v>
      </c>
      <c r="O224" s="8" t="b">
        <f>AND(TrafficData[[#This Row],[pendingAmount]]&lt;=TrafficData[[#This Row],[totalAmount]],TrafficData[[#This Row],[disposedAmount]]&lt;=TrafficData[[#This Row],[totalAmount]])</f>
        <v>1</v>
      </c>
      <c r="P224" s="8" t="b">
        <f>AND(TrafficData[[#This Row],[pendingCourt]]&lt;=TrafficData[[#This Row],[totalCourt]],TrafficData[[#This Row],[disposedCourt]]&lt;=TrafficData[[#This Row],[totalCourt]])</f>
        <v>1</v>
      </c>
    </row>
    <row r="225" spans="1:16">
      <c r="A225" s="1">
        <v>42228</v>
      </c>
      <c r="B225">
        <v>73</v>
      </c>
      <c r="C225">
        <v>28</v>
      </c>
      <c r="D225">
        <v>45</v>
      </c>
      <c r="E225">
        <v>341150</v>
      </c>
      <c r="F225">
        <v>207130</v>
      </c>
      <c r="G225">
        <v>548280</v>
      </c>
      <c r="H225">
        <v>2</v>
      </c>
      <c r="I225">
        <v>2</v>
      </c>
      <c r="J225">
        <v>4</v>
      </c>
      <c r="K225" t="b">
        <f>TrafficData[[#This Row],[disposedChallan]]+TrafficData[[#This Row],[pendingChallan]]=TrafficData[[#This Row],[totalChallan]]</f>
        <v>1</v>
      </c>
      <c r="L225" t="b">
        <f>TrafficData[[#This Row],[pendingAmount]]+TrafficData[[#This Row],[disposedAmount]]=TrafficData[[#This Row],[totalAmount]]</f>
        <v>1</v>
      </c>
      <c r="M225" t="b">
        <f>TrafficData[[#This Row],[pendingCourt]]+TrafficData[[#This Row],[disposedCourt]]=TrafficData[[#This Row],[totalCourt]]</f>
        <v>1</v>
      </c>
      <c r="N225" s="8" t="b">
        <f>AND(TrafficData[[#This Row],[disposedChallan]]&lt;=TrafficData[[#This Row],[totalChallan]],TrafficData[[#This Row],[pendingChallan]]&lt;=TrafficData[[#This Row],[totalChallan]])</f>
        <v>1</v>
      </c>
      <c r="O225" s="8" t="b">
        <f>AND(TrafficData[[#This Row],[pendingAmount]]&lt;=TrafficData[[#This Row],[totalAmount]],TrafficData[[#This Row],[disposedAmount]]&lt;=TrafficData[[#This Row],[totalAmount]])</f>
        <v>1</v>
      </c>
      <c r="P225" s="8" t="b">
        <f>AND(TrafficData[[#This Row],[pendingCourt]]&lt;=TrafficData[[#This Row],[totalCourt]],TrafficData[[#This Row],[disposedCourt]]&lt;=TrafficData[[#This Row],[totalCourt]])</f>
        <v>1</v>
      </c>
    </row>
    <row r="226" spans="1:16">
      <c r="A226" s="1">
        <v>42229</v>
      </c>
      <c r="B226">
        <v>99</v>
      </c>
      <c r="C226">
        <v>33</v>
      </c>
      <c r="D226">
        <v>66</v>
      </c>
      <c r="E226">
        <v>311300</v>
      </c>
      <c r="F226">
        <v>239750</v>
      </c>
      <c r="G226">
        <v>551050</v>
      </c>
      <c r="H226">
        <v>3</v>
      </c>
      <c r="I226">
        <v>1</v>
      </c>
      <c r="J226">
        <v>4</v>
      </c>
      <c r="K226" t="b">
        <f>TrafficData[[#This Row],[disposedChallan]]+TrafficData[[#This Row],[pendingChallan]]=TrafficData[[#This Row],[totalChallan]]</f>
        <v>1</v>
      </c>
      <c r="L226" t="b">
        <f>TrafficData[[#This Row],[pendingAmount]]+TrafficData[[#This Row],[disposedAmount]]=TrafficData[[#This Row],[totalAmount]]</f>
        <v>1</v>
      </c>
      <c r="M226" t="b">
        <f>TrafficData[[#This Row],[pendingCourt]]+TrafficData[[#This Row],[disposedCourt]]=TrafficData[[#This Row],[totalCourt]]</f>
        <v>1</v>
      </c>
      <c r="N226" s="8" t="b">
        <f>AND(TrafficData[[#This Row],[disposedChallan]]&lt;=TrafficData[[#This Row],[totalChallan]],TrafficData[[#This Row],[pendingChallan]]&lt;=TrafficData[[#This Row],[totalChallan]])</f>
        <v>1</v>
      </c>
      <c r="O226" s="8" t="b">
        <f>AND(TrafficData[[#This Row],[pendingAmount]]&lt;=TrafficData[[#This Row],[totalAmount]],TrafficData[[#This Row],[disposedAmount]]&lt;=TrafficData[[#This Row],[totalAmount]])</f>
        <v>1</v>
      </c>
      <c r="P226" s="8" t="b">
        <f>AND(TrafficData[[#This Row],[pendingCourt]]&lt;=TrafficData[[#This Row],[totalCourt]],TrafficData[[#This Row],[disposedCourt]]&lt;=TrafficData[[#This Row],[totalCourt]])</f>
        <v>1</v>
      </c>
    </row>
    <row r="227" spans="1:16">
      <c r="A227" s="1">
        <v>42230</v>
      </c>
      <c r="B227">
        <v>111</v>
      </c>
      <c r="C227">
        <v>31</v>
      </c>
      <c r="D227">
        <v>80</v>
      </c>
      <c r="E227">
        <v>560050</v>
      </c>
      <c r="F227">
        <v>181460</v>
      </c>
      <c r="G227">
        <v>741510</v>
      </c>
      <c r="H227">
        <v>1</v>
      </c>
      <c r="I227">
        <v>2</v>
      </c>
      <c r="J227">
        <v>3</v>
      </c>
      <c r="K227" t="b">
        <f>TrafficData[[#This Row],[disposedChallan]]+TrafficData[[#This Row],[pendingChallan]]=TrafficData[[#This Row],[totalChallan]]</f>
        <v>1</v>
      </c>
      <c r="L227" t="b">
        <f>TrafficData[[#This Row],[pendingAmount]]+TrafficData[[#This Row],[disposedAmount]]=TrafficData[[#This Row],[totalAmount]]</f>
        <v>1</v>
      </c>
      <c r="M227" t="b">
        <f>TrafficData[[#This Row],[pendingCourt]]+TrafficData[[#This Row],[disposedCourt]]=TrafficData[[#This Row],[totalCourt]]</f>
        <v>1</v>
      </c>
      <c r="N227" s="8" t="b">
        <f>AND(TrafficData[[#This Row],[disposedChallan]]&lt;=TrafficData[[#This Row],[totalChallan]],TrafficData[[#This Row],[pendingChallan]]&lt;=TrafficData[[#This Row],[totalChallan]])</f>
        <v>1</v>
      </c>
      <c r="O227" s="8" t="b">
        <f>AND(TrafficData[[#This Row],[pendingAmount]]&lt;=TrafficData[[#This Row],[totalAmount]],TrafficData[[#This Row],[disposedAmount]]&lt;=TrafficData[[#This Row],[totalAmount]])</f>
        <v>1</v>
      </c>
      <c r="P227" s="8" t="b">
        <f>AND(TrafficData[[#This Row],[pendingCourt]]&lt;=TrafficData[[#This Row],[totalCourt]],TrafficData[[#This Row],[disposedCourt]]&lt;=TrafficData[[#This Row],[totalCourt]])</f>
        <v>1</v>
      </c>
    </row>
    <row r="228" spans="1:16">
      <c r="A228" s="1">
        <v>42231</v>
      </c>
      <c r="B228">
        <v>47</v>
      </c>
      <c r="C228">
        <v>9</v>
      </c>
      <c r="D228">
        <v>38</v>
      </c>
      <c r="E228">
        <v>272500</v>
      </c>
      <c r="F228">
        <v>30510</v>
      </c>
      <c r="G228">
        <v>303010</v>
      </c>
      <c r="H228">
        <v>0</v>
      </c>
      <c r="I228">
        <v>0</v>
      </c>
      <c r="J228">
        <v>0</v>
      </c>
      <c r="K228" t="b">
        <f>TrafficData[[#This Row],[disposedChallan]]+TrafficData[[#This Row],[pendingChallan]]=TrafficData[[#This Row],[totalChallan]]</f>
        <v>1</v>
      </c>
      <c r="L228" t="b">
        <f>TrafficData[[#This Row],[pendingAmount]]+TrafficData[[#This Row],[disposedAmount]]=TrafficData[[#This Row],[totalAmount]]</f>
        <v>1</v>
      </c>
      <c r="M228" t="b">
        <f>TrafficData[[#This Row],[pendingCourt]]+TrafficData[[#This Row],[disposedCourt]]=TrafficData[[#This Row],[totalCourt]]</f>
        <v>1</v>
      </c>
      <c r="N228" s="8" t="b">
        <f>AND(TrafficData[[#This Row],[disposedChallan]]&lt;=TrafficData[[#This Row],[totalChallan]],TrafficData[[#This Row],[pendingChallan]]&lt;=TrafficData[[#This Row],[totalChallan]])</f>
        <v>1</v>
      </c>
      <c r="O228" s="8" t="b">
        <f>AND(TrafficData[[#This Row],[pendingAmount]]&lt;=TrafficData[[#This Row],[totalAmount]],TrafficData[[#This Row],[disposedAmount]]&lt;=TrafficData[[#This Row],[totalAmount]])</f>
        <v>1</v>
      </c>
      <c r="P228" s="8" t="b">
        <f>AND(TrafficData[[#This Row],[pendingCourt]]&lt;=TrafficData[[#This Row],[totalCourt]],TrafficData[[#This Row],[disposedCourt]]&lt;=TrafficData[[#This Row],[totalCourt]])</f>
        <v>1</v>
      </c>
    </row>
    <row r="229" spans="1:16">
      <c r="A229" s="1">
        <v>42232</v>
      </c>
      <c r="B229">
        <v>62</v>
      </c>
      <c r="C229">
        <v>18</v>
      </c>
      <c r="D229">
        <v>44</v>
      </c>
      <c r="E229">
        <v>162050</v>
      </c>
      <c r="F229">
        <v>112225</v>
      </c>
      <c r="G229">
        <v>274275</v>
      </c>
      <c r="H229">
        <v>0</v>
      </c>
      <c r="I229">
        <v>0</v>
      </c>
      <c r="J229">
        <v>0</v>
      </c>
      <c r="K229" t="b">
        <f>TrafficData[[#This Row],[disposedChallan]]+TrafficData[[#This Row],[pendingChallan]]=TrafficData[[#This Row],[totalChallan]]</f>
        <v>1</v>
      </c>
      <c r="L229" t="b">
        <f>TrafficData[[#This Row],[pendingAmount]]+TrafficData[[#This Row],[disposedAmount]]=TrafficData[[#This Row],[totalAmount]]</f>
        <v>1</v>
      </c>
      <c r="M229" t="b">
        <f>TrafficData[[#This Row],[pendingCourt]]+TrafficData[[#This Row],[disposedCourt]]=TrafficData[[#This Row],[totalCourt]]</f>
        <v>1</v>
      </c>
      <c r="N229" s="8" t="b">
        <f>AND(TrafficData[[#This Row],[disposedChallan]]&lt;=TrafficData[[#This Row],[totalChallan]],TrafficData[[#This Row],[pendingChallan]]&lt;=TrafficData[[#This Row],[totalChallan]])</f>
        <v>1</v>
      </c>
      <c r="O229" s="8" t="b">
        <f>AND(TrafficData[[#This Row],[pendingAmount]]&lt;=TrafficData[[#This Row],[totalAmount]],TrafficData[[#This Row],[disposedAmount]]&lt;=TrafficData[[#This Row],[totalAmount]])</f>
        <v>1</v>
      </c>
      <c r="P229" s="8" t="b">
        <f>AND(TrafficData[[#This Row],[pendingCourt]]&lt;=TrafficData[[#This Row],[totalCourt]],TrafficData[[#This Row],[disposedCourt]]&lt;=TrafficData[[#This Row],[totalCourt]])</f>
        <v>1</v>
      </c>
    </row>
    <row r="230" spans="1:16">
      <c r="A230" s="1">
        <v>42233</v>
      </c>
      <c r="B230">
        <v>73</v>
      </c>
      <c r="C230">
        <v>20</v>
      </c>
      <c r="D230">
        <v>53</v>
      </c>
      <c r="E230">
        <v>309300</v>
      </c>
      <c r="F230">
        <v>90300</v>
      </c>
      <c r="G230">
        <v>399600</v>
      </c>
      <c r="H230">
        <v>0</v>
      </c>
      <c r="I230">
        <v>1</v>
      </c>
      <c r="J230">
        <v>1</v>
      </c>
      <c r="K230" t="b">
        <f>TrafficData[[#This Row],[disposedChallan]]+TrafficData[[#This Row],[pendingChallan]]=TrafficData[[#This Row],[totalChallan]]</f>
        <v>1</v>
      </c>
      <c r="L230" t="b">
        <f>TrafficData[[#This Row],[pendingAmount]]+TrafficData[[#This Row],[disposedAmount]]=TrafficData[[#This Row],[totalAmount]]</f>
        <v>1</v>
      </c>
      <c r="M230" t="b">
        <f>TrafficData[[#This Row],[pendingCourt]]+TrafficData[[#This Row],[disposedCourt]]=TrafficData[[#This Row],[totalCourt]]</f>
        <v>1</v>
      </c>
      <c r="N230" s="8" t="b">
        <f>AND(TrafficData[[#This Row],[disposedChallan]]&lt;=TrafficData[[#This Row],[totalChallan]],TrafficData[[#This Row],[pendingChallan]]&lt;=TrafficData[[#This Row],[totalChallan]])</f>
        <v>1</v>
      </c>
      <c r="O230" s="8" t="b">
        <f>AND(TrafficData[[#This Row],[pendingAmount]]&lt;=TrafficData[[#This Row],[totalAmount]],TrafficData[[#This Row],[disposedAmount]]&lt;=TrafficData[[#This Row],[totalAmount]])</f>
        <v>1</v>
      </c>
      <c r="P230" s="8" t="b">
        <f>AND(TrafficData[[#This Row],[pendingCourt]]&lt;=TrafficData[[#This Row],[totalCourt]],TrafficData[[#This Row],[disposedCourt]]&lt;=TrafficData[[#This Row],[totalCourt]])</f>
        <v>1</v>
      </c>
    </row>
    <row r="231" spans="1:16">
      <c r="A231" s="1">
        <v>42234</v>
      </c>
      <c r="B231">
        <v>149</v>
      </c>
      <c r="C231">
        <v>49</v>
      </c>
      <c r="D231">
        <v>100</v>
      </c>
      <c r="E231">
        <v>578896</v>
      </c>
      <c r="F231">
        <v>201449</v>
      </c>
      <c r="G231">
        <v>780345</v>
      </c>
      <c r="H231">
        <v>1</v>
      </c>
      <c r="I231">
        <v>3</v>
      </c>
      <c r="J231">
        <v>4</v>
      </c>
      <c r="K231" t="b">
        <f>TrafficData[[#This Row],[disposedChallan]]+TrafficData[[#This Row],[pendingChallan]]=TrafficData[[#This Row],[totalChallan]]</f>
        <v>1</v>
      </c>
      <c r="L231" t="b">
        <f>TrafficData[[#This Row],[pendingAmount]]+TrafficData[[#This Row],[disposedAmount]]=TrafficData[[#This Row],[totalAmount]]</f>
        <v>1</v>
      </c>
      <c r="M231" t="b">
        <f>TrafficData[[#This Row],[pendingCourt]]+TrafficData[[#This Row],[disposedCourt]]=TrafficData[[#This Row],[totalCourt]]</f>
        <v>1</v>
      </c>
      <c r="N231" s="8" t="b">
        <f>AND(TrafficData[[#This Row],[disposedChallan]]&lt;=TrafficData[[#This Row],[totalChallan]],TrafficData[[#This Row],[pendingChallan]]&lt;=TrafficData[[#This Row],[totalChallan]])</f>
        <v>1</v>
      </c>
      <c r="O231" s="8" t="b">
        <f>AND(TrafficData[[#This Row],[pendingAmount]]&lt;=TrafficData[[#This Row],[totalAmount]],TrafficData[[#This Row],[disposedAmount]]&lt;=TrafficData[[#This Row],[totalAmount]])</f>
        <v>1</v>
      </c>
      <c r="P231" s="8" t="b">
        <f>AND(TrafficData[[#This Row],[pendingCourt]]&lt;=TrafficData[[#This Row],[totalCourt]],TrafficData[[#This Row],[disposedCourt]]&lt;=TrafficData[[#This Row],[totalCourt]])</f>
        <v>1</v>
      </c>
    </row>
    <row r="232" spans="1:16">
      <c r="A232" s="1">
        <v>42235</v>
      </c>
      <c r="B232">
        <v>192</v>
      </c>
      <c r="C232">
        <v>54</v>
      </c>
      <c r="D232">
        <v>138</v>
      </c>
      <c r="E232">
        <v>599350</v>
      </c>
      <c r="F232">
        <v>121690</v>
      </c>
      <c r="G232">
        <v>721040</v>
      </c>
      <c r="H232">
        <v>2</v>
      </c>
      <c r="I232">
        <v>1</v>
      </c>
      <c r="J232">
        <v>3</v>
      </c>
      <c r="K232" t="b">
        <f>TrafficData[[#This Row],[disposedChallan]]+TrafficData[[#This Row],[pendingChallan]]=TrafficData[[#This Row],[totalChallan]]</f>
        <v>1</v>
      </c>
      <c r="L232" t="b">
        <f>TrafficData[[#This Row],[pendingAmount]]+TrafficData[[#This Row],[disposedAmount]]=TrafficData[[#This Row],[totalAmount]]</f>
        <v>1</v>
      </c>
      <c r="M232" t="b">
        <f>TrafficData[[#This Row],[pendingCourt]]+TrafficData[[#This Row],[disposedCourt]]=TrafficData[[#This Row],[totalCourt]]</f>
        <v>1</v>
      </c>
      <c r="N232" s="8" t="b">
        <f>AND(TrafficData[[#This Row],[disposedChallan]]&lt;=TrafficData[[#This Row],[totalChallan]],TrafficData[[#This Row],[pendingChallan]]&lt;=TrafficData[[#This Row],[totalChallan]])</f>
        <v>1</v>
      </c>
      <c r="O232" s="8" t="b">
        <f>AND(TrafficData[[#This Row],[pendingAmount]]&lt;=TrafficData[[#This Row],[totalAmount]],TrafficData[[#This Row],[disposedAmount]]&lt;=TrafficData[[#This Row],[totalAmount]])</f>
        <v>1</v>
      </c>
      <c r="P232" s="8" t="b">
        <f>AND(TrafficData[[#This Row],[pendingCourt]]&lt;=TrafficData[[#This Row],[totalCourt]],TrafficData[[#This Row],[disposedCourt]]&lt;=TrafficData[[#This Row],[totalCourt]])</f>
        <v>1</v>
      </c>
    </row>
    <row r="233" spans="1:16">
      <c r="A233" s="1">
        <v>42236</v>
      </c>
      <c r="B233">
        <v>189</v>
      </c>
      <c r="C233">
        <v>58</v>
      </c>
      <c r="D233">
        <v>131</v>
      </c>
      <c r="E233">
        <v>1134900</v>
      </c>
      <c r="F233">
        <v>263300</v>
      </c>
      <c r="G233">
        <v>1398200</v>
      </c>
      <c r="H233">
        <v>1</v>
      </c>
      <c r="I233">
        <v>1</v>
      </c>
      <c r="J233">
        <v>2</v>
      </c>
      <c r="K233" t="b">
        <f>TrafficData[[#This Row],[disposedChallan]]+TrafficData[[#This Row],[pendingChallan]]=TrafficData[[#This Row],[totalChallan]]</f>
        <v>1</v>
      </c>
      <c r="L233" t="b">
        <f>TrafficData[[#This Row],[pendingAmount]]+TrafficData[[#This Row],[disposedAmount]]=TrafficData[[#This Row],[totalAmount]]</f>
        <v>1</v>
      </c>
      <c r="M233" t="b">
        <f>TrafficData[[#This Row],[pendingCourt]]+TrafficData[[#This Row],[disposedCourt]]=TrafficData[[#This Row],[totalCourt]]</f>
        <v>1</v>
      </c>
      <c r="N233" s="8" t="b">
        <f>AND(TrafficData[[#This Row],[disposedChallan]]&lt;=TrafficData[[#This Row],[totalChallan]],TrafficData[[#This Row],[pendingChallan]]&lt;=TrafficData[[#This Row],[totalChallan]])</f>
        <v>1</v>
      </c>
      <c r="O233" s="8" t="b">
        <f>AND(TrafficData[[#This Row],[pendingAmount]]&lt;=TrafficData[[#This Row],[totalAmount]],TrafficData[[#This Row],[disposedAmount]]&lt;=TrafficData[[#This Row],[totalAmount]])</f>
        <v>1</v>
      </c>
      <c r="P233" s="8" t="b">
        <f>AND(TrafficData[[#This Row],[pendingCourt]]&lt;=TrafficData[[#This Row],[totalCourt]],TrafficData[[#This Row],[disposedCourt]]&lt;=TrafficData[[#This Row],[totalCourt]])</f>
        <v>1</v>
      </c>
    </row>
    <row r="234" spans="1:16">
      <c r="A234" s="1">
        <v>42237</v>
      </c>
      <c r="B234">
        <v>160</v>
      </c>
      <c r="C234">
        <v>52</v>
      </c>
      <c r="D234">
        <v>108</v>
      </c>
      <c r="E234">
        <v>616120</v>
      </c>
      <c r="F234">
        <v>389850</v>
      </c>
      <c r="G234">
        <v>1005970</v>
      </c>
      <c r="H234">
        <v>2</v>
      </c>
      <c r="I234">
        <v>3</v>
      </c>
      <c r="J234">
        <v>5</v>
      </c>
      <c r="K234" t="b">
        <f>TrafficData[[#This Row],[disposedChallan]]+TrafficData[[#This Row],[pendingChallan]]=TrafficData[[#This Row],[totalChallan]]</f>
        <v>1</v>
      </c>
      <c r="L234" t="b">
        <f>TrafficData[[#This Row],[pendingAmount]]+TrafficData[[#This Row],[disposedAmount]]=TrafficData[[#This Row],[totalAmount]]</f>
        <v>1</v>
      </c>
      <c r="M234" t="b">
        <f>TrafficData[[#This Row],[pendingCourt]]+TrafficData[[#This Row],[disposedCourt]]=TrafficData[[#This Row],[totalCourt]]</f>
        <v>1</v>
      </c>
      <c r="N234" s="8" t="b">
        <f>AND(TrafficData[[#This Row],[disposedChallan]]&lt;=TrafficData[[#This Row],[totalChallan]],TrafficData[[#This Row],[pendingChallan]]&lt;=TrafficData[[#This Row],[totalChallan]])</f>
        <v>1</v>
      </c>
      <c r="O234" s="8" t="b">
        <f>AND(TrafficData[[#This Row],[pendingAmount]]&lt;=TrafficData[[#This Row],[totalAmount]],TrafficData[[#This Row],[disposedAmount]]&lt;=TrafficData[[#This Row],[totalAmount]])</f>
        <v>1</v>
      </c>
      <c r="P234" s="8" t="b">
        <f>AND(TrafficData[[#This Row],[pendingCourt]]&lt;=TrafficData[[#This Row],[totalCourt]],TrafficData[[#This Row],[disposedCourt]]&lt;=TrafficData[[#This Row],[totalCourt]])</f>
        <v>1</v>
      </c>
    </row>
    <row r="235" spans="1:16">
      <c r="A235" s="1">
        <v>42238</v>
      </c>
      <c r="B235">
        <v>62</v>
      </c>
      <c r="C235">
        <v>17</v>
      </c>
      <c r="D235">
        <v>45</v>
      </c>
      <c r="E235">
        <v>308446</v>
      </c>
      <c r="F235">
        <v>44400</v>
      </c>
      <c r="G235">
        <v>352846</v>
      </c>
      <c r="H235">
        <v>1</v>
      </c>
      <c r="I235">
        <v>0</v>
      </c>
      <c r="J235">
        <v>1</v>
      </c>
      <c r="K235" t="b">
        <f>TrafficData[[#This Row],[disposedChallan]]+TrafficData[[#This Row],[pendingChallan]]=TrafficData[[#This Row],[totalChallan]]</f>
        <v>1</v>
      </c>
      <c r="L235" t="b">
        <f>TrafficData[[#This Row],[pendingAmount]]+TrafficData[[#This Row],[disposedAmount]]=TrafficData[[#This Row],[totalAmount]]</f>
        <v>1</v>
      </c>
      <c r="M235" t="b">
        <f>TrafficData[[#This Row],[pendingCourt]]+TrafficData[[#This Row],[disposedCourt]]=TrafficData[[#This Row],[totalCourt]]</f>
        <v>1</v>
      </c>
      <c r="N235" s="8" t="b">
        <f>AND(TrafficData[[#This Row],[disposedChallan]]&lt;=TrafficData[[#This Row],[totalChallan]],TrafficData[[#This Row],[pendingChallan]]&lt;=TrafficData[[#This Row],[totalChallan]])</f>
        <v>1</v>
      </c>
      <c r="O235" s="8" t="b">
        <f>AND(TrafficData[[#This Row],[pendingAmount]]&lt;=TrafficData[[#This Row],[totalAmount]],TrafficData[[#This Row],[disposedAmount]]&lt;=TrafficData[[#This Row],[totalAmount]])</f>
        <v>1</v>
      </c>
      <c r="P235" s="8" t="b">
        <f>AND(TrafficData[[#This Row],[pendingCourt]]&lt;=TrafficData[[#This Row],[totalCourt]],TrafficData[[#This Row],[disposedCourt]]&lt;=TrafficData[[#This Row],[totalCourt]])</f>
        <v>1</v>
      </c>
    </row>
    <row r="236" spans="1:16">
      <c r="A236" s="1">
        <v>42239</v>
      </c>
      <c r="B236">
        <v>66</v>
      </c>
      <c r="C236">
        <v>16</v>
      </c>
      <c r="D236">
        <v>50</v>
      </c>
      <c r="E236">
        <v>337650</v>
      </c>
      <c r="F236">
        <v>18700</v>
      </c>
      <c r="G236">
        <v>356350</v>
      </c>
      <c r="H236">
        <v>0</v>
      </c>
      <c r="I236">
        <v>0</v>
      </c>
      <c r="J236">
        <v>0</v>
      </c>
      <c r="K236" t="b">
        <f>TrafficData[[#This Row],[disposedChallan]]+TrafficData[[#This Row],[pendingChallan]]=TrafficData[[#This Row],[totalChallan]]</f>
        <v>1</v>
      </c>
      <c r="L236" t="b">
        <f>TrafficData[[#This Row],[pendingAmount]]+TrafficData[[#This Row],[disposedAmount]]=TrafficData[[#This Row],[totalAmount]]</f>
        <v>1</v>
      </c>
      <c r="M236" t="b">
        <f>TrafficData[[#This Row],[pendingCourt]]+TrafficData[[#This Row],[disposedCourt]]=TrafficData[[#This Row],[totalCourt]]</f>
        <v>1</v>
      </c>
      <c r="N236" s="8" t="b">
        <f>AND(TrafficData[[#This Row],[disposedChallan]]&lt;=TrafficData[[#This Row],[totalChallan]],TrafficData[[#This Row],[pendingChallan]]&lt;=TrafficData[[#This Row],[totalChallan]])</f>
        <v>1</v>
      </c>
      <c r="O236" s="8" t="b">
        <f>AND(TrafficData[[#This Row],[pendingAmount]]&lt;=TrafficData[[#This Row],[totalAmount]],TrafficData[[#This Row],[disposedAmount]]&lt;=TrafficData[[#This Row],[totalAmount]])</f>
        <v>1</v>
      </c>
      <c r="P236" s="8" t="b">
        <f>AND(TrafficData[[#This Row],[pendingCourt]]&lt;=TrafficData[[#This Row],[totalCourt]],TrafficData[[#This Row],[disposedCourt]]&lt;=TrafficData[[#This Row],[totalCourt]])</f>
        <v>1</v>
      </c>
    </row>
    <row r="237" spans="1:16">
      <c r="A237" s="1">
        <v>42240</v>
      </c>
      <c r="B237">
        <v>69</v>
      </c>
      <c r="C237">
        <v>16</v>
      </c>
      <c r="D237">
        <v>53</v>
      </c>
      <c r="E237">
        <v>215650</v>
      </c>
      <c r="F237">
        <v>77950</v>
      </c>
      <c r="G237">
        <v>293600</v>
      </c>
      <c r="H237">
        <v>4</v>
      </c>
      <c r="I237">
        <v>1</v>
      </c>
      <c r="J237">
        <v>5</v>
      </c>
      <c r="K237" t="b">
        <f>TrafficData[[#This Row],[disposedChallan]]+TrafficData[[#This Row],[pendingChallan]]=TrafficData[[#This Row],[totalChallan]]</f>
        <v>1</v>
      </c>
      <c r="L237" t="b">
        <f>TrafficData[[#This Row],[pendingAmount]]+TrafficData[[#This Row],[disposedAmount]]=TrafficData[[#This Row],[totalAmount]]</f>
        <v>1</v>
      </c>
      <c r="M237" t="b">
        <f>TrafficData[[#This Row],[pendingCourt]]+TrafficData[[#This Row],[disposedCourt]]=TrafficData[[#This Row],[totalCourt]]</f>
        <v>1</v>
      </c>
      <c r="N237" s="8" t="b">
        <f>AND(TrafficData[[#This Row],[disposedChallan]]&lt;=TrafficData[[#This Row],[totalChallan]],TrafficData[[#This Row],[pendingChallan]]&lt;=TrafficData[[#This Row],[totalChallan]])</f>
        <v>1</v>
      </c>
      <c r="O237" s="8" t="b">
        <f>AND(TrafficData[[#This Row],[pendingAmount]]&lt;=TrafficData[[#This Row],[totalAmount]],TrafficData[[#This Row],[disposedAmount]]&lt;=TrafficData[[#This Row],[totalAmount]])</f>
        <v>1</v>
      </c>
      <c r="P237" s="8" t="b">
        <f>AND(TrafficData[[#This Row],[pendingCourt]]&lt;=TrafficData[[#This Row],[totalCourt]],TrafficData[[#This Row],[disposedCourt]]&lt;=TrafficData[[#This Row],[totalCourt]])</f>
        <v>1</v>
      </c>
    </row>
    <row r="238" spans="1:16">
      <c r="A238" s="1">
        <v>42241</v>
      </c>
      <c r="B238">
        <v>86</v>
      </c>
      <c r="C238">
        <v>39</v>
      </c>
      <c r="D238">
        <v>47</v>
      </c>
      <c r="E238">
        <v>300700</v>
      </c>
      <c r="F238">
        <v>213400</v>
      </c>
      <c r="G238">
        <v>514100</v>
      </c>
      <c r="H238">
        <v>0</v>
      </c>
      <c r="I238">
        <v>1</v>
      </c>
      <c r="J238">
        <v>1</v>
      </c>
      <c r="K238" t="b">
        <f>TrafficData[[#This Row],[disposedChallan]]+TrafficData[[#This Row],[pendingChallan]]=TrafficData[[#This Row],[totalChallan]]</f>
        <v>1</v>
      </c>
      <c r="L238" t="b">
        <f>TrafficData[[#This Row],[pendingAmount]]+TrafficData[[#This Row],[disposedAmount]]=TrafficData[[#This Row],[totalAmount]]</f>
        <v>1</v>
      </c>
      <c r="M238" t="b">
        <f>TrafficData[[#This Row],[pendingCourt]]+TrafficData[[#This Row],[disposedCourt]]=TrafficData[[#This Row],[totalCourt]]</f>
        <v>1</v>
      </c>
      <c r="N238" s="8" t="b">
        <f>AND(TrafficData[[#This Row],[disposedChallan]]&lt;=TrafficData[[#This Row],[totalChallan]],TrafficData[[#This Row],[pendingChallan]]&lt;=TrafficData[[#This Row],[totalChallan]])</f>
        <v>1</v>
      </c>
      <c r="O238" s="8" t="b">
        <f>AND(TrafficData[[#This Row],[pendingAmount]]&lt;=TrafficData[[#This Row],[totalAmount]],TrafficData[[#This Row],[disposedAmount]]&lt;=TrafficData[[#This Row],[totalAmount]])</f>
        <v>1</v>
      </c>
      <c r="P238" s="8" t="b">
        <f>AND(TrafficData[[#This Row],[pendingCourt]]&lt;=TrafficData[[#This Row],[totalCourt]],TrafficData[[#This Row],[disposedCourt]]&lt;=TrafficData[[#This Row],[totalCourt]])</f>
        <v>1</v>
      </c>
    </row>
    <row r="239" spans="1:16">
      <c r="A239" s="1">
        <v>42242</v>
      </c>
      <c r="B239">
        <v>54</v>
      </c>
      <c r="C239">
        <v>9</v>
      </c>
      <c r="D239">
        <v>45</v>
      </c>
      <c r="E239">
        <v>332000</v>
      </c>
      <c r="F239">
        <v>62000</v>
      </c>
      <c r="G239">
        <v>394000</v>
      </c>
      <c r="H239">
        <v>0</v>
      </c>
      <c r="I239">
        <v>0</v>
      </c>
      <c r="J239">
        <v>0</v>
      </c>
      <c r="K239" t="b">
        <f>TrafficData[[#This Row],[disposedChallan]]+TrafficData[[#This Row],[pendingChallan]]=TrafficData[[#This Row],[totalChallan]]</f>
        <v>1</v>
      </c>
      <c r="L239" t="b">
        <f>TrafficData[[#This Row],[pendingAmount]]+TrafficData[[#This Row],[disposedAmount]]=TrafficData[[#This Row],[totalAmount]]</f>
        <v>1</v>
      </c>
      <c r="M239" t="b">
        <f>TrafficData[[#This Row],[pendingCourt]]+TrafficData[[#This Row],[disposedCourt]]=TrafficData[[#This Row],[totalCourt]]</f>
        <v>1</v>
      </c>
      <c r="N239" s="8" t="b">
        <f>AND(TrafficData[[#This Row],[disposedChallan]]&lt;=TrafficData[[#This Row],[totalChallan]],TrafficData[[#This Row],[pendingChallan]]&lt;=TrafficData[[#This Row],[totalChallan]])</f>
        <v>1</v>
      </c>
      <c r="O239" s="8" t="b">
        <f>AND(TrafficData[[#This Row],[pendingAmount]]&lt;=TrafficData[[#This Row],[totalAmount]],TrafficData[[#This Row],[disposedAmount]]&lt;=TrafficData[[#This Row],[totalAmount]])</f>
        <v>1</v>
      </c>
      <c r="P239" s="8" t="b">
        <f>AND(TrafficData[[#This Row],[pendingCourt]]&lt;=TrafficData[[#This Row],[totalCourt]],TrafficData[[#This Row],[disposedCourt]]&lt;=TrafficData[[#This Row],[totalCourt]])</f>
        <v>1</v>
      </c>
    </row>
    <row r="240" spans="1:16">
      <c r="A240" s="1">
        <v>42243</v>
      </c>
      <c r="B240">
        <v>81</v>
      </c>
      <c r="C240">
        <v>16</v>
      </c>
      <c r="D240">
        <v>65</v>
      </c>
      <c r="E240">
        <v>489620</v>
      </c>
      <c r="F240">
        <v>71507</v>
      </c>
      <c r="G240">
        <v>561127</v>
      </c>
      <c r="H240">
        <v>4</v>
      </c>
      <c r="I240">
        <v>1</v>
      </c>
      <c r="J240">
        <v>5</v>
      </c>
      <c r="K240" t="b">
        <f>TrafficData[[#This Row],[disposedChallan]]+TrafficData[[#This Row],[pendingChallan]]=TrafficData[[#This Row],[totalChallan]]</f>
        <v>1</v>
      </c>
      <c r="L240" t="b">
        <f>TrafficData[[#This Row],[pendingAmount]]+TrafficData[[#This Row],[disposedAmount]]=TrafficData[[#This Row],[totalAmount]]</f>
        <v>1</v>
      </c>
      <c r="M240" t="b">
        <f>TrafficData[[#This Row],[pendingCourt]]+TrafficData[[#This Row],[disposedCourt]]=TrafficData[[#This Row],[totalCourt]]</f>
        <v>1</v>
      </c>
      <c r="N240" s="8" t="b">
        <f>AND(TrafficData[[#This Row],[disposedChallan]]&lt;=TrafficData[[#This Row],[totalChallan]],TrafficData[[#This Row],[pendingChallan]]&lt;=TrafficData[[#This Row],[totalChallan]])</f>
        <v>1</v>
      </c>
      <c r="O240" s="8" t="b">
        <f>AND(TrafficData[[#This Row],[pendingAmount]]&lt;=TrafficData[[#This Row],[totalAmount]],TrafficData[[#This Row],[disposedAmount]]&lt;=TrafficData[[#This Row],[totalAmount]])</f>
        <v>1</v>
      </c>
      <c r="P240" s="8" t="b">
        <f>AND(TrafficData[[#This Row],[pendingCourt]]&lt;=TrafficData[[#This Row],[totalCourt]],TrafficData[[#This Row],[disposedCourt]]&lt;=TrafficData[[#This Row],[totalCourt]])</f>
        <v>1</v>
      </c>
    </row>
    <row r="241" spans="1:16">
      <c r="A241" s="1">
        <v>42244</v>
      </c>
      <c r="B241">
        <v>74</v>
      </c>
      <c r="C241">
        <v>17</v>
      </c>
      <c r="D241">
        <v>57</v>
      </c>
      <c r="E241">
        <v>309950</v>
      </c>
      <c r="F241">
        <v>51400</v>
      </c>
      <c r="G241">
        <v>361350</v>
      </c>
      <c r="H241">
        <v>1</v>
      </c>
      <c r="I241">
        <v>0</v>
      </c>
      <c r="J241">
        <v>1</v>
      </c>
      <c r="K241" t="b">
        <f>TrafficData[[#This Row],[disposedChallan]]+TrafficData[[#This Row],[pendingChallan]]=TrafficData[[#This Row],[totalChallan]]</f>
        <v>1</v>
      </c>
      <c r="L241" t="b">
        <f>TrafficData[[#This Row],[pendingAmount]]+TrafficData[[#This Row],[disposedAmount]]=TrafficData[[#This Row],[totalAmount]]</f>
        <v>1</v>
      </c>
      <c r="M241" t="b">
        <f>TrafficData[[#This Row],[pendingCourt]]+TrafficData[[#This Row],[disposedCourt]]=TrafficData[[#This Row],[totalCourt]]</f>
        <v>1</v>
      </c>
      <c r="N241" s="8" t="b">
        <f>AND(TrafficData[[#This Row],[disposedChallan]]&lt;=TrafficData[[#This Row],[totalChallan]],TrafficData[[#This Row],[pendingChallan]]&lt;=TrafficData[[#This Row],[totalChallan]])</f>
        <v>1</v>
      </c>
      <c r="O241" s="8" t="b">
        <f>AND(TrafficData[[#This Row],[pendingAmount]]&lt;=TrafficData[[#This Row],[totalAmount]],TrafficData[[#This Row],[disposedAmount]]&lt;=TrafficData[[#This Row],[totalAmount]])</f>
        <v>1</v>
      </c>
      <c r="P241" s="8" t="b">
        <f>AND(TrafficData[[#This Row],[pendingCourt]]&lt;=TrafficData[[#This Row],[totalCourt]],TrafficData[[#This Row],[disposedCourt]]&lt;=TrafficData[[#This Row],[totalCourt]])</f>
        <v>1</v>
      </c>
    </row>
    <row r="242" spans="1:16">
      <c r="A242" s="1">
        <v>42245</v>
      </c>
      <c r="B242">
        <v>16</v>
      </c>
      <c r="C242">
        <v>6</v>
      </c>
      <c r="D242">
        <v>10</v>
      </c>
      <c r="E242">
        <v>47151</v>
      </c>
      <c r="F242">
        <v>10400</v>
      </c>
      <c r="G242">
        <v>57551</v>
      </c>
      <c r="H242">
        <v>0</v>
      </c>
      <c r="I242">
        <v>0</v>
      </c>
      <c r="J242">
        <v>0</v>
      </c>
      <c r="K242" t="b">
        <f>TrafficData[[#This Row],[disposedChallan]]+TrafficData[[#This Row],[pendingChallan]]=TrafficData[[#This Row],[totalChallan]]</f>
        <v>1</v>
      </c>
      <c r="L242" t="b">
        <f>TrafficData[[#This Row],[pendingAmount]]+TrafficData[[#This Row],[disposedAmount]]=TrafficData[[#This Row],[totalAmount]]</f>
        <v>1</v>
      </c>
      <c r="M242" t="b">
        <f>TrafficData[[#This Row],[pendingCourt]]+TrafficData[[#This Row],[disposedCourt]]=TrafficData[[#This Row],[totalCourt]]</f>
        <v>1</v>
      </c>
      <c r="N242" s="8" t="b">
        <f>AND(TrafficData[[#This Row],[disposedChallan]]&lt;=TrafficData[[#This Row],[totalChallan]],TrafficData[[#This Row],[pendingChallan]]&lt;=TrafficData[[#This Row],[totalChallan]])</f>
        <v>1</v>
      </c>
      <c r="O242" s="8" t="b">
        <f>AND(TrafficData[[#This Row],[pendingAmount]]&lt;=TrafficData[[#This Row],[totalAmount]],TrafficData[[#This Row],[disposedAmount]]&lt;=TrafficData[[#This Row],[totalAmount]])</f>
        <v>1</v>
      </c>
      <c r="P242" s="8" t="b">
        <f>AND(TrafficData[[#This Row],[pendingCourt]]&lt;=TrafficData[[#This Row],[totalCourt]],TrafficData[[#This Row],[disposedCourt]]&lt;=TrafficData[[#This Row],[totalCourt]])</f>
        <v>1</v>
      </c>
    </row>
    <row r="243" spans="1:16">
      <c r="A243" s="1">
        <v>42246</v>
      </c>
      <c r="B243">
        <v>39</v>
      </c>
      <c r="C243">
        <v>10</v>
      </c>
      <c r="D243">
        <v>29</v>
      </c>
      <c r="E243">
        <v>201800</v>
      </c>
      <c r="F243">
        <v>39600</v>
      </c>
      <c r="G243">
        <v>241400</v>
      </c>
      <c r="H243">
        <v>0</v>
      </c>
      <c r="I243">
        <v>0</v>
      </c>
      <c r="J243">
        <v>0</v>
      </c>
      <c r="K243" t="b">
        <f>TrafficData[[#This Row],[disposedChallan]]+TrafficData[[#This Row],[pendingChallan]]=TrafficData[[#This Row],[totalChallan]]</f>
        <v>1</v>
      </c>
      <c r="L243" t="b">
        <f>TrafficData[[#This Row],[pendingAmount]]+TrafficData[[#This Row],[disposedAmount]]=TrafficData[[#This Row],[totalAmount]]</f>
        <v>1</v>
      </c>
      <c r="M243" t="b">
        <f>TrafficData[[#This Row],[pendingCourt]]+TrafficData[[#This Row],[disposedCourt]]=TrafficData[[#This Row],[totalCourt]]</f>
        <v>1</v>
      </c>
      <c r="N243" s="8" t="b">
        <f>AND(TrafficData[[#This Row],[disposedChallan]]&lt;=TrafficData[[#This Row],[totalChallan]],TrafficData[[#This Row],[pendingChallan]]&lt;=TrafficData[[#This Row],[totalChallan]])</f>
        <v>1</v>
      </c>
      <c r="O243" s="8" t="b">
        <f>AND(TrafficData[[#This Row],[pendingAmount]]&lt;=TrafficData[[#This Row],[totalAmount]],TrafficData[[#This Row],[disposedAmount]]&lt;=TrafficData[[#This Row],[totalAmount]])</f>
        <v>1</v>
      </c>
      <c r="P243" s="8" t="b">
        <f>AND(TrafficData[[#This Row],[pendingCourt]]&lt;=TrafficData[[#This Row],[totalCourt]],TrafficData[[#This Row],[disposedCourt]]&lt;=TrafficData[[#This Row],[totalCourt]])</f>
        <v>1</v>
      </c>
    </row>
    <row r="244" spans="1:16">
      <c r="A244" s="1">
        <v>42247</v>
      </c>
      <c r="B244">
        <v>46</v>
      </c>
      <c r="C244">
        <v>14</v>
      </c>
      <c r="D244">
        <v>32</v>
      </c>
      <c r="E244">
        <v>189000</v>
      </c>
      <c r="F244">
        <v>31700</v>
      </c>
      <c r="G244">
        <v>220700</v>
      </c>
      <c r="H244">
        <v>0</v>
      </c>
      <c r="I244">
        <v>0</v>
      </c>
      <c r="J244">
        <v>0</v>
      </c>
      <c r="K244" t="b">
        <f>TrafficData[[#This Row],[disposedChallan]]+TrafficData[[#This Row],[pendingChallan]]=TrafficData[[#This Row],[totalChallan]]</f>
        <v>1</v>
      </c>
      <c r="L244" t="b">
        <f>TrafficData[[#This Row],[pendingAmount]]+TrafficData[[#This Row],[disposedAmount]]=TrafficData[[#This Row],[totalAmount]]</f>
        <v>1</v>
      </c>
      <c r="M244" t="b">
        <f>TrafficData[[#This Row],[pendingCourt]]+TrafficData[[#This Row],[disposedCourt]]=TrafficData[[#This Row],[totalCourt]]</f>
        <v>1</v>
      </c>
      <c r="N244" s="8" t="b">
        <f>AND(TrafficData[[#This Row],[disposedChallan]]&lt;=TrafficData[[#This Row],[totalChallan]],TrafficData[[#This Row],[pendingChallan]]&lt;=TrafficData[[#This Row],[totalChallan]])</f>
        <v>1</v>
      </c>
      <c r="O244" s="8" t="b">
        <f>AND(TrafficData[[#This Row],[pendingAmount]]&lt;=TrafficData[[#This Row],[totalAmount]],TrafficData[[#This Row],[disposedAmount]]&lt;=TrafficData[[#This Row],[totalAmount]])</f>
        <v>1</v>
      </c>
      <c r="P244" s="8" t="b">
        <f>AND(TrafficData[[#This Row],[pendingCourt]]&lt;=TrafficData[[#This Row],[totalCourt]],TrafficData[[#This Row],[disposedCourt]]&lt;=TrafficData[[#This Row],[totalCourt]])</f>
        <v>1</v>
      </c>
    </row>
    <row r="245" spans="1:16">
      <c r="A245" s="1">
        <v>42248</v>
      </c>
      <c r="B245">
        <v>73</v>
      </c>
      <c r="C245">
        <v>16</v>
      </c>
      <c r="D245">
        <v>57</v>
      </c>
      <c r="E245">
        <v>687848</v>
      </c>
      <c r="F245">
        <v>80280</v>
      </c>
      <c r="G245">
        <v>768128</v>
      </c>
      <c r="H245">
        <v>0</v>
      </c>
      <c r="I245">
        <v>1</v>
      </c>
      <c r="J245">
        <v>1</v>
      </c>
      <c r="K245" t="b">
        <f>TrafficData[[#This Row],[disposedChallan]]+TrafficData[[#This Row],[pendingChallan]]=TrafficData[[#This Row],[totalChallan]]</f>
        <v>1</v>
      </c>
      <c r="L245" t="b">
        <f>TrafficData[[#This Row],[pendingAmount]]+TrafficData[[#This Row],[disposedAmount]]=TrafficData[[#This Row],[totalAmount]]</f>
        <v>1</v>
      </c>
      <c r="M245" t="b">
        <f>TrafficData[[#This Row],[pendingCourt]]+TrafficData[[#This Row],[disposedCourt]]=TrafficData[[#This Row],[totalCourt]]</f>
        <v>1</v>
      </c>
      <c r="N245" s="8" t="b">
        <f>AND(TrafficData[[#This Row],[disposedChallan]]&lt;=TrafficData[[#This Row],[totalChallan]],TrafficData[[#This Row],[pendingChallan]]&lt;=TrafficData[[#This Row],[totalChallan]])</f>
        <v>1</v>
      </c>
      <c r="O245" s="8" t="b">
        <f>AND(TrafficData[[#This Row],[pendingAmount]]&lt;=TrafficData[[#This Row],[totalAmount]],TrafficData[[#This Row],[disposedAmount]]&lt;=TrafficData[[#This Row],[totalAmount]])</f>
        <v>1</v>
      </c>
      <c r="P245" s="8" t="b">
        <f>AND(TrafficData[[#This Row],[pendingCourt]]&lt;=TrafficData[[#This Row],[totalCourt]],TrafficData[[#This Row],[disposedCourt]]&lt;=TrafficData[[#This Row],[totalCourt]])</f>
        <v>1</v>
      </c>
    </row>
    <row r="246" spans="1:16">
      <c r="A246" s="1">
        <v>42249</v>
      </c>
      <c r="B246">
        <v>85</v>
      </c>
      <c r="C246">
        <v>19</v>
      </c>
      <c r="D246">
        <v>66</v>
      </c>
      <c r="E246">
        <v>556400</v>
      </c>
      <c r="F246">
        <v>140450</v>
      </c>
      <c r="G246">
        <v>696850</v>
      </c>
      <c r="H246">
        <v>2</v>
      </c>
      <c r="I246">
        <v>2</v>
      </c>
      <c r="J246">
        <v>4</v>
      </c>
      <c r="K246" t="b">
        <f>TrafficData[[#This Row],[disposedChallan]]+TrafficData[[#This Row],[pendingChallan]]=TrafficData[[#This Row],[totalChallan]]</f>
        <v>1</v>
      </c>
      <c r="L246" t="b">
        <f>TrafficData[[#This Row],[pendingAmount]]+TrafficData[[#This Row],[disposedAmount]]=TrafficData[[#This Row],[totalAmount]]</f>
        <v>1</v>
      </c>
      <c r="M246" t="b">
        <f>TrafficData[[#This Row],[pendingCourt]]+TrafficData[[#This Row],[disposedCourt]]=TrafficData[[#This Row],[totalCourt]]</f>
        <v>1</v>
      </c>
      <c r="N246" s="8" t="b">
        <f>AND(TrafficData[[#This Row],[disposedChallan]]&lt;=TrafficData[[#This Row],[totalChallan]],TrafficData[[#This Row],[pendingChallan]]&lt;=TrafficData[[#This Row],[totalChallan]])</f>
        <v>1</v>
      </c>
      <c r="O246" s="8" t="b">
        <f>AND(TrafficData[[#This Row],[pendingAmount]]&lt;=TrafficData[[#This Row],[totalAmount]],TrafficData[[#This Row],[disposedAmount]]&lt;=TrafficData[[#This Row],[totalAmount]])</f>
        <v>1</v>
      </c>
      <c r="P246" s="8" t="b">
        <f>AND(TrafficData[[#This Row],[pendingCourt]]&lt;=TrafficData[[#This Row],[totalCourt]],TrafficData[[#This Row],[disposedCourt]]&lt;=TrafficData[[#This Row],[totalCourt]])</f>
        <v>1</v>
      </c>
    </row>
    <row r="247" spans="1:16">
      <c r="A247" s="1">
        <v>42250</v>
      </c>
      <c r="B247">
        <v>91</v>
      </c>
      <c r="C247">
        <v>26</v>
      </c>
      <c r="D247">
        <v>65</v>
      </c>
      <c r="E247">
        <v>573300</v>
      </c>
      <c r="F247">
        <v>88050</v>
      </c>
      <c r="G247">
        <v>661350</v>
      </c>
      <c r="H247">
        <v>2</v>
      </c>
      <c r="I247">
        <v>0</v>
      </c>
      <c r="J247">
        <v>2</v>
      </c>
      <c r="K247" t="b">
        <f>TrafficData[[#This Row],[disposedChallan]]+TrafficData[[#This Row],[pendingChallan]]=TrafficData[[#This Row],[totalChallan]]</f>
        <v>1</v>
      </c>
      <c r="L247" t="b">
        <f>TrafficData[[#This Row],[pendingAmount]]+TrafficData[[#This Row],[disposedAmount]]=TrafficData[[#This Row],[totalAmount]]</f>
        <v>1</v>
      </c>
      <c r="M247" t="b">
        <f>TrafficData[[#This Row],[pendingCourt]]+TrafficData[[#This Row],[disposedCourt]]=TrafficData[[#This Row],[totalCourt]]</f>
        <v>1</v>
      </c>
      <c r="N247" s="8" t="b">
        <f>AND(TrafficData[[#This Row],[disposedChallan]]&lt;=TrafficData[[#This Row],[totalChallan]],TrafficData[[#This Row],[pendingChallan]]&lt;=TrafficData[[#This Row],[totalChallan]])</f>
        <v>1</v>
      </c>
      <c r="O247" s="8" t="b">
        <f>AND(TrafficData[[#This Row],[pendingAmount]]&lt;=TrafficData[[#This Row],[totalAmount]],TrafficData[[#This Row],[disposedAmount]]&lt;=TrafficData[[#This Row],[totalAmount]])</f>
        <v>1</v>
      </c>
      <c r="P247" s="8" t="b">
        <f>AND(TrafficData[[#This Row],[pendingCourt]]&lt;=TrafficData[[#This Row],[totalCourt]],TrafficData[[#This Row],[disposedCourt]]&lt;=TrafficData[[#This Row],[totalCourt]])</f>
        <v>1</v>
      </c>
    </row>
    <row r="248" spans="1:16">
      <c r="A248" s="1">
        <v>42251</v>
      </c>
      <c r="B248">
        <v>73</v>
      </c>
      <c r="C248">
        <v>22</v>
      </c>
      <c r="D248">
        <v>51</v>
      </c>
      <c r="E248">
        <v>311000</v>
      </c>
      <c r="F248">
        <v>153648</v>
      </c>
      <c r="G248">
        <v>464648</v>
      </c>
      <c r="H248">
        <v>5</v>
      </c>
      <c r="I248">
        <v>0</v>
      </c>
      <c r="J248">
        <v>5</v>
      </c>
      <c r="K248" t="b">
        <f>TrafficData[[#This Row],[disposedChallan]]+TrafficData[[#This Row],[pendingChallan]]=TrafficData[[#This Row],[totalChallan]]</f>
        <v>1</v>
      </c>
      <c r="L248" t="b">
        <f>TrafficData[[#This Row],[pendingAmount]]+TrafficData[[#This Row],[disposedAmount]]=TrafficData[[#This Row],[totalAmount]]</f>
        <v>1</v>
      </c>
      <c r="M248" t="b">
        <f>TrafficData[[#This Row],[pendingCourt]]+TrafficData[[#This Row],[disposedCourt]]=TrafficData[[#This Row],[totalCourt]]</f>
        <v>1</v>
      </c>
      <c r="N248" s="8" t="b">
        <f>AND(TrafficData[[#This Row],[disposedChallan]]&lt;=TrafficData[[#This Row],[totalChallan]],TrafficData[[#This Row],[pendingChallan]]&lt;=TrafficData[[#This Row],[totalChallan]])</f>
        <v>1</v>
      </c>
      <c r="O248" s="8" t="b">
        <f>AND(TrafficData[[#This Row],[pendingAmount]]&lt;=TrafficData[[#This Row],[totalAmount]],TrafficData[[#This Row],[disposedAmount]]&lt;=TrafficData[[#This Row],[totalAmount]])</f>
        <v>1</v>
      </c>
      <c r="P248" s="8" t="b">
        <f>AND(TrafficData[[#This Row],[pendingCourt]]&lt;=TrafficData[[#This Row],[totalCourt]],TrafficData[[#This Row],[disposedCourt]]&lt;=TrafficData[[#This Row],[totalCourt]])</f>
        <v>1</v>
      </c>
    </row>
    <row r="249" spans="1:16">
      <c r="A249" s="1">
        <v>42252</v>
      </c>
      <c r="B249">
        <v>45</v>
      </c>
      <c r="C249">
        <v>9</v>
      </c>
      <c r="D249">
        <v>36</v>
      </c>
      <c r="E249">
        <v>220400</v>
      </c>
      <c r="F249">
        <v>50507</v>
      </c>
      <c r="G249">
        <v>270907</v>
      </c>
      <c r="H249">
        <v>2</v>
      </c>
      <c r="I249">
        <v>0</v>
      </c>
      <c r="J249">
        <v>2</v>
      </c>
      <c r="K249" t="b">
        <f>TrafficData[[#This Row],[disposedChallan]]+TrafficData[[#This Row],[pendingChallan]]=TrafficData[[#This Row],[totalChallan]]</f>
        <v>1</v>
      </c>
      <c r="L249" t="b">
        <f>TrafficData[[#This Row],[pendingAmount]]+TrafficData[[#This Row],[disposedAmount]]=TrafficData[[#This Row],[totalAmount]]</f>
        <v>1</v>
      </c>
      <c r="M249" t="b">
        <f>TrafficData[[#This Row],[pendingCourt]]+TrafficData[[#This Row],[disposedCourt]]=TrafficData[[#This Row],[totalCourt]]</f>
        <v>1</v>
      </c>
      <c r="N249" s="8" t="b">
        <f>AND(TrafficData[[#This Row],[disposedChallan]]&lt;=TrafficData[[#This Row],[totalChallan]],TrafficData[[#This Row],[pendingChallan]]&lt;=TrafficData[[#This Row],[totalChallan]])</f>
        <v>1</v>
      </c>
      <c r="O249" s="8" t="b">
        <f>AND(TrafficData[[#This Row],[pendingAmount]]&lt;=TrafficData[[#This Row],[totalAmount]],TrafficData[[#This Row],[disposedAmount]]&lt;=TrafficData[[#This Row],[totalAmount]])</f>
        <v>1</v>
      </c>
      <c r="P249" s="8" t="b">
        <f>AND(TrafficData[[#This Row],[pendingCourt]]&lt;=TrafficData[[#This Row],[totalCourt]],TrafficData[[#This Row],[disposedCourt]]&lt;=TrafficData[[#This Row],[totalCourt]])</f>
        <v>1</v>
      </c>
    </row>
    <row r="250" spans="1:16">
      <c r="A250" s="1">
        <v>42253</v>
      </c>
      <c r="B250">
        <v>42</v>
      </c>
      <c r="C250">
        <v>13</v>
      </c>
      <c r="D250">
        <v>29</v>
      </c>
      <c r="E250">
        <v>241150</v>
      </c>
      <c r="F250">
        <v>48650</v>
      </c>
      <c r="G250">
        <v>289800</v>
      </c>
      <c r="H250">
        <v>1</v>
      </c>
      <c r="I250">
        <v>0</v>
      </c>
      <c r="J250">
        <v>1</v>
      </c>
      <c r="K250" t="b">
        <f>TrafficData[[#This Row],[disposedChallan]]+TrafficData[[#This Row],[pendingChallan]]=TrafficData[[#This Row],[totalChallan]]</f>
        <v>1</v>
      </c>
      <c r="L250" t="b">
        <f>TrafficData[[#This Row],[pendingAmount]]+TrafficData[[#This Row],[disposedAmount]]=TrafficData[[#This Row],[totalAmount]]</f>
        <v>1</v>
      </c>
      <c r="M250" t="b">
        <f>TrafficData[[#This Row],[pendingCourt]]+TrafficData[[#This Row],[disposedCourt]]=TrafficData[[#This Row],[totalCourt]]</f>
        <v>1</v>
      </c>
      <c r="N250" s="8" t="b">
        <f>AND(TrafficData[[#This Row],[disposedChallan]]&lt;=TrafficData[[#This Row],[totalChallan]],TrafficData[[#This Row],[pendingChallan]]&lt;=TrafficData[[#This Row],[totalChallan]])</f>
        <v>1</v>
      </c>
      <c r="O250" s="8" t="b">
        <f>AND(TrafficData[[#This Row],[pendingAmount]]&lt;=TrafficData[[#This Row],[totalAmount]],TrafficData[[#This Row],[disposedAmount]]&lt;=TrafficData[[#This Row],[totalAmount]])</f>
        <v>1</v>
      </c>
      <c r="P250" s="8" t="b">
        <f>AND(TrafficData[[#This Row],[pendingCourt]]&lt;=TrafficData[[#This Row],[totalCourt]],TrafficData[[#This Row],[disposedCourt]]&lt;=TrafficData[[#This Row],[totalCourt]])</f>
        <v>1</v>
      </c>
    </row>
    <row r="251" spans="1:16">
      <c r="A251" s="1">
        <v>42254</v>
      </c>
      <c r="B251">
        <v>78</v>
      </c>
      <c r="C251">
        <v>28</v>
      </c>
      <c r="D251">
        <v>50</v>
      </c>
      <c r="E251">
        <v>502196</v>
      </c>
      <c r="F251">
        <v>115400</v>
      </c>
      <c r="G251">
        <v>617596</v>
      </c>
      <c r="H251">
        <v>4</v>
      </c>
      <c r="I251">
        <v>1</v>
      </c>
      <c r="J251">
        <v>5</v>
      </c>
      <c r="K251" t="b">
        <f>TrafficData[[#This Row],[disposedChallan]]+TrafficData[[#This Row],[pendingChallan]]=TrafficData[[#This Row],[totalChallan]]</f>
        <v>1</v>
      </c>
      <c r="L251" t="b">
        <f>TrafficData[[#This Row],[pendingAmount]]+TrafficData[[#This Row],[disposedAmount]]=TrafficData[[#This Row],[totalAmount]]</f>
        <v>1</v>
      </c>
      <c r="M251" t="b">
        <f>TrafficData[[#This Row],[pendingCourt]]+TrafficData[[#This Row],[disposedCourt]]=TrafficData[[#This Row],[totalCourt]]</f>
        <v>1</v>
      </c>
      <c r="N251" s="8" t="b">
        <f>AND(TrafficData[[#This Row],[disposedChallan]]&lt;=TrafficData[[#This Row],[totalChallan]],TrafficData[[#This Row],[pendingChallan]]&lt;=TrafficData[[#This Row],[totalChallan]])</f>
        <v>1</v>
      </c>
      <c r="O251" s="8" t="b">
        <f>AND(TrafficData[[#This Row],[pendingAmount]]&lt;=TrafficData[[#This Row],[totalAmount]],TrafficData[[#This Row],[disposedAmount]]&lt;=TrafficData[[#This Row],[totalAmount]])</f>
        <v>1</v>
      </c>
      <c r="P251" s="8" t="b">
        <f>AND(TrafficData[[#This Row],[pendingCourt]]&lt;=TrafficData[[#This Row],[totalCourt]],TrafficData[[#This Row],[disposedCourt]]&lt;=TrafficData[[#This Row],[totalCourt]])</f>
        <v>1</v>
      </c>
    </row>
    <row r="252" spans="1:16">
      <c r="A252" s="1">
        <v>42255</v>
      </c>
      <c r="B252">
        <v>124</v>
      </c>
      <c r="C252">
        <v>31</v>
      </c>
      <c r="D252">
        <v>93</v>
      </c>
      <c r="E252">
        <v>634447</v>
      </c>
      <c r="F252">
        <v>148560</v>
      </c>
      <c r="G252">
        <v>783007</v>
      </c>
      <c r="H252">
        <v>4</v>
      </c>
      <c r="I252">
        <v>0</v>
      </c>
      <c r="J252">
        <v>4</v>
      </c>
      <c r="K252" t="b">
        <f>TrafficData[[#This Row],[disposedChallan]]+TrafficData[[#This Row],[pendingChallan]]=TrafficData[[#This Row],[totalChallan]]</f>
        <v>1</v>
      </c>
      <c r="L252" t="b">
        <f>TrafficData[[#This Row],[pendingAmount]]+TrafficData[[#This Row],[disposedAmount]]=TrafficData[[#This Row],[totalAmount]]</f>
        <v>1</v>
      </c>
      <c r="M252" t="b">
        <f>TrafficData[[#This Row],[pendingCourt]]+TrafficData[[#This Row],[disposedCourt]]=TrafficData[[#This Row],[totalCourt]]</f>
        <v>1</v>
      </c>
      <c r="N252" s="8" t="b">
        <f>AND(TrafficData[[#This Row],[disposedChallan]]&lt;=TrafficData[[#This Row],[totalChallan]],TrafficData[[#This Row],[pendingChallan]]&lt;=TrafficData[[#This Row],[totalChallan]])</f>
        <v>1</v>
      </c>
      <c r="O252" s="8" t="b">
        <f>AND(TrafficData[[#This Row],[pendingAmount]]&lt;=TrafficData[[#This Row],[totalAmount]],TrafficData[[#This Row],[disposedAmount]]&lt;=TrafficData[[#This Row],[totalAmount]])</f>
        <v>1</v>
      </c>
      <c r="P252" s="8" t="b">
        <f>AND(TrafficData[[#This Row],[pendingCourt]]&lt;=TrafficData[[#This Row],[totalCourt]],TrafficData[[#This Row],[disposedCourt]]&lt;=TrafficData[[#This Row],[totalCourt]])</f>
        <v>1</v>
      </c>
    </row>
    <row r="253" spans="1:16">
      <c r="A253" s="1">
        <v>42256</v>
      </c>
      <c r="B253">
        <v>114</v>
      </c>
      <c r="C253">
        <v>36</v>
      </c>
      <c r="D253">
        <v>78</v>
      </c>
      <c r="E253">
        <v>549150</v>
      </c>
      <c r="F253">
        <v>152790</v>
      </c>
      <c r="G253">
        <v>701940</v>
      </c>
      <c r="H253">
        <v>2</v>
      </c>
      <c r="I253">
        <v>2</v>
      </c>
      <c r="J253">
        <v>4</v>
      </c>
      <c r="K253" t="b">
        <f>TrafficData[[#This Row],[disposedChallan]]+TrafficData[[#This Row],[pendingChallan]]=TrafficData[[#This Row],[totalChallan]]</f>
        <v>1</v>
      </c>
      <c r="L253" t="b">
        <f>TrafficData[[#This Row],[pendingAmount]]+TrafficData[[#This Row],[disposedAmount]]=TrafficData[[#This Row],[totalAmount]]</f>
        <v>1</v>
      </c>
      <c r="M253" t="b">
        <f>TrafficData[[#This Row],[pendingCourt]]+TrafficData[[#This Row],[disposedCourt]]=TrafficData[[#This Row],[totalCourt]]</f>
        <v>1</v>
      </c>
      <c r="N253" s="8" t="b">
        <f>AND(TrafficData[[#This Row],[disposedChallan]]&lt;=TrafficData[[#This Row],[totalChallan]],TrafficData[[#This Row],[pendingChallan]]&lt;=TrafficData[[#This Row],[totalChallan]])</f>
        <v>1</v>
      </c>
      <c r="O253" s="8" t="b">
        <f>AND(TrafficData[[#This Row],[pendingAmount]]&lt;=TrafficData[[#This Row],[totalAmount]],TrafficData[[#This Row],[disposedAmount]]&lt;=TrafficData[[#This Row],[totalAmount]])</f>
        <v>1</v>
      </c>
      <c r="P253" s="8" t="b">
        <f>AND(TrafficData[[#This Row],[pendingCourt]]&lt;=TrafficData[[#This Row],[totalCourt]],TrafficData[[#This Row],[disposedCourt]]&lt;=TrafficData[[#This Row],[totalCourt]])</f>
        <v>1</v>
      </c>
    </row>
    <row r="254" spans="1:16">
      <c r="A254" s="1">
        <v>42257</v>
      </c>
      <c r="B254">
        <v>111</v>
      </c>
      <c r="C254">
        <v>32</v>
      </c>
      <c r="D254">
        <v>79</v>
      </c>
      <c r="E254">
        <v>584550</v>
      </c>
      <c r="F254">
        <v>151300</v>
      </c>
      <c r="G254">
        <v>735850</v>
      </c>
      <c r="H254">
        <v>2</v>
      </c>
      <c r="I254">
        <v>1</v>
      </c>
      <c r="J254">
        <v>3</v>
      </c>
      <c r="K254" t="b">
        <f>TrafficData[[#This Row],[disposedChallan]]+TrafficData[[#This Row],[pendingChallan]]=TrafficData[[#This Row],[totalChallan]]</f>
        <v>1</v>
      </c>
      <c r="L254" t="b">
        <f>TrafficData[[#This Row],[pendingAmount]]+TrafficData[[#This Row],[disposedAmount]]=TrafficData[[#This Row],[totalAmount]]</f>
        <v>1</v>
      </c>
      <c r="M254" t="b">
        <f>TrafficData[[#This Row],[pendingCourt]]+TrafficData[[#This Row],[disposedCourt]]=TrafficData[[#This Row],[totalCourt]]</f>
        <v>1</v>
      </c>
      <c r="N254" s="8" t="b">
        <f>AND(TrafficData[[#This Row],[disposedChallan]]&lt;=TrafficData[[#This Row],[totalChallan]],TrafficData[[#This Row],[pendingChallan]]&lt;=TrafficData[[#This Row],[totalChallan]])</f>
        <v>1</v>
      </c>
      <c r="O254" s="8" t="b">
        <f>AND(TrafficData[[#This Row],[pendingAmount]]&lt;=TrafficData[[#This Row],[totalAmount]],TrafficData[[#This Row],[disposedAmount]]&lt;=TrafficData[[#This Row],[totalAmount]])</f>
        <v>1</v>
      </c>
      <c r="P254" s="8" t="b">
        <f>AND(TrafficData[[#This Row],[pendingCourt]]&lt;=TrafficData[[#This Row],[totalCourt]],TrafficData[[#This Row],[disposedCourt]]&lt;=TrafficData[[#This Row],[totalCourt]])</f>
        <v>1</v>
      </c>
    </row>
    <row r="255" spans="1:16">
      <c r="A255" s="1">
        <v>42258</v>
      </c>
      <c r="B255">
        <v>99</v>
      </c>
      <c r="C255">
        <v>21</v>
      </c>
      <c r="D255">
        <v>78</v>
      </c>
      <c r="E255">
        <v>531899</v>
      </c>
      <c r="F255">
        <v>132150</v>
      </c>
      <c r="G255">
        <v>664049</v>
      </c>
      <c r="H255">
        <v>0</v>
      </c>
      <c r="I255">
        <v>0</v>
      </c>
      <c r="J255">
        <v>0</v>
      </c>
      <c r="K255" t="b">
        <f>TrafficData[[#This Row],[disposedChallan]]+TrafficData[[#This Row],[pendingChallan]]=TrafficData[[#This Row],[totalChallan]]</f>
        <v>1</v>
      </c>
      <c r="L255" t="b">
        <f>TrafficData[[#This Row],[pendingAmount]]+TrafficData[[#This Row],[disposedAmount]]=TrafficData[[#This Row],[totalAmount]]</f>
        <v>1</v>
      </c>
      <c r="M255" t="b">
        <f>TrafficData[[#This Row],[pendingCourt]]+TrafficData[[#This Row],[disposedCourt]]=TrafficData[[#This Row],[totalCourt]]</f>
        <v>1</v>
      </c>
      <c r="N255" s="8" t="b">
        <f>AND(TrafficData[[#This Row],[disposedChallan]]&lt;=TrafficData[[#This Row],[totalChallan]],TrafficData[[#This Row],[pendingChallan]]&lt;=TrafficData[[#This Row],[totalChallan]])</f>
        <v>1</v>
      </c>
      <c r="O255" s="8" t="b">
        <f>AND(TrafficData[[#This Row],[pendingAmount]]&lt;=TrafficData[[#This Row],[totalAmount]],TrafficData[[#This Row],[disposedAmount]]&lt;=TrafficData[[#This Row],[totalAmount]])</f>
        <v>1</v>
      </c>
      <c r="P255" s="8" t="b">
        <f>AND(TrafficData[[#This Row],[pendingCourt]]&lt;=TrafficData[[#This Row],[totalCourt]],TrafficData[[#This Row],[disposedCourt]]&lt;=TrafficData[[#This Row],[totalCourt]])</f>
        <v>1</v>
      </c>
    </row>
    <row r="256" spans="1:16">
      <c r="A256" s="1">
        <v>42259</v>
      </c>
      <c r="B256">
        <v>71</v>
      </c>
      <c r="C256">
        <v>17</v>
      </c>
      <c r="D256">
        <v>54</v>
      </c>
      <c r="E256">
        <v>291900</v>
      </c>
      <c r="F256">
        <v>52000</v>
      </c>
      <c r="G256">
        <v>343900</v>
      </c>
      <c r="H256">
        <v>1</v>
      </c>
      <c r="I256">
        <v>0</v>
      </c>
      <c r="J256">
        <v>1</v>
      </c>
      <c r="K256" t="b">
        <f>TrafficData[[#This Row],[disposedChallan]]+TrafficData[[#This Row],[pendingChallan]]=TrafficData[[#This Row],[totalChallan]]</f>
        <v>1</v>
      </c>
      <c r="L256" t="b">
        <f>TrafficData[[#This Row],[pendingAmount]]+TrafficData[[#This Row],[disposedAmount]]=TrafficData[[#This Row],[totalAmount]]</f>
        <v>1</v>
      </c>
      <c r="M256" t="b">
        <f>TrafficData[[#This Row],[pendingCourt]]+TrafficData[[#This Row],[disposedCourt]]=TrafficData[[#This Row],[totalCourt]]</f>
        <v>1</v>
      </c>
      <c r="N256" s="8" t="b">
        <f>AND(TrafficData[[#This Row],[disposedChallan]]&lt;=TrafficData[[#This Row],[totalChallan]],TrafficData[[#This Row],[pendingChallan]]&lt;=TrafficData[[#This Row],[totalChallan]])</f>
        <v>1</v>
      </c>
      <c r="O256" s="8" t="b">
        <f>AND(TrafficData[[#This Row],[pendingAmount]]&lt;=TrafficData[[#This Row],[totalAmount]],TrafficData[[#This Row],[disposedAmount]]&lt;=TrafficData[[#This Row],[totalAmount]])</f>
        <v>1</v>
      </c>
      <c r="P256" s="8" t="b">
        <f>AND(TrafficData[[#This Row],[pendingCourt]]&lt;=TrafficData[[#This Row],[totalCourt]],TrafficData[[#This Row],[disposedCourt]]&lt;=TrafficData[[#This Row],[totalCourt]])</f>
        <v>1</v>
      </c>
    </row>
    <row r="257" spans="1:16">
      <c r="A257" s="1">
        <v>42260</v>
      </c>
      <c r="B257">
        <v>62</v>
      </c>
      <c r="C257">
        <v>15</v>
      </c>
      <c r="D257">
        <v>47</v>
      </c>
      <c r="E257">
        <v>301419</v>
      </c>
      <c r="F257">
        <v>30300</v>
      </c>
      <c r="G257">
        <v>331719</v>
      </c>
      <c r="H257">
        <v>0</v>
      </c>
      <c r="I257">
        <v>0</v>
      </c>
      <c r="J257">
        <v>0</v>
      </c>
      <c r="K257" t="b">
        <f>TrafficData[[#This Row],[disposedChallan]]+TrafficData[[#This Row],[pendingChallan]]=TrafficData[[#This Row],[totalChallan]]</f>
        <v>1</v>
      </c>
      <c r="L257" t="b">
        <f>TrafficData[[#This Row],[pendingAmount]]+TrafficData[[#This Row],[disposedAmount]]=TrafficData[[#This Row],[totalAmount]]</f>
        <v>1</v>
      </c>
      <c r="M257" t="b">
        <f>TrafficData[[#This Row],[pendingCourt]]+TrafficData[[#This Row],[disposedCourt]]=TrafficData[[#This Row],[totalCourt]]</f>
        <v>1</v>
      </c>
      <c r="N257" s="8" t="b">
        <f>AND(TrafficData[[#This Row],[disposedChallan]]&lt;=TrafficData[[#This Row],[totalChallan]],TrafficData[[#This Row],[pendingChallan]]&lt;=TrafficData[[#This Row],[totalChallan]])</f>
        <v>1</v>
      </c>
      <c r="O257" s="8" t="b">
        <f>AND(TrafficData[[#This Row],[pendingAmount]]&lt;=TrafficData[[#This Row],[totalAmount]],TrafficData[[#This Row],[disposedAmount]]&lt;=TrafficData[[#This Row],[totalAmount]])</f>
        <v>1</v>
      </c>
      <c r="P257" s="8" t="b">
        <f>AND(TrafficData[[#This Row],[pendingCourt]]&lt;=TrafficData[[#This Row],[totalCourt]],TrafficData[[#This Row],[disposedCourt]]&lt;=TrafficData[[#This Row],[totalCourt]])</f>
        <v>1</v>
      </c>
    </row>
    <row r="258" spans="1:16">
      <c r="A258" s="1">
        <v>42261</v>
      </c>
      <c r="B258">
        <v>94</v>
      </c>
      <c r="C258">
        <v>24</v>
      </c>
      <c r="D258">
        <v>70</v>
      </c>
      <c r="E258">
        <v>458500</v>
      </c>
      <c r="F258">
        <v>55875</v>
      </c>
      <c r="G258">
        <v>514375</v>
      </c>
      <c r="H258">
        <v>2</v>
      </c>
      <c r="I258">
        <v>0</v>
      </c>
      <c r="J258">
        <v>2</v>
      </c>
      <c r="K258" t="b">
        <f>TrafficData[[#This Row],[disposedChallan]]+TrafficData[[#This Row],[pendingChallan]]=TrafficData[[#This Row],[totalChallan]]</f>
        <v>1</v>
      </c>
      <c r="L258" t="b">
        <f>TrafficData[[#This Row],[pendingAmount]]+TrafficData[[#This Row],[disposedAmount]]=TrafficData[[#This Row],[totalAmount]]</f>
        <v>1</v>
      </c>
      <c r="M258" t="b">
        <f>TrafficData[[#This Row],[pendingCourt]]+TrafficData[[#This Row],[disposedCourt]]=TrafficData[[#This Row],[totalCourt]]</f>
        <v>1</v>
      </c>
      <c r="N258" s="8" t="b">
        <f>AND(TrafficData[[#This Row],[disposedChallan]]&lt;=TrafficData[[#This Row],[totalChallan]],TrafficData[[#This Row],[pendingChallan]]&lt;=TrafficData[[#This Row],[totalChallan]])</f>
        <v>1</v>
      </c>
      <c r="O258" s="8" t="b">
        <f>AND(TrafficData[[#This Row],[pendingAmount]]&lt;=TrafficData[[#This Row],[totalAmount]],TrafficData[[#This Row],[disposedAmount]]&lt;=TrafficData[[#This Row],[totalAmount]])</f>
        <v>1</v>
      </c>
      <c r="P258" s="8" t="b">
        <f>AND(TrafficData[[#This Row],[pendingCourt]]&lt;=TrafficData[[#This Row],[totalCourt]],TrafficData[[#This Row],[disposedCourt]]&lt;=TrafficData[[#This Row],[totalCourt]])</f>
        <v>1</v>
      </c>
    </row>
    <row r="259" spans="1:16">
      <c r="A259" s="1">
        <v>42262</v>
      </c>
      <c r="B259">
        <v>125</v>
      </c>
      <c r="C259">
        <v>37</v>
      </c>
      <c r="D259">
        <v>88</v>
      </c>
      <c r="E259">
        <v>695525</v>
      </c>
      <c r="F259">
        <v>179300</v>
      </c>
      <c r="G259">
        <v>874825</v>
      </c>
      <c r="H259">
        <v>6</v>
      </c>
      <c r="I259">
        <v>0</v>
      </c>
      <c r="J259">
        <v>6</v>
      </c>
      <c r="K259" t="b">
        <f>TrafficData[[#This Row],[disposedChallan]]+TrafficData[[#This Row],[pendingChallan]]=TrafficData[[#This Row],[totalChallan]]</f>
        <v>1</v>
      </c>
      <c r="L259" t="b">
        <f>TrafficData[[#This Row],[pendingAmount]]+TrafficData[[#This Row],[disposedAmount]]=TrafficData[[#This Row],[totalAmount]]</f>
        <v>1</v>
      </c>
      <c r="M259" t="b">
        <f>TrafficData[[#This Row],[pendingCourt]]+TrafficData[[#This Row],[disposedCourt]]=TrafficData[[#This Row],[totalCourt]]</f>
        <v>1</v>
      </c>
      <c r="N259" s="8" t="b">
        <f>AND(TrafficData[[#This Row],[disposedChallan]]&lt;=TrafficData[[#This Row],[totalChallan]],TrafficData[[#This Row],[pendingChallan]]&lt;=TrafficData[[#This Row],[totalChallan]])</f>
        <v>1</v>
      </c>
      <c r="O259" s="8" t="b">
        <f>AND(TrafficData[[#This Row],[pendingAmount]]&lt;=TrafficData[[#This Row],[totalAmount]],TrafficData[[#This Row],[disposedAmount]]&lt;=TrafficData[[#This Row],[totalAmount]])</f>
        <v>1</v>
      </c>
      <c r="P259" s="8" t="b">
        <f>AND(TrafficData[[#This Row],[pendingCourt]]&lt;=TrafficData[[#This Row],[totalCourt]],TrafficData[[#This Row],[disposedCourt]]&lt;=TrafficData[[#This Row],[totalCourt]])</f>
        <v>1</v>
      </c>
    </row>
    <row r="260" spans="1:16">
      <c r="A260" s="1">
        <v>42263</v>
      </c>
      <c r="B260">
        <v>98</v>
      </c>
      <c r="C260">
        <v>18</v>
      </c>
      <c r="D260">
        <v>80</v>
      </c>
      <c r="E260">
        <v>544156</v>
      </c>
      <c r="F260">
        <v>132720</v>
      </c>
      <c r="G260">
        <v>676876</v>
      </c>
      <c r="H260">
        <v>1</v>
      </c>
      <c r="I260">
        <v>1</v>
      </c>
      <c r="J260">
        <v>2</v>
      </c>
      <c r="K260" t="b">
        <f>TrafficData[[#This Row],[disposedChallan]]+TrafficData[[#This Row],[pendingChallan]]=TrafficData[[#This Row],[totalChallan]]</f>
        <v>1</v>
      </c>
      <c r="L260" t="b">
        <f>TrafficData[[#This Row],[pendingAmount]]+TrafficData[[#This Row],[disposedAmount]]=TrafficData[[#This Row],[totalAmount]]</f>
        <v>1</v>
      </c>
      <c r="M260" t="b">
        <f>TrafficData[[#This Row],[pendingCourt]]+TrafficData[[#This Row],[disposedCourt]]=TrafficData[[#This Row],[totalCourt]]</f>
        <v>1</v>
      </c>
      <c r="N260" s="8" t="b">
        <f>AND(TrafficData[[#This Row],[disposedChallan]]&lt;=TrafficData[[#This Row],[totalChallan]],TrafficData[[#This Row],[pendingChallan]]&lt;=TrafficData[[#This Row],[totalChallan]])</f>
        <v>1</v>
      </c>
      <c r="O260" s="8" t="b">
        <f>AND(TrafficData[[#This Row],[pendingAmount]]&lt;=TrafficData[[#This Row],[totalAmount]],TrafficData[[#This Row],[disposedAmount]]&lt;=TrafficData[[#This Row],[totalAmount]])</f>
        <v>1</v>
      </c>
      <c r="P260" s="8" t="b">
        <f>AND(TrafficData[[#This Row],[pendingCourt]]&lt;=TrafficData[[#This Row],[totalCourt]],TrafficData[[#This Row],[disposedCourt]]&lt;=TrafficData[[#This Row],[totalCourt]])</f>
        <v>1</v>
      </c>
    </row>
    <row r="261" spans="1:16">
      <c r="A261" s="1">
        <v>42264</v>
      </c>
      <c r="B261">
        <v>115</v>
      </c>
      <c r="C261">
        <v>27</v>
      </c>
      <c r="D261">
        <v>88</v>
      </c>
      <c r="E261">
        <v>388980</v>
      </c>
      <c r="F261">
        <v>138100</v>
      </c>
      <c r="G261">
        <v>527080</v>
      </c>
      <c r="H261">
        <v>1</v>
      </c>
      <c r="I261">
        <v>1</v>
      </c>
      <c r="J261">
        <v>2</v>
      </c>
      <c r="K261" t="b">
        <f>TrafficData[[#This Row],[disposedChallan]]+TrafficData[[#This Row],[pendingChallan]]=TrafficData[[#This Row],[totalChallan]]</f>
        <v>1</v>
      </c>
      <c r="L261" t="b">
        <f>TrafficData[[#This Row],[pendingAmount]]+TrafficData[[#This Row],[disposedAmount]]=TrafficData[[#This Row],[totalAmount]]</f>
        <v>1</v>
      </c>
      <c r="M261" t="b">
        <f>TrafficData[[#This Row],[pendingCourt]]+TrafficData[[#This Row],[disposedCourt]]=TrafficData[[#This Row],[totalCourt]]</f>
        <v>1</v>
      </c>
      <c r="N261" s="8" t="b">
        <f>AND(TrafficData[[#This Row],[disposedChallan]]&lt;=TrafficData[[#This Row],[totalChallan]],TrafficData[[#This Row],[pendingChallan]]&lt;=TrafficData[[#This Row],[totalChallan]])</f>
        <v>1</v>
      </c>
      <c r="O261" s="8" t="b">
        <f>AND(TrafficData[[#This Row],[pendingAmount]]&lt;=TrafficData[[#This Row],[totalAmount]],TrafficData[[#This Row],[disposedAmount]]&lt;=TrafficData[[#This Row],[totalAmount]])</f>
        <v>1</v>
      </c>
      <c r="P261" s="8" t="b">
        <f>AND(TrafficData[[#This Row],[pendingCourt]]&lt;=TrafficData[[#This Row],[totalCourt]],TrafficData[[#This Row],[disposedCourt]]&lt;=TrafficData[[#This Row],[totalCourt]])</f>
        <v>1</v>
      </c>
    </row>
    <row r="262" spans="1:16">
      <c r="A262" s="1">
        <v>42265</v>
      </c>
      <c r="B262">
        <v>93</v>
      </c>
      <c r="C262">
        <v>19</v>
      </c>
      <c r="D262">
        <v>74</v>
      </c>
      <c r="E262">
        <v>408950</v>
      </c>
      <c r="F262">
        <v>70700</v>
      </c>
      <c r="G262">
        <v>479650</v>
      </c>
      <c r="H262">
        <v>0</v>
      </c>
      <c r="I262">
        <v>1</v>
      </c>
      <c r="J262">
        <v>1</v>
      </c>
      <c r="K262" t="b">
        <f>TrafficData[[#This Row],[disposedChallan]]+TrafficData[[#This Row],[pendingChallan]]=TrafficData[[#This Row],[totalChallan]]</f>
        <v>1</v>
      </c>
      <c r="L262" t="b">
        <f>TrafficData[[#This Row],[pendingAmount]]+TrafficData[[#This Row],[disposedAmount]]=TrafficData[[#This Row],[totalAmount]]</f>
        <v>1</v>
      </c>
      <c r="M262" t="b">
        <f>TrafficData[[#This Row],[pendingCourt]]+TrafficData[[#This Row],[disposedCourt]]=TrafficData[[#This Row],[totalCourt]]</f>
        <v>1</v>
      </c>
      <c r="N262" s="8" t="b">
        <f>AND(TrafficData[[#This Row],[disposedChallan]]&lt;=TrafficData[[#This Row],[totalChallan]],TrafficData[[#This Row],[pendingChallan]]&lt;=TrafficData[[#This Row],[totalChallan]])</f>
        <v>1</v>
      </c>
      <c r="O262" s="8" t="b">
        <f>AND(TrafficData[[#This Row],[pendingAmount]]&lt;=TrafficData[[#This Row],[totalAmount]],TrafficData[[#This Row],[disposedAmount]]&lt;=TrafficData[[#This Row],[totalAmount]])</f>
        <v>1</v>
      </c>
      <c r="P262" s="8" t="b">
        <f>AND(TrafficData[[#This Row],[pendingCourt]]&lt;=TrafficData[[#This Row],[totalCourt]],TrafficData[[#This Row],[disposedCourt]]&lt;=TrafficData[[#This Row],[totalCourt]])</f>
        <v>1</v>
      </c>
    </row>
    <row r="263" spans="1:16">
      <c r="A263" s="1">
        <v>42266</v>
      </c>
      <c r="B263">
        <v>64</v>
      </c>
      <c r="C263">
        <v>22</v>
      </c>
      <c r="D263">
        <v>42</v>
      </c>
      <c r="E263">
        <v>278460</v>
      </c>
      <c r="F263">
        <v>52225</v>
      </c>
      <c r="G263">
        <v>330685</v>
      </c>
      <c r="H263">
        <v>2</v>
      </c>
      <c r="I263">
        <v>2</v>
      </c>
      <c r="J263">
        <v>4</v>
      </c>
      <c r="K263" t="b">
        <f>TrafficData[[#This Row],[disposedChallan]]+TrafficData[[#This Row],[pendingChallan]]=TrafficData[[#This Row],[totalChallan]]</f>
        <v>1</v>
      </c>
      <c r="L263" t="b">
        <f>TrafficData[[#This Row],[pendingAmount]]+TrafficData[[#This Row],[disposedAmount]]=TrafficData[[#This Row],[totalAmount]]</f>
        <v>1</v>
      </c>
      <c r="M263" t="b">
        <f>TrafficData[[#This Row],[pendingCourt]]+TrafficData[[#This Row],[disposedCourt]]=TrafficData[[#This Row],[totalCourt]]</f>
        <v>1</v>
      </c>
      <c r="N263" s="8" t="b">
        <f>AND(TrafficData[[#This Row],[disposedChallan]]&lt;=TrafficData[[#This Row],[totalChallan]],TrafficData[[#This Row],[pendingChallan]]&lt;=TrafficData[[#This Row],[totalChallan]])</f>
        <v>1</v>
      </c>
      <c r="O263" s="8" t="b">
        <f>AND(TrafficData[[#This Row],[pendingAmount]]&lt;=TrafficData[[#This Row],[totalAmount]],TrafficData[[#This Row],[disposedAmount]]&lt;=TrafficData[[#This Row],[totalAmount]])</f>
        <v>1</v>
      </c>
      <c r="P263" s="8" t="b">
        <f>AND(TrafficData[[#This Row],[pendingCourt]]&lt;=TrafficData[[#This Row],[totalCourt]],TrafficData[[#This Row],[disposedCourt]]&lt;=TrafficData[[#This Row],[totalCourt]])</f>
        <v>1</v>
      </c>
    </row>
    <row r="264" spans="1:16">
      <c r="A264" s="1">
        <v>42267</v>
      </c>
      <c r="B264">
        <v>44</v>
      </c>
      <c r="C264">
        <v>16</v>
      </c>
      <c r="D264">
        <v>28</v>
      </c>
      <c r="E264">
        <v>256300</v>
      </c>
      <c r="F264">
        <v>71350</v>
      </c>
      <c r="G264">
        <v>327650</v>
      </c>
      <c r="H264">
        <v>1</v>
      </c>
      <c r="I264">
        <v>0</v>
      </c>
      <c r="J264">
        <v>1</v>
      </c>
      <c r="K264" t="b">
        <f>TrafficData[[#This Row],[disposedChallan]]+TrafficData[[#This Row],[pendingChallan]]=TrafficData[[#This Row],[totalChallan]]</f>
        <v>1</v>
      </c>
      <c r="L264" t="b">
        <f>TrafficData[[#This Row],[pendingAmount]]+TrafficData[[#This Row],[disposedAmount]]=TrafficData[[#This Row],[totalAmount]]</f>
        <v>1</v>
      </c>
      <c r="M264" t="b">
        <f>TrafficData[[#This Row],[pendingCourt]]+TrafficData[[#This Row],[disposedCourt]]=TrafficData[[#This Row],[totalCourt]]</f>
        <v>1</v>
      </c>
      <c r="N264" s="8" t="b">
        <f>AND(TrafficData[[#This Row],[disposedChallan]]&lt;=TrafficData[[#This Row],[totalChallan]],TrafficData[[#This Row],[pendingChallan]]&lt;=TrafficData[[#This Row],[totalChallan]])</f>
        <v>1</v>
      </c>
      <c r="O264" s="8" t="b">
        <f>AND(TrafficData[[#This Row],[pendingAmount]]&lt;=TrafficData[[#This Row],[totalAmount]],TrafficData[[#This Row],[disposedAmount]]&lt;=TrafficData[[#This Row],[totalAmount]])</f>
        <v>1</v>
      </c>
      <c r="P264" s="8" t="b">
        <f>AND(TrafficData[[#This Row],[pendingCourt]]&lt;=TrafficData[[#This Row],[totalCourt]],TrafficData[[#This Row],[disposedCourt]]&lt;=TrafficData[[#This Row],[totalCourt]])</f>
        <v>1</v>
      </c>
    </row>
    <row r="265" spans="1:16">
      <c r="A265" s="1">
        <v>42268</v>
      </c>
      <c r="B265">
        <v>38</v>
      </c>
      <c r="C265">
        <v>11</v>
      </c>
      <c r="D265">
        <v>27</v>
      </c>
      <c r="E265">
        <v>247900</v>
      </c>
      <c r="F265">
        <v>51800</v>
      </c>
      <c r="G265">
        <v>299700</v>
      </c>
      <c r="H265">
        <v>2</v>
      </c>
      <c r="I265">
        <v>0</v>
      </c>
      <c r="J265">
        <v>2</v>
      </c>
      <c r="K265" t="b">
        <f>TrafficData[[#This Row],[disposedChallan]]+TrafficData[[#This Row],[pendingChallan]]=TrafficData[[#This Row],[totalChallan]]</f>
        <v>1</v>
      </c>
      <c r="L265" t="b">
        <f>TrafficData[[#This Row],[pendingAmount]]+TrafficData[[#This Row],[disposedAmount]]=TrafficData[[#This Row],[totalAmount]]</f>
        <v>1</v>
      </c>
      <c r="M265" t="b">
        <f>TrafficData[[#This Row],[pendingCourt]]+TrafficData[[#This Row],[disposedCourt]]=TrafficData[[#This Row],[totalCourt]]</f>
        <v>1</v>
      </c>
      <c r="N265" s="8" t="b">
        <f>AND(TrafficData[[#This Row],[disposedChallan]]&lt;=TrafficData[[#This Row],[totalChallan]],TrafficData[[#This Row],[pendingChallan]]&lt;=TrafficData[[#This Row],[totalChallan]])</f>
        <v>1</v>
      </c>
      <c r="O265" s="8" t="b">
        <f>AND(TrafficData[[#This Row],[pendingAmount]]&lt;=TrafficData[[#This Row],[totalAmount]],TrafficData[[#This Row],[disposedAmount]]&lt;=TrafficData[[#This Row],[totalAmount]])</f>
        <v>1</v>
      </c>
      <c r="P265" s="8" t="b">
        <f>AND(TrafficData[[#This Row],[pendingCourt]]&lt;=TrafficData[[#This Row],[totalCourt]],TrafficData[[#This Row],[disposedCourt]]&lt;=TrafficData[[#This Row],[totalCourt]])</f>
        <v>1</v>
      </c>
    </row>
    <row r="266" spans="1:16">
      <c r="A266" s="1">
        <v>42269</v>
      </c>
      <c r="B266">
        <v>57</v>
      </c>
      <c r="C266">
        <v>18</v>
      </c>
      <c r="D266">
        <v>39</v>
      </c>
      <c r="E266">
        <v>308300</v>
      </c>
      <c r="F266">
        <v>78825</v>
      </c>
      <c r="G266">
        <v>387125</v>
      </c>
      <c r="H266">
        <v>4</v>
      </c>
      <c r="I266">
        <v>0</v>
      </c>
      <c r="J266">
        <v>4</v>
      </c>
      <c r="K266" t="b">
        <f>TrafficData[[#This Row],[disposedChallan]]+TrafficData[[#This Row],[pendingChallan]]=TrafficData[[#This Row],[totalChallan]]</f>
        <v>1</v>
      </c>
      <c r="L266" t="b">
        <f>TrafficData[[#This Row],[pendingAmount]]+TrafficData[[#This Row],[disposedAmount]]=TrafficData[[#This Row],[totalAmount]]</f>
        <v>1</v>
      </c>
      <c r="M266" t="b">
        <f>TrafficData[[#This Row],[pendingCourt]]+TrafficData[[#This Row],[disposedCourt]]=TrafficData[[#This Row],[totalCourt]]</f>
        <v>1</v>
      </c>
      <c r="N266" s="8" t="b">
        <f>AND(TrafficData[[#This Row],[disposedChallan]]&lt;=TrafficData[[#This Row],[totalChallan]],TrafficData[[#This Row],[pendingChallan]]&lt;=TrafficData[[#This Row],[totalChallan]])</f>
        <v>1</v>
      </c>
      <c r="O266" s="8" t="b">
        <f>AND(TrafficData[[#This Row],[pendingAmount]]&lt;=TrafficData[[#This Row],[totalAmount]],TrafficData[[#This Row],[disposedAmount]]&lt;=TrafficData[[#This Row],[totalAmount]])</f>
        <v>1</v>
      </c>
      <c r="P266" s="8" t="b">
        <f>AND(TrafficData[[#This Row],[pendingCourt]]&lt;=TrafficData[[#This Row],[totalCourt]],TrafficData[[#This Row],[disposedCourt]]&lt;=TrafficData[[#This Row],[totalCourt]])</f>
        <v>1</v>
      </c>
    </row>
    <row r="267" spans="1:16">
      <c r="A267" s="1">
        <v>42270</v>
      </c>
      <c r="B267">
        <v>74</v>
      </c>
      <c r="C267">
        <v>25</v>
      </c>
      <c r="D267">
        <v>49</v>
      </c>
      <c r="E267">
        <v>345700</v>
      </c>
      <c r="F267">
        <v>145330</v>
      </c>
      <c r="G267">
        <v>491030</v>
      </c>
      <c r="H267">
        <v>3</v>
      </c>
      <c r="I267">
        <v>1</v>
      </c>
      <c r="J267">
        <v>4</v>
      </c>
      <c r="K267" t="b">
        <f>TrafficData[[#This Row],[disposedChallan]]+TrafficData[[#This Row],[pendingChallan]]=TrafficData[[#This Row],[totalChallan]]</f>
        <v>1</v>
      </c>
      <c r="L267" t="b">
        <f>TrafficData[[#This Row],[pendingAmount]]+TrafficData[[#This Row],[disposedAmount]]=TrafficData[[#This Row],[totalAmount]]</f>
        <v>1</v>
      </c>
      <c r="M267" t="b">
        <f>TrafficData[[#This Row],[pendingCourt]]+TrafficData[[#This Row],[disposedCourt]]=TrafficData[[#This Row],[totalCourt]]</f>
        <v>1</v>
      </c>
      <c r="N267" s="8" t="b">
        <f>AND(TrafficData[[#This Row],[disposedChallan]]&lt;=TrafficData[[#This Row],[totalChallan]],TrafficData[[#This Row],[pendingChallan]]&lt;=TrafficData[[#This Row],[totalChallan]])</f>
        <v>1</v>
      </c>
      <c r="O267" s="8" t="b">
        <f>AND(TrafficData[[#This Row],[pendingAmount]]&lt;=TrafficData[[#This Row],[totalAmount]],TrafficData[[#This Row],[disposedAmount]]&lt;=TrafficData[[#This Row],[totalAmount]])</f>
        <v>1</v>
      </c>
      <c r="P267" s="8" t="b">
        <f>AND(TrafficData[[#This Row],[pendingCourt]]&lt;=TrafficData[[#This Row],[totalCourt]],TrafficData[[#This Row],[disposedCourt]]&lt;=TrafficData[[#This Row],[totalCourt]])</f>
        <v>1</v>
      </c>
    </row>
    <row r="268" spans="1:16">
      <c r="A268" s="1">
        <v>42271</v>
      </c>
      <c r="B268">
        <v>73</v>
      </c>
      <c r="C268">
        <v>21</v>
      </c>
      <c r="D268">
        <v>52</v>
      </c>
      <c r="E268">
        <v>458675</v>
      </c>
      <c r="F268">
        <v>100050</v>
      </c>
      <c r="G268">
        <v>558725</v>
      </c>
      <c r="H268">
        <v>4</v>
      </c>
      <c r="I268">
        <v>0</v>
      </c>
      <c r="J268">
        <v>4</v>
      </c>
      <c r="K268" t="b">
        <f>TrafficData[[#This Row],[disposedChallan]]+TrafficData[[#This Row],[pendingChallan]]=TrafficData[[#This Row],[totalChallan]]</f>
        <v>1</v>
      </c>
      <c r="L268" t="b">
        <f>TrafficData[[#This Row],[pendingAmount]]+TrafficData[[#This Row],[disposedAmount]]=TrafficData[[#This Row],[totalAmount]]</f>
        <v>1</v>
      </c>
      <c r="M268" t="b">
        <f>TrafficData[[#This Row],[pendingCourt]]+TrafficData[[#This Row],[disposedCourt]]=TrafficData[[#This Row],[totalCourt]]</f>
        <v>1</v>
      </c>
      <c r="N268" s="8" t="b">
        <f>AND(TrafficData[[#This Row],[disposedChallan]]&lt;=TrafficData[[#This Row],[totalChallan]],TrafficData[[#This Row],[pendingChallan]]&lt;=TrafficData[[#This Row],[totalChallan]])</f>
        <v>1</v>
      </c>
      <c r="O268" s="8" t="b">
        <f>AND(TrafficData[[#This Row],[pendingAmount]]&lt;=TrafficData[[#This Row],[totalAmount]],TrafficData[[#This Row],[disposedAmount]]&lt;=TrafficData[[#This Row],[totalAmount]])</f>
        <v>1</v>
      </c>
      <c r="P268" s="8" t="b">
        <f>AND(TrafficData[[#This Row],[pendingCourt]]&lt;=TrafficData[[#This Row],[totalCourt]],TrafficData[[#This Row],[disposedCourt]]&lt;=TrafficData[[#This Row],[totalCourt]])</f>
        <v>1</v>
      </c>
    </row>
    <row r="269" spans="1:16">
      <c r="A269" s="1">
        <v>42272</v>
      </c>
      <c r="B269">
        <v>40</v>
      </c>
      <c r="C269">
        <v>10</v>
      </c>
      <c r="D269">
        <v>30</v>
      </c>
      <c r="E269">
        <v>283650</v>
      </c>
      <c r="F269">
        <v>68600</v>
      </c>
      <c r="G269">
        <v>352250</v>
      </c>
      <c r="H269">
        <v>4</v>
      </c>
      <c r="I269">
        <v>0</v>
      </c>
      <c r="J269">
        <v>4</v>
      </c>
      <c r="K269" t="b">
        <f>TrafficData[[#This Row],[disposedChallan]]+TrafficData[[#This Row],[pendingChallan]]=TrafficData[[#This Row],[totalChallan]]</f>
        <v>1</v>
      </c>
      <c r="L269" t="b">
        <f>TrafficData[[#This Row],[pendingAmount]]+TrafficData[[#This Row],[disposedAmount]]=TrafficData[[#This Row],[totalAmount]]</f>
        <v>1</v>
      </c>
      <c r="M269" t="b">
        <f>TrafficData[[#This Row],[pendingCourt]]+TrafficData[[#This Row],[disposedCourt]]=TrafficData[[#This Row],[totalCourt]]</f>
        <v>1</v>
      </c>
      <c r="N269" s="8" t="b">
        <f>AND(TrafficData[[#This Row],[disposedChallan]]&lt;=TrafficData[[#This Row],[totalChallan]],TrafficData[[#This Row],[pendingChallan]]&lt;=TrafficData[[#This Row],[totalChallan]])</f>
        <v>1</v>
      </c>
      <c r="O269" s="8" t="b">
        <f>AND(TrafficData[[#This Row],[pendingAmount]]&lt;=TrafficData[[#This Row],[totalAmount]],TrafficData[[#This Row],[disposedAmount]]&lt;=TrafficData[[#This Row],[totalAmount]])</f>
        <v>1</v>
      </c>
      <c r="P269" s="8" t="b">
        <f>AND(TrafficData[[#This Row],[pendingCourt]]&lt;=TrafficData[[#This Row],[totalCourt]],TrafficData[[#This Row],[disposedCourt]]&lt;=TrafficData[[#This Row],[totalCourt]])</f>
        <v>1</v>
      </c>
    </row>
    <row r="270" spans="1:16">
      <c r="A270" s="1">
        <v>42273</v>
      </c>
      <c r="B270">
        <v>62</v>
      </c>
      <c r="C270">
        <v>19</v>
      </c>
      <c r="D270">
        <v>43</v>
      </c>
      <c r="E270">
        <v>416149</v>
      </c>
      <c r="F270">
        <v>62500</v>
      </c>
      <c r="G270">
        <v>478649</v>
      </c>
      <c r="H270">
        <v>0</v>
      </c>
      <c r="I270">
        <v>2</v>
      </c>
      <c r="J270">
        <v>2</v>
      </c>
      <c r="K270" t="b">
        <f>TrafficData[[#This Row],[disposedChallan]]+TrafficData[[#This Row],[pendingChallan]]=TrafficData[[#This Row],[totalChallan]]</f>
        <v>1</v>
      </c>
      <c r="L270" t="b">
        <f>TrafficData[[#This Row],[pendingAmount]]+TrafficData[[#This Row],[disposedAmount]]=TrafficData[[#This Row],[totalAmount]]</f>
        <v>1</v>
      </c>
      <c r="M270" t="b">
        <f>TrafficData[[#This Row],[pendingCourt]]+TrafficData[[#This Row],[disposedCourt]]=TrafficData[[#This Row],[totalCourt]]</f>
        <v>1</v>
      </c>
      <c r="N270" s="8" t="b">
        <f>AND(TrafficData[[#This Row],[disposedChallan]]&lt;=TrafficData[[#This Row],[totalChallan]],TrafficData[[#This Row],[pendingChallan]]&lt;=TrafficData[[#This Row],[totalChallan]])</f>
        <v>1</v>
      </c>
      <c r="O270" s="8" t="b">
        <f>AND(TrafficData[[#This Row],[pendingAmount]]&lt;=TrafficData[[#This Row],[totalAmount]],TrafficData[[#This Row],[disposedAmount]]&lt;=TrafficData[[#This Row],[totalAmount]])</f>
        <v>1</v>
      </c>
      <c r="P270" s="8" t="b">
        <f>AND(TrafficData[[#This Row],[pendingCourt]]&lt;=TrafficData[[#This Row],[totalCourt]],TrafficData[[#This Row],[disposedCourt]]&lt;=TrafficData[[#This Row],[totalCourt]])</f>
        <v>1</v>
      </c>
    </row>
    <row r="271" spans="1:16">
      <c r="A271" s="1">
        <v>42274</v>
      </c>
      <c r="B271">
        <v>32</v>
      </c>
      <c r="C271">
        <v>10</v>
      </c>
      <c r="D271">
        <v>22</v>
      </c>
      <c r="E271">
        <v>166497</v>
      </c>
      <c r="F271">
        <v>46000</v>
      </c>
      <c r="G271">
        <v>212497</v>
      </c>
      <c r="H271">
        <v>1</v>
      </c>
      <c r="I271">
        <v>0</v>
      </c>
      <c r="J271">
        <v>1</v>
      </c>
      <c r="K271" t="b">
        <f>TrafficData[[#This Row],[disposedChallan]]+TrafficData[[#This Row],[pendingChallan]]=TrafficData[[#This Row],[totalChallan]]</f>
        <v>1</v>
      </c>
      <c r="L271" t="b">
        <f>TrafficData[[#This Row],[pendingAmount]]+TrafficData[[#This Row],[disposedAmount]]=TrafficData[[#This Row],[totalAmount]]</f>
        <v>1</v>
      </c>
      <c r="M271" t="b">
        <f>TrafficData[[#This Row],[pendingCourt]]+TrafficData[[#This Row],[disposedCourt]]=TrafficData[[#This Row],[totalCourt]]</f>
        <v>1</v>
      </c>
      <c r="N271" s="8" t="b">
        <f>AND(TrafficData[[#This Row],[disposedChallan]]&lt;=TrafficData[[#This Row],[totalChallan]],TrafficData[[#This Row],[pendingChallan]]&lt;=TrafficData[[#This Row],[totalChallan]])</f>
        <v>1</v>
      </c>
      <c r="O271" s="8" t="b">
        <f>AND(TrafficData[[#This Row],[pendingAmount]]&lt;=TrafficData[[#This Row],[totalAmount]],TrafficData[[#This Row],[disposedAmount]]&lt;=TrafficData[[#This Row],[totalAmount]])</f>
        <v>1</v>
      </c>
      <c r="P271" s="8" t="b">
        <f>AND(TrafficData[[#This Row],[pendingCourt]]&lt;=TrafficData[[#This Row],[totalCourt]],TrafficData[[#This Row],[disposedCourt]]&lt;=TrafficData[[#This Row],[totalCourt]])</f>
        <v>1</v>
      </c>
    </row>
    <row r="272" spans="1:16">
      <c r="A272" s="1">
        <v>42275</v>
      </c>
      <c r="B272">
        <v>201</v>
      </c>
      <c r="C272">
        <v>40</v>
      </c>
      <c r="D272">
        <v>161</v>
      </c>
      <c r="E272">
        <v>857600</v>
      </c>
      <c r="F272">
        <v>167600</v>
      </c>
      <c r="G272">
        <v>1025200</v>
      </c>
      <c r="H272">
        <v>2</v>
      </c>
      <c r="I272">
        <v>6</v>
      </c>
      <c r="J272">
        <v>8</v>
      </c>
      <c r="K272" t="b">
        <f>TrafficData[[#This Row],[disposedChallan]]+TrafficData[[#This Row],[pendingChallan]]=TrafficData[[#This Row],[totalChallan]]</f>
        <v>1</v>
      </c>
      <c r="L272" t="b">
        <f>TrafficData[[#This Row],[pendingAmount]]+TrafficData[[#This Row],[disposedAmount]]=TrafficData[[#This Row],[totalAmount]]</f>
        <v>1</v>
      </c>
      <c r="M272" t="b">
        <f>TrafficData[[#This Row],[pendingCourt]]+TrafficData[[#This Row],[disposedCourt]]=TrafficData[[#This Row],[totalCourt]]</f>
        <v>1</v>
      </c>
      <c r="N272" s="8" t="b">
        <f>AND(TrafficData[[#This Row],[disposedChallan]]&lt;=TrafficData[[#This Row],[totalChallan]],TrafficData[[#This Row],[pendingChallan]]&lt;=TrafficData[[#This Row],[totalChallan]])</f>
        <v>1</v>
      </c>
      <c r="O272" s="8" t="b">
        <f>AND(TrafficData[[#This Row],[pendingAmount]]&lt;=TrafficData[[#This Row],[totalAmount]],TrafficData[[#This Row],[disposedAmount]]&lt;=TrafficData[[#This Row],[totalAmount]])</f>
        <v>1</v>
      </c>
      <c r="P272" s="8" t="b">
        <f>AND(TrafficData[[#This Row],[pendingCourt]]&lt;=TrafficData[[#This Row],[totalCourt]],TrafficData[[#This Row],[disposedCourt]]&lt;=TrafficData[[#This Row],[totalCourt]])</f>
        <v>1</v>
      </c>
    </row>
    <row r="273" spans="1:16">
      <c r="A273" s="1">
        <v>42276</v>
      </c>
      <c r="B273">
        <v>296</v>
      </c>
      <c r="C273">
        <v>55</v>
      </c>
      <c r="D273">
        <v>241</v>
      </c>
      <c r="E273">
        <v>1354999</v>
      </c>
      <c r="F273">
        <v>178020</v>
      </c>
      <c r="G273">
        <v>1533019</v>
      </c>
      <c r="H273">
        <v>3</v>
      </c>
      <c r="I273">
        <v>11</v>
      </c>
      <c r="J273">
        <v>14</v>
      </c>
      <c r="K273" t="b">
        <f>TrafficData[[#This Row],[disposedChallan]]+TrafficData[[#This Row],[pendingChallan]]=TrafficData[[#This Row],[totalChallan]]</f>
        <v>1</v>
      </c>
      <c r="L273" t="b">
        <f>TrafficData[[#This Row],[pendingAmount]]+TrafficData[[#This Row],[disposedAmount]]=TrafficData[[#This Row],[totalAmount]]</f>
        <v>1</v>
      </c>
      <c r="M273" t="b">
        <f>TrafficData[[#This Row],[pendingCourt]]+TrafficData[[#This Row],[disposedCourt]]=TrafficData[[#This Row],[totalCourt]]</f>
        <v>1</v>
      </c>
      <c r="N273" s="8" t="b">
        <f>AND(TrafficData[[#This Row],[disposedChallan]]&lt;=TrafficData[[#This Row],[totalChallan]],TrafficData[[#This Row],[pendingChallan]]&lt;=TrafficData[[#This Row],[totalChallan]])</f>
        <v>1</v>
      </c>
      <c r="O273" s="8" t="b">
        <f>AND(TrafficData[[#This Row],[pendingAmount]]&lt;=TrafficData[[#This Row],[totalAmount]],TrafficData[[#This Row],[disposedAmount]]&lt;=TrafficData[[#This Row],[totalAmount]])</f>
        <v>1</v>
      </c>
      <c r="P273" s="8" t="b">
        <f>AND(TrafficData[[#This Row],[pendingCourt]]&lt;=TrafficData[[#This Row],[totalCourt]],TrafficData[[#This Row],[disposedCourt]]&lt;=TrafficData[[#This Row],[totalCourt]])</f>
        <v>1</v>
      </c>
    </row>
    <row r="274" spans="1:16">
      <c r="A274" s="1">
        <v>42277</v>
      </c>
      <c r="B274">
        <v>244</v>
      </c>
      <c r="C274">
        <v>63</v>
      </c>
      <c r="D274">
        <v>181</v>
      </c>
      <c r="E274">
        <v>1037360</v>
      </c>
      <c r="F274">
        <v>209100</v>
      </c>
      <c r="G274">
        <v>1246460</v>
      </c>
      <c r="H274">
        <v>5</v>
      </c>
      <c r="I274">
        <v>11</v>
      </c>
      <c r="J274">
        <v>16</v>
      </c>
      <c r="K274" t="b">
        <f>TrafficData[[#This Row],[disposedChallan]]+TrafficData[[#This Row],[pendingChallan]]=TrafficData[[#This Row],[totalChallan]]</f>
        <v>1</v>
      </c>
      <c r="L274" t="b">
        <f>TrafficData[[#This Row],[pendingAmount]]+TrafficData[[#This Row],[disposedAmount]]=TrafficData[[#This Row],[totalAmount]]</f>
        <v>1</v>
      </c>
      <c r="M274" t="b">
        <f>TrafficData[[#This Row],[pendingCourt]]+TrafficData[[#This Row],[disposedCourt]]=TrafficData[[#This Row],[totalCourt]]</f>
        <v>1</v>
      </c>
      <c r="N274" s="8" t="b">
        <f>AND(TrafficData[[#This Row],[disposedChallan]]&lt;=TrafficData[[#This Row],[totalChallan]],TrafficData[[#This Row],[pendingChallan]]&lt;=TrafficData[[#This Row],[totalChallan]])</f>
        <v>1</v>
      </c>
      <c r="O274" s="8" t="b">
        <f>AND(TrafficData[[#This Row],[pendingAmount]]&lt;=TrafficData[[#This Row],[totalAmount]],TrafficData[[#This Row],[disposedAmount]]&lt;=TrafficData[[#This Row],[totalAmount]])</f>
        <v>1</v>
      </c>
      <c r="P274" s="8" t="b">
        <f>AND(TrafficData[[#This Row],[pendingCourt]]&lt;=TrafficData[[#This Row],[totalCourt]],TrafficData[[#This Row],[disposedCourt]]&lt;=TrafficData[[#This Row],[totalCourt]])</f>
        <v>1</v>
      </c>
    </row>
    <row r="275" spans="1:16">
      <c r="A275" s="1">
        <v>42278</v>
      </c>
      <c r="B275">
        <v>1217</v>
      </c>
      <c r="C275">
        <v>47</v>
      </c>
      <c r="D275">
        <v>1170</v>
      </c>
      <c r="E275">
        <v>1088670</v>
      </c>
      <c r="F275">
        <v>138190</v>
      </c>
      <c r="G275">
        <v>1226860</v>
      </c>
      <c r="H275">
        <v>983</v>
      </c>
      <c r="I275">
        <v>11</v>
      </c>
      <c r="J275">
        <v>994</v>
      </c>
      <c r="K275" t="b">
        <f>TrafficData[[#This Row],[disposedChallan]]+TrafficData[[#This Row],[pendingChallan]]=TrafficData[[#This Row],[totalChallan]]</f>
        <v>1</v>
      </c>
      <c r="L275" t="b">
        <f>TrafficData[[#This Row],[pendingAmount]]+TrafficData[[#This Row],[disposedAmount]]=TrafficData[[#This Row],[totalAmount]]</f>
        <v>1</v>
      </c>
      <c r="M275" t="b">
        <f>TrafficData[[#This Row],[pendingCourt]]+TrafficData[[#This Row],[disposedCourt]]=TrafficData[[#This Row],[totalCourt]]</f>
        <v>1</v>
      </c>
      <c r="N275" s="8" t="b">
        <f>AND(TrafficData[[#This Row],[disposedChallan]]&lt;=TrafficData[[#This Row],[totalChallan]],TrafficData[[#This Row],[pendingChallan]]&lt;=TrafficData[[#This Row],[totalChallan]])</f>
        <v>1</v>
      </c>
      <c r="O275" s="8" t="b">
        <f>AND(TrafficData[[#This Row],[pendingAmount]]&lt;=TrafficData[[#This Row],[totalAmount]],TrafficData[[#This Row],[disposedAmount]]&lt;=TrafficData[[#This Row],[totalAmount]])</f>
        <v>1</v>
      </c>
      <c r="P275" s="8" t="b">
        <f>AND(TrafficData[[#This Row],[pendingCourt]]&lt;=TrafficData[[#This Row],[totalCourt]],TrafficData[[#This Row],[disposedCourt]]&lt;=TrafficData[[#This Row],[totalCourt]])</f>
        <v>1</v>
      </c>
    </row>
    <row r="276" spans="1:16">
      <c r="A276" s="1">
        <v>42279</v>
      </c>
      <c r="B276">
        <v>736</v>
      </c>
      <c r="C276">
        <v>62</v>
      </c>
      <c r="D276">
        <v>674</v>
      </c>
      <c r="E276">
        <v>844550</v>
      </c>
      <c r="F276">
        <v>250050</v>
      </c>
      <c r="G276">
        <v>1094600</v>
      </c>
      <c r="H276">
        <v>542</v>
      </c>
      <c r="I276">
        <v>7</v>
      </c>
      <c r="J276">
        <v>549</v>
      </c>
      <c r="K276" t="b">
        <f>TrafficData[[#This Row],[disposedChallan]]+TrafficData[[#This Row],[pendingChallan]]=TrafficData[[#This Row],[totalChallan]]</f>
        <v>1</v>
      </c>
      <c r="L276" t="b">
        <f>TrafficData[[#This Row],[pendingAmount]]+TrafficData[[#This Row],[disposedAmount]]=TrafficData[[#This Row],[totalAmount]]</f>
        <v>1</v>
      </c>
      <c r="M276" t="b">
        <f>TrafficData[[#This Row],[pendingCourt]]+TrafficData[[#This Row],[disposedCourt]]=TrafficData[[#This Row],[totalCourt]]</f>
        <v>1</v>
      </c>
      <c r="N276" s="8" t="b">
        <f>AND(TrafficData[[#This Row],[disposedChallan]]&lt;=TrafficData[[#This Row],[totalChallan]],TrafficData[[#This Row],[pendingChallan]]&lt;=TrafficData[[#This Row],[totalChallan]])</f>
        <v>1</v>
      </c>
      <c r="O276" s="8" t="b">
        <f>AND(TrafficData[[#This Row],[pendingAmount]]&lt;=TrafficData[[#This Row],[totalAmount]],TrafficData[[#This Row],[disposedAmount]]&lt;=TrafficData[[#This Row],[totalAmount]])</f>
        <v>1</v>
      </c>
      <c r="P276" s="8" t="b">
        <f>AND(TrafficData[[#This Row],[pendingCourt]]&lt;=TrafficData[[#This Row],[totalCourt]],TrafficData[[#This Row],[disposedCourt]]&lt;=TrafficData[[#This Row],[totalCourt]])</f>
        <v>1</v>
      </c>
    </row>
    <row r="277" spans="1:16">
      <c r="A277" s="1">
        <v>42280</v>
      </c>
      <c r="B277">
        <v>1157</v>
      </c>
      <c r="C277">
        <v>32</v>
      </c>
      <c r="D277">
        <v>1125</v>
      </c>
      <c r="E277">
        <v>729760</v>
      </c>
      <c r="F277">
        <v>76400</v>
      </c>
      <c r="G277">
        <v>806160</v>
      </c>
      <c r="H277">
        <v>1063</v>
      </c>
      <c r="I277">
        <v>3</v>
      </c>
      <c r="J277">
        <v>1066</v>
      </c>
      <c r="K277" t="b">
        <f>TrafficData[[#This Row],[disposedChallan]]+TrafficData[[#This Row],[pendingChallan]]=TrafficData[[#This Row],[totalChallan]]</f>
        <v>1</v>
      </c>
      <c r="L277" t="b">
        <f>TrafficData[[#This Row],[pendingAmount]]+TrafficData[[#This Row],[disposedAmount]]=TrafficData[[#This Row],[totalAmount]]</f>
        <v>1</v>
      </c>
      <c r="M277" t="b">
        <f>TrafficData[[#This Row],[pendingCourt]]+TrafficData[[#This Row],[disposedCourt]]=TrafficData[[#This Row],[totalCourt]]</f>
        <v>1</v>
      </c>
      <c r="N277" s="8" t="b">
        <f>AND(TrafficData[[#This Row],[disposedChallan]]&lt;=TrafficData[[#This Row],[totalChallan]],TrafficData[[#This Row],[pendingChallan]]&lt;=TrafficData[[#This Row],[totalChallan]])</f>
        <v>1</v>
      </c>
      <c r="O277" s="8" t="b">
        <f>AND(TrafficData[[#This Row],[pendingAmount]]&lt;=TrafficData[[#This Row],[totalAmount]],TrafficData[[#This Row],[disposedAmount]]&lt;=TrafficData[[#This Row],[totalAmount]])</f>
        <v>1</v>
      </c>
      <c r="P277" s="8" t="b">
        <f>AND(TrafficData[[#This Row],[pendingCourt]]&lt;=TrafficData[[#This Row],[totalCourt]],TrafficData[[#This Row],[disposedCourt]]&lt;=TrafficData[[#This Row],[totalCourt]])</f>
        <v>1</v>
      </c>
    </row>
    <row r="278" spans="1:16">
      <c r="A278" s="1">
        <v>42281</v>
      </c>
      <c r="B278">
        <v>659</v>
      </c>
      <c r="C278">
        <v>29</v>
      </c>
      <c r="D278">
        <v>630</v>
      </c>
      <c r="E278">
        <v>591100</v>
      </c>
      <c r="F278">
        <v>63400</v>
      </c>
      <c r="G278">
        <v>654500</v>
      </c>
      <c r="H278">
        <v>589</v>
      </c>
      <c r="I278">
        <v>7</v>
      </c>
      <c r="J278">
        <v>596</v>
      </c>
      <c r="K278" t="b">
        <f>TrafficData[[#This Row],[disposedChallan]]+TrafficData[[#This Row],[pendingChallan]]=TrafficData[[#This Row],[totalChallan]]</f>
        <v>1</v>
      </c>
      <c r="L278" t="b">
        <f>TrafficData[[#This Row],[pendingAmount]]+TrafficData[[#This Row],[disposedAmount]]=TrafficData[[#This Row],[totalAmount]]</f>
        <v>1</v>
      </c>
      <c r="M278" t="b">
        <f>TrafficData[[#This Row],[pendingCourt]]+TrafficData[[#This Row],[disposedCourt]]=TrafficData[[#This Row],[totalCourt]]</f>
        <v>1</v>
      </c>
      <c r="N278" s="8" t="b">
        <f>AND(TrafficData[[#This Row],[disposedChallan]]&lt;=TrafficData[[#This Row],[totalChallan]],TrafficData[[#This Row],[pendingChallan]]&lt;=TrafficData[[#This Row],[totalChallan]])</f>
        <v>1</v>
      </c>
      <c r="O278" s="8" t="b">
        <f>AND(TrafficData[[#This Row],[pendingAmount]]&lt;=TrafficData[[#This Row],[totalAmount]],TrafficData[[#This Row],[disposedAmount]]&lt;=TrafficData[[#This Row],[totalAmount]])</f>
        <v>1</v>
      </c>
      <c r="P278" s="8" t="b">
        <f>AND(TrafficData[[#This Row],[pendingCourt]]&lt;=TrafficData[[#This Row],[totalCourt]],TrafficData[[#This Row],[disposedCourt]]&lt;=TrafficData[[#This Row],[totalCourt]])</f>
        <v>1</v>
      </c>
    </row>
    <row r="279" spans="1:16">
      <c r="A279" s="1">
        <v>42282</v>
      </c>
      <c r="B279">
        <v>1174</v>
      </c>
      <c r="C279">
        <v>48</v>
      </c>
      <c r="D279">
        <v>1126</v>
      </c>
      <c r="E279">
        <v>814350</v>
      </c>
      <c r="F279">
        <v>249125</v>
      </c>
      <c r="G279">
        <v>1063475</v>
      </c>
      <c r="H279">
        <v>1038</v>
      </c>
      <c r="I279">
        <v>6</v>
      </c>
      <c r="J279">
        <v>1044</v>
      </c>
      <c r="K279" t="b">
        <f>TrafficData[[#This Row],[disposedChallan]]+TrafficData[[#This Row],[pendingChallan]]=TrafficData[[#This Row],[totalChallan]]</f>
        <v>1</v>
      </c>
      <c r="L279" t="b">
        <f>TrafficData[[#This Row],[pendingAmount]]+TrafficData[[#This Row],[disposedAmount]]=TrafficData[[#This Row],[totalAmount]]</f>
        <v>1</v>
      </c>
      <c r="M279" t="b">
        <f>TrafficData[[#This Row],[pendingCourt]]+TrafficData[[#This Row],[disposedCourt]]=TrafficData[[#This Row],[totalCourt]]</f>
        <v>1</v>
      </c>
      <c r="N279" s="8" t="b">
        <f>AND(TrafficData[[#This Row],[disposedChallan]]&lt;=TrafficData[[#This Row],[totalChallan]],TrafficData[[#This Row],[pendingChallan]]&lt;=TrafficData[[#This Row],[totalChallan]])</f>
        <v>1</v>
      </c>
      <c r="O279" s="8" t="b">
        <f>AND(TrafficData[[#This Row],[pendingAmount]]&lt;=TrafficData[[#This Row],[totalAmount]],TrafficData[[#This Row],[disposedAmount]]&lt;=TrafficData[[#This Row],[totalAmount]])</f>
        <v>1</v>
      </c>
      <c r="P279" s="8" t="b">
        <f>AND(TrafficData[[#This Row],[pendingCourt]]&lt;=TrafficData[[#This Row],[totalCourt]],TrafficData[[#This Row],[disposedCourt]]&lt;=TrafficData[[#This Row],[totalCourt]])</f>
        <v>1</v>
      </c>
    </row>
    <row r="280" spans="1:16">
      <c r="A280" s="1">
        <v>42283</v>
      </c>
      <c r="B280">
        <v>1311</v>
      </c>
      <c r="C280">
        <v>34</v>
      </c>
      <c r="D280">
        <v>1277</v>
      </c>
      <c r="E280">
        <v>1163240</v>
      </c>
      <c r="F280">
        <v>116750</v>
      </c>
      <c r="G280">
        <v>1279990</v>
      </c>
      <c r="H280">
        <v>1202</v>
      </c>
      <c r="I280">
        <v>10</v>
      </c>
      <c r="J280">
        <v>1212</v>
      </c>
      <c r="K280" t="b">
        <f>TrafficData[[#This Row],[disposedChallan]]+TrafficData[[#This Row],[pendingChallan]]=TrafficData[[#This Row],[totalChallan]]</f>
        <v>1</v>
      </c>
      <c r="L280" t="b">
        <f>TrafficData[[#This Row],[pendingAmount]]+TrafficData[[#This Row],[disposedAmount]]=TrafficData[[#This Row],[totalAmount]]</f>
        <v>1</v>
      </c>
      <c r="M280" t="b">
        <f>TrafficData[[#This Row],[pendingCourt]]+TrafficData[[#This Row],[disposedCourt]]=TrafficData[[#This Row],[totalCourt]]</f>
        <v>1</v>
      </c>
      <c r="N280" s="8" t="b">
        <f>AND(TrafficData[[#This Row],[disposedChallan]]&lt;=TrafficData[[#This Row],[totalChallan]],TrafficData[[#This Row],[pendingChallan]]&lt;=TrafficData[[#This Row],[totalChallan]])</f>
        <v>1</v>
      </c>
      <c r="O280" s="8" t="b">
        <f>AND(TrafficData[[#This Row],[pendingAmount]]&lt;=TrafficData[[#This Row],[totalAmount]],TrafficData[[#This Row],[disposedAmount]]&lt;=TrafficData[[#This Row],[totalAmount]])</f>
        <v>1</v>
      </c>
      <c r="P280" s="8" t="b">
        <f>AND(TrafficData[[#This Row],[pendingCourt]]&lt;=TrafficData[[#This Row],[totalCourt]],TrafficData[[#This Row],[disposedCourt]]&lt;=TrafficData[[#This Row],[totalCourt]])</f>
        <v>1</v>
      </c>
    </row>
    <row r="281" spans="1:16">
      <c r="A281" s="1">
        <v>42284</v>
      </c>
      <c r="B281">
        <v>1293</v>
      </c>
      <c r="C281">
        <v>46</v>
      </c>
      <c r="D281">
        <v>1247</v>
      </c>
      <c r="E281">
        <v>996450</v>
      </c>
      <c r="F281">
        <v>85900</v>
      </c>
      <c r="G281">
        <v>1082350</v>
      </c>
      <c r="H281">
        <v>1163</v>
      </c>
      <c r="I281">
        <v>3</v>
      </c>
      <c r="J281">
        <v>1166</v>
      </c>
      <c r="K281" t="b">
        <f>TrafficData[[#This Row],[disposedChallan]]+TrafficData[[#This Row],[pendingChallan]]=TrafficData[[#This Row],[totalChallan]]</f>
        <v>1</v>
      </c>
      <c r="L281" t="b">
        <f>TrafficData[[#This Row],[pendingAmount]]+TrafficData[[#This Row],[disposedAmount]]=TrafficData[[#This Row],[totalAmount]]</f>
        <v>1</v>
      </c>
      <c r="M281" t="b">
        <f>TrafficData[[#This Row],[pendingCourt]]+TrafficData[[#This Row],[disposedCourt]]=TrafficData[[#This Row],[totalCourt]]</f>
        <v>1</v>
      </c>
      <c r="N281" s="8" t="b">
        <f>AND(TrafficData[[#This Row],[disposedChallan]]&lt;=TrafficData[[#This Row],[totalChallan]],TrafficData[[#This Row],[pendingChallan]]&lt;=TrafficData[[#This Row],[totalChallan]])</f>
        <v>1</v>
      </c>
      <c r="O281" s="8" t="b">
        <f>AND(TrafficData[[#This Row],[pendingAmount]]&lt;=TrafficData[[#This Row],[totalAmount]],TrafficData[[#This Row],[disposedAmount]]&lt;=TrafficData[[#This Row],[totalAmount]])</f>
        <v>1</v>
      </c>
      <c r="P281" s="8" t="b">
        <f>AND(TrafficData[[#This Row],[pendingCourt]]&lt;=TrafficData[[#This Row],[totalCourt]],TrafficData[[#This Row],[disposedCourt]]&lt;=TrafficData[[#This Row],[totalCourt]])</f>
        <v>1</v>
      </c>
    </row>
    <row r="282" spans="1:16">
      <c r="A282" s="1">
        <v>42285</v>
      </c>
      <c r="B282">
        <v>1224</v>
      </c>
      <c r="C282">
        <v>53</v>
      </c>
      <c r="D282">
        <v>1171</v>
      </c>
      <c r="E282">
        <v>889375</v>
      </c>
      <c r="F282">
        <v>152500</v>
      </c>
      <c r="G282">
        <v>1041875</v>
      </c>
      <c r="H282">
        <v>1082</v>
      </c>
      <c r="I282">
        <v>6</v>
      </c>
      <c r="J282">
        <v>1088</v>
      </c>
      <c r="K282" t="b">
        <f>TrafficData[[#This Row],[disposedChallan]]+TrafficData[[#This Row],[pendingChallan]]=TrafficData[[#This Row],[totalChallan]]</f>
        <v>1</v>
      </c>
      <c r="L282" t="b">
        <f>TrafficData[[#This Row],[pendingAmount]]+TrafficData[[#This Row],[disposedAmount]]=TrafficData[[#This Row],[totalAmount]]</f>
        <v>1</v>
      </c>
      <c r="M282" t="b">
        <f>TrafficData[[#This Row],[pendingCourt]]+TrafficData[[#This Row],[disposedCourt]]=TrafficData[[#This Row],[totalCourt]]</f>
        <v>1</v>
      </c>
      <c r="N282" s="8" t="b">
        <f>AND(TrafficData[[#This Row],[disposedChallan]]&lt;=TrafficData[[#This Row],[totalChallan]],TrafficData[[#This Row],[pendingChallan]]&lt;=TrafficData[[#This Row],[totalChallan]])</f>
        <v>1</v>
      </c>
      <c r="O282" s="8" t="b">
        <f>AND(TrafficData[[#This Row],[pendingAmount]]&lt;=TrafficData[[#This Row],[totalAmount]],TrafficData[[#This Row],[disposedAmount]]&lt;=TrafficData[[#This Row],[totalAmount]])</f>
        <v>1</v>
      </c>
      <c r="P282" s="8" t="b">
        <f>AND(TrafficData[[#This Row],[pendingCourt]]&lt;=TrafficData[[#This Row],[totalCourt]],TrafficData[[#This Row],[disposedCourt]]&lt;=TrafficData[[#This Row],[totalCourt]])</f>
        <v>1</v>
      </c>
    </row>
    <row r="283" spans="1:16">
      <c r="A283" s="1">
        <v>42286</v>
      </c>
      <c r="B283">
        <v>1261</v>
      </c>
      <c r="C283">
        <v>50</v>
      </c>
      <c r="D283">
        <v>1211</v>
      </c>
      <c r="E283">
        <v>1065350</v>
      </c>
      <c r="F283">
        <v>197600</v>
      </c>
      <c r="G283">
        <v>1262950</v>
      </c>
      <c r="H283">
        <v>1122</v>
      </c>
      <c r="I283">
        <v>12</v>
      </c>
      <c r="J283">
        <v>1134</v>
      </c>
      <c r="K283" t="b">
        <f>TrafficData[[#This Row],[disposedChallan]]+TrafficData[[#This Row],[pendingChallan]]=TrafficData[[#This Row],[totalChallan]]</f>
        <v>1</v>
      </c>
      <c r="L283" t="b">
        <f>TrafficData[[#This Row],[pendingAmount]]+TrafficData[[#This Row],[disposedAmount]]=TrafficData[[#This Row],[totalAmount]]</f>
        <v>1</v>
      </c>
      <c r="M283" t="b">
        <f>TrafficData[[#This Row],[pendingCourt]]+TrafficData[[#This Row],[disposedCourt]]=TrafficData[[#This Row],[totalCourt]]</f>
        <v>1</v>
      </c>
      <c r="N283" s="8" t="b">
        <f>AND(TrafficData[[#This Row],[disposedChallan]]&lt;=TrafficData[[#This Row],[totalChallan]],TrafficData[[#This Row],[pendingChallan]]&lt;=TrafficData[[#This Row],[totalChallan]])</f>
        <v>1</v>
      </c>
      <c r="O283" s="8" t="b">
        <f>AND(TrafficData[[#This Row],[pendingAmount]]&lt;=TrafficData[[#This Row],[totalAmount]],TrafficData[[#This Row],[disposedAmount]]&lt;=TrafficData[[#This Row],[totalAmount]])</f>
        <v>1</v>
      </c>
      <c r="P283" s="8" t="b">
        <f>AND(TrafficData[[#This Row],[pendingCourt]]&lt;=TrafficData[[#This Row],[totalCourt]],TrafficData[[#This Row],[disposedCourt]]&lt;=TrafficData[[#This Row],[totalCourt]])</f>
        <v>1</v>
      </c>
    </row>
    <row r="284" spans="1:16">
      <c r="A284" s="1">
        <v>42287</v>
      </c>
      <c r="B284">
        <v>1317</v>
      </c>
      <c r="C284">
        <v>59</v>
      </c>
      <c r="D284">
        <v>1258</v>
      </c>
      <c r="E284">
        <v>1234380</v>
      </c>
      <c r="F284">
        <v>253540</v>
      </c>
      <c r="G284">
        <v>1487920</v>
      </c>
      <c r="H284">
        <v>1163</v>
      </c>
      <c r="I284">
        <v>12</v>
      </c>
      <c r="J284">
        <v>1175</v>
      </c>
      <c r="K284" t="b">
        <f>TrafficData[[#This Row],[disposedChallan]]+TrafficData[[#This Row],[pendingChallan]]=TrafficData[[#This Row],[totalChallan]]</f>
        <v>1</v>
      </c>
      <c r="L284" t="b">
        <f>TrafficData[[#This Row],[pendingAmount]]+TrafficData[[#This Row],[disposedAmount]]=TrafficData[[#This Row],[totalAmount]]</f>
        <v>1</v>
      </c>
      <c r="M284" t="b">
        <f>TrafficData[[#This Row],[pendingCourt]]+TrafficData[[#This Row],[disposedCourt]]=TrafficData[[#This Row],[totalCourt]]</f>
        <v>1</v>
      </c>
      <c r="N284" s="8" t="b">
        <f>AND(TrafficData[[#This Row],[disposedChallan]]&lt;=TrafficData[[#This Row],[totalChallan]],TrafficData[[#This Row],[pendingChallan]]&lt;=TrafficData[[#This Row],[totalChallan]])</f>
        <v>1</v>
      </c>
      <c r="O284" s="8" t="b">
        <f>AND(TrafficData[[#This Row],[pendingAmount]]&lt;=TrafficData[[#This Row],[totalAmount]],TrafficData[[#This Row],[disposedAmount]]&lt;=TrafficData[[#This Row],[totalAmount]])</f>
        <v>1</v>
      </c>
      <c r="P284" s="8" t="b">
        <f>AND(TrafficData[[#This Row],[pendingCourt]]&lt;=TrafficData[[#This Row],[totalCourt]],TrafficData[[#This Row],[disposedCourt]]&lt;=TrafficData[[#This Row],[totalCourt]])</f>
        <v>1</v>
      </c>
    </row>
    <row r="285" spans="1:16">
      <c r="A285" s="1">
        <v>42288</v>
      </c>
      <c r="B285">
        <v>736</v>
      </c>
      <c r="C285">
        <v>37</v>
      </c>
      <c r="D285">
        <v>699</v>
      </c>
      <c r="E285">
        <v>629950</v>
      </c>
      <c r="F285">
        <v>46100</v>
      </c>
      <c r="G285">
        <v>676050</v>
      </c>
      <c r="H285">
        <v>638</v>
      </c>
      <c r="I285">
        <v>17</v>
      </c>
      <c r="J285">
        <v>655</v>
      </c>
      <c r="K285" t="b">
        <f>TrafficData[[#This Row],[disposedChallan]]+TrafficData[[#This Row],[pendingChallan]]=TrafficData[[#This Row],[totalChallan]]</f>
        <v>1</v>
      </c>
      <c r="L285" t="b">
        <f>TrafficData[[#This Row],[pendingAmount]]+TrafficData[[#This Row],[disposedAmount]]=TrafficData[[#This Row],[totalAmount]]</f>
        <v>1</v>
      </c>
      <c r="M285" t="b">
        <f>TrafficData[[#This Row],[pendingCourt]]+TrafficData[[#This Row],[disposedCourt]]=TrafficData[[#This Row],[totalCourt]]</f>
        <v>1</v>
      </c>
      <c r="N285" s="8" t="b">
        <f>AND(TrafficData[[#This Row],[disposedChallan]]&lt;=TrafficData[[#This Row],[totalChallan]],TrafficData[[#This Row],[pendingChallan]]&lt;=TrafficData[[#This Row],[totalChallan]])</f>
        <v>1</v>
      </c>
      <c r="O285" s="8" t="b">
        <f>AND(TrafficData[[#This Row],[pendingAmount]]&lt;=TrafficData[[#This Row],[totalAmount]],TrafficData[[#This Row],[disposedAmount]]&lt;=TrafficData[[#This Row],[totalAmount]])</f>
        <v>1</v>
      </c>
      <c r="P285" s="8" t="b">
        <f>AND(TrafficData[[#This Row],[pendingCourt]]&lt;=TrafficData[[#This Row],[totalCourt]],TrafficData[[#This Row],[disposedCourt]]&lt;=TrafficData[[#This Row],[totalCourt]])</f>
        <v>1</v>
      </c>
    </row>
    <row r="286" spans="1:16">
      <c r="A286" s="1">
        <v>42289</v>
      </c>
      <c r="B286">
        <v>1334</v>
      </c>
      <c r="C286">
        <v>32</v>
      </c>
      <c r="D286">
        <v>1302</v>
      </c>
      <c r="E286">
        <v>533410</v>
      </c>
      <c r="F286">
        <v>116400</v>
      </c>
      <c r="G286">
        <v>649810</v>
      </c>
      <c r="H286">
        <v>1236</v>
      </c>
      <c r="I286">
        <v>5</v>
      </c>
      <c r="J286">
        <v>1241</v>
      </c>
      <c r="K286" t="b">
        <f>TrafficData[[#This Row],[disposedChallan]]+TrafficData[[#This Row],[pendingChallan]]=TrafficData[[#This Row],[totalChallan]]</f>
        <v>1</v>
      </c>
      <c r="L286" t="b">
        <f>TrafficData[[#This Row],[pendingAmount]]+TrafficData[[#This Row],[disposedAmount]]=TrafficData[[#This Row],[totalAmount]]</f>
        <v>1</v>
      </c>
      <c r="M286" t="b">
        <f>TrafficData[[#This Row],[pendingCourt]]+TrafficData[[#This Row],[disposedCourt]]=TrafficData[[#This Row],[totalCourt]]</f>
        <v>1</v>
      </c>
      <c r="N286" s="8" t="b">
        <f>AND(TrafficData[[#This Row],[disposedChallan]]&lt;=TrafficData[[#This Row],[totalChallan]],TrafficData[[#This Row],[pendingChallan]]&lt;=TrafficData[[#This Row],[totalChallan]])</f>
        <v>1</v>
      </c>
      <c r="O286" s="8" t="b">
        <f>AND(TrafficData[[#This Row],[pendingAmount]]&lt;=TrafficData[[#This Row],[totalAmount]],TrafficData[[#This Row],[disposedAmount]]&lt;=TrafficData[[#This Row],[totalAmount]])</f>
        <v>1</v>
      </c>
      <c r="P286" s="8" t="b">
        <f>AND(TrafficData[[#This Row],[pendingCourt]]&lt;=TrafficData[[#This Row],[totalCourt]],TrafficData[[#This Row],[disposedCourt]]&lt;=TrafficData[[#This Row],[totalCourt]])</f>
        <v>1</v>
      </c>
    </row>
    <row r="287" spans="1:16">
      <c r="A287" s="1">
        <v>42290</v>
      </c>
      <c r="B287">
        <v>1352</v>
      </c>
      <c r="C287">
        <v>65</v>
      </c>
      <c r="D287">
        <v>1287</v>
      </c>
      <c r="E287">
        <v>793450</v>
      </c>
      <c r="F287">
        <v>128050</v>
      </c>
      <c r="G287">
        <v>921500</v>
      </c>
      <c r="H287">
        <v>1218</v>
      </c>
      <c r="I287">
        <v>5</v>
      </c>
      <c r="J287">
        <v>1223</v>
      </c>
      <c r="K287" t="b">
        <f>TrafficData[[#This Row],[disposedChallan]]+TrafficData[[#This Row],[pendingChallan]]=TrafficData[[#This Row],[totalChallan]]</f>
        <v>1</v>
      </c>
      <c r="L287" t="b">
        <f>TrafficData[[#This Row],[pendingAmount]]+TrafficData[[#This Row],[disposedAmount]]=TrafficData[[#This Row],[totalAmount]]</f>
        <v>1</v>
      </c>
      <c r="M287" t="b">
        <f>TrafficData[[#This Row],[pendingCourt]]+TrafficData[[#This Row],[disposedCourt]]=TrafficData[[#This Row],[totalCourt]]</f>
        <v>1</v>
      </c>
      <c r="N287" s="8" t="b">
        <f>AND(TrafficData[[#This Row],[disposedChallan]]&lt;=TrafficData[[#This Row],[totalChallan]],TrafficData[[#This Row],[pendingChallan]]&lt;=TrafficData[[#This Row],[totalChallan]])</f>
        <v>1</v>
      </c>
      <c r="O287" s="8" t="b">
        <f>AND(TrafficData[[#This Row],[pendingAmount]]&lt;=TrafficData[[#This Row],[totalAmount]],TrafficData[[#This Row],[disposedAmount]]&lt;=TrafficData[[#This Row],[totalAmount]])</f>
        <v>1</v>
      </c>
      <c r="P287" s="8" t="b">
        <f>AND(TrafficData[[#This Row],[pendingCourt]]&lt;=TrafficData[[#This Row],[totalCourt]],TrafficData[[#This Row],[disposedCourt]]&lt;=TrafficData[[#This Row],[totalCourt]])</f>
        <v>1</v>
      </c>
    </row>
    <row r="288" spans="1:16">
      <c r="A288" s="1">
        <v>42291</v>
      </c>
      <c r="B288">
        <v>1540</v>
      </c>
      <c r="C288">
        <v>52</v>
      </c>
      <c r="D288">
        <v>1488</v>
      </c>
      <c r="E288">
        <v>1016650</v>
      </c>
      <c r="F288">
        <v>47800</v>
      </c>
      <c r="G288">
        <v>1064450</v>
      </c>
      <c r="H288">
        <v>1421</v>
      </c>
      <c r="I288">
        <v>24</v>
      </c>
      <c r="J288">
        <v>1445</v>
      </c>
      <c r="K288" t="b">
        <f>TrafficData[[#This Row],[disposedChallan]]+TrafficData[[#This Row],[pendingChallan]]=TrafficData[[#This Row],[totalChallan]]</f>
        <v>1</v>
      </c>
      <c r="L288" t="b">
        <f>TrafficData[[#This Row],[pendingAmount]]+TrafficData[[#This Row],[disposedAmount]]=TrafficData[[#This Row],[totalAmount]]</f>
        <v>1</v>
      </c>
      <c r="M288" t="b">
        <f>TrafficData[[#This Row],[pendingCourt]]+TrafficData[[#This Row],[disposedCourt]]=TrafficData[[#This Row],[totalCourt]]</f>
        <v>1</v>
      </c>
      <c r="N288" s="8" t="b">
        <f>AND(TrafficData[[#This Row],[disposedChallan]]&lt;=TrafficData[[#This Row],[totalChallan]],TrafficData[[#This Row],[pendingChallan]]&lt;=TrafficData[[#This Row],[totalChallan]])</f>
        <v>1</v>
      </c>
      <c r="O288" s="8" t="b">
        <f>AND(TrafficData[[#This Row],[pendingAmount]]&lt;=TrafficData[[#This Row],[totalAmount]],TrafficData[[#This Row],[disposedAmount]]&lt;=TrafficData[[#This Row],[totalAmount]])</f>
        <v>1</v>
      </c>
      <c r="P288" s="8" t="b">
        <f>AND(TrafficData[[#This Row],[pendingCourt]]&lt;=TrafficData[[#This Row],[totalCourt]],TrafficData[[#This Row],[disposedCourt]]&lt;=TrafficData[[#This Row],[totalCourt]])</f>
        <v>1</v>
      </c>
    </row>
    <row r="289" spans="1:16">
      <c r="A289" s="1">
        <v>42292</v>
      </c>
      <c r="B289">
        <v>1602</v>
      </c>
      <c r="C289">
        <v>47</v>
      </c>
      <c r="D289">
        <v>1555</v>
      </c>
      <c r="E289">
        <v>1111327</v>
      </c>
      <c r="F289">
        <v>116370</v>
      </c>
      <c r="G289">
        <v>1227697</v>
      </c>
      <c r="H289">
        <v>1451</v>
      </c>
      <c r="I289">
        <v>3</v>
      </c>
      <c r="J289">
        <v>1454</v>
      </c>
      <c r="K289" t="b">
        <f>TrafficData[[#This Row],[disposedChallan]]+TrafficData[[#This Row],[pendingChallan]]=TrafficData[[#This Row],[totalChallan]]</f>
        <v>1</v>
      </c>
      <c r="L289" t="b">
        <f>TrafficData[[#This Row],[pendingAmount]]+TrafficData[[#This Row],[disposedAmount]]=TrafficData[[#This Row],[totalAmount]]</f>
        <v>1</v>
      </c>
      <c r="M289" t="b">
        <f>TrafficData[[#This Row],[pendingCourt]]+TrafficData[[#This Row],[disposedCourt]]=TrafficData[[#This Row],[totalCourt]]</f>
        <v>1</v>
      </c>
      <c r="N289" s="8" t="b">
        <f>AND(TrafficData[[#This Row],[disposedChallan]]&lt;=TrafficData[[#This Row],[totalChallan]],TrafficData[[#This Row],[pendingChallan]]&lt;=TrafficData[[#This Row],[totalChallan]])</f>
        <v>1</v>
      </c>
      <c r="O289" s="8" t="b">
        <f>AND(TrafficData[[#This Row],[pendingAmount]]&lt;=TrafficData[[#This Row],[totalAmount]],TrafficData[[#This Row],[disposedAmount]]&lt;=TrafficData[[#This Row],[totalAmount]])</f>
        <v>1</v>
      </c>
      <c r="P289" s="8" t="b">
        <f>AND(TrafficData[[#This Row],[pendingCourt]]&lt;=TrafficData[[#This Row],[totalCourt]],TrafficData[[#This Row],[disposedCourt]]&lt;=TrafficData[[#This Row],[totalCourt]])</f>
        <v>1</v>
      </c>
    </row>
    <row r="290" spans="1:16">
      <c r="A290" s="1">
        <v>42293</v>
      </c>
      <c r="B290">
        <v>1512</v>
      </c>
      <c r="C290">
        <v>70</v>
      </c>
      <c r="D290">
        <v>1442</v>
      </c>
      <c r="E290">
        <v>1040610</v>
      </c>
      <c r="F290">
        <v>334095</v>
      </c>
      <c r="G290">
        <v>1374705</v>
      </c>
      <c r="H290">
        <v>1342</v>
      </c>
      <c r="I290">
        <v>7</v>
      </c>
      <c r="J290">
        <v>1349</v>
      </c>
      <c r="K290" t="b">
        <f>TrafficData[[#This Row],[disposedChallan]]+TrafficData[[#This Row],[pendingChallan]]=TrafficData[[#This Row],[totalChallan]]</f>
        <v>1</v>
      </c>
      <c r="L290" t="b">
        <f>TrafficData[[#This Row],[pendingAmount]]+TrafficData[[#This Row],[disposedAmount]]=TrafficData[[#This Row],[totalAmount]]</f>
        <v>1</v>
      </c>
      <c r="M290" t="b">
        <f>TrafficData[[#This Row],[pendingCourt]]+TrafficData[[#This Row],[disposedCourt]]=TrafficData[[#This Row],[totalCourt]]</f>
        <v>1</v>
      </c>
      <c r="N290" s="8" t="b">
        <f>AND(TrafficData[[#This Row],[disposedChallan]]&lt;=TrafficData[[#This Row],[totalChallan]],TrafficData[[#This Row],[pendingChallan]]&lt;=TrafficData[[#This Row],[totalChallan]])</f>
        <v>1</v>
      </c>
      <c r="O290" s="8" t="b">
        <f>AND(TrafficData[[#This Row],[pendingAmount]]&lt;=TrafficData[[#This Row],[totalAmount]],TrafficData[[#This Row],[disposedAmount]]&lt;=TrafficData[[#This Row],[totalAmount]])</f>
        <v>1</v>
      </c>
      <c r="P290" s="8" t="b">
        <f>AND(TrafficData[[#This Row],[pendingCourt]]&lt;=TrafficData[[#This Row],[totalCourt]],TrafficData[[#This Row],[disposedCourt]]&lt;=TrafficData[[#This Row],[totalCourt]])</f>
        <v>1</v>
      </c>
    </row>
    <row r="291" spans="1:16">
      <c r="A291" s="1">
        <v>42294</v>
      </c>
      <c r="B291">
        <v>1463</v>
      </c>
      <c r="C291">
        <v>61</v>
      </c>
      <c r="D291">
        <v>1402</v>
      </c>
      <c r="E291">
        <v>1093200</v>
      </c>
      <c r="F291">
        <v>594600</v>
      </c>
      <c r="G291">
        <v>1687800</v>
      </c>
      <c r="H291">
        <v>1298</v>
      </c>
      <c r="I291">
        <v>16</v>
      </c>
      <c r="J291">
        <v>1314</v>
      </c>
      <c r="K291" t="b">
        <f>TrafficData[[#This Row],[disposedChallan]]+TrafficData[[#This Row],[pendingChallan]]=TrafficData[[#This Row],[totalChallan]]</f>
        <v>1</v>
      </c>
      <c r="L291" t="b">
        <f>TrafficData[[#This Row],[pendingAmount]]+TrafficData[[#This Row],[disposedAmount]]=TrafficData[[#This Row],[totalAmount]]</f>
        <v>1</v>
      </c>
      <c r="M291" t="b">
        <f>TrafficData[[#This Row],[pendingCourt]]+TrafficData[[#This Row],[disposedCourt]]=TrafficData[[#This Row],[totalCourt]]</f>
        <v>1</v>
      </c>
      <c r="N291" s="8" t="b">
        <f>AND(TrafficData[[#This Row],[disposedChallan]]&lt;=TrafficData[[#This Row],[totalChallan]],TrafficData[[#This Row],[pendingChallan]]&lt;=TrafficData[[#This Row],[totalChallan]])</f>
        <v>1</v>
      </c>
      <c r="O291" s="8" t="b">
        <f>AND(TrafficData[[#This Row],[pendingAmount]]&lt;=TrafficData[[#This Row],[totalAmount]],TrafficData[[#This Row],[disposedAmount]]&lt;=TrafficData[[#This Row],[totalAmount]])</f>
        <v>1</v>
      </c>
      <c r="P291" s="8" t="b">
        <f>AND(TrafficData[[#This Row],[pendingCourt]]&lt;=TrafficData[[#This Row],[totalCourt]],TrafficData[[#This Row],[disposedCourt]]&lt;=TrafficData[[#This Row],[totalCourt]])</f>
        <v>1</v>
      </c>
    </row>
    <row r="292" spans="1:16">
      <c r="A292" s="1">
        <v>42295</v>
      </c>
      <c r="B292">
        <v>831</v>
      </c>
      <c r="C292">
        <v>18</v>
      </c>
      <c r="D292">
        <v>813</v>
      </c>
      <c r="E292">
        <v>489700</v>
      </c>
      <c r="F292">
        <v>30150</v>
      </c>
      <c r="G292">
        <v>519850</v>
      </c>
      <c r="H292">
        <v>763</v>
      </c>
      <c r="I292">
        <v>1</v>
      </c>
      <c r="J292">
        <v>764</v>
      </c>
      <c r="K292" t="b">
        <f>TrafficData[[#This Row],[disposedChallan]]+TrafficData[[#This Row],[pendingChallan]]=TrafficData[[#This Row],[totalChallan]]</f>
        <v>1</v>
      </c>
      <c r="L292" t="b">
        <f>TrafficData[[#This Row],[pendingAmount]]+TrafficData[[#This Row],[disposedAmount]]=TrafficData[[#This Row],[totalAmount]]</f>
        <v>1</v>
      </c>
      <c r="M292" t="b">
        <f>TrafficData[[#This Row],[pendingCourt]]+TrafficData[[#This Row],[disposedCourt]]=TrafficData[[#This Row],[totalCourt]]</f>
        <v>1</v>
      </c>
      <c r="N292" s="8" t="b">
        <f>AND(TrafficData[[#This Row],[disposedChallan]]&lt;=TrafficData[[#This Row],[totalChallan]],TrafficData[[#This Row],[pendingChallan]]&lt;=TrafficData[[#This Row],[totalChallan]])</f>
        <v>1</v>
      </c>
      <c r="O292" s="8" t="b">
        <f>AND(TrafficData[[#This Row],[pendingAmount]]&lt;=TrafficData[[#This Row],[totalAmount]],TrafficData[[#This Row],[disposedAmount]]&lt;=TrafficData[[#This Row],[totalAmount]])</f>
        <v>1</v>
      </c>
      <c r="P292" s="8" t="b">
        <f>AND(TrafficData[[#This Row],[pendingCourt]]&lt;=TrafficData[[#This Row],[totalCourt]],TrafficData[[#This Row],[disposedCourt]]&lt;=TrafficData[[#This Row],[totalCourt]])</f>
        <v>1</v>
      </c>
    </row>
    <row r="293" spans="1:16">
      <c r="A293" s="1">
        <v>42296</v>
      </c>
      <c r="B293">
        <v>1337</v>
      </c>
      <c r="C293">
        <v>38</v>
      </c>
      <c r="D293">
        <v>1299</v>
      </c>
      <c r="E293">
        <v>923860</v>
      </c>
      <c r="F293">
        <v>90650</v>
      </c>
      <c r="G293">
        <v>1014510</v>
      </c>
      <c r="H293">
        <v>1201</v>
      </c>
      <c r="I293">
        <v>14</v>
      </c>
      <c r="J293">
        <v>1215</v>
      </c>
      <c r="K293" t="b">
        <f>TrafficData[[#This Row],[disposedChallan]]+TrafficData[[#This Row],[pendingChallan]]=TrafficData[[#This Row],[totalChallan]]</f>
        <v>1</v>
      </c>
      <c r="L293" t="b">
        <f>TrafficData[[#This Row],[pendingAmount]]+TrafficData[[#This Row],[disposedAmount]]=TrafficData[[#This Row],[totalAmount]]</f>
        <v>1</v>
      </c>
      <c r="M293" t="b">
        <f>TrafficData[[#This Row],[pendingCourt]]+TrafficData[[#This Row],[disposedCourt]]=TrafficData[[#This Row],[totalCourt]]</f>
        <v>1</v>
      </c>
      <c r="N293" s="8" t="b">
        <f>AND(TrafficData[[#This Row],[disposedChallan]]&lt;=TrafficData[[#This Row],[totalChallan]],TrafficData[[#This Row],[pendingChallan]]&lt;=TrafficData[[#This Row],[totalChallan]])</f>
        <v>1</v>
      </c>
      <c r="O293" s="8" t="b">
        <f>AND(TrafficData[[#This Row],[pendingAmount]]&lt;=TrafficData[[#This Row],[totalAmount]],TrafficData[[#This Row],[disposedAmount]]&lt;=TrafficData[[#This Row],[totalAmount]])</f>
        <v>1</v>
      </c>
      <c r="P293" s="8" t="b">
        <f>AND(TrafficData[[#This Row],[pendingCourt]]&lt;=TrafficData[[#This Row],[totalCourt]],TrafficData[[#This Row],[disposedCourt]]&lt;=TrafficData[[#This Row],[totalCourt]])</f>
        <v>1</v>
      </c>
    </row>
    <row r="294" spans="1:16">
      <c r="A294" s="1">
        <v>42297</v>
      </c>
      <c r="B294">
        <v>1498</v>
      </c>
      <c r="C294">
        <v>46</v>
      </c>
      <c r="D294">
        <v>1452</v>
      </c>
      <c r="E294">
        <v>970250</v>
      </c>
      <c r="F294">
        <v>78850</v>
      </c>
      <c r="G294">
        <v>1049100</v>
      </c>
      <c r="H294">
        <v>1360</v>
      </c>
      <c r="I294">
        <v>5</v>
      </c>
      <c r="J294">
        <v>1365</v>
      </c>
      <c r="K294" t="b">
        <f>TrafficData[[#This Row],[disposedChallan]]+TrafficData[[#This Row],[pendingChallan]]=TrafficData[[#This Row],[totalChallan]]</f>
        <v>1</v>
      </c>
      <c r="L294" t="b">
        <f>TrafficData[[#This Row],[pendingAmount]]+TrafficData[[#This Row],[disposedAmount]]=TrafficData[[#This Row],[totalAmount]]</f>
        <v>1</v>
      </c>
      <c r="M294" t="b">
        <f>TrafficData[[#This Row],[pendingCourt]]+TrafficData[[#This Row],[disposedCourt]]=TrafficData[[#This Row],[totalCourt]]</f>
        <v>1</v>
      </c>
      <c r="N294" s="8" t="b">
        <f>AND(TrafficData[[#This Row],[disposedChallan]]&lt;=TrafficData[[#This Row],[totalChallan]],TrafficData[[#This Row],[pendingChallan]]&lt;=TrafficData[[#This Row],[totalChallan]])</f>
        <v>1</v>
      </c>
      <c r="O294" s="8" t="b">
        <f>AND(TrafficData[[#This Row],[pendingAmount]]&lt;=TrafficData[[#This Row],[totalAmount]],TrafficData[[#This Row],[disposedAmount]]&lt;=TrafficData[[#This Row],[totalAmount]])</f>
        <v>1</v>
      </c>
      <c r="P294" s="8" t="b">
        <f>AND(TrafficData[[#This Row],[pendingCourt]]&lt;=TrafficData[[#This Row],[totalCourt]],TrafficData[[#This Row],[disposedCourt]]&lt;=TrafficData[[#This Row],[totalCourt]])</f>
        <v>1</v>
      </c>
    </row>
    <row r="295" spans="1:16">
      <c r="A295" s="1">
        <v>42298</v>
      </c>
      <c r="B295">
        <v>1269</v>
      </c>
      <c r="C295">
        <v>39</v>
      </c>
      <c r="D295">
        <v>1230</v>
      </c>
      <c r="E295">
        <v>1238030</v>
      </c>
      <c r="F295">
        <v>106120</v>
      </c>
      <c r="G295">
        <v>1344150</v>
      </c>
      <c r="H295">
        <v>1151</v>
      </c>
      <c r="I295">
        <v>13</v>
      </c>
      <c r="J295">
        <v>1164</v>
      </c>
      <c r="K295" t="b">
        <f>TrafficData[[#This Row],[disposedChallan]]+TrafficData[[#This Row],[pendingChallan]]=TrafficData[[#This Row],[totalChallan]]</f>
        <v>1</v>
      </c>
      <c r="L295" t="b">
        <f>TrafficData[[#This Row],[pendingAmount]]+TrafficData[[#This Row],[disposedAmount]]=TrafficData[[#This Row],[totalAmount]]</f>
        <v>1</v>
      </c>
      <c r="M295" t="b">
        <f>TrafficData[[#This Row],[pendingCourt]]+TrafficData[[#This Row],[disposedCourt]]=TrafficData[[#This Row],[totalCourt]]</f>
        <v>1</v>
      </c>
      <c r="N295" s="8" t="b">
        <f>AND(TrafficData[[#This Row],[disposedChallan]]&lt;=TrafficData[[#This Row],[totalChallan]],TrafficData[[#This Row],[pendingChallan]]&lt;=TrafficData[[#This Row],[totalChallan]])</f>
        <v>1</v>
      </c>
      <c r="O295" s="8" t="b">
        <f>AND(TrafficData[[#This Row],[pendingAmount]]&lt;=TrafficData[[#This Row],[totalAmount]],TrafficData[[#This Row],[disposedAmount]]&lt;=TrafficData[[#This Row],[totalAmount]])</f>
        <v>1</v>
      </c>
      <c r="P295" s="8" t="b">
        <f>AND(TrafficData[[#This Row],[pendingCourt]]&lt;=TrafficData[[#This Row],[totalCourt]],TrafficData[[#This Row],[disposedCourt]]&lt;=TrafficData[[#This Row],[totalCourt]])</f>
        <v>1</v>
      </c>
    </row>
    <row r="296" spans="1:16">
      <c r="A296" s="1">
        <v>42299</v>
      </c>
      <c r="B296">
        <v>599</v>
      </c>
      <c r="C296">
        <v>23</v>
      </c>
      <c r="D296">
        <v>576</v>
      </c>
      <c r="E296">
        <v>336100</v>
      </c>
      <c r="F296">
        <v>75382</v>
      </c>
      <c r="G296">
        <v>411482</v>
      </c>
      <c r="H296">
        <v>545</v>
      </c>
      <c r="I296">
        <v>7</v>
      </c>
      <c r="J296">
        <v>552</v>
      </c>
      <c r="K296" t="b">
        <f>TrafficData[[#This Row],[disposedChallan]]+TrafficData[[#This Row],[pendingChallan]]=TrafficData[[#This Row],[totalChallan]]</f>
        <v>1</v>
      </c>
      <c r="L296" t="b">
        <f>TrafficData[[#This Row],[pendingAmount]]+TrafficData[[#This Row],[disposedAmount]]=TrafficData[[#This Row],[totalAmount]]</f>
        <v>1</v>
      </c>
      <c r="M296" t="b">
        <f>TrafficData[[#This Row],[pendingCourt]]+TrafficData[[#This Row],[disposedCourt]]=TrafficData[[#This Row],[totalCourt]]</f>
        <v>1</v>
      </c>
      <c r="N296" s="8" t="b">
        <f>AND(TrafficData[[#This Row],[disposedChallan]]&lt;=TrafficData[[#This Row],[totalChallan]],TrafficData[[#This Row],[pendingChallan]]&lt;=TrafficData[[#This Row],[totalChallan]])</f>
        <v>1</v>
      </c>
      <c r="O296" s="8" t="b">
        <f>AND(TrafficData[[#This Row],[pendingAmount]]&lt;=TrafficData[[#This Row],[totalAmount]],TrafficData[[#This Row],[disposedAmount]]&lt;=TrafficData[[#This Row],[totalAmount]])</f>
        <v>1</v>
      </c>
      <c r="P296" s="8" t="b">
        <f>AND(TrafficData[[#This Row],[pendingCourt]]&lt;=TrafficData[[#This Row],[totalCourt]],TrafficData[[#This Row],[disposedCourt]]&lt;=TrafficData[[#This Row],[totalCourt]])</f>
        <v>1</v>
      </c>
    </row>
    <row r="297" spans="1:16">
      <c r="A297" s="1">
        <v>42300</v>
      </c>
      <c r="B297">
        <v>1010</v>
      </c>
      <c r="C297">
        <v>41</v>
      </c>
      <c r="D297">
        <v>969</v>
      </c>
      <c r="E297">
        <v>623300</v>
      </c>
      <c r="F297">
        <v>152861</v>
      </c>
      <c r="G297">
        <v>776161</v>
      </c>
      <c r="H297">
        <v>898</v>
      </c>
      <c r="I297">
        <v>14</v>
      </c>
      <c r="J297">
        <v>912</v>
      </c>
      <c r="K297" t="b">
        <f>TrafficData[[#This Row],[disposedChallan]]+TrafficData[[#This Row],[pendingChallan]]=TrafficData[[#This Row],[totalChallan]]</f>
        <v>1</v>
      </c>
      <c r="L297" t="b">
        <f>TrafficData[[#This Row],[pendingAmount]]+TrafficData[[#This Row],[disposedAmount]]=TrafficData[[#This Row],[totalAmount]]</f>
        <v>1</v>
      </c>
      <c r="M297" t="b">
        <f>TrafficData[[#This Row],[pendingCourt]]+TrafficData[[#This Row],[disposedCourt]]=TrafficData[[#This Row],[totalCourt]]</f>
        <v>1</v>
      </c>
      <c r="N297" s="8" t="b">
        <f>AND(TrafficData[[#This Row],[disposedChallan]]&lt;=TrafficData[[#This Row],[totalChallan]],TrafficData[[#This Row],[pendingChallan]]&lt;=TrafficData[[#This Row],[totalChallan]])</f>
        <v>1</v>
      </c>
      <c r="O297" s="8" t="b">
        <f>AND(TrafficData[[#This Row],[pendingAmount]]&lt;=TrafficData[[#This Row],[totalAmount]],TrafficData[[#This Row],[disposedAmount]]&lt;=TrafficData[[#This Row],[totalAmount]])</f>
        <v>1</v>
      </c>
      <c r="P297" s="8" t="b">
        <f>AND(TrafficData[[#This Row],[pendingCourt]]&lt;=TrafficData[[#This Row],[totalCourt]],TrafficData[[#This Row],[disposedCourt]]&lt;=TrafficData[[#This Row],[totalCourt]])</f>
        <v>1</v>
      </c>
    </row>
    <row r="298" spans="1:16">
      <c r="A298" s="1">
        <v>42301</v>
      </c>
      <c r="B298">
        <v>506</v>
      </c>
      <c r="C298">
        <v>15</v>
      </c>
      <c r="D298">
        <v>491</v>
      </c>
      <c r="E298">
        <v>239300</v>
      </c>
      <c r="F298">
        <v>39150</v>
      </c>
      <c r="G298">
        <v>278450</v>
      </c>
      <c r="H298">
        <v>461</v>
      </c>
      <c r="I298">
        <v>3</v>
      </c>
      <c r="J298">
        <v>464</v>
      </c>
      <c r="K298" t="b">
        <f>TrafficData[[#This Row],[disposedChallan]]+TrafficData[[#This Row],[pendingChallan]]=TrafficData[[#This Row],[totalChallan]]</f>
        <v>1</v>
      </c>
      <c r="L298" t="b">
        <f>TrafficData[[#This Row],[pendingAmount]]+TrafficData[[#This Row],[disposedAmount]]=TrafficData[[#This Row],[totalAmount]]</f>
        <v>1</v>
      </c>
      <c r="M298" t="b">
        <f>TrafficData[[#This Row],[pendingCourt]]+TrafficData[[#This Row],[disposedCourt]]=TrafficData[[#This Row],[totalCourt]]</f>
        <v>1</v>
      </c>
      <c r="N298" s="8" t="b">
        <f>AND(TrafficData[[#This Row],[disposedChallan]]&lt;=TrafficData[[#This Row],[totalChallan]],TrafficData[[#This Row],[pendingChallan]]&lt;=TrafficData[[#This Row],[totalChallan]])</f>
        <v>1</v>
      </c>
      <c r="O298" s="8" t="b">
        <f>AND(TrafficData[[#This Row],[pendingAmount]]&lt;=TrafficData[[#This Row],[totalAmount]],TrafficData[[#This Row],[disposedAmount]]&lt;=TrafficData[[#This Row],[totalAmount]])</f>
        <v>1</v>
      </c>
      <c r="P298" s="8" t="b">
        <f>AND(TrafficData[[#This Row],[pendingCourt]]&lt;=TrafficData[[#This Row],[totalCourt]],TrafficData[[#This Row],[disposedCourt]]&lt;=TrafficData[[#This Row],[totalCourt]])</f>
        <v>1</v>
      </c>
    </row>
    <row r="299" spans="1:16">
      <c r="A299" s="1">
        <v>42302</v>
      </c>
      <c r="B299">
        <v>536</v>
      </c>
      <c r="C299">
        <v>42</v>
      </c>
      <c r="D299">
        <v>494</v>
      </c>
      <c r="E299">
        <v>649460</v>
      </c>
      <c r="F299">
        <v>142700</v>
      </c>
      <c r="G299">
        <v>792160</v>
      </c>
      <c r="H299">
        <v>418</v>
      </c>
      <c r="I299">
        <v>5</v>
      </c>
      <c r="J299">
        <v>423</v>
      </c>
      <c r="K299" t="b">
        <f>TrafficData[[#This Row],[disposedChallan]]+TrafficData[[#This Row],[pendingChallan]]=TrafficData[[#This Row],[totalChallan]]</f>
        <v>1</v>
      </c>
      <c r="L299" t="b">
        <f>TrafficData[[#This Row],[pendingAmount]]+TrafficData[[#This Row],[disposedAmount]]=TrafficData[[#This Row],[totalAmount]]</f>
        <v>1</v>
      </c>
      <c r="M299" t="b">
        <f>TrafficData[[#This Row],[pendingCourt]]+TrafficData[[#This Row],[disposedCourt]]=TrafficData[[#This Row],[totalCourt]]</f>
        <v>1</v>
      </c>
      <c r="N299" s="8" t="b">
        <f>AND(TrafficData[[#This Row],[disposedChallan]]&lt;=TrafficData[[#This Row],[totalChallan]],TrafficData[[#This Row],[pendingChallan]]&lt;=TrafficData[[#This Row],[totalChallan]])</f>
        <v>1</v>
      </c>
      <c r="O299" s="8" t="b">
        <f>AND(TrafficData[[#This Row],[pendingAmount]]&lt;=TrafficData[[#This Row],[totalAmount]],TrafficData[[#This Row],[disposedAmount]]&lt;=TrafficData[[#This Row],[totalAmount]])</f>
        <v>1</v>
      </c>
      <c r="P299" s="8" t="b">
        <f>AND(TrafficData[[#This Row],[pendingCourt]]&lt;=TrafficData[[#This Row],[totalCourt]],TrafficData[[#This Row],[disposedCourt]]&lt;=TrafficData[[#This Row],[totalCourt]])</f>
        <v>1</v>
      </c>
    </row>
    <row r="300" spans="1:16">
      <c r="A300" s="1">
        <v>42303</v>
      </c>
      <c r="B300">
        <v>726</v>
      </c>
      <c r="C300">
        <v>47</v>
      </c>
      <c r="D300">
        <v>679</v>
      </c>
      <c r="E300">
        <v>870210</v>
      </c>
      <c r="F300">
        <v>130300</v>
      </c>
      <c r="G300">
        <v>1000510</v>
      </c>
      <c r="H300">
        <v>550</v>
      </c>
      <c r="I300">
        <v>11</v>
      </c>
      <c r="J300">
        <v>561</v>
      </c>
      <c r="K300" t="b">
        <f>TrafficData[[#This Row],[disposedChallan]]+TrafficData[[#This Row],[pendingChallan]]=TrafficData[[#This Row],[totalChallan]]</f>
        <v>1</v>
      </c>
      <c r="L300" t="b">
        <f>TrafficData[[#This Row],[pendingAmount]]+TrafficData[[#This Row],[disposedAmount]]=TrafficData[[#This Row],[totalAmount]]</f>
        <v>1</v>
      </c>
      <c r="M300" t="b">
        <f>TrafficData[[#This Row],[pendingCourt]]+TrafficData[[#This Row],[disposedCourt]]=TrafficData[[#This Row],[totalCourt]]</f>
        <v>1</v>
      </c>
      <c r="N300" s="8" t="b">
        <f>AND(TrafficData[[#This Row],[disposedChallan]]&lt;=TrafficData[[#This Row],[totalChallan]],TrafficData[[#This Row],[pendingChallan]]&lt;=TrafficData[[#This Row],[totalChallan]])</f>
        <v>1</v>
      </c>
      <c r="O300" s="8" t="b">
        <f>AND(TrafficData[[#This Row],[pendingAmount]]&lt;=TrafficData[[#This Row],[totalAmount]],TrafficData[[#This Row],[disposedAmount]]&lt;=TrafficData[[#This Row],[totalAmount]])</f>
        <v>1</v>
      </c>
      <c r="P300" s="8" t="b">
        <f>AND(TrafficData[[#This Row],[pendingCourt]]&lt;=TrafficData[[#This Row],[totalCourt]],TrafficData[[#This Row],[disposedCourt]]&lt;=TrafficData[[#This Row],[totalCourt]])</f>
        <v>1</v>
      </c>
    </row>
    <row r="301" spans="1:16">
      <c r="A301" s="1">
        <v>42304</v>
      </c>
      <c r="B301">
        <v>805</v>
      </c>
      <c r="C301">
        <v>44</v>
      </c>
      <c r="D301">
        <v>761</v>
      </c>
      <c r="E301">
        <v>1358350</v>
      </c>
      <c r="F301">
        <v>247700</v>
      </c>
      <c r="G301">
        <v>1606050</v>
      </c>
      <c r="H301">
        <v>613</v>
      </c>
      <c r="I301">
        <v>6</v>
      </c>
      <c r="J301">
        <v>619</v>
      </c>
      <c r="K301" t="b">
        <f>TrafficData[[#This Row],[disposedChallan]]+TrafficData[[#This Row],[pendingChallan]]=TrafficData[[#This Row],[totalChallan]]</f>
        <v>1</v>
      </c>
      <c r="L301" t="b">
        <f>TrafficData[[#This Row],[pendingAmount]]+TrafficData[[#This Row],[disposedAmount]]=TrafficData[[#This Row],[totalAmount]]</f>
        <v>1</v>
      </c>
      <c r="M301" t="b">
        <f>TrafficData[[#This Row],[pendingCourt]]+TrafficData[[#This Row],[disposedCourt]]=TrafficData[[#This Row],[totalCourt]]</f>
        <v>1</v>
      </c>
      <c r="N301" s="8" t="b">
        <f>AND(TrafficData[[#This Row],[disposedChallan]]&lt;=TrafficData[[#This Row],[totalChallan]],TrafficData[[#This Row],[pendingChallan]]&lt;=TrafficData[[#This Row],[totalChallan]])</f>
        <v>1</v>
      </c>
      <c r="O301" s="8" t="b">
        <f>AND(TrafficData[[#This Row],[pendingAmount]]&lt;=TrafficData[[#This Row],[totalAmount]],TrafficData[[#This Row],[disposedAmount]]&lt;=TrafficData[[#This Row],[totalAmount]])</f>
        <v>1</v>
      </c>
      <c r="P301" s="8" t="b">
        <f>AND(TrafficData[[#This Row],[pendingCourt]]&lt;=TrafficData[[#This Row],[totalCourt]],TrafficData[[#This Row],[disposedCourt]]&lt;=TrafficData[[#This Row],[totalCourt]])</f>
        <v>1</v>
      </c>
    </row>
    <row r="302" spans="1:16">
      <c r="A302" s="1">
        <v>42305</v>
      </c>
      <c r="B302">
        <v>795</v>
      </c>
      <c r="C302">
        <v>94</v>
      </c>
      <c r="D302">
        <v>701</v>
      </c>
      <c r="E302">
        <v>1436210</v>
      </c>
      <c r="F302">
        <v>313750</v>
      </c>
      <c r="G302">
        <v>1749960</v>
      </c>
      <c r="H302">
        <v>557</v>
      </c>
      <c r="I302">
        <v>22</v>
      </c>
      <c r="J302">
        <v>579</v>
      </c>
      <c r="K302" t="b">
        <f>TrafficData[[#This Row],[disposedChallan]]+TrafficData[[#This Row],[pendingChallan]]=TrafficData[[#This Row],[totalChallan]]</f>
        <v>1</v>
      </c>
      <c r="L302" t="b">
        <f>TrafficData[[#This Row],[pendingAmount]]+TrafficData[[#This Row],[disposedAmount]]=TrafficData[[#This Row],[totalAmount]]</f>
        <v>1</v>
      </c>
      <c r="M302" t="b">
        <f>TrafficData[[#This Row],[pendingCourt]]+TrafficData[[#This Row],[disposedCourt]]=TrafficData[[#This Row],[totalCourt]]</f>
        <v>1</v>
      </c>
      <c r="N302" s="8" t="b">
        <f>AND(TrafficData[[#This Row],[disposedChallan]]&lt;=TrafficData[[#This Row],[totalChallan]],TrafficData[[#This Row],[pendingChallan]]&lt;=TrafficData[[#This Row],[totalChallan]])</f>
        <v>1</v>
      </c>
      <c r="O302" s="8" t="b">
        <f>AND(TrafficData[[#This Row],[pendingAmount]]&lt;=TrafficData[[#This Row],[totalAmount]],TrafficData[[#This Row],[disposedAmount]]&lt;=TrafficData[[#This Row],[totalAmount]])</f>
        <v>1</v>
      </c>
      <c r="P302" s="8" t="b">
        <f>AND(TrafficData[[#This Row],[pendingCourt]]&lt;=TrafficData[[#This Row],[totalCourt]],TrafficData[[#This Row],[disposedCourt]]&lt;=TrafficData[[#This Row],[totalCourt]])</f>
        <v>1</v>
      </c>
    </row>
    <row r="303" spans="1:16">
      <c r="A303" s="1">
        <v>42306</v>
      </c>
      <c r="B303">
        <v>717</v>
      </c>
      <c r="C303">
        <v>55</v>
      </c>
      <c r="D303">
        <v>662</v>
      </c>
      <c r="E303">
        <v>1955830</v>
      </c>
      <c r="F303">
        <v>229050</v>
      </c>
      <c r="G303">
        <v>2184880</v>
      </c>
      <c r="H303">
        <v>502</v>
      </c>
      <c r="I303">
        <v>5</v>
      </c>
      <c r="J303">
        <v>507</v>
      </c>
      <c r="K303" t="b">
        <f>TrafficData[[#This Row],[disposedChallan]]+TrafficData[[#This Row],[pendingChallan]]=TrafficData[[#This Row],[totalChallan]]</f>
        <v>1</v>
      </c>
      <c r="L303" t="b">
        <f>TrafficData[[#This Row],[pendingAmount]]+TrafficData[[#This Row],[disposedAmount]]=TrafficData[[#This Row],[totalAmount]]</f>
        <v>1</v>
      </c>
      <c r="M303" t="b">
        <f>TrafficData[[#This Row],[pendingCourt]]+TrafficData[[#This Row],[disposedCourt]]=TrafficData[[#This Row],[totalCourt]]</f>
        <v>1</v>
      </c>
      <c r="N303" s="8" t="b">
        <f>AND(TrafficData[[#This Row],[disposedChallan]]&lt;=TrafficData[[#This Row],[totalChallan]],TrafficData[[#This Row],[pendingChallan]]&lt;=TrafficData[[#This Row],[totalChallan]])</f>
        <v>1</v>
      </c>
      <c r="O303" s="8" t="b">
        <f>AND(TrafficData[[#This Row],[pendingAmount]]&lt;=TrafficData[[#This Row],[totalAmount]],TrafficData[[#This Row],[disposedAmount]]&lt;=TrafficData[[#This Row],[totalAmount]])</f>
        <v>1</v>
      </c>
      <c r="P303" s="8" t="b">
        <f>AND(TrafficData[[#This Row],[pendingCourt]]&lt;=TrafficData[[#This Row],[totalCourt]],TrafficData[[#This Row],[disposedCourt]]&lt;=TrafficData[[#This Row],[totalCourt]])</f>
        <v>1</v>
      </c>
    </row>
    <row r="304" spans="1:16">
      <c r="A304" s="1">
        <v>42307</v>
      </c>
      <c r="B304">
        <v>935</v>
      </c>
      <c r="C304">
        <v>42</v>
      </c>
      <c r="D304">
        <v>893</v>
      </c>
      <c r="E304">
        <v>1565850</v>
      </c>
      <c r="F304">
        <v>89050</v>
      </c>
      <c r="G304">
        <v>1654900</v>
      </c>
      <c r="H304">
        <v>755</v>
      </c>
      <c r="I304">
        <v>1</v>
      </c>
      <c r="J304">
        <v>756</v>
      </c>
      <c r="K304" t="b">
        <f>TrafficData[[#This Row],[disposedChallan]]+TrafficData[[#This Row],[pendingChallan]]=TrafficData[[#This Row],[totalChallan]]</f>
        <v>1</v>
      </c>
      <c r="L304" t="b">
        <f>TrafficData[[#This Row],[pendingAmount]]+TrafficData[[#This Row],[disposedAmount]]=TrafficData[[#This Row],[totalAmount]]</f>
        <v>1</v>
      </c>
      <c r="M304" t="b">
        <f>TrafficData[[#This Row],[pendingCourt]]+TrafficData[[#This Row],[disposedCourt]]=TrafficData[[#This Row],[totalCourt]]</f>
        <v>1</v>
      </c>
      <c r="N304" s="8" t="b">
        <f>AND(TrafficData[[#This Row],[disposedChallan]]&lt;=TrafficData[[#This Row],[totalChallan]],TrafficData[[#This Row],[pendingChallan]]&lt;=TrafficData[[#This Row],[totalChallan]])</f>
        <v>1</v>
      </c>
      <c r="O304" s="8" t="b">
        <f>AND(TrafficData[[#This Row],[pendingAmount]]&lt;=TrafficData[[#This Row],[totalAmount]],TrafficData[[#This Row],[disposedAmount]]&lt;=TrafficData[[#This Row],[totalAmount]])</f>
        <v>1</v>
      </c>
      <c r="P304" s="8" t="b">
        <f>AND(TrafficData[[#This Row],[pendingCourt]]&lt;=TrafficData[[#This Row],[totalCourt]],TrafficData[[#This Row],[disposedCourt]]&lt;=TrafficData[[#This Row],[totalCourt]])</f>
        <v>1</v>
      </c>
    </row>
    <row r="305" spans="1:16">
      <c r="A305" s="1">
        <v>42308</v>
      </c>
      <c r="B305">
        <v>991</v>
      </c>
      <c r="C305">
        <v>89</v>
      </c>
      <c r="D305">
        <v>902</v>
      </c>
      <c r="E305">
        <v>884591</v>
      </c>
      <c r="F305">
        <v>127130</v>
      </c>
      <c r="G305">
        <v>1011721</v>
      </c>
      <c r="H305">
        <v>811</v>
      </c>
      <c r="I305">
        <v>45</v>
      </c>
      <c r="J305">
        <v>856</v>
      </c>
      <c r="K305" t="b">
        <f>TrafficData[[#This Row],[disposedChallan]]+TrafficData[[#This Row],[pendingChallan]]=TrafficData[[#This Row],[totalChallan]]</f>
        <v>1</v>
      </c>
      <c r="L305" t="b">
        <f>TrafficData[[#This Row],[pendingAmount]]+TrafficData[[#This Row],[disposedAmount]]=TrafficData[[#This Row],[totalAmount]]</f>
        <v>1</v>
      </c>
      <c r="M305" t="b">
        <f>TrafficData[[#This Row],[pendingCourt]]+TrafficData[[#This Row],[disposedCourt]]=TrafficData[[#This Row],[totalCourt]]</f>
        <v>1</v>
      </c>
      <c r="N305" s="8" t="b">
        <f>AND(TrafficData[[#This Row],[disposedChallan]]&lt;=TrafficData[[#This Row],[totalChallan]],TrafficData[[#This Row],[pendingChallan]]&lt;=TrafficData[[#This Row],[totalChallan]])</f>
        <v>1</v>
      </c>
      <c r="O305" s="8" t="b">
        <f>AND(TrafficData[[#This Row],[pendingAmount]]&lt;=TrafficData[[#This Row],[totalAmount]],TrafficData[[#This Row],[disposedAmount]]&lt;=TrafficData[[#This Row],[totalAmount]])</f>
        <v>1</v>
      </c>
      <c r="P305" s="8" t="b">
        <f>AND(TrafficData[[#This Row],[pendingCourt]]&lt;=TrafficData[[#This Row],[totalCourt]],TrafficData[[#This Row],[disposedCourt]]&lt;=TrafficData[[#This Row],[totalCourt]])</f>
        <v>1</v>
      </c>
    </row>
    <row r="306" spans="1:16">
      <c r="A306" s="1">
        <v>42309</v>
      </c>
      <c r="B306">
        <v>635</v>
      </c>
      <c r="C306">
        <v>65</v>
      </c>
      <c r="D306">
        <v>570</v>
      </c>
      <c r="E306">
        <v>338300</v>
      </c>
      <c r="F306">
        <v>73500</v>
      </c>
      <c r="G306">
        <v>411800</v>
      </c>
      <c r="H306">
        <v>504</v>
      </c>
      <c r="I306">
        <v>13</v>
      </c>
      <c r="J306">
        <v>517</v>
      </c>
      <c r="K306" t="b">
        <f>TrafficData[[#This Row],[disposedChallan]]+TrafficData[[#This Row],[pendingChallan]]=TrafficData[[#This Row],[totalChallan]]</f>
        <v>1</v>
      </c>
      <c r="L306" t="b">
        <f>TrafficData[[#This Row],[pendingAmount]]+TrafficData[[#This Row],[disposedAmount]]=TrafficData[[#This Row],[totalAmount]]</f>
        <v>1</v>
      </c>
      <c r="M306" t="b">
        <f>TrafficData[[#This Row],[pendingCourt]]+TrafficData[[#This Row],[disposedCourt]]=TrafficData[[#This Row],[totalCourt]]</f>
        <v>1</v>
      </c>
      <c r="N306" s="8" t="b">
        <f>AND(TrafficData[[#This Row],[disposedChallan]]&lt;=TrafficData[[#This Row],[totalChallan]],TrafficData[[#This Row],[pendingChallan]]&lt;=TrafficData[[#This Row],[totalChallan]])</f>
        <v>1</v>
      </c>
      <c r="O306" s="8" t="b">
        <f>AND(TrafficData[[#This Row],[pendingAmount]]&lt;=TrafficData[[#This Row],[totalAmount]],TrafficData[[#This Row],[disposedAmount]]&lt;=TrafficData[[#This Row],[totalAmount]])</f>
        <v>1</v>
      </c>
      <c r="P306" s="8" t="b">
        <f>AND(TrafficData[[#This Row],[pendingCourt]]&lt;=TrafficData[[#This Row],[totalCourt]],TrafficData[[#This Row],[disposedCourt]]&lt;=TrafficData[[#This Row],[totalCourt]])</f>
        <v>1</v>
      </c>
    </row>
    <row r="307" spans="1:16">
      <c r="A307" s="1">
        <v>42310</v>
      </c>
      <c r="B307">
        <v>840</v>
      </c>
      <c r="C307">
        <v>85</v>
      </c>
      <c r="D307">
        <v>755</v>
      </c>
      <c r="E307">
        <v>600025</v>
      </c>
      <c r="F307">
        <v>202850</v>
      </c>
      <c r="G307">
        <v>802875</v>
      </c>
      <c r="H307">
        <v>698</v>
      </c>
      <c r="I307">
        <v>42</v>
      </c>
      <c r="J307">
        <v>740</v>
      </c>
      <c r="K307" t="b">
        <f>TrafficData[[#This Row],[disposedChallan]]+TrafficData[[#This Row],[pendingChallan]]=TrafficData[[#This Row],[totalChallan]]</f>
        <v>1</v>
      </c>
      <c r="L307" t="b">
        <f>TrafficData[[#This Row],[pendingAmount]]+TrafficData[[#This Row],[disposedAmount]]=TrafficData[[#This Row],[totalAmount]]</f>
        <v>1</v>
      </c>
      <c r="M307" t="b">
        <f>TrafficData[[#This Row],[pendingCourt]]+TrafficData[[#This Row],[disposedCourt]]=TrafficData[[#This Row],[totalCourt]]</f>
        <v>1</v>
      </c>
      <c r="N307" s="8" t="b">
        <f>AND(TrafficData[[#This Row],[disposedChallan]]&lt;=TrafficData[[#This Row],[totalChallan]],TrafficData[[#This Row],[pendingChallan]]&lt;=TrafficData[[#This Row],[totalChallan]])</f>
        <v>1</v>
      </c>
      <c r="O307" s="8" t="b">
        <f>AND(TrafficData[[#This Row],[pendingAmount]]&lt;=TrafficData[[#This Row],[totalAmount]],TrafficData[[#This Row],[disposedAmount]]&lt;=TrafficData[[#This Row],[totalAmount]])</f>
        <v>1</v>
      </c>
      <c r="P307" s="8" t="b">
        <f>AND(TrafficData[[#This Row],[pendingCourt]]&lt;=TrafficData[[#This Row],[totalCourt]],TrafficData[[#This Row],[disposedCourt]]&lt;=TrafficData[[#This Row],[totalCourt]])</f>
        <v>1</v>
      </c>
    </row>
    <row r="308" spans="1:16">
      <c r="A308" s="1">
        <v>42311</v>
      </c>
      <c r="B308">
        <v>1205</v>
      </c>
      <c r="C308">
        <v>133</v>
      </c>
      <c r="D308">
        <v>1072</v>
      </c>
      <c r="E308">
        <v>696448</v>
      </c>
      <c r="F308">
        <v>182950</v>
      </c>
      <c r="G308">
        <v>879398</v>
      </c>
      <c r="H308">
        <v>986</v>
      </c>
      <c r="I308">
        <v>27</v>
      </c>
      <c r="J308">
        <v>1013</v>
      </c>
      <c r="K308" t="b">
        <f>TrafficData[[#This Row],[disposedChallan]]+TrafficData[[#This Row],[pendingChallan]]=TrafficData[[#This Row],[totalChallan]]</f>
        <v>1</v>
      </c>
      <c r="L308" t="b">
        <f>TrafficData[[#This Row],[pendingAmount]]+TrafficData[[#This Row],[disposedAmount]]=TrafficData[[#This Row],[totalAmount]]</f>
        <v>1</v>
      </c>
      <c r="M308" t="b">
        <f>TrafficData[[#This Row],[pendingCourt]]+TrafficData[[#This Row],[disposedCourt]]=TrafficData[[#This Row],[totalCourt]]</f>
        <v>1</v>
      </c>
      <c r="N308" s="8" t="b">
        <f>AND(TrafficData[[#This Row],[disposedChallan]]&lt;=TrafficData[[#This Row],[totalChallan]],TrafficData[[#This Row],[pendingChallan]]&lt;=TrafficData[[#This Row],[totalChallan]])</f>
        <v>1</v>
      </c>
      <c r="O308" s="8" t="b">
        <f>AND(TrafficData[[#This Row],[pendingAmount]]&lt;=TrafficData[[#This Row],[totalAmount]],TrafficData[[#This Row],[disposedAmount]]&lt;=TrafficData[[#This Row],[totalAmount]])</f>
        <v>1</v>
      </c>
      <c r="P308" s="8" t="b">
        <f>AND(TrafficData[[#This Row],[pendingCourt]]&lt;=TrafficData[[#This Row],[totalCourt]],TrafficData[[#This Row],[disposedCourt]]&lt;=TrafficData[[#This Row],[totalCourt]])</f>
        <v>1</v>
      </c>
    </row>
    <row r="309" spans="1:16">
      <c r="A309" s="1">
        <v>42312</v>
      </c>
      <c r="B309">
        <v>1201</v>
      </c>
      <c r="C309">
        <v>125</v>
      </c>
      <c r="D309">
        <v>1076</v>
      </c>
      <c r="E309">
        <v>854875</v>
      </c>
      <c r="F309">
        <v>245040</v>
      </c>
      <c r="G309">
        <v>1099915</v>
      </c>
      <c r="H309">
        <v>1000</v>
      </c>
      <c r="I309">
        <v>28</v>
      </c>
      <c r="J309">
        <v>1028</v>
      </c>
      <c r="K309" t="b">
        <f>TrafficData[[#This Row],[disposedChallan]]+TrafficData[[#This Row],[pendingChallan]]=TrafficData[[#This Row],[totalChallan]]</f>
        <v>1</v>
      </c>
      <c r="L309" t="b">
        <f>TrafficData[[#This Row],[pendingAmount]]+TrafficData[[#This Row],[disposedAmount]]=TrafficData[[#This Row],[totalAmount]]</f>
        <v>1</v>
      </c>
      <c r="M309" t="b">
        <f>TrafficData[[#This Row],[pendingCourt]]+TrafficData[[#This Row],[disposedCourt]]=TrafficData[[#This Row],[totalCourt]]</f>
        <v>1</v>
      </c>
      <c r="N309" s="8" t="b">
        <f>AND(TrafficData[[#This Row],[disposedChallan]]&lt;=TrafficData[[#This Row],[totalChallan]],TrafficData[[#This Row],[pendingChallan]]&lt;=TrafficData[[#This Row],[totalChallan]])</f>
        <v>1</v>
      </c>
      <c r="O309" s="8" t="b">
        <f>AND(TrafficData[[#This Row],[pendingAmount]]&lt;=TrafficData[[#This Row],[totalAmount]],TrafficData[[#This Row],[disposedAmount]]&lt;=TrafficData[[#This Row],[totalAmount]])</f>
        <v>1</v>
      </c>
      <c r="P309" s="8" t="b">
        <f>AND(TrafficData[[#This Row],[pendingCourt]]&lt;=TrafficData[[#This Row],[totalCourt]],TrafficData[[#This Row],[disposedCourt]]&lt;=TrafficData[[#This Row],[totalCourt]])</f>
        <v>1</v>
      </c>
    </row>
    <row r="310" spans="1:16">
      <c r="A310" s="1">
        <v>42313</v>
      </c>
      <c r="B310">
        <v>1151</v>
      </c>
      <c r="C310">
        <v>141</v>
      </c>
      <c r="D310">
        <v>1010</v>
      </c>
      <c r="E310">
        <v>923550</v>
      </c>
      <c r="F310">
        <v>171550</v>
      </c>
      <c r="G310">
        <v>1095100</v>
      </c>
      <c r="H310">
        <v>903</v>
      </c>
      <c r="I310">
        <v>35</v>
      </c>
      <c r="J310">
        <v>938</v>
      </c>
      <c r="K310" t="b">
        <f>TrafficData[[#This Row],[disposedChallan]]+TrafficData[[#This Row],[pendingChallan]]=TrafficData[[#This Row],[totalChallan]]</f>
        <v>1</v>
      </c>
      <c r="L310" t="b">
        <f>TrafficData[[#This Row],[pendingAmount]]+TrafficData[[#This Row],[disposedAmount]]=TrafficData[[#This Row],[totalAmount]]</f>
        <v>1</v>
      </c>
      <c r="M310" t="b">
        <f>TrafficData[[#This Row],[pendingCourt]]+TrafficData[[#This Row],[disposedCourt]]=TrafficData[[#This Row],[totalCourt]]</f>
        <v>1</v>
      </c>
      <c r="N310" s="8" t="b">
        <f>AND(TrafficData[[#This Row],[disposedChallan]]&lt;=TrafficData[[#This Row],[totalChallan]],TrafficData[[#This Row],[pendingChallan]]&lt;=TrafficData[[#This Row],[totalChallan]])</f>
        <v>1</v>
      </c>
      <c r="O310" s="8" t="b">
        <f>AND(TrafficData[[#This Row],[pendingAmount]]&lt;=TrafficData[[#This Row],[totalAmount]],TrafficData[[#This Row],[disposedAmount]]&lt;=TrafficData[[#This Row],[totalAmount]])</f>
        <v>1</v>
      </c>
      <c r="P310" s="8" t="b">
        <f>AND(TrafficData[[#This Row],[pendingCourt]]&lt;=TrafficData[[#This Row],[totalCourt]],TrafficData[[#This Row],[disposedCourt]]&lt;=TrafficData[[#This Row],[totalCourt]])</f>
        <v>1</v>
      </c>
    </row>
    <row r="311" spans="1:16">
      <c r="A311" s="1">
        <v>42314</v>
      </c>
      <c r="B311">
        <v>1220</v>
      </c>
      <c r="C311">
        <v>143</v>
      </c>
      <c r="D311">
        <v>1077</v>
      </c>
      <c r="E311">
        <v>572600</v>
      </c>
      <c r="F311">
        <v>196490</v>
      </c>
      <c r="G311">
        <v>769090</v>
      </c>
      <c r="H311">
        <v>996</v>
      </c>
      <c r="I311">
        <v>25</v>
      </c>
      <c r="J311">
        <v>1021</v>
      </c>
      <c r="K311" t="b">
        <f>TrafficData[[#This Row],[disposedChallan]]+TrafficData[[#This Row],[pendingChallan]]=TrafficData[[#This Row],[totalChallan]]</f>
        <v>1</v>
      </c>
      <c r="L311" t="b">
        <f>TrafficData[[#This Row],[pendingAmount]]+TrafficData[[#This Row],[disposedAmount]]=TrafficData[[#This Row],[totalAmount]]</f>
        <v>1</v>
      </c>
      <c r="M311" t="b">
        <f>TrafficData[[#This Row],[pendingCourt]]+TrafficData[[#This Row],[disposedCourt]]=TrafficData[[#This Row],[totalCourt]]</f>
        <v>1</v>
      </c>
      <c r="N311" s="8" t="b">
        <f>AND(TrafficData[[#This Row],[disposedChallan]]&lt;=TrafficData[[#This Row],[totalChallan]],TrafficData[[#This Row],[pendingChallan]]&lt;=TrafficData[[#This Row],[totalChallan]])</f>
        <v>1</v>
      </c>
      <c r="O311" s="8" t="b">
        <f>AND(TrafficData[[#This Row],[pendingAmount]]&lt;=TrafficData[[#This Row],[totalAmount]],TrafficData[[#This Row],[disposedAmount]]&lt;=TrafficData[[#This Row],[totalAmount]])</f>
        <v>1</v>
      </c>
      <c r="P311" s="8" t="b">
        <f>AND(TrafficData[[#This Row],[pendingCourt]]&lt;=TrafficData[[#This Row],[totalCourt]],TrafficData[[#This Row],[disposedCourt]]&lt;=TrafficData[[#This Row],[totalCourt]])</f>
        <v>1</v>
      </c>
    </row>
    <row r="312" spans="1:16">
      <c r="A312" s="1">
        <v>42315</v>
      </c>
      <c r="B312">
        <v>1181</v>
      </c>
      <c r="C312">
        <v>127</v>
      </c>
      <c r="D312">
        <v>1054</v>
      </c>
      <c r="E312">
        <v>762175</v>
      </c>
      <c r="F312">
        <v>82781</v>
      </c>
      <c r="G312">
        <v>844956</v>
      </c>
      <c r="H312">
        <v>973</v>
      </c>
      <c r="I312">
        <v>28</v>
      </c>
      <c r="J312">
        <v>1001</v>
      </c>
      <c r="K312" t="b">
        <f>TrafficData[[#This Row],[disposedChallan]]+TrafficData[[#This Row],[pendingChallan]]=TrafficData[[#This Row],[totalChallan]]</f>
        <v>1</v>
      </c>
      <c r="L312" t="b">
        <f>TrafficData[[#This Row],[pendingAmount]]+TrafficData[[#This Row],[disposedAmount]]=TrafficData[[#This Row],[totalAmount]]</f>
        <v>1</v>
      </c>
      <c r="M312" t="b">
        <f>TrafficData[[#This Row],[pendingCourt]]+TrafficData[[#This Row],[disposedCourt]]=TrafficData[[#This Row],[totalCourt]]</f>
        <v>1</v>
      </c>
      <c r="N312" s="8" t="b">
        <f>AND(TrafficData[[#This Row],[disposedChallan]]&lt;=TrafficData[[#This Row],[totalChallan]],TrafficData[[#This Row],[pendingChallan]]&lt;=TrafficData[[#This Row],[totalChallan]])</f>
        <v>1</v>
      </c>
      <c r="O312" s="8" t="b">
        <f>AND(TrafficData[[#This Row],[pendingAmount]]&lt;=TrafficData[[#This Row],[totalAmount]],TrafficData[[#This Row],[disposedAmount]]&lt;=TrafficData[[#This Row],[totalAmount]])</f>
        <v>1</v>
      </c>
      <c r="P312" s="8" t="b">
        <f>AND(TrafficData[[#This Row],[pendingCourt]]&lt;=TrafficData[[#This Row],[totalCourt]],TrafficData[[#This Row],[disposedCourt]]&lt;=TrafficData[[#This Row],[totalCourt]])</f>
        <v>1</v>
      </c>
    </row>
    <row r="313" spans="1:16">
      <c r="A313" s="1">
        <v>42316</v>
      </c>
      <c r="B313">
        <v>974</v>
      </c>
      <c r="C313">
        <v>114</v>
      </c>
      <c r="D313">
        <v>860</v>
      </c>
      <c r="E313">
        <v>497050</v>
      </c>
      <c r="F313">
        <v>122930</v>
      </c>
      <c r="G313">
        <v>619980</v>
      </c>
      <c r="H313">
        <v>794</v>
      </c>
      <c r="I313">
        <v>52</v>
      </c>
      <c r="J313">
        <v>846</v>
      </c>
      <c r="K313" t="b">
        <f>TrafficData[[#This Row],[disposedChallan]]+TrafficData[[#This Row],[pendingChallan]]=TrafficData[[#This Row],[totalChallan]]</f>
        <v>1</v>
      </c>
      <c r="L313" t="b">
        <f>TrafficData[[#This Row],[pendingAmount]]+TrafficData[[#This Row],[disposedAmount]]=TrafficData[[#This Row],[totalAmount]]</f>
        <v>1</v>
      </c>
      <c r="M313" t="b">
        <f>TrafficData[[#This Row],[pendingCourt]]+TrafficData[[#This Row],[disposedCourt]]=TrafficData[[#This Row],[totalCourt]]</f>
        <v>1</v>
      </c>
      <c r="N313" s="8" t="b">
        <f>AND(TrafficData[[#This Row],[disposedChallan]]&lt;=TrafficData[[#This Row],[totalChallan]],TrafficData[[#This Row],[pendingChallan]]&lt;=TrafficData[[#This Row],[totalChallan]])</f>
        <v>1</v>
      </c>
      <c r="O313" s="8" t="b">
        <f>AND(TrafficData[[#This Row],[pendingAmount]]&lt;=TrafficData[[#This Row],[totalAmount]],TrafficData[[#This Row],[disposedAmount]]&lt;=TrafficData[[#This Row],[totalAmount]])</f>
        <v>1</v>
      </c>
      <c r="P313" s="8" t="b">
        <f>AND(TrafficData[[#This Row],[pendingCourt]]&lt;=TrafficData[[#This Row],[totalCourt]],TrafficData[[#This Row],[disposedCourt]]&lt;=TrafficData[[#This Row],[totalCourt]])</f>
        <v>1</v>
      </c>
    </row>
    <row r="314" spans="1:16">
      <c r="A314" s="1">
        <v>42317</v>
      </c>
      <c r="B314">
        <v>1229</v>
      </c>
      <c r="C314">
        <v>137</v>
      </c>
      <c r="D314">
        <v>1092</v>
      </c>
      <c r="E314">
        <v>1024400</v>
      </c>
      <c r="F314">
        <v>113860</v>
      </c>
      <c r="G314">
        <v>1138260</v>
      </c>
      <c r="H314">
        <v>1004</v>
      </c>
      <c r="I314">
        <v>31</v>
      </c>
      <c r="J314">
        <v>1035</v>
      </c>
      <c r="K314" t="b">
        <f>TrafficData[[#This Row],[disposedChallan]]+TrafficData[[#This Row],[pendingChallan]]=TrafficData[[#This Row],[totalChallan]]</f>
        <v>1</v>
      </c>
      <c r="L314" t="b">
        <f>TrafficData[[#This Row],[pendingAmount]]+TrafficData[[#This Row],[disposedAmount]]=TrafficData[[#This Row],[totalAmount]]</f>
        <v>1</v>
      </c>
      <c r="M314" t="b">
        <f>TrafficData[[#This Row],[pendingCourt]]+TrafficData[[#This Row],[disposedCourt]]=TrafficData[[#This Row],[totalCourt]]</f>
        <v>1</v>
      </c>
      <c r="N314" s="8" t="b">
        <f>AND(TrafficData[[#This Row],[disposedChallan]]&lt;=TrafficData[[#This Row],[totalChallan]],TrafficData[[#This Row],[pendingChallan]]&lt;=TrafficData[[#This Row],[totalChallan]])</f>
        <v>1</v>
      </c>
      <c r="O314" s="8" t="b">
        <f>AND(TrafficData[[#This Row],[pendingAmount]]&lt;=TrafficData[[#This Row],[totalAmount]],TrafficData[[#This Row],[disposedAmount]]&lt;=TrafficData[[#This Row],[totalAmount]])</f>
        <v>1</v>
      </c>
      <c r="P314" s="8" t="b">
        <f>AND(TrafficData[[#This Row],[pendingCourt]]&lt;=TrafficData[[#This Row],[totalCourt]],TrafficData[[#This Row],[disposedCourt]]&lt;=TrafficData[[#This Row],[totalCourt]])</f>
        <v>1</v>
      </c>
    </row>
    <row r="315" spans="1:16">
      <c r="A315" s="1">
        <v>42318</v>
      </c>
      <c r="B315">
        <v>857</v>
      </c>
      <c r="C315">
        <v>84</v>
      </c>
      <c r="D315">
        <v>773</v>
      </c>
      <c r="E315">
        <v>587800</v>
      </c>
      <c r="F315">
        <v>72800</v>
      </c>
      <c r="G315">
        <v>660600</v>
      </c>
      <c r="H315">
        <v>710</v>
      </c>
      <c r="I315">
        <v>17</v>
      </c>
      <c r="J315">
        <v>727</v>
      </c>
      <c r="K315" t="b">
        <f>TrafficData[[#This Row],[disposedChallan]]+TrafficData[[#This Row],[pendingChallan]]=TrafficData[[#This Row],[totalChallan]]</f>
        <v>1</v>
      </c>
      <c r="L315" t="b">
        <f>TrafficData[[#This Row],[pendingAmount]]+TrafficData[[#This Row],[disposedAmount]]=TrafficData[[#This Row],[totalAmount]]</f>
        <v>1</v>
      </c>
      <c r="M315" t="b">
        <f>TrafficData[[#This Row],[pendingCourt]]+TrafficData[[#This Row],[disposedCourt]]=TrafficData[[#This Row],[totalCourt]]</f>
        <v>1</v>
      </c>
      <c r="N315" s="8" t="b">
        <f>AND(TrafficData[[#This Row],[disposedChallan]]&lt;=TrafficData[[#This Row],[totalChallan]],TrafficData[[#This Row],[pendingChallan]]&lt;=TrafficData[[#This Row],[totalChallan]])</f>
        <v>1</v>
      </c>
      <c r="O315" s="8" t="b">
        <f>AND(TrafficData[[#This Row],[pendingAmount]]&lt;=TrafficData[[#This Row],[totalAmount]],TrafficData[[#This Row],[disposedAmount]]&lt;=TrafficData[[#This Row],[totalAmount]])</f>
        <v>1</v>
      </c>
      <c r="P315" s="8" t="b">
        <f>AND(TrafficData[[#This Row],[pendingCourt]]&lt;=TrafficData[[#This Row],[totalCourt]],TrafficData[[#This Row],[disposedCourt]]&lt;=TrafficData[[#This Row],[totalCourt]])</f>
        <v>1</v>
      </c>
    </row>
    <row r="316" spans="1:16">
      <c r="A316" s="1">
        <v>42319</v>
      </c>
      <c r="B316">
        <v>268</v>
      </c>
      <c r="C316">
        <v>29</v>
      </c>
      <c r="D316">
        <v>239</v>
      </c>
      <c r="E316">
        <v>101825</v>
      </c>
      <c r="F316">
        <v>35950</v>
      </c>
      <c r="G316">
        <v>137775</v>
      </c>
      <c r="H316">
        <v>196</v>
      </c>
      <c r="I316">
        <v>10</v>
      </c>
      <c r="J316">
        <v>206</v>
      </c>
      <c r="K316" t="b">
        <f>TrafficData[[#This Row],[disposedChallan]]+TrafficData[[#This Row],[pendingChallan]]=TrafficData[[#This Row],[totalChallan]]</f>
        <v>1</v>
      </c>
      <c r="L316" t="b">
        <f>TrafficData[[#This Row],[pendingAmount]]+TrafficData[[#This Row],[disposedAmount]]=TrafficData[[#This Row],[totalAmount]]</f>
        <v>1</v>
      </c>
      <c r="M316" t="b">
        <f>TrafficData[[#This Row],[pendingCourt]]+TrafficData[[#This Row],[disposedCourt]]=TrafficData[[#This Row],[totalCourt]]</f>
        <v>1</v>
      </c>
      <c r="N316" s="8" t="b">
        <f>AND(TrafficData[[#This Row],[disposedChallan]]&lt;=TrafficData[[#This Row],[totalChallan]],TrafficData[[#This Row],[pendingChallan]]&lt;=TrafficData[[#This Row],[totalChallan]])</f>
        <v>1</v>
      </c>
      <c r="O316" s="8" t="b">
        <f>AND(TrafficData[[#This Row],[pendingAmount]]&lt;=TrafficData[[#This Row],[totalAmount]],TrafficData[[#This Row],[disposedAmount]]&lt;=TrafficData[[#This Row],[totalAmount]])</f>
        <v>1</v>
      </c>
      <c r="P316" s="8" t="b">
        <f>AND(TrafficData[[#This Row],[pendingCourt]]&lt;=TrafficData[[#This Row],[totalCourt]],TrafficData[[#This Row],[disposedCourt]]&lt;=TrafficData[[#This Row],[totalCourt]])</f>
        <v>1</v>
      </c>
    </row>
    <row r="317" spans="1:16">
      <c r="A317" s="1">
        <v>42320</v>
      </c>
      <c r="B317">
        <v>557</v>
      </c>
      <c r="C317">
        <v>48</v>
      </c>
      <c r="D317">
        <v>509</v>
      </c>
      <c r="E317">
        <v>196900</v>
      </c>
      <c r="F317">
        <v>38750</v>
      </c>
      <c r="G317">
        <v>235650</v>
      </c>
      <c r="H317">
        <v>474</v>
      </c>
      <c r="I317">
        <v>14</v>
      </c>
      <c r="J317">
        <v>488</v>
      </c>
      <c r="K317" t="b">
        <f>TrafficData[[#This Row],[disposedChallan]]+TrafficData[[#This Row],[pendingChallan]]=TrafficData[[#This Row],[totalChallan]]</f>
        <v>1</v>
      </c>
      <c r="L317" t="b">
        <f>TrafficData[[#This Row],[pendingAmount]]+TrafficData[[#This Row],[disposedAmount]]=TrafficData[[#This Row],[totalAmount]]</f>
        <v>1</v>
      </c>
      <c r="M317" t="b">
        <f>TrafficData[[#This Row],[pendingCourt]]+TrafficData[[#This Row],[disposedCourt]]=TrafficData[[#This Row],[totalCourt]]</f>
        <v>1</v>
      </c>
      <c r="N317" s="8" t="b">
        <f>AND(TrafficData[[#This Row],[disposedChallan]]&lt;=TrafficData[[#This Row],[totalChallan]],TrafficData[[#This Row],[pendingChallan]]&lt;=TrafficData[[#This Row],[totalChallan]])</f>
        <v>1</v>
      </c>
      <c r="O317" s="8" t="b">
        <f>AND(TrafficData[[#This Row],[pendingAmount]]&lt;=TrafficData[[#This Row],[totalAmount]],TrafficData[[#This Row],[disposedAmount]]&lt;=TrafficData[[#This Row],[totalAmount]])</f>
        <v>1</v>
      </c>
      <c r="P317" s="8" t="b">
        <f>AND(TrafficData[[#This Row],[pendingCourt]]&lt;=TrafficData[[#This Row],[totalCourt]],TrafficData[[#This Row],[disposedCourt]]&lt;=TrafficData[[#This Row],[totalCourt]])</f>
        <v>1</v>
      </c>
    </row>
    <row r="318" spans="1:16">
      <c r="A318" s="1">
        <v>42321</v>
      </c>
      <c r="B318">
        <v>440</v>
      </c>
      <c r="C318">
        <v>48</v>
      </c>
      <c r="D318">
        <v>392</v>
      </c>
      <c r="E318">
        <v>176150</v>
      </c>
      <c r="F318">
        <v>19000</v>
      </c>
      <c r="G318">
        <v>195150</v>
      </c>
      <c r="H318">
        <v>358</v>
      </c>
      <c r="I318">
        <v>28</v>
      </c>
      <c r="J318">
        <v>386</v>
      </c>
      <c r="K318" t="b">
        <f>TrafficData[[#This Row],[disposedChallan]]+TrafficData[[#This Row],[pendingChallan]]=TrafficData[[#This Row],[totalChallan]]</f>
        <v>1</v>
      </c>
      <c r="L318" t="b">
        <f>TrafficData[[#This Row],[pendingAmount]]+TrafficData[[#This Row],[disposedAmount]]=TrafficData[[#This Row],[totalAmount]]</f>
        <v>1</v>
      </c>
      <c r="M318" t="b">
        <f>TrafficData[[#This Row],[pendingCourt]]+TrafficData[[#This Row],[disposedCourt]]=TrafficData[[#This Row],[totalCourt]]</f>
        <v>1</v>
      </c>
      <c r="N318" s="8" t="b">
        <f>AND(TrafficData[[#This Row],[disposedChallan]]&lt;=TrafficData[[#This Row],[totalChallan]],TrafficData[[#This Row],[pendingChallan]]&lt;=TrafficData[[#This Row],[totalChallan]])</f>
        <v>1</v>
      </c>
      <c r="O318" s="8" t="b">
        <f>AND(TrafficData[[#This Row],[pendingAmount]]&lt;=TrafficData[[#This Row],[totalAmount]],TrafficData[[#This Row],[disposedAmount]]&lt;=TrafficData[[#This Row],[totalAmount]])</f>
        <v>1</v>
      </c>
      <c r="P318" s="8" t="b">
        <f>AND(TrafficData[[#This Row],[pendingCourt]]&lt;=TrafficData[[#This Row],[totalCourt]],TrafficData[[#This Row],[disposedCourt]]&lt;=TrafficData[[#This Row],[totalCourt]])</f>
        <v>1</v>
      </c>
    </row>
    <row r="319" spans="1:16">
      <c r="A319" s="1">
        <v>42322</v>
      </c>
      <c r="B319">
        <v>193</v>
      </c>
      <c r="C319">
        <v>21</v>
      </c>
      <c r="D319">
        <v>172</v>
      </c>
      <c r="E319">
        <v>201948</v>
      </c>
      <c r="F319">
        <v>18870</v>
      </c>
      <c r="G319">
        <v>220818</v>
      </c>
      <c r="H319">
        <v>131</v>
      </c>
      <c r="I319">
        <v>7</v>
      </c>
      <c r="J319">
        <v>138</v>
      </c>
      <c r="K319" t="b">
        <f>TrafficData[[#This Row],[disposedChallan]]+TrafficData[[#This Row],[pendingChallan]]=TrafficData[[#This Row],[totalChallan]]</f>
        <v>1</v>
      </c>
      <c r="L319" t="b">
        <f>TrafficData[[#This Row],[pendingAmount]]+TrafficData[[#This Row],[disposedAmount]]=TrafficData[[#This Row],[totalAmount]]</f>
        <v>1</v>
      </c>
      <c r="M319" t="b">
        <f>TrafficData[[#This Row],[pendingCourt]]+TrafficData[[#This Row],[disposedCourt]]=TrafficData[[#This Row],[totalCourt]]</f>
        <v>1</v>
      </c>
      <c r="N319" s="8" t="b">
        <f>AND(TrafficData[[#This Row],[disposedChallan]]&lt;=TrafficData[[#This Row],[totalChallan]],TrafficData[[#This Row],[pendingChallan]]&lt;=TrafficData[[#This Row],[totalChallan]])</f>
        <v>1</v>
      </c>
      <c r="O319" s="8" t="b">
        <f>AND(TrafficData[[#This Row],[pendingAmount]]&lt;=TrafficData[[#This Row],[totalAmount]],TrafficData[[#This Row],[disposedAmount]]&lt;=TrafficData[[#This Row],[totalAmount]])</f>
        <v>1</v>
      </c>
      <c r="P319" s="8" t="b">
        <f>AND(TrafficData[[#This Row],[pendingCourt]]&lt;=TrafficData[[#This Row],[totalCourt]],TrafficData[[#This Row],[disposedCourt]]&lt;=TrafficData[[#This Row],[totalCourt]])</f>
        <v>1</v>
      </c>
    </row>
    <row r="320" spans="1:16">
      <c r="A320" s="1">
        <v>42323</v>
      </c>
      <c r="B320">
        <v>497</v>
      </c>
      <c r="C320">
        <v>57</v>
      </c>
      <c r="D320">
        <v>440</v>
      </c>
      <c r="E320">
        <v>381525</v>
      </c>
      <c r="F320">
        <v>94600</v>
      </c>
      <c r="G320">
        <v>476125</v>
      </c>
      <c r="H320">
        <v>373</v>
      </c>
      <c r="I320">
        <v>25</v>
      </c>
      <c r="J320">
        <v>398</v>
      </c>
      <c r="K320" t="b">
        <f>TrafficData[[#This Row],[disposedChallan]]+TrafficData[[#This Row],[pendingChallan]]=TrafficData[[#This Row],[totalChallan]]</f>
        <v>1</v>
      </c>
      <c r="L320" t="b">
        <f>TrafficData[[#This Row],[pendingAmount]]+TrafficData[[#This Row],[disposedAmount]]=TrafficData[[#This Row],[totalAmount]]</f>
        <v>1</v>
      </c>
      <c r="M320" t="b">
        <f>TrafficData[[#This Row],[pendingCourt]]+TrafficData[[#This Row],[disposedCourt]]=TrafficData[[#This Row],[totalCourt]]</f>
        <v>1</v>
      </c>
      <c r="N320" s="8" t="b">
        <f>AND(TrafficData[[#This Row],[disposedChallan]]&lt;=TrafficData[[#This Row],[totalChallan]],TrafficData[[#This Row],[pendingChallan]]&lt;=TrafficData[[#This Row],[totalChallan]])</f>
        <v>1</v>
      </c>
      <c r="O320" s="8" t="b">
        <f>AND(TrafficData[[#This Row],[pendingAmount]]&lt;=TrafficData[[#This Row],[totalAmount]],TrafficData[[#This Row],[disposedAmount]]&lt;=TrafficData[[#This Row],[totalAmount]])</f>
        <v>1</v>
      </c>
      <c r="P320" s="8" t="b">
        <f>AND(TrafficData[[#This Row],[pendingCourt]]&lt;=TrafficData[[#This Row],[totalCourt]],TrafficData[[#This Row],[disposedCourt]]&lt;=TrafficData[[#This Row],[totalCourt]])</f>
        <v>1</v>
      </c>
    </row>
    <row r="321" spans="1:16">
      <c r="A321" s="1">
        <v>42324</v>
      </c>
      <c r="B321">
        <v>812</v>
      </c>
      <c r="C321">
        <v>69</v>
      </c>
      <c r="D321">
        <v>743</v>
      </c>
      <c r="E321">
        <v>565449</v>
      </c>
      <c r="F321">
        <v>50370</v>
      </c>
      <c r="G321">
        <v>615819</v>
      </c>
      <c r="H321">
        <v>686</v>
      </c>
      <c r="I321">
        <v>17</v>
      </c>
      <c r="J321">
        <v>703</v>
      </c>
      <c r="K321" t="b">
        <f>TrafficData[[#This Row],[disposedChallan]]+TrafficData[[#This Row],[pendingChallan]]=TrafficData[[#This Row],[totalChallan]]</f>
        <v>1</v>
      </c>
      <c r="L321" t="b">
        <f>TrafficData[[#This Row],[pendingAmount]]+TrafficData[[#This Row],[disposedAmount]]=TrafficData[[#This Row],[totalAmount]]</f>
        <v>1</v>
      </c>
      <c r="M321" t="b">
        <f>TrafficData[[#This Row],[pendingCourt]]+TrafficData[[#This Row],[disposedCourt]]=TrafficData[[#This Row],[totalCourt]]</f>
        <v>1</v>
      </c>
      <c r="N321" s="8" t="b">
        <f>AND(TrafficData[[#This Row],[disposedChallan]]&lt;=TrafficData[[#This Row],[totalChallan]],TrafficData[[#This Row],[pendingChallan]]&lt;=TrafficData[[#This Row],[totalChallan]])</f>
        <v>1</v>
      </c>
      <c r="O321" s="8" t="b">
        <f>AND(TrafficData[[#This Row],[pendingAmount]]&lt;=TrafficData[[#This Row],[totalAmount]],TrafficData[[#This Row],[disposedAmount]]&lt;=TrafficData[[#This Row],[totalAmount]])</f>
        <v>1</v>
      </c>
      <c r="P321" s="8" t="b">
        <f>AND(TrafficData[[#This Row],[pendingCourt]]&lt;=TrafficData[[#This Row],[totalCourt]],TrafficData[[#This Row],[disposedCourt]]&lt;=TrafficData[[#This Row],[totalCourt]])</f>
        <v>1</v>
      </c>
    </row>
    <row r="322" spans="1:16">
      <c r="A322" s="1">
        <v>42325</v>
      </c>
      <c r="B322">
        <v>814</v>
      </c>
      <c r="C322">
        <v>72</v>
      </c>
      <c r="D322">
        <v>742</v>
      </c>
      <c r="E322">
        <v>532800</v>
      </c>
      <c r="F322">
        <v>62857</v>
      </c>
      <c r="G322">
        <v>595657</v>
      </c>
      <c r="H322">
        <v>658</v>
      </c>
      <c r="I322">
        <v>32</v>
      </c>
      <c r="J322">
        <v>690</v>
      </c>
      <c r="K322" t="b">
        <f>TrafficData[[#This Row],[disposedChallan]]+TrafficData[[#This Row],[pendingChallan]]=TrafficData[[#This Row],[totalChallan]]</f>
        <v>1</v>
      </c>
      <c r="L322" t="b">
        <f>TrafficData[[#This Row],[pendingAmount]]+TrafficData[[#This Row],[disposedAmount]]=TrafficData[[#This Row],[totalAmount]]</f>
        <v>1</v>
      </c>
      <c r="M322" t="b">
        <f>TrafficData[[#This Row],[pendingCourt]]+TrafficData[[#This Row],[disposedCourt]]=TrafficData[[#This Row],[totalCourt]]</f>
        <v>1</v>
      </c>
      <c r="N322" s="8" t="b">
        <f>AND(TrafficData[[#This Row],[disposedChallan]]&lt;=TrafficData[[#This Row],[totalChallan]],TrafficData[[#This Row],[pendingChallan]]&lt;=TrafficData[[#This Row],[totalChallan]])</f>
        <v>1</v>
      </c>
      <c r="O322" s="8" t="b">
        <f>AND(TrafficData[[#This Row],[pendingAmount]]&lt;=TrafficData[[#This Row],[totalAmount]],TrafficData[[#This Row],[disposedAmount]]&lt;=TrafficData[[#This Row],[totalAmount]])</f>
        <v>1</v>
      </c>
      <c r="P322" s="8" t="b">
        <f>AND(TrafficData[[#This Row],[pendingCourt]]&lt;=TrafficData[[#This Row],[totalCourt]],TrafficData[[#This Row],[disposedCourt]]&lt;=TrafficData[[#This Row],[totalCourt]])</f>
        <v>1</v>
      </c>
    </row>
    <row r="323" spans="1:16">
      <c r="A323" s="1">
        <v>42326</v>
      </c>
      <c r="B323">
        <v>552</v>
      </c>
      <c r="C323">
        <v>47</v>
      </c>
      <c r="D323">
        <v>505</v>
      </c>
      <c r="E323">
        <v>586613</v>
      </c>
      <c r="F323">
        <v>45480</v>
      </c>
      <c r="G323">
        <v>632093</v>
      </c>
      <c r="H323">
        <v>444</v>
      </c>
      <c r="I323">
        <v>3</v>
      </c>
      <c r="J323">
        <v>447</v>
      </c>
      <c r="K323" t="b">
        <f>TrafficData[[#This Row],[disposedChallan]]+TrafficData[[#This Row],[pendingChallan]]=TrafficData[[#This Row],[totalChallan]]</f>
        <v>1</v>
      </c>
      <c r="L323" t="b">
        <f>TrafficData[[#This Row],[pendingAmount]]+TrafficData[[#This Row],[disposedAmount]]=TrafficData[[#This Row],[totalAmount]]</f>
        <v>1</v>
      </c>
      <c r="M323" t="b">
        <f>TrafficData[[#This Row],[pendingCourt]]+TrafficData[[#This Row],[disposedCourt]]=TrafficData[[#This Row],[totalCourt]]</f>
        <v>1</v>
      </c>
      <c r="N323" s="8" t="b">
        <f>AND(TrafficData[[#This Row],[disposedChallan]]&lt;=TrafficData[[#This Row],[totalChallan]],TrafficData[[#This Row],[pendingChallan]]&lt;=TrafficData[[#This Row],[totalChallan]])</f>
        <v>1</v>
      </c>
      <c r="O323" s="8" t="b">
        <f>AND(TrafficData[[#This Row],[pendingAmount]]&lt;=TrafficData[[#This Row],[totalAmount]],TrafficData[[#This Row],[disposedAmount]]&lt;=TrafficData[[#This Row],[totalAmount]])</f>
        <v>1</v>
      </c>
      <c r="P323" s="8" t="b">
        <f>AND(TrafficData[[#This Row],[pendingCourt]]&lt;=TrafficData[[#This Row],[totalCourt]],TrafficData[[#This Row],[disposedCourt]]&lt;=TrafficData[[#This Row],[totalCourt]])</f>
        <v>1</v>
      </c>
    </row>
    <row r="324" spans="1:16">
      <c r="A324" s="1">
        <v>42327</v>
      </c>
      <c r="B324">
        <v>771</v>
      </c>
      <c r="C324">
        <v>85</v>
      </c>
      <c r="D324">
        <v>686</v>
      </c>
      <c r="E324">
        <v>694725</v>
      </c>
      <c r="F324">
        <v>202860</v>
      </c>
      <c r="G324">
        <v>897585</v>
      </c>
      <c r="H324">
        <v>608</v>
      </c>
      <c r="I324">
        <v>17</v>
      </c>
      <c r="J324">
        <v>625</v>
      </c>
      <c r="K324" t="b">
        <f>TrafficData[[#This Row],[disposedChallan]]+TrafficData[[#This Row],[pendingChallan]]=TrafficData[[#This Row],[totalChallan]]</f>
        <v>1</v>
      </c>
      <c r="L324" t="b">
        <f>TrafficData[[#This Row],[pendingAmount]]+TrafficData[[#This Row],[disposedAmount]]=TrafficData[[#This Row],[totalAmount]]</f>
        <v>1</v>
      </c>
      <c r="M324" t="b">
        <f>TrafficData[[#This Row],[pendingCourt]]+TrafficData[[#This Row],[disposedCourt]]=TrafficData[[#This Row],[totalCourt]]</f>
        <v>1</v>
      </c>
      <c r="N324" s="8" t="b">
        <f>AND(TrafficData[[#This Row],[disposedChallan]]&lt;=TrafficData[[#This Row],[totalChallan]],TrafficData[[#This Row],[pendingChallan]]&lt;=TrafficData[[#This Row],[totalChallan]])</f>
        <v>1</v>
      </c>
      <c r="O324" s="8" t="b">
        <f>AND(TrafficData[[#This Row],[pendingAmount]]&lt;=TrafficData[[#This Row],[totalAmount]],TrafficData[[#This Row],[disposedAmount]]&lt;=TrafficData[[#This Row],[totalAmount]])</f>
        <v>1</v>
      </c>
      <c r="P324" s="8" t="b">
        <f>AND(TrafficData[[#This Row],[pendingCourt]]&lt;=TrafficData[[#This Row],[totalCourt]],TrafficData[[#This Row],[disposedCourt]]&lt;=TrafficData[[#This Row],[totalCourt]])</f>
        <v>1</v>
      </c>
    </row>
    <row r="325" spans="1:16">
      <c r="A325" s="1">
        <v>42328</v>
      </c>
      <c r="B325">
        <v>667</v>
      </c>
      <c r="C325">
        <v>74</v>
      </c>
      <c r="D325">
        <v>593</v>
      </c>
      <c r="E325">
        <v>406050</v>
      </c>
      <c r="F325">
        <v>125589</v>
      </c>
      <c r="G325">
        <v>531639</v>
      </c>
      <c r="H325">
        <v>528</v>
      </c>
      <c r="I325">
        <v>35</v>
      </c>
      <c r="J325">
        <v>563</v>
      </c>
      <c r="K325" t="b">
        <f>TrafficData[[#This Row],[disposedChallan]]+TrafficData[[#This Row],[pendingChallan]]=TrafficData[[#This Row],[totalChallan]]</f>
        <v>1</v>
      </c>
      <c r="L325" t="b">
        <f>TrafficData[[#This Row],[pendingAmount]]+TrafficData[[#This Row],[disposedAmount]]=TrafficData[[#This Row],[totalAmount]]</f>
        <v>1</v>
      </c>
      <c r="M325" t="b">
        <f>TrafficData[[#This Row],[pendingCourt]]+TrafficData[[#This Row],[disposedCourt]]=TrafficData[[#This Row],[totalCourt]]</f>
        <v>1</v>
      </c>
      <c r="N325" s="8" t="b">
        <f>AND(TrafficData[[#This Row],[disposedChallan]]&lt;=TrafficData[[#This Row],[totalChallan]],TrafficData[[#This Row],[pendingChallan]]&lt;=TrafficData[[#This Row],[totalChallan]])</f>
        <v>1</v>
      </c>
      <c r="O325" s="8" t="b">
        <f>AND(TrafficData[[#This Row],[pendingAmount]]&lt;=TrafficData[[#This Row],[totalAmount]],TrafficData[[#This Row],[disposedAmount]]&lt;=TrafficData[[#This Row],[totalAmount]])</f>
        <v>1</v>
      </c>
      <c r="P325" s="8" t="b">
        <f>AND(TrafficData[[#This Row],[pendingCourt]]&lt;=TrafficData[[#This Row],[totalCourt]],TrafficData[[#This Row],[disposedCourt]]&lt;=TrafficData[[#This Row],[totalCourt]])</f>
        <v>1</v>
      </c>
    </row>
    <row r="326" spans="1:16">
      <c r="A326" s="1">
        <v>42329</v>
      </c>
      <c r="B326">
        <v>642</v>
      </c>
      <c r="C326">
        <v>74</v>
      </c>
      <c r="D326">
        <v>568</v>
      </c>
      <c r="E326">
        <v>322850</v>
      </c>
      <c r="F326">
        <v>42801</v>
      </c>
      <c r="G326">
        <v>365651</v>
      </c>
      <c r="H326">
        <v>507</v>
      </c>
      <c r="I326">
        <v>45</v>
      </c>
      <c r="J326">
        <v>552</v>
      </c>
      <c r="K326" t="b">
        <f>TrafficData[[#This Row],[disposedChallan]]+TrafficData[[#This Row],[pendingChallan]]=TrafficData[[#This Row],[totalChallan]]</f>
        <v>1</v>
      </c>
      <c r="L326" t="b">
        <f>TrafficData[[#This Row],[pendingAmount]]+TrafficData[[#This Row],[disposedAmount]]=TrafficData[[#This Row],[totalAmount]]</f>
        <v>1</v>
      </c>
      <c r="M326" t="b">
        <f>TrafficData[[#This Row],[pendingCourt]]+TrafficData[[#This Row],[disposedCourt]]=TrafficData[[#This Row],[totalCourt]]</f>
        <v>1</v>
      </c>
      <c r="N326" s="8" t="b">
        <f>AND(TrafficData[[#This Row],[disposedChallan]]&lt;=TrafficData[[#This Row],[totalChallan]],TrafficData[[#This Row],[pendingChallan]]&lt;=TrafficData[[#This Row],[totalChallan]])</f>
        <v>1</v>
      </c>
      <c r="O326" s="8" t="b">
        <f>AND(TrafficData[[#This Row],[pendingAmount]]&lt;=TrafficData[[#This Row],[totalAmount]],TrafficData[[#This Row],[disposedAmount]]&lt;=TrafficData[[#This Row],[totalAmount]])</f>
        <v>1</v>
      </c>
      <c r="P326" s="8" t="b">
        <f>AND(TrafficData[[#This Row],[pendingCourt]]&lt;=TrafficData[[#This Row],[totalCourt]],TrafficData[[#This Row],[disposedCourt]]&lt;=TrafficData[[#This Row],[totalCourt]])</f>
        <v>1</v>
      </c>
    </row>
    <row r="327" spans="1:16">
      <c r="A327" s="1">
        <v>42330</v>
      </c>
      <c r="B327">
        <v>498</v>
      </c>
      <c r="C327">
        <v>49</v>
      </c>
      <c r="D327">
        <v>449</v>
      </c>
      <c r="E327">
        <v>276900</v>
      </c>
      <c r="F327">
        <v>133054</v>
      </c>
      <c r="G327">
        <v>409954</v>
      </c>
      <c r="H327">
        <v>400</v>
      </c>
      <c r="I327">
        <v>7</v>
      </c>
      <c r="J327">
        <v>407</v>
      </c>
      <c r="K327" t="b">
        <f>TrafficData[[#This Row],[disposedChallan]]+TrafficData[[#This Row],[pendingChallan]]=TrafficData[[#This Row],[totalChallan]]</f>
        <v>1</v>
      </c>
      <c r="L327" t="b">
        <f>TrafficData[[#This Row],[pendingAmount]]+TrafficData[[#This Row],[disposedAmount]]=TrafficData[[#This Row],[totalAmount]]</f>
        <v>1</v>
      </c>
      <c r="M327" t="b">
        <f>TrafficData[[#This Row],[pendingCourt]]+TrafficData[[#This Row],[disposedCourt]]=TrafficData[[#This Row],[totalCourt]]</f>
        <v>1</v>
      </c>
      <c r="N327" s="8" t="b">
        <f>AND(TrafficData[[#This Row],[disposedChallan]]&lt;=TrafficData[[#This Row],[totalChallan]],TrafficData[[#This Row],[pendingChallan]]&lt;=TrafficData[[#This Row],[totalChallan]])</f>
        <v>1</v>
      </c>
      <c r="O327" s="8" t="b">
        <f>AND(TrafficData[[#This Row],[pendingAmount]]&lt;=TrafficData[[#This Row],[totalAmount]],TrafficData[[#This Row],[disposedAmount]]&lt;=TrafficData[[#This Row],[totalAmount]])</f>
        <v>1</v>
      </c>
      <c r="P327" s="8" t="b">
        <f>AND(TrafficData[[#This Row],[pendingCourt]]&lt;=TrafficData[[#This Row],[totalCourt]],TrafficData[[#This Row],[disposedCourt]]&lt;=TrafficData[[#This Row],[totalCourt]])</f>
        <v>1</v>
      </c>
    </row>
    <row r="328" spans="1:16">
      <c r="A328" s="1">
        <v>42331</v>
      </c>
      <c r="B328">
        <v>898</v>
      </c>
      <c r="C328">
        <v>76</v>
      </c>
      <c r="D328">
        <v>822</v>
      </c>
      <c r="E328">
        <v>430725</v>
      </c>
      <c r="F328">
        <v>65878</v>
      </c>
      <c r="G328">
        <v>496603</v>
      </c>
      <c r="H328">
        <v>766</v>
      </c>
      <c r="I328">
        <v>44</v>
      </c>
      <c r="J328">
        <v>810</v>
      </c>
      <c r="K328" t="b">
        <f>TrafficData[[#This Row],[disposedChallan]]+TrafficData[[#This Row],[pendingChallan]]=TrafficData[[#This Row],[totalChallan]]</f>
        <v>1</v>
      </c>
      <c r="L328" t="b">
        <f>TrafficData[[#This Row],[pendingAmount]]+TrafficData[[#This Row],[disposedAmount]]=TrafficData[[#This Row],[totalAmount]]</f>
        <v>1</v>
      </c>
      <c r="M328" t="b">
        <f>TrafficData[[#This Row],[pendingCourt]]+TrafficData[[#This Row],[disposedCourt]]=TrafficData[[#This Row],[totalCourt]]</f>
        <v>1</v>
      </c>
      <c r="N328" s="8" t="b">
        <f>AND(TrafficData[[#This Row],[disposedChallan]]&lt;=TrafficData[[#This Row],[totalChallan]],TrafficData[[#This Row],[pendingChallan]]&lt;=TrafficData[[#This Row],[totalChallan]])</f>
        <v>1</v>
      </c>
      <c r="O328" s="8" t="b">
        <f>AND(TrafficData[[#This Row],[pendingAmount]]&lt;=TrafficData[[#This Row],[totalAmount]],TrafficData[[#This Row],[disposedAmount]]&lt;=TrafficData[[#This Row],[totalAmount]])</f>
        <v>1</v>
      </c>
      <c r="P328" s="8" t="b">
        <f>AND(TrafficData[[#This Row],[pendingCourt]]&lt;=TrafficData[[#This Row],[totalCourt]],TrafficData[[#This Row],[disposedCourt]]&lt;=TrafficData[[#This Row],[totalCourt]])</f>
        <v>1</v>
      </c>
    </row>
    <row r="329" spans="1:16">
      <c r="A329" s="1">
        <v>42332</v>
      </c>
      <c r="B329">
        <v>626</v>
      </c>
      <c r="C329">
        <v>63</v>
      </c>
      <c r="D329">
        <v>563</v>
      </c>
      <c r="E329">
        <v>416100</v>
      </c>
      <c r="F329">
        <v>107290</v>
      </c>
      <c r="G329">
        <v>523390</v>
      </c>
      <c r="H329">
        <v>508</v>
      </c>
      <c r="I329">
        <v>12</v>
      </c>
      <c r="J329">
        <v>520</v>
      </c>
      <c r="K329" t="b">
        <f>TrafficData[[#This Row],[disposedChallan]]+TrafficData[[#This Row],[pendingChallan]]=TrafficData[[#This Row],[totalChallan]]</f>
        <v>1</v>
      </c>
      <c r="L329" t="b">
        <f>TrafficData[[#This Row],[pendingAmount]]+TrafficData[[#This Row],[disposedAmount]]=TrafficData[[#This Row],[totalAmount]]</f>
        <v>1</v>
      </c>
      <c r="M329" t="b">
        <f>TrafficData[[#This Row],[pendingCourt]]+TrafficData[[#This Row],[disposedCourt]]=TrafficData[[#This Row],[totalCourt]]</f>
        <v>1</v>
      </c>
      <c r="N329" s="8" t="b">
        <f>AND(TrafficData[[#This Row],[disposedChallan]]&lt;=TrafficData[[#This Row],[totalChallan]],TrafficData[[#This Row],[pendingChallan]]&lt;=TrafficData[[#This Row],[totalChallan]])</f>
        <v>1</v>
      </c>
      <c r="O329" s="8" t="b">
        <f>AND(TrafficData[[#This Row],[pendingAmount]]&lt;=TrafficData[[#This Row],[totalAmount]],TrafficData[[#This Row],[disposedAmount]]&lt;=TrafficData[[#This Row],[totalAmount]])</f>
        <v>1</v>
      </c>
      <c r="P329" s="8" t="b">
        <f>AND(TrafficData[[#This Row],[pendingCourt]]&lt;=TrafficData[[#This Row],[totalCourt]],TrafficData[[#This Row],[disposedCourt]]&lt;=TrafficData[[#This Row],[totalCourt]])</f>
        <v>1</v>
      </c>
    </row>
    <row r="330" spans="1:16">
      <c r="A330" s="1">
        <v>42333</v>
      </c>
      <c r="B330">
        <v>607</v>
      </c>
      <c r="C330">
        <v>46</v>
      </c>
      <c r="D330">
        <v>561</v>
      </c>
      <c r="E330">
        <v>419970</v>
      </c>
      <c r="F330">
        <v>79230</v>
      </c>
      <c r="G330">
        <v>499200</v>
      </c>
      <c r="H330">
        <v>515</v>
      </c>
      <c r="I330">
        <v>11</v>
      </c>
      <c r="J330">
        <v>526</v>
      </c>
      <c r="K330" t="b">
        <f>TrafficData[[#This Row],[disposedChallan]]+TrafficData[[#This Row],[pendingChallan]]=TrafficData[[#This Row],[totalChallan]]</f>
        <v>1</v>
      </c>
      <c r="L330" t="b">
        <f>TrafficData[[#This Row],[pendingAmount]]+TrafficData[[#This Row],[disposedAmount]]=TrafficData[[#This Row],[totalAmount]]</f>
        <v>1</v>
      </c>
      <c r="M330" t="b">
        <f>TrafficData[[#This Row],[pendingCourt]]+TrafficData[[#This Row],[disposedCourt]]=TrafficData[[#This Row],[totalCourt]]</f>
        <v>1</v>
      </c>
      <c r="N330" s="8" t="b">
        <f>AND(TrafficData[[#This Row],[disposedChallan]]&lt;=TrafficData[[#This Row],[totalChallan]],TrafficData[[#This Row],[pendingChallan]]&lt;=TrafficData[[#This Row],[totalChallan]])</f>
        <v>1</v>
      </c>
      <c r="O330" s="8" t="b">
        <f>AND(TrafficData[[#This Row],[pendingAmount]]&lt;=TrafficData[[#This Row],[totalAmount]],TrafficData[[#This Row],[disposedAmount]]&lt;=TrafficData[[#This Row],[totalAmount]])</f>
        <v>1</v>
      </c>
      <c r="P330" s="8" t="b">
        <f>AND(TrafficData[[#This Row],[pendingCourt]]&lt;=TrafficData[[#This Row],[totalCourt]],TrafficData[[#This Row],[disposedCourt]]&lt;=TrafficData[[#This Row],[totalCourt]])</f>
        <v>1</v>
      </c>
    </row>
    <row r="331" spans="1:16">
      <c r="A331" s="1">
        <v>42334</v>
      </c>
      <c r="B331">
        <v>775</v>
      </c>
      <c r="C331">
        <v>87</v>
      </c>
      <c r="D331">
        <v>688</v>
      </c>
      <c r="E331">
        <v>565747</v>
      </c>
      <c r="F331">
        <v>76850</v>
      </c>
      <c r="G331">
        <v>642597</v>
      </c>
      <c r="H331">
        <v>599</v>
      </c>
      <c r="I331">
        <v>44</v>
      </c>
      <c r="J331">
        <v>643</v>
      </c>
      <c r="K331" t="b">
        <f>TrafficData[[#This Row],[disposedChallan]]+TrafficData[[#This Row],[pendingChallan]]=TrafficData[[#This Row],[totalChallan]]</f>
        <v>1</v>
      </c>
      <c r="L331" t="b">
        <f>TrafficData[[#This Row],[pendingAmount]]+TrafficData[[#This Row],[disposedAmount]]=TrafficData[[#This Row],[totalAmount]]</f>
        <v>1</v>
      </c>
      <c r="M331" t="b">
        <f>TrafficData[[#This Row],[pendingCourt]]+TrafficData[[#This Row],[disposedCourt]]=TrafficData[[#This Row],[totalCourt]]</f>
        <v>1</v>
      </c>
      <c r="N331" s="8" t="b">
        <f>AND(TrafficData[[#This Row],[disposedChallan]]&lt;=TrafficData[[#This Row],[totalChallan]],TrafficData[[#This Row],[pendingChallan]]&lt;=TrafficData[[#This Row],[totalChallan]])</f>
        <v>1</v>
      </c>
      <c r="O331" s="8" t="b">
        <f>AND(TrafficData[[#This Row],[pendingAmount]]&lt;=TrafficData[[#This Row],[totalAmount]],TrafficData[[#This Row],[disposedAmount]]&lt;=TrafficData[[#This Row],[totalAmount]])</f>
        <v>1</v>
      </c>
      <c r="P331" s="8" t="b">
        <f>AND(TrafficData[[#This Row],[pendingCourt]]&lt;=TrafficData[[#This Row],[totalCourt]],TrafficData[[#This Row],[disposedCourt]]&lt;=TrafficData[[#This Row],[totalCourt]])</f>
        <v>1</v>
      </c>
    </row>
    <row r="332" spans="1:16">
      <c r="A332" s="1">
        <v>42335</v>
      </c>
      <c r="B332">
        <v>627</v>
      </c>
      <c r="C332">
        <v>71</v>
      </c>
      <c r="D332">
        <v>556</v>
      </c>
      <c r="E332">
        <v>528600</v>
      </c>
      <c r="F332">
        <v>50136</v>
      </c>
      <c r="G332">
        <v>578736</v>
      </c>
      <c r="H332">
        <v>492</v>
      </c>
      <c r="I332">
        <v>37</v>
      </c>
      <c r="J332">
        <v>529</v>
      </c>
      <c r="K332" t="b">
        <f>TrafficData[[#This Row],[disposedChallan]]+TrafficData[[#This Row],[pendingChallan]]=TrafficData[[#This Row],[totalChallan]]</f>
        <v>1</v>
      </c>
      <c r="L332" t="b">
        <f>TrafficData[[#This Row],[pendingAmount]]+TrafficData[[#This Row],[disposedAmount]]=TrafficData[[#This Row],[totalAmount]]</f>
        <v>1</v>
      </c>
      <c r="M332" t="b">
        <f>TrafficData[[#This Row],[pendingCourt]]+TrafficData[[#This Row],[disposedCourt]]=TrafficData[[#This Row],[totalCourt]]</f>
        <v>1</v>
      </c>
      <c r="N332" s="8" t="b">
        <f>AND(TrafficData[[#This Row],[disposedChallan]]&lt;=TrafficData[[#This Row],[totalChallan]],TrafficData[[#This Row],[pendingChallan]]&lt;=TrafficData[[#This Row],[totalChallan]])</f>
        <v>1</v>
      </c>
      <c r="O332" s="8" t="b">
        <f>AND(TrafficData[[#This Row],[pendingAmount]]&lt;=TrafficData[[#This Row],[totalAmount]],TrafficData[[#This Row],[disposedAmount]]&lt;=TrafficData[[#This Row],[totalAmount]])</f>
        <v>1</v>
      </c>
      <c r="P332" s="8" t="b">
        <f>AND(TrafficData[[#This Row],[pendingCourt]]&lt;=TrafficData[[#This Row],[totalCourt]],TrafficData[[#This Row],[disposedCourt]]&lt;=TrafficData[[#This Row],[totalCourt]])</f>
        <v>1</v>
      </c>
    </row>
    <row r="333" spans="1:16">
      <c r="A333" s="1">
        <v>42336</v>
      </c>
      <c r="B333">
        <v>658</v>
      </c>
      <c r="C333">
        <v>61</v>
      </c>
      <c r="D333">
        <v>597</v>
      </c>
      <c r="E333">
        <v>305400</v>
      </c>
      <c r="F333">
        <v>33350</v>
      </c>
      <c r="G333">
        <v>338750</v>
      </c>
      <c r="H333">
        <v>562</v>
      </c>
      <c r="I333">
        <v>23</v>
      </c>
      <c r="J333">
        <v>585</v>
      </c>
      <c r="K333" t="b">
        <f>TrafficData[[#This Row],[disposedChallan]]+TrafficData[[#This Row],[pendingChallan]]=TrafficData[[#This Row],[totalChallan]]</f>
        <v>1</v>
      </c>
      <c r="L333" t="b">
        <f>TrafficData[[#This Row],[pendingAmount]]+TrafficData[[#This Row],[disposedAmount]]=TrafficData[[#This Row],[totalAmount]]</f>
        <v>1</v>
      </c>
      <c r="M333" t="b">
        <f>TrafficData[[#This Row],[pendingCourt]]+TrafficData[[#This Row],[disposedCourt]]=TrafficData[[#This Row],[totalCourt]]</f>
        <v>1</v>
      </c>
      <c r="N333" s="8" t="b">
        <f>AND(TrafficData[[#This Row],[disposedChallan]]&lt;=TrafficData[[#This Row],[totalChallan]],TrafficData[[#This Row],[pendingChallan]]&lt;=TrafficData[[#This Row],[totalChallan]])</f>
        <v>1</v>
      </c>
      <c r="O333" s="8" t="b">
        <f>AND(TrafficData[[#This Row],[pendingAmount]]&lt;=TrafficData[[#This Row],[totalAmount]],TrafficData[[#This Row],[disposedAmount]]&lt;=TrafficData[[#This Row],[totalAmount]])</f>
        <v>1</v>
      </c>
      <c r="P333" s="8" t="b">
        <f>AND(TrafficData[[#This Row],[pendingCourt]]&lt;=TrafficData[[#This Row],[totalCourt]],TrafficData[[#This Row],[disposedCourt]]&lt;=TrafficData[[#This Row],[totalCourt]])</f>
        <v>1</v>
      </c>
    </row>
    <row r="334" spans="1:16">
      <c r="A334" s="1">
        <v>42337</v>
      </c>
      <c r="B334">
        <v>523</v>
      </c>
      <c r="C334">
        <v>56</v>
      </c>
      <c r="D334">
        <v>467</v>
      </c>
      <c r="E334">
        <v>275450</v>
      </c>
      <c r="F334">
        <v>35100</v>
      </c>
      <c r="G334">
        <v>310550</v>
      </c>
      <c r="H334">
        <v>429</v>
      </c>
      <c r="I334">
        <v>38</v>
      </c>
      <c r="J334">
        <v>467</v>
      </c>
      <c r="K334" t="b">
        <f>TrafficData[[#This Row],[disposedChallan]]+TrafficData[[#This Row],[pendingChallan]]=TrafficData[[#This Row],[totalChallan]]</f>
        <v>1</v>
      </c>
      <c r="L334" t="b">
        <f>TrafficData[[#This Row],[pendingAmount]]+TrafficData[[#This Row],[disposedAmount]]=TrafficData[[#This Row],[totalAmount]]</f>
        <v>1</v>
      </c>
      <c r="M334" t="b">
        <f>TrafficData[[#This Row],[pendingCourt]]+TrafficData[[#This Row],[disposedCourt]]=TrafficData[[#This Row],[totalCourt]]</f>
        <v>1</v>
      </c>
      <c r="N334" s="8" t="b">
        <f>AND(TrafficData[[#This Row],[disposedChallan]]&lt;=TrafficData[[#This Row],[totalChallan]],TrafficData[[#This Row],[pendingChallan]]&lt;=TrafficData[[#This Row],[totalChallan]])</f>
        <v>1</v>
      </c>
      <c r="O334" s="8" t="b">
        <f>AND(TrafficData[[#This Row],[pendingAmount]]&lt;=TrafficData[[#This Row],[totalAmount]],TrafficData[[#This Row],[disposedAmount]]&lt;=TrafficData[[#This Row],[totalAmount]])</f>
        <v>1</v>
      </c>
      <c r="P334" s="8" t="b">
        <f>AND(TrafficData[[#This Row],[pendingCourt]]&lt;=TrafficData[[#This Row],[totalCourt]],TrafficData[[#This Row],[disposedCourt]]&lt;=TrafficData[[#This Row],[totalCourt]])</f>
        <v>1</v>
      </c>
    </row>
    <row r="335" spans="1:16">
      <c r="A335" s="1">
        <v>42338</v>
      </c>
      <c r="B335">
        <v>915</v>
      </c>
      <c r="C335">
        <v>100</v>
      </c>
      <c r="D335">
        <v>815</v>
      </c>
      <c r="E335">
        <v>677550</v>
      </c>
      <c r="F335">
        <v>122520</v>
      </c>
      <c r="G335">
        <v>800070</v>
      </c>
      <c r="H335">
        <v>713</v>
      </c>
      <c r="I335">
        <v>50</v>
      </c>
      <c r="J335">
        <v>763</v>
      </c>
      <c r="K335" t="b">
        <f>TrafficData[[#This Row],[disposedChallan]]+TrafficData[[#This Row],[pendingChallan]]=TrafficData[[#This Row],[totalChallan]]</f>
        <v>1</v>
      </c>
      <c r="L335" t="b">
        <f>TrafficData[[#This Row],[pendingAmount]]+TrafficData[[#This Row],[disposedAmount]]=TrafficData[[#This Row],[totalAmount]]</f>
        <v>1</v>
      </c>
      <c r="M335" t="b">
        <f>TrafficData[[#This Row],[pendingCourt]]+TrafficData[[#This Row],[disposedCourt]]=TrafficData[[#This Row],[totalCourt]]</f>
        <v>1</v>
      </c>
      <c r="N335" s="8" t="b">
        <f>AND(TrafficData[[#This Row],[disposedChallan]]&lt;=TrafficData[[#This Row],[totalChallan]],TrafficData[[#This Row],[pendingChallan]]&lt;=TrafficData[[#This Row],[totalChallan]])</f>
        <v>1</v>
      </c>
      <c r="O335" s="8" t="b">
        <f>AND(TrafficData[[#This Row],[pendingAmount]]&lt;=TrafficData[[#This Row],[totalAmount]],TrafficData[[#This Row],[disposedAmount]]&lt;=TrafficData[[#This Row],[totalAmount]])</f>
        <v>1</v>
      </c>
      <c r="P335" s="8" t="b">
        <f>AND(TrafficData[[#This Row],[pendingCourt]]&lt;=TrafficData[[#This Row],[totalCourt]],TrafficData[[#This Row],[disposedCourt]]&lt;=TrafficData[[#This Row],[totalCourt]])</f>
        <v>1</v>
      </c>
    </row>
    <row r="336" spans="1:16">
      <c r="A336" s="1">
        <v>42339</v>
      </c>
      <c r="B336">
        <v>969</v>
      </c>
      <c r="C336">
        <v>102</v>
      </c>
      <c r="D336">
        <v>867</v>
      </c>
      <c r="E336">
        <v>648610</v>
      </c>
      <c r="F336">
        <v>147557</v>
      </c>
      <c r="G336">
        <v>796167</v>
      </c>
      <c r="H336">
        <v>795</v>
      </c>
      <c r="I336">
        <v>54</v>
      </c>
      <c r="J336">
        <v>849</v>
      </c>
      <c r="K336" t="b">
        <f>TrafficData[[#This Row],[disposedChallan]]+TrafficData[[#This Row],[pendingChallan]]=TrafficData[[#This Row],[totalChallan]]</f>
        <v>1</v>
      </c>
      <c r="L336" t="b">
        <f>TrafficData[[#This Row],[pendingAmount]]+TrafficData[[#This Row],[disposedAmount]]=TrafficData[[#This Row],[totalAmount]]</f>
        <v>1</v>
      </c>
      <c r="M336" t="b">
        <f>TrafficData[[#This Row],[pendingCourt]]+TrafficData[[#This Row],[disposedCourt]]=TrafficData[[#This Row],[totalCourt]]</f>
        <v>1</v>
      </c>
      <c r="N336" s="8" t="b">
        <f>AND(TrafficData[[#This Row],[disposedChallan]]&lt;=TrafficData[[#This Row],[totalChallan]],TrafficData[[#This Row],[pendingChallan]]&lt;=TrafficData[[#This Row],[totalChallan]])</f>
        <v>1</v>
      </c>
      <c r="O336" s="8" t="b">
        <f>AND(TrafficData[[#This Row],[pendingAmount]]&lt;=TrafficData[[#This Row],[totalAmount]],TrafficData[[#This Row],[disposedAmount]]&lt;=TrafficData[[#This Row],[totalAmount]])</f>
        <v>1</v>
      </c>
      <c r="P336" s="8" t="b">
        <f>AND(TrafficData[[#This Row],[pendingCourt]]&lt;=TrafficData[[#This Row],[totalCourt]],TrafficData[[#This Row],[disposedCourt]]&lt;=TrafficData[[#This Row],[totalCourt]])</f>
        <v>1</v>
      </c>
    </row>
    <row r="337" spans="1:16">
      <c r="A337" s="1">
        <v>42340</v>
      </c>
      <c r="B337">
        <v>989</v>
      </c>
      <c r="C337">
        <v>90</v>
      </c>
      <c r="D337">
        <v>899</v>
      </c>
      <c r="E337">
        <v>752230</v>
      </c>
      <c r="F337">
        <v>215910</v>
      </c>
      <c r="G337">
        <v>968140</v>
      </c>
      <c r="H337">
        <v>837</v>
      </c>
      <c r="I337">
        <v>18</v>
      </c>
      <c r="J337">
        <v>855</v>
      </c>
      <c r="K337" t="b">
        <f>TrafficData[[#This Row],[disposedChallan]]+TrafficData[[#This Row],[pendingChallan]]=TrafficData[[#This Row],[totalChallan]]</f>
        <v>1</v>
      </c>
      <c r="L337" t="b">
        <f>TrafficData[[#This Row],[pendingAmount]]+TrafficData[[#This Row],[disposedAmount]]=TrafficData[[#This Row],[totalAmount]]</f>
        <v>1</v>
      </c>
      <c r="M337" t="b">
        <f>TrafficData[[#This Row],[pendingCourt]]+TrafficData[[#This Row],[disposedCourt]]=TrafficData[[#This Row],[totalCourt]]</f>
        <v>1</v>
      </c>
      <c r="N337" s="8" t="b">
        <f>AND(TrafficData[[#This Row],[disposedChallan]]&lt;=TrafficData[[#This Row],[totalChallan]],TrafficData[[#This Row],[pendingChallan]]&lt;=TrafficData[[#This Row],[totalChallan]])</f>
        <v>1</v>
      </c>
      <c r="O337" s="8" t="b">
        <f>AND(TrafficData[[#This Row],[pendingAmount]]&lt;=TrafficData[[#This Row],[totalAmount]],TrafficData[[#This Row],[disposedAmount]]&lt;=TrafficData[[#This Row],[totalAmount]])</f>
        <v>1</v>
      </c>
      <c r="P337" s="8" t="b">
        <f>AND(TrafficData[[#This Row],[pendingCourt]]&lt;=TrafficData[[#This Row],[totalCourt]],TrafficData[[#This Row],[disposedCourt]]&lt;=TrafficData[[#This Row],[totalCourt]])</f>
        <v>1</v>
      </c>
    </row>
    <row r="338" spans="1:16">
      <c r="A338" s="1">
        <v>42341</v>
      </c>
      <c r="B338">
        <v>701</v>
      </c>
      <c r="C338">
        <v>82</v>
      </c>
      <c r="D338">
        <v>619</v>
      </c>
      <c r="E338">
        <v>678660</v>
      </c>
      <c r="F338">
        <v>134750</v>
      </c>
      <c r="G338">
        <v>813410</v>
      </c>
      <c r="H338">
        <v>496</v>
      </c>
      <c r="I338">
        <v>35</v>
      </c>
      <c r="J338">
        <v>531</v>
      </c>
      <c r="K338" t="b">
        <f>TrafficData[[#This Row],[disposedChallan]]+TrafficData[[#This Row],[pendingChallan]]=TrafficData[[#This Row],[totalChallan]]</f>
        <v>1</v>
      </c>
      <c r="L338" t="b">
        <f>TrafficData[[#This Row],[pendingAmount]]+TrafficData[[#This Row],[disposedAmount]]=TrafficData[[#This Row],[totalAmount]]</f>
        <v>1</v>
      </c>
      <c r="M338" t="b">
        <f>TrafficData[[#This Row],[pendingCourt]]+TrafficData[[#This Row],[disposedCourt]]=TrafficData[[#This Row],[totalCourt]]</f>
        <v>1</v>
      </c>
      <c r="N338" s="8" t="b">
        <f>AND(TrafficData[[#This Row],[disposedChallan]]&lt;=TrafficData[[#This Row],[totalChallan]],TrafficData[[#This Row],[pendingChallan]]&lt;=TrafficData[[#This Row],[totalChallan]])</f>
        <v>1</v>
      </c>
      <c r="O338" s="8" t="b">
        <f>AND(TrafficData[[#This Row],[pendingAmount]]&lt;=TrafficData[[#This Row],[totalAmount]],TrafficData[[#This Row],[disposedAmount]]&lt;=TrafficData[[#This Row],[totalAmount]])</f>
        <v>1</v>
      </c>
      <c r="P338" s="8" t="b">
        <f>AND(TrafficData[[#This Row],[pendingCourt]]&lt;=TrafficData[[#This Row],[totalCourt]],TrafficData[[#This Row],[disposedCourt]]&lt;=TrafficData[[#This Row],[totalCourt]])</f>
        <v>1</v>
      </c>
    </row>
    <row r="339" spans="1:16">
      <c r="A339" s="1">
        <v>42342</v>
      </c>
      <c r="B339">
        <v>545</v>
      </c>
      <c r="C339">
        <v>76</v>
      </c>
      <c r="D339">
        <v>469</v>
      </c>
      <c r="E339">
        <v>472850</v>
      </c>
      <c r="F339">
        <v>117260</v>
      </c>
      <c r="G339">
        <v>590110</v>
      </c>
      <c r="H339">
        <v>393</v>
      </c>
      <c r="I339">
        <v>35</v>
      </c>
      <c r="J339">
        <v>428</v>
      </c>
      <c r="K339" t="b">
        <f>TrafficData[[#This Row],[disposedChallan]]+TrafficData[[#This Row],[pendingChallan]]=TrafficData[[#This Row],[totalChallan]]</f>
        <v>1</v>
      </c>
      <c r="L339" t="b">
        <f>TrafficData[[#This Row],[pendingAmount]]+TrafficData[[#This Row],[disposedAmount]]=TrafficData[[#This Row],[totalAmount]]</f>
        <v>1</v>
      </c>
      <c r="M339" t="b">
        <f>TrafficData[[#This Row],[pendingCourt]]+TrafficData[[#This Row],[disposedCourt]]=TrafficData[[#This Row],[totalCourt]]</f>
        <v>1</v>
      </c>
      <c r="N339" s="8" t="b">
        <f>AND(TrafficData[[#This Row],[disposedChallan]]&lt;=TrafficData[[#This Row],[totalChallan]],TrafficData[[#This Row],[pendingChallan]]&lt;=TrafficData[[#This Row],[totalChallan]])</f>
        <v>1</v>
      </c>
      <c r="O339" s="8" t="b">
        <f>AND(TrafficData[[#This Row],[pendingAmount]]&lt;=TrafficData[[#This Row],[totalAmount]],TrafficData[[#This Row],[disposedAmount]]&lt;=TrafficData[[#This Row],[totalAmount]])</f>
        <v>1</v>
      </c>
      <c r="P339" s="8" t="b">
        <f>AND(TrafficData[[#This Row],[pendingCourt]]&lt;=TrafficData[[#This Row],[totalCourt]],TrafficData[[#This Row],[disposedCourt]]&lt;=TrafficData[[#This Row],[totalCourt]])</f>
        <v>1</v>
      </c>
    </row>
    <row r="340" spans="1:16">
      <c r="A340" s="1">
        <v>42343</v>
      </c>
      <c r="B340">
        <v>788</v>
      </c>
      <c r="C340">
        <v>79</v>
      </c>
      <c r="D340">
        <v>709</v>
      </c>
      <c r="E340">
        <v>889000</v>
      </c>
      <c r="F340">
        <v>264118</v>
      </c>
      <c r="G340">
        <v>1153118</v>
      </c>
      <c r="H340">
        <v>629</v>
      </c>
      <c r="I340">
        <v>32</v>
      </c>
      <c r="J340">
        <v>661</v>
      </c>
      <c r="K340" t="b">
        <f>TrafficData[[#This Row],[disposedChallan]]+TrafficData[[#This Row],[pendingChallan]]=TrafficData[[#This Row],[totalChallan]]</f>
        <v>1</v>
      </c>
      <c r="L340" t="b">
        <f>TrafficData[[#This Row],[pendingAmount]]+TrafficData[[#This Row],[disposedAmount]]=TrafficData[[#This Row],[totalAmount]]</f>
        <v>1</v>
      </c>
      <c r="M340" t="b">
        <f>TrafficData[[#This Row],[pendingCourt]]+TrafficData[[#This Row],[disposedCourt]]=TrafficData[[#This Row],[totalCourt]]</f>
        <v>1</v>
      </c>
      <c r="N340" s="8" t="b">
        <f>AND(TrafficData[[#This Row],[disposedChallan]]&lt;=TrafficData[[#This Row],[totalChallan]],TrafficData[[#This Row],[pendingChallan]]&lt;=TrafficData[[#This Row],[totalChallan]])</f>
        <v>1</v>
      </c>
      <c r="O340" s="8" t="b">
        <f>AND(TrafficData[[#This Row],[pendingAmount]]&lt;=TrafficData[[#This Row],[totalAmount]],TrafficData[[#This Row],[disposedAmount]]&lt;=TrafficData[[#This Row],[totalAmount]])</f>
        <v>1</v>
      </c>
      <c r="P340" s="8" t="b">
        <f>AND(TrafficData[[#This Row],[pendingCourt]]&lt;=TrafficData[[#This Row],[totalCourt]],TrafficData[[#This Row],[disposedCourt]]&lt;=TrafficData[[#This Row],[totalCourt]])</f>
        <v>1</v>
      </c>
    </row>
    <row r="341" spans="1:16">
      <c r="A341" s="1">
        <v>42344</v>
      </c>
      <c r="B341">
        <v>446</v>
      </c>
      <c r="C341">
        <v>60</v>
      </c>
      <c r="D341">
        <v>386</v>
      </c>
      <c r="E341">
        <v>300860</v>
      </c>
      <c r="F341">
        <v>110100</v>
      </c>
      <c r="G341">
        <v>410960</v>
      </c>
      <c r="H341">
        <v>342</v>
      </c>
      <c r="I341">
        <v>22</v>
      </c>
      <c r="J341">
        <v>364</v>
      </c>
      <c r="K341" t="b">
        <f>TrafficData[[#This Row],[disposedChallan]]+TrafficData[[#This Row],[pendingChallan]]=TrafficData[[#This Row],[totalChallan]]</f>
        <v>1</v>
      </c>
      <c r="L341" t="b">
        <f>TrafficData[[#This Row],[pendingAmount]]+TrafficData[[#This Row],[disposedAmount]]=TrafficData[[#This Row],[totalAmount]]</f>
        <v>1</v>
      </c>
      <c r="M341" t="b">
        <f>TrafficData[[#This Row],[pendingCourt]]+TrafficData[[#This Row],[disposedCourt]]=TrafficData[[#This Row],[totalCourt]]</f>
        <v>1</v>
      </c>
      <c r="N341" s="8" t="b">
        <f>AND(TrafficData[[#This Row],[disposedChallan]]&lt;=TrafficData[[#This Row],[totalChallan]],TrafficData[[#This Row],[pendingChallan]]&lt;=TrafficData[[#This Row],[totalChallan]])</f>
        <v>1</v>
      </c>
      <c r="O341" s="8" t="b">
        <f>AND(TrafficData[[#This Row],[pendingAmount]]&lt;=TrafficData[[#This Row],[totalAmount]],TrafficData[[#This Row],[disposedAmount]]&lt;=TrafficData[[#This Row],[totalAmount]])</f>
        <v>1</v>
      </c>
      <c r="P341" s="8" t="b">
        <f>AND(TrafficData[[#This Row],[pendingCourt]]&lt;=TrafficData[[#This Row],[totalCourt]],TrafficData[[#This Row],[disposedCourt]]&lt;=TrafficData[[#This Row],[totalCourt]])</f>
        <v>1</v>
      </c>
    </row>
    <row r="342" spans="1:16">
      <c r="A342" s="1">
        <v>42345</v>
      </c>
      <c r="B342">
        <v>705</v>
      </c>
      <c r="C342">
        <v>70</v>
      </c>
      <c r="D342">
        <v>635</v>
      </c>
      <c r="E342">
        <v>586450</v>
      </c>
      <c r="F342">
        <v>146560</v>
      </c>
      <c r="G342">
        <v>733010</v>
      </c>
      <c r="H342">
        <v>572</v>
      </c>
      <c r="I342">
        <v>13</v>
      </c>
      <c r="J342">
        <v>585</v>
      </c>
      <c r="K342" t="b">
        <f>TrafficData[[#This Row],[disposedChallan]]+TrafficData[[#This Row],[pendingChallan]]=TrafficData[[#This Row],[totalChallan]]</f>
        <v>1</v>
      </c>
      <c r="L342" t="b">
        <f>TrafficData[[#This Row],[pendingAmount]]+TrafficData[[#This Row],[disposedAmount]]=TrafficData[[#This Row],[totalAmount]]</f>
        <v>1</v>
      </c>
      <c r="M342" t="b">
        <f>TrafficData[[#This Row],[pendingCourt]]+TrafficData[[#This Row],[disposedCourt]]=TrafficData[[#This Row],[totalCourt]]</f>
        <v>1</v>
      </c>
      <c r="N342" s="8" t="b">
        <f>AND(TrafficData[[#This Row],[disposedChallan]]&lt;=TrafficData[[#This Row],[totalChallan]],TrafficData[[#This Row],[pendingChallan]]&lt;=TrafficData[[#This Row],[totalChallan]])</f>
        <v>1</v>
      </c>
      <c r="O342" s="8" t="b">
        <f>AND(TrafficData[[#This Row],[pendingAmount]]&lt;=TrafficData[[#This Row],[totalAmount]],TrafficData[[#This Row],[disposedAmount]]&lt;=TrafficData[[#This Row],[totalAmount]])</f>
        <v>1</v>
      </c>
      <c r="P342" s="8" t="b">
        <f>AND(TrafficData[[#This Row],[pendingCourt]]&lt;=TrafficData[[#This Row],[totalCourt]],TrafficData[[#This Row],[disposedCourt]]&lt;=TrafficData[[#This Row],[totalCourt]])</f>
        <v>1</v>
      </c>
    </row>
    <row r="343" spans="1:16">
      <c r="A343" s="1">
        <v>42346</v>
      </c>
      <c r="B343">
        <v>1104</v>
      </c>
      <c r="C343">
        <v>107</v>
      </c>
      <c r="D343">
        <v>997</v>
      </c>
      <c r="E343">
        <v>777860</v>
      </c>
      <c r="F343">
        <v>172025</v>
      </c>
      <c r="G343">
        <v>949885</v>
      </c>
      <c r="H343">
        <v>927</v>
      </c>
      <c r="I343">
        <v>19</v>
      </c>
      <c r="J343">
        <v>946</v>
      </c>
      <c r="K343" t="b">
        <f>TrafficData[[#This Row],[disposedChallan]]+TrafficData[[#This Row],[pendingChallan]]=TrafficData[[#This Row],[totalChallan]]</f>
        <v>1</v>
      </c>
      <c r="L343" t="b">
        <f>TrafficData[[#This Row],[pendingAmount]]+TrafficData[[#This Row],[disposedAmount]]=TrafficData[[#This Row],[totalAmount]]</f>
        <v>1</v>
      </c>
      <c r="M343" t="b">
        <f>TrafficData[[#This Row],[pendingCourt]]+TrafficData[[#This Row],[disposedCourt]]=TrafficData[[#This Row],[totalCourt]]</f>
        <v>1</v>
      </c>
      <c r="N343" s="8" t="b">
        <f>AND(TrafficData[[#This Row],[disposedChallan]]&lt;=TrafficData[[#This Row],[totalChallan]],TrafficData[[#This Row],[pendingChallan]]&lt;=TrafficData[[#This Row],[totalChallan]])</f>
        <v>1</v>
      </c>
      <c r="O343" s="8" t="b">
        <f>AND(TrafficData[[#This Row],[pendingAmount]]&lt;=TrafficData[[#This Row],[totalAmount]],TrafficData[[#This Row],[disposedAmount]]&lt;=TrafficData[[#This Row],[totalAmount]])</f>
        <v>1</v>
      </c>
      <c r="P343" s="8" t="b">
        <f>AND(TrafficData[[#This Row],[pendingCourt]]&lt;=TrafficData[[#This Row],[totalCourt]],TrafficData[[#This Row],[disposedCourt]]&lt;=TrafficData[[#This Row],[totalCourt]])</f>
        <v>1</v>
      </c>
    </row>
    <row r="344" spans="1:16">
      <c r="A344" s="1">
        <v>42347</v>
      </c>
      <c r="B344">
        <v>885</v>
      </c>
      <c r="C344">
        <v>122</v>
      </c>
      <c r="D344">
        <v>763</v>
      </c>
      <c r="E344">
        <v>785300</v>
      </c>
      <c r="F344">
        <v>285700</v>
      </c>
      <c r="G344">
        <v>1071000</v>
      </c>
      <c r="H344">
        <v>682</v>
      </c>
      <c r="I344">
        <v>49</v>
      </c>
      <c r="J344">
        <v>731</v>
      </c>
      <c r="K344" t="b">
        <f>TrafficData[[#This Row],[disposedChallan]]+TrafficData[[#This Row],[pendingChallan]]=TrafficData[[#This Row],[totalChallan]]</f>
        <v>1</v>
      </c>
      <c r="L344" t="b">
        <f>TrafficData[[#This Row],[pendingAmount]]+TrafficData[[#This Row],[disposedAmount]]=TrafficData[[#This Row],[totalAmount]]</f>
        <v>1</v>
      </c>
      <c r="M344" t="b">
        <f>TrafficData[[#This Row],[pendingCourt]]+TrafficData[[#This Row],[disposedCourt]]=TrafficData[[#This Row],[totalCourt]]</f>
        <v>1</v>
      </c>
      <c r="N344" s="8" t="b">
        <f>AND(TrafficData[[#This Row],[disposedChallan]]&lt;=TrafficData[[#This Row],[totalChallan]],TrafficData[[#This Row],[pendingChallan]]&lt;=TrafficData[[#This Row],[totalChallan]])</f>
        <v>1</v>
      </c>
      <c r="O344" s="8" t="b">
        <f>AND(TrafficData[[#This Row],[pendingAmount]]&lt;=TrafficData[[#This Row],[totalAmount]],TrafficData[[#This Row],[disposedAmount]]&lt;=TrafficData[[#This Row],[totalAmount]])</f>
        <v>1</v>
      </c>
      <c r="P344" s="8" t="b">
        <f>AND(TrafficData[[#This Row],[pendingCourt]]&lt;=TrafficData[[#This Row],[totalCourt]],TrafficData[[#This Row],[disposedCourt]]&lt;=TrafficData[[#This Row],[totalCourt]])</f>
        <v>1</v>
      </c>
    </row>
    <row r="345" spans="1:16">
      <c r="A345" s="1">
        <v>42348</v>
      </c>
      <c r="B345">
        <v>987</v>
      </c>
      <c r="C345">
        <v>101</v>
      </c>
      <c r="D345">
        <v>886</v>
      </c>
      <c r="E345">
        <v>768700</v>
      </c>
      <c r="F345">
        <v>114700</v>
      </c>
      <c r="G345">
        <v>883400</v>
      </c>
      <c r="H345">
        <v>781</v>
      </c>
      <c r="I345">
        <v>39</v>
      </c>
      <c r="J345">
        <v>820</v>
      </c>
      <c r="K345" t="b">
        <f>TrafficData[[#This Row],[disposedChallan]]+TrafficData[[#This Row],[pendingChallan]]=TrafficData[[#This Row],[totalChallan]]</f>
        <v>1</v>
      </c>
      <c r="L345" t="b">
        <f>TrafficData[[#This Row],[pendingAmount]]+TrafficData[[#This Row],[disposedAmount]]=TrafficData[[#This Row],[totalAmount]]</f>
        <v>1</v>
      </c>
      <c r="M345" t="b">
        <f>TrafficData[[#This Row],[pendingCourt]]+TrafficData[[#This Row],[disposedCourt]]=TrafficData[[#This Row],[totalCourt]]</f>
        <v>1</v>
      </c>
      <c r="N345" s="8" t="b">
        <f>AND(TrafficData[[#This Row],[disposedChallan]]&lt;=TrafficData[[#This Row],[totalChallan]],TrafficData[[#This Row],[pendingChallan]]&lt;=TrafficData[[#This Row],[totalChallan]])</f>
        <v>1</v>
      </c>
      <c r="O345" s="8" t="b">
        <f>AND(TrafficData[[#This Row],[pendingAmount]]&lt;=TrafficData[[#This Row],[totalAmount]],TrafficData[[#This Row],[disposedAmount]]&lt;=TrafficData[[#This Row],[totalAmount]])</f>
        <v>1</v>
      </c>
      <c r="P345" s="8" t="b">
        <f>AND(TrafficData[[#This Row],[pendingCourt]]&lt;=TrafficData[[#This Row],[totalCourt]],TrafficData[[#This Row],[disposedCourt]]&lt;=TrafficData[[#This Row],[totalCourt]])</f>
        <v>1</v>
      </c>
    </row>
    <row r="346" spans="1:16">
      <c r="A346" s="1">
        <v>42349</v>
      </c>
      <c r="B346">
        <v>1198</v>
      </c>
      <c r="C346">
        <v>113</v>
      </c>
      <c r="D346">
        <v>1085</v>
      </c>
      <c r="E346">
        <v>848350</v>
      </c>
      <c r="F346">
        <v>106650</v>
      </c>
      <c r="G346">
        <v>955000</v>
      </c>
      <c r="H346">
        <v>1028</v>
      </c>
      <c r="I346">
        <v>16</v>
      </c>
      <c r="J346">
        <v>1044</v>
      </c>
      <c r="K346" t="b">
        <f>TrafficData[[#This Row],[disposedChallan]]+TrafficData[[#This Row],[pendingChallan]]=TrafficData[[#This Row],[totalChallan]]</f>
        <v>1</v>
      </c>
      <c r="L346" t="b">
        <f>TrafficData[[#This Row],[pendingAmount]]+TrafficData[[#This Row],[disposedAmount]]=TrafficData[[#This Row],[totalAmount]]</f>
        <v>1</v>
      </c>
      <c r="M346" t="b">
        <f>TrafficData[[#This Row],[pendingCourt]]+TrafficData[[#This Row],[disposedCourt]]=TrafficData[[#This Row],[totalCourt]]</f>
        <v>1</v>
      </c>
      <c r="N346" s="8" t="b">
        <f>AND(TrafficData[[#This Row],[disposedChallan]]&lt;=TrafficData[[#This Row],[totalChallan]],TrafficData[[#This Row],[pendingChallan]]&lt;=TrafficData[[#This Row],[totalChallan]])</f>
        <v>1</v>
      </c>
      <c r="O346" s="8" t="b">
        <f>AND(TrafficData[[#This Row],[pendingAmount]]&lt;=TrafficData[[#This Row],[totalAmount]],TrafficData[[#This Row],[disposedAmount]]&lt;=TrafficData[[#This Row],[totalAmount]])</f>
        <v>1</v>
      </c>
      <c r="P346" s="8" t="b">
        <f>AND(TrafficData[[#This Row],[pendingCourt]]&lt;=TrafficData[[#This Row],[totalCourt]],TrafficData[[#This Row],[disposedCourt]]&lt;=TrafficData[[#This Row],[totalCourt]])</f>
        <v>1</v>
      </c>
    </row>
    <row r="347" spans="1:16">
      <c r="A347" s="1">
        <v>42350</v>
      </c>
      <c r="B347">
        <v>773</v>
      </c>
      <c r="C347">
        <v>81</v>
      </c>
      <c r="D347">
        <v>692</v>
      </c>
      <c r="E347">
        <v>527700</v>
      </c>
      <c r="F347">
        <v>63925</v>
      </c>
      <c r="G347">
        <v>591625</v>
      </c>
      <c r="H347">
        <v>632</v>
      </c>
      <c r="I347">
        <v>18</v>
      </c>
      <c r="J347">
        <v>650</v>
      </c>
      <c r="K347" t="b">
        <f>TrafficData[[#This Row],[disposedChallan]]+TrafficData[[#This Row],[pendingChallan]]=TrafficData[[#This Row],[totalChallan]]</f>
        <v>1</v>
      </c>
      <c r="L347" t="b">
        <f>TrafficData[[#This Row],[pendingAmount]]+TrafficData[[#This Row],[disposedAmount]]=TrafficData[[#This Row],[totalAmount]]</f>
        <v>1</v>
      </c>
      <c r="M347" t="b">
        <f>TrafficData[[#This Row],[pendingCourt]]+TrafficData[[#This Row],[disposedCourt]]=TrafficData[[#This Row],[totalCourt]]</f>
        <v>1</v>
      </c>
      <c r="N347" s="8" t="b">
        <f>AND(TrafficData[[#This Row],[disposedChallan]]&lt;=TrafficData[[#This Row],[totalChallan]],TrafficData[[#This Row],[pendingChallan]]&lt;=TrafficData[[#This Row],[totalChallan]])</f>
        <v>1</v>
      </c>
      <c r="O347" s="8" t="b">
        <f>AND(TrafficData[[#This Row],[pendingAmount]]&lt;=TrafficData[[#This Row],[totalAmount]],TrafficData[[#This Row],[disposedAmount]]&lt;=TrafficData[[#This Row],[totalAmount]])</f>
        <v>1</v>
      </c>
      <c r="P347" s="8" t="b">
        <f>AND(TrafficData[[#This Row],[pendingCourt]]&lt;=TrafficData[[#This Row],[totalCourt]],TrafficData[[#This Row],[disposedCourt]]&lt;=TrafficData[[#This Row],[totalCourt]])</f>
        <v>1</v>
      </c>
    </row>
    <row r="348" spans="1:16">
      <c r="A348" s="1">
        <v>42351</v>
      </c>
      <c r="B348">
        <v>560</v>
      </c>
      <c r="C348">
        <v>55</v>
      </c>
      <c r="D348">
        <v>505</v>
      </c>
      <c r="E348">
        <v>397300</v>
      </c>
      <c r="F348">
        <v>87550</v>
      </c>
      <c r="G348">
        <v>484850</v>
      </c>
      <c r="H348">
        <v>453</v>
      </c>
      <c r="I348">
        <v>18</v>
      </c>
      <c r="J348">
        <v>471</v>
      </c>
      <c r="K348" t="b">
        <f>TrafficData[[#This Row],[disposedChallan]]+TrafficData[[#This Row],[pendingChallan]]=TrafficData[[#This Row],[totalChallan]]</f>
        <v>1</v>
      </c>
      <c r="L348" t="b">
        <f>TrafficData[[#This Row],[pendingAmount]]+TrafficData[[#This Row],[disposedAmount]]=TrafficData[[#This Row],[totalAmount]]</f>
        <v>1</v>
      </c>
      <c r="M348" t="b">
        <f>TrafficData[[#This Row],[pendingCourt]]+TrafficData[[#This Row],[disposedCourt]]=TrafficData[[#This Row],[totalCourt]]</f>
        <v>1</v>
      </c>
      <c r="N348" s="8" t="b">
        <f>AND(TrafficData[[#This Row],[disposedChallan]]&lt;=TrafficData[[#This Row],[totalChallan]],TrafficData[[#This Row],[pendingChallan]]&lt;=TrafficData[[#This Row],[totalChallan]])</f>
        <v>1</v>
      </c>
      <c r="O348" s="8" t="b">
        <f>AND(TrafficData[[#This Row],[pendingAmount]]&lt;=TrafficData[[#This Row],[totalAmount]],TrafficData[[#This Row],[disposedAmount]]&lt;=TrafficData[[#This Row],[totalAmount]])</f>
        <v>1</v>
      </c>
      <c r="P348" s="8" t="b">
        <f>AND(TrafficData[[#This Row],[pendingCourt]]&lt;=TrafficData[[#This Row],[totalCourt]],TrafficData[[#This Row],[disposedCourt]]&lt;=TrafficData[[#This Row],[totalCourt]])</f>
        <v>1</v>
      </c>
    </row>
    <row r="349" spans="1:16">
      <c r="A349" s="1">
        <v>42352</v>
      </c>
      <c r="B349">
        <v>1112</v>
      </c>
      <c r="C349">
        <v>103</v>
      </c>
      <c r="D349">
        <v>1009</v>
      </c>
      <c r="E349">
        <v>752300</v>
      </c>
      <c r="F349">
        <v>66400</v>
      </c>
      <c r="G349">
        <v>818700</v>
      </c>
      <c r="H349">
        <v>945</v>
      </c>
      <c r="I349">
        <v>62</v>
      </c>
      <c r="J349">
        <v>1007</v>
      </c>
      <c r="K349" t="b">
        <f>TrafficData[[#This Row],[disposedChallan]]+TrafficData[[#This Row],[pendingChallan]]=TrafficData[[#This Row],[totalChallan]]</f>
        <v>1</v>
      </c>
      <c r="L349" t="b">
        <f>TrafficData[[#This Row],[pendingAmount]]+TrafficData[[#This Row],[disposedAmount]]=TrafficData[[#This Row],[totalAmount]]</f>
        <v>1</v>
      </c>
      <c r="M349" t="b">
        <f>TrafficData[[#This Row],[pendingCourt]]+TrafficData[[#This Row],[disposedCourt]]=TrafficData[[#This Row],[totalCourt]]</f>
        <v>1</v>
      </c>
      <c r="N349" s="8" t="b">
        <f>AND(TrafficData[[#This Row],[disposedChallan]]&lt;=TrafficData[[#This Row],[totalChallan]],TrafficData[[#This Row],[pendingChallan]]&lt;=TrafficData[[#This Row],[totalChallan]])</f>
        <v>1</v>
      </c>
      <c r="O349" s="8" t="b">
        <f>AND(TrafficData[[#This Row],[pendingAmount]]&lt;=TrafficData[[#This Row],[totalAmount]],TrafficData[[#This Row],[disposedAmount]]&lt;=TrafficData[[#This Row],[totalAmount]])</f>
        <v>1</v>
      </c>
      <c r="P349" s="8" t="b">
        <f>AND(TrafficData[[#This Row],[pendingCourt]]&lt;=TrafficData[[#This Row],[totalCourt]],TrafficData[[#This Row],[disposedCourt]]&lt;=TrafficData[[#This Row],[totalCourt]])</f>
        <v>1</v>
      </c>
    </row>
    <row r="350" spans="1:16">
      <c r="A350" s="1">
        <v>42353</v>
      </c>
      <c r="B350">
        <v>1034</v>
      </c>
      <c r="C350">
        <v>123</v>
      </c>
      <c r="D350">
        <v>911</v>
      </c>
      <c r="E350">
        <v>805650</v>
      </c>
      <c r="F350">
        <v>178650</v>
      </c>
      <c r="G350">
        <v>984300</v>
      </c>
      <c r="H350">
        <v>824</v>
      </c>
      <c r="I350">
        <v>67</v>
      </c>
      <c r="J350">
        <v>891</v>
      </c>
      <c r="K350" t="b">
        <f>TrafficData[[#This Row],[disposedChallan]]+TrafficData[[#This Row],[pendingChallan]]=TrafficData[[#This Row],[totalChallan]]</f>
        <v>1</v>
      </c>
      <c r="L350" t="b">
        <f>TrafficData[[#This Row],[pendingAmount]]+TrafficData[[#This Row],[disposedAmount]]=TrafficData[[#This Row],[totalAmount]]</f>
        <v>1</v>
      </c>
      <c r="M350" t="b">
        <f>TrafficData[[#This Row],[pendingCourt]]+TrafficData[[#This Row],[disposedCourt]]=TrafficData[[#This Row],[totalCourt]]</f>
        <v>1</v>
      </c>
      <c r="N350" s="8" t="b">
        <f>AND(TrafficData[[#This Row],[disposedChallan]]&lt;=TrafficData[[#This Row],[totalChallan]],TrafficData[[#This Row],[pendingChallan]]&lt;=TrafficData[[#This Row],[totalChallan]])</f>
        <v>1</v>
      </c>
      <c r="O350" s="8" t="b">
        <f>AND(TrafficData[[#This Row],[pendingAmount]]&lt;=TrafficData[[#This Row],[totalAmount]],TrafficData[[#This Row],[disposedAmount]]&lt;=TrafficData[[#This Row],[totalAmount]])</f>
        <v>1</v>
      </c>
      <c r="P350" s="8" t="b">
        <f>AND(TrafficData[[#This Row],[pendingCourt]]&lt;=TrafficData[[#This Row],[totalCourt]],TrafficData[[#This Row],[disposedCourt]]&lt;=TrafficData[[#This Row],[totalCourt]])</f>
        <v>1</v>
      </c>
    </row>
    <row r="351" spans="1:16">
      <c r="A351" s="1">
        <v>42354</v>
      </c>
      <c r="B351">
        <v>1010</v>
      </c>
      <c r="C351">
        <v>104</v>
      </c>
      <c r="D351">
        <v>906</v>
      </c>
      <c r="E351">
        <v>1168000</v>
      </c>
      <c r="F351">
        <v>162500</v>
      </c>
      <c r="G351">
        <v>1330500</v>
      </c>
      <c r="H351">
        <v>813</v>
      </c>
      <c r="I351">
        <v>17</v>
      </c>
      <c r="J351">
        <v>830</v>
      </c>
      <c r="K351" t="b">
        <f>TrafficData[[#This Row],[disposedChallan]]+TrafficData[[#This Row],[pendingChallan]]=TrafficData[[#This Row],[totalChallan]]</f>
        <v>1</v>
      </c>
      <c r="L351" t="b">
        <f>TrafficData[[#This Row],[pendingAmount]]+TrafficData[[#This Row],[disposedAmount]]=TrafficData[[#This Row],[totalAmount]]</f>
        <v>1</v>
      </c>
      <c r="M351" t="b">
        <f>TrafficData[[#This Row],[pendingCourt]]+TrafficData[[#This Row],[disposedCourt]]=TrafficData[[#This Row],[totalCourt]]</f>
        <v>1</v>
      </c>
      <c r="N351" s="8" t="b">
        <f>AND(TrafficData[[#This Row],[disposedChallan]]&lt;=TrafficData[[#This Row],[totalChallan]],TrafficData[[#This Row],[pendingChallan]]&lt;=TrafficData[[#This Row],[totalChallan]])</f>
        <v>1</v>
      </c>
      <c r="O351" s="8" t="b">
        <f>AND(TrafficData[[#This Row],[pendingAmount]]&lt;=TrafficData[[#This Row],[totalAmount]],TrafficData[[#This Row],[disposedAmount]]&lt;=TrafficData[[#This Row],[totalAmount]])</f>
        <v>1</v>
      </c>
      <c r="P351" s="8" t="b">
        <f>AND(TrafficData[[#This Row],[pendingCourt]]&lt;=TrafficData[[#This Row],[totalCourt]],TrafficData[[#This Row],[disposedCourt]]&lt;=TrafficData[[#This Row],[totalCourt]])</f>
        <v>1</v>
      </c>
    </row>
    <row r="352" spans="1:16">
      <c r="A352" s="1">
        <v>42355</v>
      </c>
      <c r="B352">
        <v>862</v>
      </c>
      <c r="C352">
        <v>100</v>
      </c>
      <c r="D352">
        <v>762</v>
      </c>
      <c r="E352">
        <v>1009720</v>
      </c>
      <c r="F352">
        <v>159960</v>
      </c>
      <c r="G352">
        <v>1169680</v>
      </c>
      <c r="H352">
        <v>658</v>
      </c>
      <c r="I352">
        <v>37</v>
      </c>
      <c r="J352">
        <v>695</v>
      </c>
      <c r="K352" t="b">
        <f>TrafficData[[#This Row],[disposedChallan]]+TrafficData[[#This Row],[pendingChallan]]=TrafficData[[#This Row],[totalChallan]]</f>
        <v>1</v>
      </c>
      <c r="L352" t="b">
        <f>TrafficData[[#This Row],[pendingAmount]]+TrafficData[[#This Row],[disposedAmount]]=TrafficData[[#This Row],[totalAmount]]</f>
        <v>1</v>
      </c>
      <c r="M352" t="b">
        <f>TrafficData[[#This Row],[pendingCourt]]+TrafficData[[#This Row],[disposedCourt]]=TrafficData[[#This Row],[totalCourt]]</f>
        <v>1</v>
      </c>
      <c r="N352" s="8" t="b">
        <f>AND(TrafficData[[#This Row],[disposedChallan]]&lt;=TrafficData[[#This Row],[totalChallan]],TrafficData[[#This Row],[pendingChallan]]&lt;=TrafficData[[#This Row],[totalChallan]])</f>
        <v>1</v>
      </c>
      <c r="O352" s="8" t="b">
        <f>AND(TrafficData[[#This Row],[pendingAmount]]&lt;=TrafficData[[#This Row],[totalAmount]],TrafficData[[#This Row],[disposedAmount]]&lt;=TrafficData[[#This Row],[totalAmount]])</f>
        <v>1</v>
      </c>
      <c r="P352" s="8" t="b">
        <f>AND(TrafficData[[#This Row],[pendingCourt]]&lt;=TrafficData[[#This Row],[totalCourt]],TrafficData[[#This Row],[disposedCourt]]&lt;=TrafficData[[#This Row],[totalCourt]])</f>
        <v>1</v>
      </c>
    </row>
    <row r="353" spans="1:16">
      <c r="A353" s="1">
        <v>42356</v>
      </c>
      <c r="B353">
        <v>1207</v>
      </c>
      <c r="C353">
        <v>165</v>
      </c>
      <c r="D353">
        <v>1042</v>
      </c>
      <c r="E353">
        <v>1377555</v>
      </c>
      <c r="F353">
        <v>335850</v>
      </c>
      <c r="G353">
        <v>1713405</v>
      </c>
      <c r="H353">
        <v>881</v>
      </c>
      <c r="I353">
        <v>61</v>
      </c>
      <c r="J353">
        <v>942</v>
      </c>
      <c r="K353" t="b">
        <f>TrafficData[[#This Row],[disposedChallan]]+TrafficData[[#This Row],[pendingChallan]]=TrafficData[[#This Row],[totalChallan]]</f>
        <v>1</v>
      </c>
      <c r="L353" t="b">
        <f>TrafficData[[#This Row],[pendingAmount]]+TrafficData[[#This Row],[disposedAmount]]=TrafficData[[#This Row],[totalAmount]]</f>
        <v>1</v>
      </c>
      <c r="M353" t="b">
        <f>TrafficData[[#This Row],[pendingCourt]]+TrafficData[[#This Row],[disposedCourt]]=TrafficData[[#This Row],[totalCourt]]</f>
        <v>1</v>
      </c>
      <c r="N353" s="8" t="b">
        <f>AND(TrafficData[[#This Row],[disposedChallan]]&lt;=TrafficData[[#This Row],[totalChallan]],TrafficData[[#This Row],[pendingChallan]]&lt;=TrafficData[[#This Row],[totalChallan]])</f>
        <v>1</v>
      </c>
      <c r="O353" s="8" t="b">
        <f>AND(TrafficData[[#This Row],[pendingAmount]]&lt;=TrafficData[[#This Row],[totalAmount]],TrafficData[[#This Row],[disposedAmount]]&lt;=TrafficData[[#This Row],[totalAmount]])</f>
        <v>1</v>
      </c>
      <c r="P353" s="8" t="b">
        <f>AND(TrafficData[[#This Row],[pendingCourt]]&lt;=TrafficData[[#This Row],[totalCourt]],TrafficData[[#This Row],[disposedCourt]]&lt;=TrafficData[[#This Row],[totalCourt]])</f>
        <v>1</v>
      </c>
    </row>
    <row r="354" spans="1:16">
      <c r="A354" s="1">
        <v>42357</v>
      </c>
      <c r="B354">
        <v>1052</v>
      </c>
      <c r="C354">
        <v>126</v>
      </c>
      <c r="D354">
        <v>926</v>
      </c>
      <c r="E354">
        <v>770040</v>
      </c>
      <c r="F354">
        <v>227550</v>
      </c>
      <c r="G354">
        <v>997590</v>
      </c>
      <c r="H354">
        <v>803</v>
      </c>
      <c r="I354">
        <v>27</v>
      </c>
      <c r="J354">
        <v>830</v>
      </c>
      <c r="K354" t="b">
        <f>TrafficData[[#This Row],[disposedChallan]]+TrafficData[[#This Row],[pendingChallan]]=TrafficData[[#This Row],[totalChallan]]</f>
        <v>1</v>
      </c>
      <c r="L354" t="b">
        <f>TrafficData[[#This Row],[pendingAmount]]+TrafficData[[#This Row],[disposedAmount]]=TrafficData[[#This Row],[totalAmount]]</f>
        <v>1</v>
      </c>
      <c r="M354" t="b">
        <f>TrafficData[[#This Row],[pendingCourt]]+TrafficData[[#This Row],[disposedCourt]]=TrafficData[[#This Row],[totalCourt]]</f>
        <v>1</v>
      </c>
      <c r="N354" s="8" t="b">
        <f>AND(TrafficData[[#This Row],[disposedChallan]]&lt;=TrafficData[[#This Row],[totalChallan]],TrafficData[[#This Row],[pendingChallan]]&lt;=TrafficData[[#This Row],[totalChallan]])</f>
        <v>1</v>
      </c>
      <c r="O354" s="8" t="b">
        <f>AND(TrafficData[[#This Row],[pendingAmount]]&lt;=TrafficData[[#This Row],[totalAmount]],TrafficData[[#This Row],[disposedAmount]]&lt;=TrafficData[[#This Row],[totalAmount]])</f>
        <v>1</v>
      </c>
      <c r="P354" s="8" t="b">
        <f>AND(TrafficData[[#This Row],[pendingCourt]]&lt;=TrafficData[[#This Row],[totalCourt]],TrafficData[[#This Row],[disposedCourt]]&lt;=TrafficData[[#This Row],[totalCourt]])</f>
        <v>1</v>
      </c>
    </row>
    <row r="355" spans="1:16">
      <c r="A355" s="1">
        <v>42358</v>
      </c>
      <c r="B355">
        <v>750</v>
      </c>
      <c r="C355">
        <v>80</v>
      </c>
      <c r="D355">
        <v>670</v>
      </c>
      <c r="E355">
        <v>353460</v>
      </c>
      <c r="F355">
        <v>91900</v>
      </c>
      <c r="G355">
        <v>445360</v>
      </c>
      <c r="H355">
        <v>629</v>
      </c>
      <c r="I355">
        <v>45</v>
      </c>
      <c r="J355">
        <v>674</v>
      </c>
      <c r="K355" t="b">
        <f>TrafficData[[#This Row],[disposedChallan]]+TrafficData[[#This Row],[pendingChallan]]=TrafficData[[#This Row],[totalChallan]]</f>
        <v>1</v>
      </c>
      <c r="L355" t="b">
        <f>TrafficData[[#This Row],[pendingAmount]]+TrafficData[[#This Row],[disposedAmount]]=TrafficData[[#This Row],[totalAmount]]</f>
        <v>1</v>
      </c>
      <c r="M355" t="b">
        <f>TrafficData[[#This Row],[pendingCourt]]+TrafficData[[#This Row],[disposedCourt]]=TrafficData[[#This Row],[totalCourt]]</f>
        <v>1</v>
      </c>
      <c r="N355" s="8" t="b">
        <f>AND(TrafficData[[#This Row],[disposedChallan]]&lt;=TrafficData[[#This Row],[totalChallan]],TrafficData[[#This Row],[pendingChallan]]&lt;=TrafficData[[#This Row],[totalChallan]])</f>
        <v>1</v>
      </c>
      <c r="O355" s="8" t="b">
        <f>AND(TrafficData[[#This Row],[pendingAmount]]&lt;=TrafficData[[#This Row],[totalAmount]],TrafficData[[#This Row],[disposedAmount]]&lt;=TrafficData[[#This Row],[totalAmount]])</f>
        <v>1</v>
      </c>
      <c r="P355" s="8" t="b">
        <f>AND(TrafficData[[#This Row],[pendingCourt]]&lt;=TrafficData[[#This Row],[totalCourt]],TrafficData[[#This Row],[disposedCourt]]&lt;=TrafficData[[#This Row],[totalCourt]])</f>
        <v>1</v>
      </c>
    </row>
    <row r="356" spans="1:16">
      <c r="A356" s="1">
        <v>42359</v>
      </c>
      <c r="B356">
        <v>1078</v>
      </c>
      <c r="C356">
        <v>101</v>
      </c>
      <c r="D356">
        <v>977</v>
      </c>
      <c r="E356">
        <v>614200</v>
      </c>
      <c r="F356">
        <v>110400</v>
      </c>
      <c r="G356">
        <v>724600</v>
      </c>
      <c r="H356">
        <v>872</v>
      </c>
      <c r="I356">
        <v>46</v>
      </c>
      <c r="J356">
        <v>918</v>
      </c>
      <c r="K356" t="b">
        <f>TrafficData[[#This Row],[disposedChallan]]+TrafficData[[#This Row],[pendingChallan]]=TrafficData[[#This Row],[totalChallan]]</f>
        <v>1</v>
      </c>
      <c r="L356" t="b">
        <f>TrafficData[[#This Row],[pendingAmount]]+TrafficData[[#This Row],[disposedAmount]]=TrafficData[[#This Row],[totalAmount]]</f>
        <v>1</v>
      </c>
      <c r="M356" t="b">
        <f>TrafficData[[#This Row],[pendingCourt]]+TrafficData[[#This Row],[disposedCourt]]=TrafficData[[#This Row],[totalCourt]]</f>
        <v>1</v>
      </c>
      <c r="N356" s="8" t="b">
        <f>AND(TrafficData[[#This Row],[disposedChallan]]&lt;=TrafficData[[#This Row],[totalChallan]],TrafficData[[#This Row],[pendingChallan]]&lt;=TrafficData[[#This Row],[totalChallan]])</f>
        <v>1</v>
      </c>
      <c r="O356" s="8" t="b">
        <f>AND(TrafficData[[#This Row],[pendingAmount]]&lt;=TrafficData[[#This Row],[totalAmount]],TrafficData[[#This Row],[disposedAmount]]&lt;=TrafficData[[#This Row],[totalAmount]])</f>
        <v>1</v>
      </c>
      <c r="P356" s="8" t="b">
        <f>AND(TrafficData[[#This Row],[pendingCourt]]&lt;=TrafficData[[#This Row],[totalCourt]],TrafficData[[#This Row],[disposedCourt]]&lt;=TrafficData[[#This Row],[totalCourt]])</f>
        <v>1</v>
      </c>
    </row>
    <row r="357" spans="1:16">
      <c r="A357" s="1">
        <v>42360</v>
      </c>
      <c r="B357">
        <v>1114</v>
      </c>
      <c r="C357">
        <v>141</v>
      </c>
      <c r="D357">
        <v>973</v>
      </c>
      <c r="E357">
        <v>834450</v>
      </c>
      <c r="F357">
        <v>284550</v>
      </c>
      <c r="G357">
        <v>1119000</v>
      </c>
      <c r="H357">
        <v>889</v>
      </c>
      <c r="I357">
        <v>17</v>
      </c>
      <c r="J357">
        <v>906</v>
      </c>
      <c r="K357" t="b">
        <f>TrafficData[[#This Row],[disposedChallan]]+TrafficData[[#This Row],[pendingChallan]]=TrafficData[[#This Row],[totalChallan]]</f>
        <v>1</v>
      </c>
      <c r="L357" t="b">
        <f>TrafficData[[#This Row],[pendingAmount]]+TrafficData[[#This Row],[disposedAmount]]=TrafficData[[#This Row],[totalAmount]]</f>
        <v>1</v>
      </c>
      <c r="M357" t="b">
        <f>TrafficData[[#This Row],[pendingCourt]]+TrafficData[[#This Row],[disposedCourt]]=TrafficData[[#This Row],[totalCourt]]</f>
        <v>1</v>
      </c>
      <c r="N357" s="8" t="b">
        <f>AND(TrafficData[[#This Row],[disposedChallan]]&lt;=TrafficData[[#This Row],[totalChallan]],TrafficData[[#This Row],[pendingChallan]]&lt;=TrafficData[[#This Row],[totalChallan]])</f>
        <v>1</v>
      </c>
      <c r="O357" s="8" t="b">
        <f>AND(TrafficData[[#This Row],[pendingAmount]]&lt;=TrafficData[[#This Row],[totalAmount]],TrafficData[[#This Row],[disposedAmount]]&lt;=TrafficData[[#This Row],[totalAmount]])</f>
        <v>1</v>
      </c>
      <c r="P357" s="8" t="b">
        <f>AND(TrafficData[[#This Row],[pendingCourt]]&lt;=TrafficData[[#This Row],[totalCourt]],TrafficData[[#This Row],[disposedCourt]]&lt;=TrafficData[[#This Row],[totalCourt]])</f>
        <v>1</v>
      </c>
    </row>
    <row r="358" spans="1:16">
      <c r="A358" s="1">
        <v>42361</v>
      </c>
      <c r="B358">
        <v>1109</v>
      </c>
      <c r="C358">
        <v>122</v>
      </c>
      <c r="D358">
        <v>987</v>
      </c>
      <c r="E358">
        <v>689245</v>
      </c>
      <c r="F358">
        <v>150850</v>
      </c>
      <c r="G358">
        <v>840095</v>
      </c>
      <c r="H358">
        <v>916</v>
      </c>
      <c r="I358">
        <v>21</v>
      </c>
      <c r="J358">
        <v>937</v>
      </c>
      <c r="K358" t="b">
        <f>TrafficData[[#This Row],[disposedChallan]]+TrafficData[[#This Row],[pendingChallan]]=TrafficData[[#This Row],[totalChallan]]</f>
        <v>1</v>
      </c>
      <c r="L358" t="b">
        <f>TrafficData[[#This Row],[pendingAmount]]+TrafficData[[#This Row],[disposedAmount]]=TrafficData[[#This Row],[totalAmount]]</f>
        <v>1</v>
      </c>
      <c r="M358" t="b">
        <f>TrafficData[[#This Row],[pendingCourt]]+TrafficData[[#This Row],[disposedCourt]]=TrafficData[[#This Row],[totalCourt]]</f>
        <v>1</v>
      </c>
      <c r="N358" s="8" t="b">
        <f>AND(TrafficData[[#This Row],[disposedChallan]]&lt;=TrafficData[[#This Row],[totalChallan]],TrafficData[[#This Row],[pendingChallan]]&lt;=TrafficData[[#This Row],[totalChallan]])</f>
        <v>1</v>
      </c>
      <c r="O358" s="8" t="b">
        <f>AND(TrafficData[[#This Row],[pendingAmount]]&lt;=TrafficData[[#This Row],[totalAmount]],TrafficData[[#This Row],[disposedAmount]]&lt;=TrafficData[[#This Row],[totalAmount]])</f>
        <v>1</v>
      </c>
      <c r="P358" s="8" t="b">
        <f>AND(TrafficData[[#This Row],[pendingCourt]]&lt;=TrafficData[[#This Row],[totalCourt]],TrafficData[[#This Row],[disposedCourt]]&lt;=TrafficData[[#This Row],[totalCourt]])</f>
        <v>1</v>
      </c>
    </row>
    <row r="359" spans="1:16">
      <c r="A359" s="1">
        <v>42362</v>
      </c>
      <c r="B359">
        <v>761</v>
      </c>
      <c r="C359">
        <v>92</v>
      </c>
      <c r="D359">
        <v>669</v>
      </c>
      <c r="E359">
        <v>458975</v>
      </c>
      <c r="F359">
        <v>109800</v>
      </c>
      <c r="G359">
        <v>568775</v>
      </c>
      <c r="H359">
        <v>613</v>
      </c>
      <c r="I359">
        <v>42</v>
      </c>
      <c r="J359">
        <v>655</v>
      </c>
      <c r="K359" t="b">
        <f>TrafficData[[#This Row],[disposedChallan]]+TrafficData[[#This Row],[pendingChallan]]=TrafficData[[#This Row],[totalChallan]]</f>
        <v>1</v>
      </c>
      <c r="L359" t="b">
        <f>TrafficData[[#This Row],[pendingAmount]]+TrafficData[[#This Row],[disposedAmount]]=TrafficData[[#This Row],[totalAmount]]</f>
        <v>1</v>
      </c>
      <c r="M359" t="b">
        <f>TrafficData[[#This Row],[pendingCourt]]+TrafficData[[#This Row],[disposedCourt]]=TrafficData[[#This Row],[totalCourt]]</f>
        <v>1</v>
      </c>
      <c r="N359" s="8" t="b">
        <f>AND(TrafficData[[#This Row],[disposedChallan]]&lt;=TrafficData[[#This Row],[totalChallan]],TrafficData[[#This Row],[pendingChallan]]&lt;=TrafficData[[#This Row],[totalChallan]])</f>
        <v>1</v>
      </c>
      <c r="O359" s="8" t="b">
        <f>AND(TrafficData[[#This Row],[pendingAmount]]&lt;=TrafficData[[#This Row],[totalAmount]],TrafficData[[#This Row],[disposedAmount]]&lt;=TrafficData[[#This Row],[totalAmount]])</f>
        <v>1</v>
      </c>
      <c r="P359" s="8" t="b">
        <f>AND(TrafficData[[#This Row],[pendingCourt]]&lt;=TrafficData[[#This Row],[totalCourt]],TrafficData[[#This Row],[disposedCourt]]&lt;=TrafficData[[#This Row],[totalCourt]])</f>
        <v>1</v>
      </c>
    </row>
    <row r="360" spans="1:16">
      <c r="A360" s="1">
        <v>42363</v>
      </c>
      <c r="B360">
        <v>804</v>
      </c>
      <c r="C360">
        <v>89</v>
      </c>
      <c r="D360">
        <v>715</v>
      </c>
      <c r="E360">
        <v>346550</v>
      </c>
      <c r="F360">
        <v>75700</v>
      </c>
      <c r="G360">
        <v>422250</v>
      </c>
      <c r="H360">
        <v>659</v>
      </c>
      <c r="I360">
        <v>47</v>
      </c>
      <c r="J360">
        <v>706</v>
      </c>
      <c r="K360" t="b">
        <f>TrafficData[[#This Row],[disposedChallan]]+TrafficData[[#This Row],[pendingChallan]]=TrafficData[[#This Row],[totalChallan]]</f>
        <v>1</v>
      </c>
      <c r="L360" t="b">
        <f>TrafficData[[#This Row],[pendingAmount]]+TrafficData[[#This Row],[disposedAmount]]=TrafficData[[#This Row],[totalAmount]]</f>
        <v>1</v>
      </c>
      <c r="M360" t="b">
        <f>TrafficData[[#This Row],[pendingCourt]]+TrafficData[[#This Row],[disposedCourt]]=TrafficData[[#This Row],[totalCourt]]</f>
        <v>1</v>
      </c>
      <c r="N360" s="8" t="b">
        <f>AND(TrafficData[[#This Row],[disposedChallan]]&lt;=TrafficData[[#This Row],[totalChallan]],TrafficData[[#This Row],[pendingChallan]]&lt;=TrafficData[[#This Row],[totalChallan]])</f>
        <v>1</v>
      </c>
      <c r="O360" s="8" t="b">
        <f>AND(TrafficData[[#This Row],[pendingAmount]]&lt;=TrafficData[[#This Row],[totalAmount]],TrafficData[[#This Row],[disposedAmount]]&lt;=TrafficData[[#This Row],[totalAmount]])</f>
        <v>1</v>
      </c>
      <c r="P360" s="8" t="b">
        <f>AND(TrafficData[[#This Row],[pendingCourt]]&lt;=TrafficData[[#This Row],[totalCourt]],TrafficData[[#This Row],[disposedCourt]]&lt;=TrafficData[[#This Row],[totalCourt]])</f>
        <v>1</v>
      </c>
    </row>
    <row r="361" spans="1:16">
      <c r="A361" s="1">
        <v>42364</v>
      </c>
      <c r="B361">
        <v>940</v>
      </c>
      <c r="C361">
        <v>110</v>
      </c>
      <c r="D361">
        <v>830</v>
      </c>
      <c r="E361">
        <v>814000</v>
      </c>
      <c r="F361">
        <v>84069</v>
      </c>
      <c r="G361">
        <v>898069</v>
      </c>
      <c r="H361">
        <v>771</v>
      </c>
      <c r="I361">
        <v>66</v>
      </c>
      <c r="J361">
        <v>837</v>
      </c>
      <c r="K361" t="b">
        <f>TrafficData[[#This Row],[disposedChallan]]+TrafficData[[#This Row],[pendingChallan]]=TrafficData[[#This Row],[totalChallan]]</f>
        <v>1</v>
      </c>
      <c r="L361" t="b">
        <f>TrafficData[[#This Row],[pendingAmount]]+TrafficData[[#This Row],[disposedAmount]]=TrafficData[[#This Row],[totalAmount]]</f>
        <v>1</v>
      </c>
      <c r="M361" t="b">
        <f>TrafficData[[#This Row],[pendingCourt]]+TrafficData[[#This Row],[disposedCourt]]=TrafficData[[#This Row],[totalCourt]]</f>
        <v>1</v>
      </c>
      <c r="N361" s="8" t="b">
        <f>AND(TrafficData[[#This Row],[disposedChallan]]&lt;=TrafficData[[#This Row],[totalChallan]],TrafficData[[#This Row],[pendingChallan]]&lt;=TrafficData[[#This Row],[totalChallan]])</f>
        <v>1</v>
      </c>
      <c r="O361" s="8" t="b">
        <f>AND(TrafficData[[#This Row],[pendingAmount]]&lt;=TrafficData[[#This Row],[totalAmount]],TrafficData[[#This Row],[disposedAmount]]&lt;=TrafficData[[#This Row],[totalAmount]])</f>
        <v>1</v>
      </c>
      <c r="P361" s="8" t="b">
        <f>AND(TrafficData[[#This Row],[pendingCourt]]&lt;=TrafficData[[#This Row],[totalCourt]],TrafficData[[#This Row],[disposedCourt]]&lt;=TrafficData[[#This Row],[totalCourt]])</f>
        <v>1</v>
      </c>
    </row>
    <row r="362" spans="1:16">
      <c r="A362" s="1">
        <v>42365</v>
      </c>
      <c r="B362">
        <v>667</v>
      </c>
      <c r="C362">
        <v>94</v>
      </c>
      <c r="D362">
        <v>573</v>
      </c>
      <c r="E362">
        <v>483100</v>
      </c>
      <c r="F362">
        <v>102627</v>
      </c>
      <c r="G362">
        <v>585727</v>
      </c>
      <c r="H362">
        <v>505</v>
      </c>
      <c r="I362">
        <v>20</v>
      </c>
      <c r="J362">
        <v>525</v>
      </c>
      <c r="K362" t="b">
        <f>TrafficData[[#This Row],[disposedChallan]]+TrafficData[[#This Row],[pendingChallan]]=TrafficData[[#This Row],[totalChallan]]</f>
        <v>1</v>
      </c>
      <c r="L362" t="b">
        <f>TrafficData[[#This Row],[pendingAmount]]+TrafficData[[#This Row],[disposedAmount]]=TrafficData[[#This Row],[totalAmount]]</f>
        <v>1</v>
      </c>
      <c r="M362" t="b">
        <f>TrafficData[[#This Row],[pendingCourt]]+TrafficData[[#This Row],[disposedCourt]]=TrafficData[[#This Row],[totalCourt]]</f>
        <v>1</v>
      </c>
      <c r="N362" s="8" t="b">
        <f>AND(TrafficData[[#This Row],[disposedChallan]]&lt;=TrafficData[[#This Row],[totalChallan]],TrafficData[[#This Row],[pendingChallan]]&lt;=TrafficData[[#This Row],[totalChallan]])</f>
        <v>1</v>
      </c>
      <c r="O362" s="8" t="b">
        <f>AND(TrafficData[[#This Row],[pendingAmount]]&lt;=TrafficData[[#This Row],[totalAmount]],TrafficData[[#This Row],[disposedAmount]]&lt;=TrafficData[[#This Row],[totalAmount]])</f>
        <v>1</v>
      </c>
      <c r="P362" s="8" t="b">
        <f>AND(TrafficData[[#This Row],[pendingCourt]]&lt;=TrafficData[[#This Row],[totalCourt]],TrafficData[[#This Row],[disposedCourt]]&lt;=TrafficData[[#This Row],[totalCourt]])</f>
        <v>1</v>
      </c>
    </row>
    <row r="363" spans="1:16">
      <c r="A363" s="1">
        <v>42366</v>
      </c>
      <c r="B363">
        <v>960</v>
      </c>
      <c r="C363">
        <v>112</v>
      </c>
      <c r="D363">
        <v>848</v>
      </c>
      <c r="E363">
        <v>786475</v>
      </c>
      <c r="F363">
        <v>157500</v>
      </c>
      <c r="G363">
        <v>943975</v>
      </c>
      <c r="H363">
        <v>749</v>
      </c>
      <c r="I363">
        <v>20</v>
      </c>
      <c r="J363">
        <v>769</v>
      </c>
      <c r="K363" t="b">
        <f>TrafficData[[#This Row],[disposedChallan]]+TrafficData[[#This Row],[pendingChallan]]=TrafficData[[#This Row],[totalChallan]]</f>
        <v>1</v>
      </c>
      <c r="L363" t="b">
        <f>TrafficData[[#This Row],[pendingAmount]]+TrafficData[[#This Row],[disposedAmount]]=TrafficData[[#This Row],[totalAmount]]</f>
        <v>1</v>
      </c>
      <c r="M363" t="b">
        <f>TrafficData[[#This Row],[pendingCourt]]+TrafficData[[#This Row],[disposedCourt]]=TrafficData[[#This Row],[totalCourt]]</f>
        <v>1</v>
      </c>
      <c r="N363" s="8" t="b">
        <f>AND(TrafficData[[#This Row],[disposedChallan]]&lt;=TrafficData[[#This Row],[totalChallan]],TrafficData[[#This Row],[pendingChallan]]&lt;=TrafficData[[#This Row],[totalChallan]])</f>
        <v>1</v>
      </c>
      <c r="O363" s="8" t="b">
        <f>AND(TrafficData[[#This Row],[pendingAmount]]&lt;=TrafficData[[#This Row],[totalAmount]],TrafficData[[#This Row],[disposedAmount]]&lt;=TrafficData[[#This Row],[totalAmount]])</f>
        <v>1</v>
      </c>
      <c r="P363" s="8" t="b">
        <f>AND(TrafficData[[#This Row],[pendingCourt]]&lt;=TrafficData[[#This Row],[totalCourt]],TrafficData[[#This Row],[disposedCourt]]&lt;=TrafficData[[#This Row],[totalCourt]])</f>
        <v>1</v>
      </c>
    </row>
    <row r="364" spans="1:16">
      <c r="A364" s="1">
        <v>42367</v>
      </c>
      <c r="B364">
        <v>887</v>
      </c>
      <c r="C364">
        <v>70</v>
      </c>
      <c r="D364">
        <v>817</v>
      </c>
      <c r="E364">
        <v>695025</v>
      </c>
      <c r="F364">
        <v>116894</v>
      </c>
      <c r="G364">
        <v>811919</v>
      </c>
      <c r="H364">
        <v>740</v>
      </c>
      <c r="I364">
        <v>36</v>
      </c>
      <c r="J364">
        <v>776</v>
      </c>
      <c r="K364" t="b">
        <f>TrafficData[[#This Row],[disposedChallan]]+TrafficData[[#This Row],[pendingChallan]]=TrafficData[[#This Row],[totalChallan]]</f>
        <v>1</v>
      </c>
      <c r="L364" t="b">
        <f>TrafficData[[#This Row],[pendingAmount]]+TrafficData[[#This Row],[disposedAmount]]=TrafficData[[#This Row],[totalAmount]]</f>
        <v>1</v>
      </c>
      <c r="M364" t="b">
        <f>TrafficData[[#This Row],[pendingCourt]]+TrafficData[[#This Row],[disposedCourt]]=TrafficData[[#This Row],[totalCourt]]</f>
        <v>1</v>
      </c>
      <c r="N364" s="8" t="b">
        <f>AND(TrafficData[[#This Row],[disposedChallan]]&lt;=TrafficData[[#This Row],[totalChallan]],TrafficData[[#This Row],[pendingChallan]]&lt;=TrafficData[[#This Row],[totalChallan]])</f>
        <v>1</v>
      </c>
      <c r="O364" s="8" t="b">
        <f>AND(TrafficData[[#This Row],[pendingAmount]]&lt;=TrafficData[[#This Row],[totalAmount]],TrafficData[[#This Row],[disposedAmount]]&lt;=TrafficData[[#This Row],[totalAmount]])</f>
        <v>1</v>
      </c>
      <c r="P364" s="8" t="b">
        <f>AND(TrafficData[[#This Row],[pendingCourt]]&lt;=TrafficData[[#This Row],[totalCourt]],TrafficData[[#This Row],[disposedCourt]]&lt;=TrafficData[[#This Row],[totalCourt]])</f>
        <v>1</v>
      </c>
    </row>
    <row r="365" spans="1:16">
      <c r="A365" s="1">
        <v>42368</v>
      </c>
      <c r="B365">
        <v>832</v>
      </c>
      <c r="C365">
        <v>124</v>
      </c>
      <c r="D365">
        <v>708</v>
      </c>
      <c r="E365">
        <v>548200</v>
      </c>
      <c r="F365">
        <v>186675</v>
      </c>
      <c r="G365">
        <v>734875</v>
      </c>
      <c r="H365">
        <v>627</v>
      </c>
      <c r="I365">
        <v>63</v>
      </c>
      <c r="J365">
        <v>690</v>
      </c>
      <c r="K365" t="b">
        <f>TrafficData[[#This Row],[disposedChallan]]+TrafficData[[#This Row],[pendingChallan]]=TrafficData[[#This Row],[totalChallan]]</f>
        <v>1</v>
      </c>
      <c r="L365" t="b">
        <f>TrafficData[[#This Row],[pendingAmount]]+TrafficData[[#This Row],[disposedAmount]]=TrafficData[[#This Row],[totalAmount]]</f>
        <v>1</v>
      </c>
      <c r="M365" t="b">
        <f>TrafficData[[#This Row],[pendingCourt]]+TrafficData[[#This Row],[disposedCourt]]=TrafficData[[#This Row],[totalCourt]]</f>
        <v>1</v>
      </c>
      <c r="N365" s="8" t="b">
        <f>AND(TrafficData[[#This Row],[disposedChallan]]&lt;=TrafficData[[#This Row],[totalChallan]],TrafficData[[#This Row],[pendingChallan]]&lt;=TrafficData[[#This Row],[totalChallan]])</f>
        <v>1</v>
      </c>
      <c r="O365" s="8" t="b">
        <f>AND(TrafficData[[#This Row],[pendingAmount]]&lt;=TrafficData[[#This Row],[totalAmount]],TrafficData[[#This Row],[disposedAmount]]&lt;=TrafficData[[#This Row],[totalAmount]])</f>
        <v>1</v>
      </c>
      <c r="P365" s="8" t="b">
        <f>AND(TrafficData[[#This Row],[pendingCourt]]&lt;=TrafficData[[#This Row],[totalCourt]],TrafficData[[#This Row],[disposedCourt]]&lt;=TrafficData[[#This Row],[totalCourt]])</f>
        <v>1</v>
      </c>
    </row>
    <row r="366" spans="1:16">
      <c r="A366" s="1">
        <v>42369</v>
      </c>
      <c r="B366">
        <v>667</v>
      </c>
      <c r="C366">
        <v>90</v>
      </c>
      <c r="D366">
        <v>577</v>
      </c>
      <c r="E366">
        <v>442800</v>
      </c>
      <c r="F366">
        <v>181050</v>
      </c>
      <c r="G366">
        <v>623850</v>
      </c>
      <c r="H366">
        <v>511</v>
      </c>
      <c r="I366">
        <v>31</v>
      </c>
      <c r="J366">
        <v>542</v>
      </c>
      <c r="K366" t="b">
        <f>TrafficData[[#This Row],[disposedChallan]]+TrafficData[[#This Row],[pendingChallan]]=TrafficData[[#This Row],[totalChallan]]</f>
        <v>1</v>
      </c>
      <c r="L366" t="b">
        <f>TrafficData[[#This Row],[pendingAmount]]+TrafficData[[#This Row],[disposedAmount]]=TrafficData[[#This Row],[totalAmount]]</f>
        <v>1</v>
      </c>
      <c r="M366" t="b">
        <f>TrafficData[[#This Row],[pendingCourt]]+TrafficData[[#This Row],[disposedCourt]]=TrafficData[[#This Row],[totalCourt]]</f>
        <v>1</v>
      </c>
      <c r="N366" s="8" t="b">
        <f>AND(TrafficData[[#This Row],[disposedChallan]]&lt;=TrafficData[[#This Row],[totalChallan]],TrafficData[[#This Row],[pendingChallan]]&lt;=TrafficData[[#This Row],[totalChallan]])</f>
        <v>1</v>
      </c>
      <c r="O366" s="8" t="b">
        <f>AND(TrafficData[[#This Row],[pendingAmount]]&lt;=TrafficData[[#This Row],[totalAmount]],TrafficData[[#This Row],[disposedAmount]]&lt;=TrafficData[[#This Row],[totalAmount]])</f>
        <v>1</v>
      </c>
      <c r="P366" s="8" t="b">
        <f>AND(TrafficData[[#This Row],[pendingCourt]]&lt;=TrafficData[[#This Row],[totalCourt]],TrafficData[[#This Row],[disposedCourt]]&lt;=TrafficData[[#This Row],[totalCourt]])</f>
        <v>1</v>
      </c>
    </row>
    <row r="367" spans="1:16">
      <c r="A367" s="1">
        <v>42370</v>
      </c>
      <c r="B367">
        <v>700</v>
      </c>
      <c r="C367">
        <v>122</v>
      </c>
      <c r="D367">
        <v>578</v>
      </c>
      <c r="E367">
        <v>692125</v>
      </c>
      <c r="F367">
        <v>265300</v>
      </c>
      <c r="G367">
        <v>957425</v>
      </c>
      <c r="H367">
        <v>398</v>
      </c>
      <c r="I367">
        <v>16</v>
      </c>
      <c r="J367">
        <v>414</v>
      </c>
      <c r="K367" t="b">
        <f>TrafficData[[#This Row],[disposedChallan]]+TrafficData[[#This Row],[pendingChallan]]=TrafficData[[#This Row],[totalChallan]]</f>
        <v>1</v>
      </c>
      <c r="L367" t="b">
        <f>TrafficData[[#This Row],[pendingAmount]]+TrafficData[[#This Row],[disposedAmount]]=TrafficData[[#This Row],[totalAmount]]</f>
        <v>1</v>
      </c>
      <c r="M367" t="b">
        <f>TrafficData[[#This Row],[pendingCourt]]+TrafficData[[#This Row],[disposedCourt]]=TrafficData[[#This Row],[totalCourt]]</f>
        <v>1</v>
      </c>
      <c r="N367" s="8" t="b">
        <f>AND(TrafficData[[#This Row],[disposedChallan]]&lt;=TrafficData[[#This Row],[totalChallan]],TrafficData[[#This Row],[pendingChallan]]&lt;=TrafficData[[#This Row],[totalChallan]])</f>
        <v>1</v>
      </c>
      <c r="O367" s="8" t="b">
        <f>AND(TrafficData[[#This Row],[pendingAmount]]&lt;=TrafficData[[#This Row],[totalAmount]],TrafficData[[#This Row],[disposedAmount]]&lt;=TrafficData[[#This Row],[totalAmount]])</f>
        <v>1</v>
      </c>
      <c r="P367" s="8" t="b">
        <f>AND(TrafficData[[#This Row],[pendingCourt]]&lt;=TrafficData[[#This Row],[totalCourt]],TrafficData[[#This Row],[disposedCourt]]&lt;=TrafficData[[#This Row],[totalCourt]])</f>
        <v>1</v>
      </c>
    </row>
    <row r="368" spans="1:16">
      <c r="A368" s="1">
        <v>42371</v>
      </c>
      <c r="B368">
        <v>922</v>
      </c>
      <c r="C368">
        <v>122</v>
      </c>
      <c r="D368">
        <v>800</v>
      </c>
      <c r="E368">
        <v>631630</v>
      </c>
      <c r="F368">
        <v>280950</v>
      </c>
      <c r="G368">
        <v>912580</v>
      </c>
      <c r="H368">
        <v>555</v>
      </c>
      <c r="I368">
        <v>17</v>
      </c>
      <c r="J368">
        <v>572</v>
      </c>
      <c r="K368" t="b">
        <f>TrafficData[[#This Row],[disposedChallan]]+TrafficData[[#This Row],[pendingChallan]]=TrafficData[[#This Row],[totalChallan]]</f>
        <v>1</v>
      </c>
      <c r="L368" t="b">
        <f>TrafficData[[#This Row],[pendingAmount]]+TrafficData[[#This Row],[disposedAmount]]=TrafficData[[#This Row],[totalAmount]]</f>
        <v>1</v>
      </c>
      <c r="M368" t="b">
        <f>TrafficData[[#This Row],[pendingCourt]]+TrafficData[[#This Row],[disposedCourt]]=TrafficData[[#This Row],[totalCourt]]</f>
        <v>1</v>
      </c>
      <c r="N368" s="8" t="b">
        <f>AND(TrafficData[[#This Row],[disposedChallan]]&lt;=TrafficData[[#This Row],[totalChallan]],TrafficData[[#This Row],[pendingChallan]]&lt;=TrafficData[[#This Row],[totalChallan]])</f>
        <v>1</v>
      </c>
      <c r="O368" s="8" t="b">
        <f>AND(TrafficData[[#This Row],[pendingAmount]]&lt;=TrafficData[[#This Row],[totalAmount]],TrafficData[[#This Row],[disposedAmount]]&lt;=TrafficData[[#This Row],[totalAmount]])</f>
        <v>1</v>
      </c>
      <c r="P368" s="8" t="b">
        <f>AND(TrafficData[[#This Row],[pendingCourt]]&lt;=TrafficData[[#This Row],[totalCourt]],TrafficData[[#This Row],[disposedCourt]]&lt;=TrafficData[[#This Row],[totalCourt]])</f>
        <v>1</v>
      </c>
    </row>
    <row r="369" spans="1:16">
      <c r="A369" s="1">
        <v>42372</v>
      </c>
      <c r="B369">
        <v>487</v>
      </c>
      <c r="C369">
        <v>70</v>
      </c>
      <c r="D369">
        <v>417</v>
      </c>
      <c r="E369">
        <v>316430</v>
      </c>
      <c r="F369">
        <v>152628</v>
      </c>
      <c r="G369">
        <v>469058</v>
      </c>
      <c r="H369">
        <v>297</v>
      </c>
      <c r="I369">
        <v>25</v>
      </c>
      <c r="J369">
        <v>322</v>
      </c>
      <c r="K369" t="b">
        <f>TrafficData[[#This Row],[disposedChallan]]+TrafficData[[#This Row],[pendingChallan]]=TrafficData[[#This Row],[totalChallan]]</f>
        <v>1</v>
      </c>
      <c r="L369" t="b">
        <f>TrafficData[[#This Row],[pendingAmount]]+TrafficData[[#This Row],[disposedAmount]]=TrafficData[[#This Row],[totalAmount]]</f>
        <v>1</v>
      </c>
      <c r="M369" t="b">
        <f>TrafficData[[#This Row],[pendingCourt]]+TrafficData[[#This Row],[disposedCourt]]=TrafficData[[#This Row],[totalCourt]]</f>
        <v>1</v>
      </c>
      <c r="N369" s="8" t="b">
        <f>AND(TrafficData[[#This Row],[disposedChallan]]&lt;=TrafficData[[#This Row],[totalChallan]],TrafficData[[#This Row],[pendingChallan]]&lt;=TrafficData[[#This Row],[totalChallan]])</f>
        <v>1</v>
      </c>
      <c r="O369" s="8" t="b">
        <f>AND(TrafficData[[#This Row],[pendingAmount]]&lt;=TrafficData[[#This Row],[totalAmount]],TrafficData[[#This Row],[disposedAmount]]&lt;=TrafficData[[#This Row],[totalAmount]])</f>
        <v>1</v>
      </c>
      <c r="P369" s="8" t="b">
        <f>AND(TrafficData[[#This Row],[pendingCourt]]&lt;=TrafficData[[#This Row],[totalCourt]],TrafficData[[#This Row],[disposedCourt]]&lt;=TrafficData[[#This Row],[totalCourt]])</f>
        <v>1</v>
      </c>
    </row>
    <row r="370" spans="1:16">
      <c r="A370" s="1">
        <v>42373</v>
      </c>
      <c r="B370">
        <v>777</v>
      </c>
      <c r="C370">
        <v>108</v>
      </c>
      <c r="D370">
        <v>669</v>
      </c>
      <c r="E370">
        <v>625480</v>
      </c>
      <c r="F370">
        <v>252755</v>
      </c>
      <c r="G370">
        <v>878235</v>
      </c>
      <c r="H370">
        <v>478</v>
      </c>
      <c r="I370">
        <v>31</v>
      </c>
      <c r="J370">
        <v>509</v>
      </c>
      <c r="K370" t="b">
        <f>TrafficData[[#This Row],[disposedChallan]]+TrafficData[[#This Row],[pendingChallan]]=TrafficData[[#This Row],[totalChallan]]</f>
        <v>1</v>
      </c>
      <c r="L370" t="b">
        <f>TrafficData[[#This Row],[pendingAmount]]+TrafficData[[#This Row],[disposedAmount]]=TrafficData[[#This Row],[totalAmount]]</f>
        <v>1</v>
      </c>
      <c r="M370" t="b">
        <f>TrafficData[[#This Row],[pendingCourt]]+TrafficData[[#This Row],[disposedCourt]]=TrafficData[[#This Row],[totalCourt]]</f>
        <v>1</v>
      </c>
      <c r="N370" s="8" t="b">
        <f>AND(TrafficData[[#This Row],[disposedChallan]]&lt;=TrafficData[[#This Row],[totalChallan]],TrafficData[[#This Row],[pendingChallan]]&lt;=TrafficData[[#This Row],[totalChallan]])</f>
        <v>1</v>
      </c>
      <c r="O370" s="8" t="b">
        <f>AND(TrafficData[[#This Row],[pendingAmount]]&lt;=TrafficData[[#This Row],[totalAmount]],TrafficData[[#This Row],[disposedAmount]]&lt;=TrafficData[[#This Row],[totalAmount]])</f>
        <v>1</v>
      </c>
      <c r="P370" s="8" t="b">
        <f>AND(TrafficData[[#This Row],[pendingCourt]]&lt;=TrafficData[[#This Row],[totalCourt]],TrafficData[[#This Row],[disposedCourt]]&lt;=TrafficData[[#This Row],[totalCourt]])</f>
        <v>1</v>
      </c>
    </row>
    <row r="371" spans="1:16">
      <c r="A371" s="1">
        <v>42374</v>
      </c>
      <c r="B371">
        <v>840</v>
      </c>
      <c r="C371">
        <v>130</v>
      </c>
      <c r="D371">
        <v>710</v>
      </c>
      <c r="E371">
        <v>1211370</v>
      </c>
      <c r="F371">
        <v>478560</v>
      </c>
      <c r="G371">
        <v>1689930</v>
      </c>
      <c r="H371">
        <v>482</v>
      </c>
      <c r="I371">
        <v>13</v>
      </c>
      <c r="J371">
        <v>495</v>
      </c>
      <c r="K371" t="b">
        <f>TrafficData[[#This Row],[disposedChallan]]+TrafficData[[#This Row],[pendingChallan]]=TrafficData[[#This Row],[totalChallan]]</f>
        <v>1</v>
      </c>
      <c r="L371" t="b">
        <f>TrafficData[[#This Row],[pendingAmount]]+TrafficData[[#This Row],[disposedAmount]]=TrafficData[[#This Row],[totalAmount]]</f>
        <v>1</v>
      </c>
      <c r="M371" t="b">
        <f>TrafficData[[#This Row],[pendingCourt]]+TrafficData[[#This Row],[disposedCourt]]=TrafficData[[#This Row],[totalCourt]]</f>
        <v>1</v>
      </c>
      <c r="N371" s="8" t="b">
        <f>AND(TrafficData[[#This Row],[disposedChallan]]&lt;=TrafficData[[#This Row],[totalChallan]],TrafficData[[#This Row],[pendingChallan]]&lt;=TrafficData[[#This Row],[totalChallan]])</f>
        <v>1</v>
      </c>
      <c r="O371" s="8" t="b">
        <f>AND(TrafficData[[#This Row],[pendingAmount]]&lt;=TrafficData[[#This Row],[totalAmount]],TrafficData[[#This Row],[disposedAmount]]&lt;=TrafficData[[#This Row],[totalAmount]])</f>
        <v>1</v>
      </c>
      <c r="P371" s="8" t="b">
        <f>AND(TrafficData[[#This Row],[pendingCourt]]&lt;=TrafficData[[#This Row],[totalCourt]],TrafficData[[#This Row],[disposedCourt]]&lt;=TrafficData[[#This Row],[totalCourt]])</f>
        <v>1</v>
      </c>
    </row>
    <row r="372" spans="1:16">
      <c r="A372" s="1">
        <v>42375</v>
      </c>
      <c r="B372">
        <v>1170</v>
      </c>
      <c r="C372">
        <v>179</v>
      </c>
      <c r="D372">
        <v>991</v>
      </c>
      <c r="E372">
        <v>1137138</v>
      </c>
      <c r="F372">
        <v>333731</v>
      </c>
      <c r="G372">
        <v>1470869</v>
      </c>
      <c r="H372">
        <v>717</v>
      </c>
      <c r="I372">
        <v>61</v>
      </c>
      <c r="J372">
        <v>778</v>
      </c>
      <c r="K372" t="b">
        <f>TrafficData[[#This Row],[disposedChallan]]+TrafficData[[#This Row],[pendingChallan]]=TrafficData[[#This Row],[totalChallan]]</f>
        <v>1</v>
      </c>
      <c r="L372" t="b">
        <f>TrafficData[[#This Row],[pendingAmount]]+TrafficData[[#This Row],[disposedAmount]]=TrafficData[[#This Row],[totalAmount]]</f>
        <v>1</v>
      </c>
      <c r="M372" t="b">
        <f>TrafficData[[#This Row],[pendingCourt]]+TrafficData[[#This Row],[disposedCourt]]=TrafficData[[#This Row],[totalCourt]]</f>
        <v>1</v>
      </c>
      <c r="N372" s="8" t="b">
        <f>AND(TrafficData[[#This Row],[disposedChallan]]&lt;=TrafficData[[#This Row],[totalChallan]],TrafficData[[#This Row],[pendingChallan]]&lt;=TrafficData[[#This Row],[totalChallan]])</f>
        <v>1</v>
      </c>
      <c r="O372" s="8" t="b">
        <f>AND(TrafficData[[#This Row],[pendingAmount]]&lt;=TrafficData[[#This Row],[totalAmount]],TrafficData[[#This Row],[disposedAmount]]&lt;=TrafficData[[#This Row],[totalAmount]])</f>
        <v>1</v>
      </c>
      <c r="P372" s="8" t="b">
        <f>AND(TrafficData[[#This Row],[pendingCourt]]&lt;=TrafficData[[#This Row],[totalCourt]],TrafficData[[#This Row],[disposedCourt]]&lt;=TrafficData[[#This Row],[totalCourt]])</f>
        <v>1</v>
      </c>
    </row>
    <row r="373" spans="1:16">
      <c r="A373" s="1">
        <v>42376</v>
      </c>
      <c r="B373">
        <v>1113</v>
      </c>
      <c r="C373">
        <v>156</v>
      </c>
      <c r="D373">
        <v>957</v>
      </c>
      <c r="E373">
        <v>830050</v>
      </c>
      <c r="F373">
        <v>402470</v>
      </c>
      <c r="G373">
        <v>1232520</v>
      </c>
      <c r="H373">
        <v>669</v>
      </c>
      <c r="I373">
        <v>11</v>
      </c>
      <c r="J373">
        <v>680</v>
      </c>
      <c r="K373" t="b">
        <f>TrafficData[[#This Row],[disposedChallan]]+TrafficData[[#This Row],[pendingChallan]]=TrafficData[[#This Row],[totalChallan]]</f>
        <v>1</v>
      </c>
      <c r="L373" t="b">
        <f>TrafficData[[#This Row],[pendingAmount]]+TrafficData[[#This Row],[disposedAmount]]=TrafficData[[#This Row],[totalAmount]]</f>
        <v>1</v>
      </c>
      <c r="M373" t="b">
        <f>TrafficData[[#This Row],[pendingCourt]]+TrafficData[[#This Row],[disposedCourt]]=TrafficData[[#This Row],[totalCourt]]</f>
        <v>1</v>
      </c>
      <c r="N373" s="8" t="b">
        <f>AND(TrafficData[[#This Row],[disposedChallan]]&lt;=TrafficData[[#This Row],[totalChallan]],TrafficData[[#This Row],[pendingChallan]]&lt;=TrafficData[[#This Row],[totalChallan]])</f>
        <v>1</v>
      </c>
      <c r="O373" s="8" t="b">
        <f>AND(TrafficData[[#This Row],[pendingAmount]]&lt;=TrafficData[[#This Row],[totalAmount]],TrafficData[[#This Row],[disposedAmount]]&lt;=TrafficData[[#This Row],[totalAmount]])</f>
        <v>1</v>
      </c>
      <c r="P373" s="8" t="b">
        <f>AND(TrafficData[[#This Row],[pendingCourt]]&lt;=TrafficData[[#This Row],[totalCourt]],TrafficData[[#This Row],[disposedCourt]]&lt;=TrafficData[[#This Row],[totalCourt]])</f>
        <v>1</v>
      </c>
    </row>
    <row r="374" spans="1:16">
      <c r="A374" s="1">
        <v>42377</v>
      </c>
      <c r="B374">
        <v>1081</v>
      </c>
      <c r="C374">
        <v>135</v>
      </c>
      <c r="D374">
        <v>946</v>
      </c>
      <c r="E374">
        <v>903555</v>
      </c>
      <c r="F374">
        <v>272090</v>
      </c>
      <c r="G374">
        <v>1175645</v>
      </c>
      <c r="H374">
        <v>686</v>
      </c>
      <c r="I374">
        <v>53</v>
      </c>
      <c r="J374">
        <v>739</v>
      </c>
      <c r="K374" t="b">
        <f>TrafficData[[#This Row],[disposedChallan]]+TrafficData[[#This Row],[pendingChallan]]=TrafficData[[#This Row],[totalChallan]]</f>
        <v>1</v>
      </c>
      <c r="L374" t="b">
        <f>TrafficData[[#This Row],[pendingAmount]]+TrafficData[[#This Row],[disposedAmount]]=TrafficData[[#This Row],[totalAmount]]</f>
        <v>1</v>
      </c>
      <c r="M374" t="b">
        <f>TrafficData[[#This Row],[pendingCourt]]+TrafficData[[#This Row],[disposedCourt]]=TrafficData[[#This Row],[totalCourt]]</f>
        <v>1</v>
      </c>
      <c r="N374" s="8" t="b">
        <f>AND(TrafficData[[#This Row],[disposedChallan]]&lt;=TrafficData[[#This Row],[totalChallan]],TrafficData[[#This Row],[pendingChallan]]&lt;=TrafficData[[#This Row],[totalChallan]])</f>
        <v>1</v>
      </c>
      <c r="O374" s="8" t="b">
        <f>AND(TrafficData[[#This Row],[pendingAmount]]&lt;=TrafficData[[#This Row],[totalAmount]],TrafficData[[#This Row],[disposedAmount]]&lt;=TrafficData[[#This Row],[totalAmount]])</f>
        <v>1</v>
      </c>
      <c r="P374" s="8" t="b">
        <f>AND(TrafficData[[#This Row],[pendingCourt]]&lt;=TrafficData[[#This Row],[totalCourt]],TrafficData[[#This Row],[disposedCourt]]&lt;=TrafficData[[#This Row],[totalCourt]])</f>
        <v>1</v>
      </c>
    </row>
    <row r="375" spans="1:16">
      <c r="A375" s="1">
        <v>42378</v>
      </c>
      <c r="B375">
        <v>863</v>
      </c>
      <c r="C375">
        <v>101</v>
      </c>
      <c r="D375">
        <v>762</v>
      </c>
      <c r="E375">
        <v>558950</v>
      </c>
      <c r="F375">
        <v>149685</v>
      </c>
      <c r="G375">
        <v>708635</v>
      </c>
      <c r="H375">
        <v>552</v>
      </c>
      <c r="I375">
        <v>38</v>
      </c>
      <c r="J375">
        <v>590</v>
      </c>
      <c r="K375" t="b">
        <f>TrafficData[[#This Row],[disposedChallan]]+TrafficData[[#This Row],[pendingChallan]]=TrafficData[[#This Row],[totalChallan]]</f>
        <v>1</v>
      </c>
      <c r="L375" t="b">
        <f>TrafficData[[#This Row],[pendingAmount]]+TrafficData[[#This Row],[disposedAmount]]=TrafficData[[#This Row],[totalAmount]]</f>
        <v>1</v>
      </c>
      <c r="M375" t="b">
        <f>TrafficData[[#This Row],[pendingCourt]]+TrafficData[[#This Row],[disposedCourt]]=TrafficData[[#This Row],[totalCourt]]</f>
        <v>1</v>
      </c>
      <c r="N375" s="8" t="b">
        <f>AND(TrafficData[[#This Row],[disposedChallan]]&lt;=TrafficData[[#This Row],[totalChallan]],TrafficData[[#This Row],[pendingChallan]]&lt;=TrafficData[[#This Row],[totalChallan]])</f>
        <v>1</v>
      </c>
      <c r="O375" s="8" t="b">
        <f>AND(TrafficData[[#This Row],[pendingAmount]]&lt;=TrafficData[[#This Row],[totalAmount]],TrafficData[[#This Row],[disposedAmount]]&lt;=TrafficData[[#This Row],[totalAmount]])</f>
        <v>1</v>
      </c>
      <c r="P375" s="8" t="b">
        <f>AND(TrafficData[[#This Row],[pendingCourt]]&lt;=TrafficData[[#This Row],[totalCourt]],TrafficData[[#This Row],[disposedCourt]]&lt;=TrafficData[[#This Row],[totalCourt]])</f>
        <v>1</v>
      </c>
    </row>
    <row r="376" spans="1:16">
      <c r="A376" s="1">
        <v>42379</v>
      </c>
      <c r="B376">
        <v>550</v>
      </c>
      <c r="C376">
        <v>72</v>
      </c>
      <c r="D376">
        <v>478</v>
      </c>
      <c r="E376">
        <v>711500</v>
      </c>
      <c r="F376">
        <v>190550</v>
      </c>
      <c r="G376">
        <v>902050</v>
      </c>
      <c r="H376">
        <v>336</v>
      </c>
      <c r="I376">
        <v>23</v>
      </c>
      <c r="J376">
        <v>359</v>
      </c>
      <c r="K376" t="b">
        <f>TrafficData[[#This Row],[disposedChallan]]+TrafficData[[#This Row],[pendingChallan]]=TrafficData[[#This Row],[totalChallan]]</f>
        <v>1</v>
      </c>
      <c r="L376" t="b">
        <f>TrafficData[[#This Row],[pendingAmount]]+TrafficData[[#This Row],[disposedAmount]]=TrafficData[[#This Row],[totalAmount]]</f>
        <v>1</v>
      </c>
      <c r="M376" t="b">
        <f>TrafficData[[#This Row],[pendingCourt]]+TrafficData[[#This Row],[disposedCourt]]=TrafficData[[#This Row],[totalCourt]]</f>
        <v>1</v>
      </c>
      <c r="N376" s="8" t="b">
        <f>AND(TrafficData[[#This Row],[disposedChallan]]&lt;=TrafficData[[#This Row],[totalChallan]],TrafficData[[#This Row],[pendingChallan]]&lt;=TrafficData[[#This Row],[totalChallan]])</f>
        <v>1</v>
      </c>
      <c r="O376" s="8" t="b">
        <f>AND(TrafficData[[#This Row],[pendingAmount]]&lt;=TrafficData[[#This Row],[totalAmount]],TrafficData[[#This Row],[disposedAmount]]&lt;=TrafficData[[#This Row],[totalAmount]])</f>
        <v>1</v>
      </c>
      <c r="P376" s="8" t="b">
        <f>AND(TrafficData[[#This Row],[pendingCourt]]&lt;=TrafficData[[#This Row],[totalCourt]],TrafficData[[#This Row],[disposedCourt]]&lt;=TrafficData[[#This Row],[totalCourt]])</f>
        <v>1</v>
      </c>
    </row>
    <row r="377" spans="1:16">
      <c r="A377" s="1">
        <v>42380</v>
      </c>
      <c r="B377">
        <v>746</v>
      </c>
      <c r="C377">
        <v>105</v>
      </c>
      <c r="D377">
        <v>641</v>
      </c>
      <c r="E377">
        <v>728050</v>
      </c>
      <c r="F377">
        <v>274325</v>
      </c>
      <c r="G377">
        <v>1002375</v>
      </c>
      <c r="H377">
        <v>424</v>
      </c>
      <c r="I377">
        <v>15</v>
      </c>
      <c r="J377">
        <v>439</v>
      </c>
      <c r="K377" t="b">
        <f>TrafficData[[#This Row],[disposedChallan]]+TrafficData[[#This Row],[pendingChallan]]=TrafficData[[#This Row],[totalChallan]]</f>
        <v>1</v>
      </c>
      <c r="L377" t="b">
        <f>TrafficData[[#This Row],[pendingAmount]]+TrafficData[[#This Row],[disposedAmount]]=TrafficData[[#This Row],[totalAmount]]</f>
        <v>1</v>
      </c>
      <c r="M377" t="b">
        <f>TrafficData[[#This Row],[pendingCourt]]+TrafficData[[#This Row],[disposedCourt]]=TrafficData[[#This Row],[totalCourt]]</f>
        <v>1</v>
      </c>
      <c r="N377" s="8" t="b">
        <f>AND(TrafficData[[#This Row],[disposedChallan]]&lt;=TrafficData[[#This Row],[totalChallan]],TrafficData[[#This Row],[pendingChallan]]&lt;=TrafficData[[#This Row],[totalChallan]])</f>
        <v>1</v>
      </c>
      <c r="O377" s="8" t="b">
        <f>AND(TrafficData[[#This Row],[pendingAmount]]&lt;=TrafficData[[#This Row],[totalAmount]],TrafficData[[#This Row],[disposedAmount]]&lt;=TrafficData[[#This Row],[totalAmount]])</f>
        <v>1</v>
      </c>
      <c r="P377" s="8" t="b">
        <f>AND(TrafficData[[#This Row],[pendingCourt]]&lt;=TrafficData[[#This Row],[totalCourt]],TrafficData[[#This Row],[disposedCourt]]&lt;=TrafficData[[#This Row],[totalCourt]])</f>
        <v>1</v>
      </c>
    </row>
    <row r="378" spans="1:16">
      <c r="A378" s="1">
        <v>42381</v>
      </c>
      <c r="B378">
        <v>748</v>
      </c>
      <c r="C378">
        <v>128</v>
      </c>
      <c r="D378">
        <v>620</v>
      </c>
      <c r="E378">
        <v>970790</v>
      </c>
      <c r="F378">
        <v>254288</v>
      </c>
      <c r="G378">
        <v>1225078</v>
      </c>
      <c r="H378">
        <v>396</v>
      </c>
      <c r="I378">
        <v>31</v>
      </c>
      <c r="J378">
        <v>427</v>
      </c>
      <c r="K378" t="b">
        <f>TrafficData[[#This Row],[disposedChallan]]+TrafficData[[#This Row],[pendingChallan]]=TrafficData[[#This Row],[totalChallan]]</f>
        <v>1</v>
      </c>
      <c r="L378" t="b">
        <f>TrafficData[[#This Row],[pendingAmount]]+TrafficData[[#This Row],[disposedAmount]]=TrafficData[[#This Row],[totalAmount]]</f>
        <v>1</v>
      </c>
      <c r="M378" t="b">
        <f>TrafficData[[#This Row],[pendingCourt]]+TrafficData[[#This Row],[disposedCourt]]=TrafficData[[#This Row],[totalCourt]]</f>
        <v>1</v>
      </c>
      <c r="N378" s="8" t="b">
        <f>AND(TrafficData[[#This Row],[disposedChallan]]&lt;=TrafficData[[#This Row],[totalChallan]],TrafficData[[#This Row],[pendingChallan]]&lt;=TrafficData[[#This Row],[totalChallan]])</f>
        <v>1</v>
      </c>
      <c r="O378" s="8" t="b">
        <f>AND(TrafficData[[#This Row],[pendingAmount]]&lt;=TrafficData[[#This Row],[totalAmount]],TrafficData[[#This Row],[disposedAmount]]&lt;=TrafficData[[#This Row],[totalAmount]])</f>
        <v>1</v>
      </c>
      <c r="P378" s="8" t="b">
        <f>AND(TrafficData[[#This Row],[pendingCourt]]&lt;=TrafficData[[#This Row],[totalCourt]],TrafficData[[#This Row],[disposedCourt]]&lt;=TrafficData[[#This Row],[totalCourt]])</f>
        <v>1</v>
      </c>
    </row>
    <row r="379" spans="1:16">
      <c r="A379" s="1">
        <v>42382</v>
      </c>
      <c r="B379">
        <v>1183</v>
      </c>
      <c r="C379">
        <v>163</v>
      </c>
      <c r="D379">
        <v>1020</v>
      </c>
      <c r="E379">
        <v>1519252</v>
      </c>
      <c r="F379">
        <v>322450</v>
      </c>
      <c r="G379">
        <v>1841702</v>
      </c>
      <c r="H379">
        <v>705</v>
      </c>
      <c r="I379">
        <v>22</v>
      </c>
      <c r="J379">
        <v>727</v>
      </c>
      <c r="K379" t="b">
        <f>TrafficData[[#This Row],[disposedChallan]]+TrafficData[[#This Row],[pendingChallan]]=TrafficData[[#This Row],[totalChallan]]</f>
        <v>1</v>
      </c>
      <c r="L379" t="b">
        <f>TrafficData[[#This Row],[pendingAmount]]+TrafficData[[#This Row],[disposedAmount]]=TrafficData[[#This Row],[totalAmount]]</f>
        <v>1</v>
      </c>
      <c r="M379" t="b">
        <f>TrafficData[[#This Row],[pendingCourt]]+TrafficData[[#This Row],[disposedCourt]]=TrafficData[[#This Row],[totalCourt]]</f>
        <v>1</v>
      </c>
      <c r="N379" s="8" t="b">
        <f>AND(TrafficData[[#This Row],[disposedChallan]]&lt;=TrafficData[[#This Row],[totalChallan]],TrafficData[[#This Row],[pendingChallan]]&lt;=TrafficData[[#This Row],[totalChallan]])</f>
        <v>1</v>
      </c>
      <c r="O379" s="8" t="b">
        <f>AND(TrafficData[[#This Row],[pendingAmount]]&lt;=TrafficData[[#This Row],[totalAmount]],TrafficData[[#This Row],[disposedAmount]]&lt;=TrafficData[[#This Row],[totalAmount]])</f>
        <v>1</v>
      </c>
      <c r="P379" s="8" t="b">
        <f>AND(TrafficData[[#This Row],[pendingCourt]]&lt;=TrafficData[[#This Row],[totalCourt]],TrafficData[[#This Row],[disposedCourt]]&lt;=TrafficData[[#This Row],[totalCourt]])</f>
        <v>1</v>
      </c>
    </row>
    <row r="380" spans="1:16">
      <c r="A380" s="1">
        <v>42383</v>
      </c>
      <c r="B380">
        <v>999</v>
      </c>
      <c r="C380">
        <v>121</v>
      </c>
      <c r="D380">
        <v>878</v>
      </c>
      <c r="E380">
        <v>869440</v>
      </c>
      <c r="F380">
        <v>124350</v>
      </c>
      <c r="G380">
        <v>993790</v>
      </c>
      <c r="H380">
        <v>639</v>
      </c>
      <c r="I380">
        <v>21</v>
      </c>
      <c r="J380">
        <v>660</v>
      </c>
      <c r="K380" t="b">
        <f>TrafficData[[#This Row],[disposedChallan]]+TrafficData[[#This Row],[pendingChallan]]=TrafficData[[#This Row],[totalChallan]]</f>
        <v>1</v>
      </c>
      <c r="L380" t="b">
        <f>TrafficData[[#This Row],[pendingAmount]]+TrafficData[[#This Row],[disposedAmount]]=TrafficData[[#This Row],[totalAmount]]</f>
        <v>1</v>
      </c>
      <c r="M380" t="b">
        <f>TrafficData[[#This Row],[pendingCourt]]+TrafficData[[#This Row],[disposedCourt]]=TrafficData[[#This Row],[totalCourt]]</f>
        <v>1</v>
      </c>
      <c r="N380" s="8" t="b">
        <f>AND(TrafficData[[#This Row],[disposedChallan]]&lt;=TrafficData[[#This Row],[totalChallan]],TrafficData[[#This Row],[pendingChallan]]&lt;=TrafficData[[#This Row],[totalChallan]])</f>
        <v>1</v>
      </c>
      <c r="O380" s="8" t="b">
        <f>AND(TrafficData[[#This Row],[pendingAmount]]&lt;=TrafficData[[#This Row],[totalAmount]],TrafficData[[#This Row],[disposedAmount]]&lt;=TrafficData[[#This Row],[totalAmount]])</f>
        <v>1</v>
      </c>
      <c r="P380" s="8" t="b">
        <f>AND(TrafficData[[#This Row],[pendingCourt]]&lt;=TrafficData[[#This Row],[totalCourt]],TrafficData[[#This Row],[disposedCourt]]&lt;=TrafficData[[#This Row],[totalCourt]])</f>
        <v>1</v>
      </c>
    </row>
    <row r="381" spans="1:16">
      <c r="A381" s="1">
        <v>42384</v>
      </c>
      <c r="B381">
        <v>999</v>
      </c>
      <c r="C381">
        <v>105</v>
      </c>
      <c r="D381">
        <v>894</v>
      </c>
      <c r="E381">
        <v>699280</v>
      </c>
      <c r="F381">
        <v>198050</v>
      </c>
      <c r="G381">
        <v>897330</v>
      </c>
      <c r="H381">
        <v>687</v>
      </c>
      <c r="I381">
        <v>53</v>
      </c>
      <c r="J381">
        <v>740</v>
      </c>
      <c r="K381" t="b">
        <f>TrafficData[[#This Row],[disposedChallan]]+TrafficData[[#This Row],[pendingChallan]]=TrafficData[[#This Row],[totalChallan]]</f>
        <v>1</v>
      </c>
      <c r="L381" t="b">
        <f>TrafficData[[#This Row],[pendingAmount]]+TrafficData[[#This Row],[disposedAmount]]=TrafficData[[#This Row],[totalAmount]]</f>
        <v>1</v>
      </c>
      <c r="M381" t="b">
        <f>TrafficData[[#This Row],[pendingCourt]]+TrafficData[[#This Row],[disposedCourt]]=TrafficData[[#This Row],[totalCourt]]</f>
        <v>1</v>
      </c>
      <c r="N381" s="8" t="b">
        <f>AND(TrafficData[[#This Row],[disposedChallan]]&lt;=TrafficData[[#This Row],[totalChallan]],TrafficData[[#This Row],[pendingChallan]]&lt;=TrafficData[[#This Row],[totalChallan]])</f>
        <v>1</v>
      </c>
      <c r="O381" s="8" t="b">
        <f>AND(TrafficData[[#This Row],[pendingAmount]]&lt;=TrafficData[[#This Row],[totalAmount]],TrafficData[[#This Row],[disposedAmount]]&lt;=TrafficData[[#This Row],[totalAmount]])</f>
        <v>1</v>
      </c>
      <c r="P381" s="8" t="b">
        <f>AND(TrafficData[[#This Row],[pendingCourt]]&lt;=TrafficData[[#This Row],[totalCourt]],TrafficData[[#This Row],[disposedCourt]]&lt;=TrafficData[[#This Row],[totalCourt]])</f>
        <v>1</v>
      </c>
    </row>
    <row r="382" spans="1:16">
      <c r="A382" s="1">
        <v>42385</v>
      </c>
      <c r="B382">
        <v>1140</v>
      </c>
      <c r="C382">
        <v>139</v>
      </c>
      <c r="D382">
        <v>1001</v>
      </c>
      <c r="E382">
        <v>1119700</v>
      </c>
      <c r="F382">
        <v>228075</v>
      </c>
      <c r="G382">
        <v>1347775</v>
      </c>
      <c r="H382">
        <v>668</v>
      </c>
      <c r="I382">
        <v>24</v>
      </c>
      <c r="J382">
        <v>692</v>
      </c>
      <c r="K382" t="b">
        <f>TrafficData[[#This Row],[disposedChallan]]+TrafficData[[#This Row],[pendingChallan]]=TrafficData[[#This Row],[totalChallan]]</f>
        <v>1</v>
      </c>
      <c r="L382" t="b">
        <f>TrafficData[[#This Row],[pendingAmount]]+TrafficData[[#This Row],[disposedAmount]]=TrafficData[[#This Row],[totalAmount]]</f>
        <v>1</v>
      </c>
      <c r="M382" t="b">
        <f>TrafficData[[#This Row],[pendingCourt]]+TrafficData[[#This Row],[disposedCourt]]=TrafficData[[#This Row],[totalCourt]]</f>
        <v>1</v>
      </c>
      <c r="N382" s="8" t="b">
        <f>AND(TrafficData[[#This Row],[disposedChallan]]&lt;=TrafficData[[#This Row],[totalChallan]],TrafficData[[#This Row],[pendingChallan]]&lt;=TrafficData[[#This Row],[totalChallan]])</f>
        <v>1</v>
      </c>
      <c r="O382" s="8" t="b">
        <f>AND(TrafficData[[#This Row],[pendingAmount]]&lt;=TrafficData[[#This Row],[totalAmount]],TrafficData[[#This Row],[disposedAmount]]&lt;=TrafficData[[#This Row],[totalAmount]])</f>
        <v>1</v>
      </c>
      <c r="P382" s="8" t="b">
        <f>AND(TrafficData[[#This Row],[pendingCourt]]&lt;=TrafficData[[#This Row],[totalCourt]],TrafficData[[#This Row],[disposedCourt]]&lt;=TrafficData[[#This Row],[totalCourt]])</f>
        <v>1</v>
      </c>
    </row>
    <row r="383" spans="1:16">
      <c r="A383" s="1">
        <v>42386</v>
      </c>
      <c r="B383">
        <v>552</v>
      </c>
      <c r="C383">
        <v>64</v>
      </c>
      <c r="D383">
        <v>488</v>
      </c>
      <c r="E383">
        <v>503200</v>
      </c>
      <c r="F383">
        <v>56475</v>
      </c>
      <c r="G383">
        <v>559675</v>
      </c>
      <c r="H383">
        <v>389</v>
      </c>
      <c r="I383">
        <v>35</v>
      </c>
      <c r="J383">
        <v>424</v>
      </c>
      <c r="K383" t="b">
        <f>TrafficData[[#This Row],[disposedChallan]]+TrafficData[[#This Row],[pendingChallan]]=TrafficData[[#This Row],[totalChallan]]</f>
        <v>1</v>
      </c>
      <c r="L383" t="b">
        <f>TrafficData[[#This Row],[pendingAmount]]+TrafficData[[#This Row],[disposedAmount]]=TrafficData[[#This Row],[totalAmount]]</f>
        <v>1</v>
      </c>
      <c r="M383" t="b">
        <f>TrafficData[[#This Row],[pendingCourt]]+TrafficData[[#This Row],[disposedCourt]]=TrafficData[[#This Row],[totalCourt]]</f>
        <v>1</v>
      </c>
      <c r="N383" s="8" t="b">
        <f>AND(TrafficData[[#This Row],[disposedChallan]]&lt;=TrafficData[[#This Row],[totalChallan]],TrafficData[[#This Row],[pendingChallan]]&lt;=TrafficData[[#This Row],[totalChallan]])</f>
        <v>1</v>
      </c>
      <c r="O383" s="8" t="b">
        <f>AND(TrafficData[[#This Row],[pendingAmount]]&lt;=TrafficData[[#This Row],[totalAmount]],TrafficData[[#This Row],[disposedAmount]]&lt;=TrafficData[[#This Row],[totalAmount]])</f>
        <v>1</v>
      </c>
      <c r="P383" s="8" t="b">
        <f>AND(TrafficData[[#This Row],[pendingCourt]]&lt;=TrafficData[[#This Row],[totalCourt]],TrafficData[[#This Row],[disposedCourt]]&lt;=TrafficData[[#This Row],[totalCourt]])</f>
        <v>1</v>
      </c>
    </row>
    <row r="384" spans="1:16">
      <c r="A384" s="1">
        <v>42387</v>
      </c>
      <c r="B384">
        <v>975</v>
      </c>
      <c r="C384">
        <v>121</v>
      </c>
      <c r="D384">
        <v>854</v>
      </c>
      <c r="E384">
        <v>916051</v>
      </c>
      <c r="F384">
        <v>231267</v>
      </c>
      <c r="G384">
        <v>1147318</v>
      </c>
      <c r="H384">
        <v>639</v>
      </c>
      <c r="I384">
        <v>38</v>
      </c>
      <c r="J384">
        <v>677</v>
      </c>
      <c r="K384" t="b">
        <f>TrafficData[[#This Row],[disposedChallan]]+TrafficData[[#This Row],[pendingChallan]]=TrafficData[[#This Row],[totalChallan]]</f>
        <v>1</v>
      </c>
      <c r="L384" t="b">
        <f>TrafficData[[#This Row],[pendingAmount]]+TrafficData[[#This Row],[disposedAmount]]=TrafficData[[#This Row],[totalAmount]]</f>
        <v>1</v>
      </c>
      <c r="M384" t="b">
        <f>TrafficData[[#This Row],[pendingCourt]]+TrafficData[[#This Row],[disposedCourt]]=TrafficData[[#This Row],[totalCourt]]</f>
        <v>1</v>
      </c>
      <c r="N384" s="8" t="b">
        <f>AND(TrafficData[[#This Row],[disposedChallan]]&lt;=TrafficData[[#This Row],[totalChallan]],TrafficData[[#This Row],[pendingChallan]]&lt;=TrafficData[[#This Row],[totalChallan]])</f>
        <v>1</v>
      </c>
      <c r="O384" s="8" t="b">
        <f>AND(TrafficData[[#This Row],[pendingAmount]]&lt;=TrafficData[[#This Row],[totalAmount]],TrafficData[[#This Row],[disposedAmount]]&lt;=TrafficData[[#This Row],[totalAmount]])</f>
        <v>1</v>
      </c>
      <c r="P384" s="8" t="b">
        <f>AND(TrafficData[[#This Row],[pendingCourt]]&lt;=TrafficData[[#This Row],[totalCourt]],TrafficData[[#This Row],[disposedCourt]]&lt;=TrafficData[[#This Row],[totalCourt]])</f>
        <v>1</v>
      </c>
    </row>
    <row r="385" spans="1:16">
      <c r="A385" s="1">
        <v>42388</v>
      </c>
      <c r="B385">
        <v>1396</v>
      </c>
      <c r="C385">
        <v>197</v>
      </c>
      <c r="D385">
        <v>1199</v>
      </c>
      <c r="E385">
        <v>1497600</v>
      </c>
      <c r="F385">
        <v>197150</v>
      </c>
      <c r="G385">
        <v>1694750</v>
      </c>
      <c r="H385">
        <v>885</v>
      </c>
      <c r="I385">
        <v>70</v>
      </c>
      <c r="J385">
        <v>955</v>
      </c>
      <c r="K385" t="b">
        <f>TrafficData[[#This Row],[disposedChallan]]+TrafficData[[#This Row],[pendingChallan]]=TrafficData[[#This Row],[totalChallan]]</f>
        <v>1</v>
      </c>
      <c r="L385" t="b">
        <f>TrafficData[[#This Row],[pendingAmount]]+TrafficData[[#This Row],[disposedAmount]]=TrafficData[[#This Row],[totalAmount]]</f>
        <v>1</v>
      </c>
      <c r="M385" t="b">
        <f>TrafficData[[#This Row],[pendingCourt]]+TrafficData[[#This Row],[disposedCourt]]=TrafficData[[#This Row],[totalCourt]]</f>
        <v>1</v>
      </c>
      <c r="N385" s="8" t="b">
        <f>AND(TrafficData[[#This Row],[disposedChallan]]&lt;=TrafficData[[#This Row],[totalChallan]],TrafficData[[#This Row],[pendingChallan]]&lt;=TrafficData[[#This Row],[totalChallan]])</f>
        <v>1</v>
      </c>
      <c r="O385" s="8" t="b">
        <f>AND(TrafficData[[#This Row],[pendingAmount]]&lt;=TrafficData[[#This Row],[totalAmount]],TrafficData[[#This Row],[disposedAmount]]&lt;=TrafficData[[#This Row],[totalAmount]])</f>
        <v>1</v>
      </c>
      <c r="P385" s="8" t="b">
        <f>AND(TrafficData[[#This Row],[pendingCourt]]&lt;=TrafficData[[#This Row],[totalCourt]],TrafficData[[#This Row],[disposedCourt]]&lt;=TrafficData[[#This Row],[totalCourt]])</f>
        <v>1</v>
      </c>
    </row>
    <row r="386" spans="1:16">
      <c r="A386" s="1">
        <v>42389</v>
      </c>
      <c r="B386">
        <v>1109</v>
      </c>
      <c r="C386">
        <v>191</v>
      </c>
      <c r="D386">
        <v>918</v>
      </c>
      <c r="E386">
        <v>1523480</v>
      </c>
      <c r="F386">
        <v>635478</v>
      </c>
      <c r="G386">
        <v>2158958</v>
      </c>
      <c r="H386">
        <v>622</v>
      </c>
      <c r="I386">
        <v>46</v>
      </c>
      <c r="J386">
        <v>668</v>
      </c>
      <c r="K386" t="b">
        <f>TrafficData[[#This Row],[disposedChallan]]+TrafficData[[#This Row],[pendingChallan]]=TrafficData[[#This Row],[totalChallan]]</f>
        <v>1</v>
      </c>
      <c r="L386" t="b">
        <f>TrafficData[[#This Row],[pendingAmount]]+TrafficData[[#This Row],[disposedAmount]]=TrafficData[[#This Row],[totalAmount]]</f>
        <v>1</v>
      </c>
      <c r="M386" t="b">
        <f>TrafficData[[#This Row],[pendingCourt]]+TrafficData[[#This Row],[disposedCourt]]=TrafficData[[#This Row],[totalCourt]]</f>
        <v>1</v>
      </c>
      <c r="N386" s="8" t="b">
        <f>AND(TrafficData[[#This Row],[disposedChallan]]&lt;=TrafficData[[#This Row],[totalChallan]],TrafficData[[#This Row],[pendingChallan]]&lt;=TrafficData[[#This Row],[totalChallan]])</f>
        <v>1</v>
      </c>
      <c r="O386" s="8" t="b">
        <f>AND(TrafficData[[#This Row],[pendingAmount]]&lt;=TrafficData[[#This Row],[totalAmount]],TrafficData[[#This Row],[disposedAmount]]&lt;=TrafficData[[#This Row],[totalAmount]])</f>
        <v>1</v>
      </c>
      <c r="P386" s="8" t="b">
        <f>AND(TrafficData[[#This Row],[pendingCourt]]&lt;=TrafficData[[#This Row],[totalCourt]],TrafficData[[#This Row],[disposedCourt]]&lt;=TrafficData[[#This Row],[totalCourt]])</f>
        <v>1</v>
      </c>
    </row>
    <row r="387" spans="1:16">
      <c r="A387" s="1">
        <v>42390</v>
      </c>
      <c r="B387">
        <v>981</v>
      </c>
      <c r="C387">
        <v>190</v>
      </c>
      <c r="D387">
        <v>791</v>
      </c>
      <c r="E387">
        <v>1560451</v>
      </c>
      <c r="F387">
        <v>592066</v>
      </c>
      <c r="G387">
        <v>2152517</v>
      </c>
      <c r="H387">
        <v>480</v>
      </c>
      <c r="I387">
        <v>43</v>
      </c>
      <c r="J387">
        <v>523</v>
      </c>
      <c r="K387" t="b">
        <f>TrafficData[[#This Row],[disposedChallan]]+TrafficData[[#This Row],[pendingChallan]]=TrafficData[[#This Row],[totalChallan]]</f>
        <v>1</v>
      </c>
      <c r="L387" t="b">
        <f>TrafficData[[#This Row],[pendingAmount]]+TrafficData[[#This Row],[disposedAmount]]=TrafficData[[#This Row],[totalAmount]]</f>
        <v>1</v>
      </c>
      <c r="M387" t="b">
        <f>TrafficData[[#This Row],[pendingCourt]]+TrafficData[[#This Row],[disposedCourt]]=TrafficData[[#This Row],[totalCourt]]</f>
        <v>1</v>
      </c>
      <c r="N387" s="8" t="b">
        <f>AND(TrafficData[[#This Row],[disposedChallan]]&lt;=TrafficData[[#This Row],[totalChallan]],TrafficData[[#This Row],[pendingChallan]]&lt;=TrafficData[[#This Row],[totalChallan]])</f>
        <v>1</v>
      </c>
      <c r="O387" s="8" t="b">
        <f>AND(TrafficData[[#This Row],[pendingAmount]]&lt;=TrafficData[[#This Row],[totalAmount]],TrafficData[[#This Row],[disposedAmount]]&lt;=TrafficData[[#This Row],[totalAmount]])</f>
        <v>1</v>
      </c>
      <c r="P387" s="8" t="b">
        <f>AND(TrafficData[[#This Row],[pendingCourt]]&lt;=TrafficData[[#This Row],[totalCourt]],TrafficData[[#This Row],[disposedCourt]]&lt;=TrafficData[[#This Row],[totalCourt]])</f>
        <v>1</v>
      </c>
    </row>
    <row r="388" spans="1:16">
      <c r="A388" s="1">
        <v>42391</v>
      </c>
      <c r="B388">
        <v>899</v>
      </c>
      <c r="C388">
        <v>139</v>
      </c>
      <c r="D388">
        <v>760</v>
      </c>
      <c r="E388">
        <v>1451320</v>
      </c>
      <c r="F388">
        <v>511440</v>
      </c>
      <c r="G388">
        <v>1962760</v>
      </c>
      <c r="H388">
        <v>481</v>
      </c>
      <c r="I388">
        <v>13</v>
      </c>
      <c r="J388">
        <v>494</v>
      </c>
      <c r="K388" t="b">
        <f>TrafficData[[#This Row],[disposedChallan]]+TrafficData[[#This Row],[pendingChallan]]=TrafficData[[#This Row],[totalChallan]]</f>
        <v>1</v>
      </c>
      <c r="L388" t="b">
        <f>TrafficData[[#This Row],[pendingAmount]]+TrafficData[[#This Row],[disposedAmount]]=TrafficData[[#This Row],[totalAmount]]</f>
        <v>1</v>
      </c>
      <c r="M388" t="b">
        <f>TrafficData[[#This Row],[pendingCourt]]+TrafficData[[#This Row],[disposedCourt]]=TrafficData[[#This Row],[totalCourt]]</f>
        <v>1</v>
      </c>
      <c r="N388" s="8" t="b">
        <f>AND(TrafficData[[#This Row],[disposedChallan]]&lt;=TrafficData[[#This Row],[totalChallan]],TrafficData[[#This Row],[pendingChallan]]&lt;=TrafficData[[#This Row],[totalChallan]])</f>
        <v>1</v>
      </c>
      <c r="O388" s="8" t="b">
        <f>AND(TrafficData[[#This Row],[pendingAmount]]&lt;=TrafficData[[#This Row],[totalAmount]],TrafficData[[#This Row],[disposedAmount]]&lt;=TrafficData[[#This Row],[totalAmount]])</f>
        <v>1</v>
      </c>
      <c r="P388" s="8" t="b">
        <f>AND(TrafficData[[#This Row],[pendingCourt]]&lt;=TrafficData[[#This Row],[totalCourt]],TrafficData[[#This Row],[disposedCourt]]&lt;=TrafficData[[#This Row],[totalCourt]])</f>
        <v>1</v>
      </c>
    </row>
    <row r="389" spans="1:16">
      <c r="A389" s="1">
        <v>42392</v>
      </c>
      <c r="B389">
        <v>610</v>
      </c>
      <c r="C389">
        <v>80</v>
      </c>
      <c r="D389">
        <v>530</v>
      </c>
      <c r="E389">
        <v>712300</v>
      </c>
      <c r="F389">
        <v>159000</v>
      </c>
      <c r="G389">
        <v>871300</v>
      </c>
      <c r="H389">
        <v>333</v>
      </c>
      <c r="I389">
        <v>29</v>
      </c>
      <c r="J389">
        <v>362</v>
      </c>
      <c r="K389" t="b">
        <f>TrafficData[[#This Row],[disposedChallan]]+TrafficData[[#This Row],[pendingChallan]]=TrafficData[[#This Row],[totalChallan]]</f>
        <v>1</v>
      </c>
      <c r="L389" t="b">
        <f>TrafficData[[#This Row],[pendingAmount]]+TrafficData[[#This Row],[disposedAmount]]=TrafficData[[#This Row],[totalAmount]]</f>
        <v>1</v>
      </c>
      <c r="M389" t="b">
        <f>TrafficData[[#This Row],[pendingCourt]]+TrafficData[[#This Row],[disposedCourt]]=TrafficData[[#This Row],[totalCourt]]</f>
        <v>1</v>
      </c>
      <c r="N389" s="8" t="b">
        <f>AND(TrafficData[[#This Row],[disposedChallan]]&lt;=TrafficData[[#This Row],[totalChallan]],TrafficData[[#This Row],[pendingChallan]]&lt;=TrafficData[[#This Row],[totalChallan]])</f>
        <v>1</v>
      </c>
      <c r="O389" s="8" t="b">
        <f>AND(TrafficData[[#This Row],[pendingAmount]]&lt;=TrafficData[[#This Row],[totalAmount]],TrafficData[[#This Row],[disposedAmount]]&lt;=TrafficData[[#This Row],[totalAmount]])</f>
        <v>1</v>
      </c>
      <c r="P389" s="8" t="b">
        <f>AND(TrafficData[[#This Row],[pendingCourt]]&lt;=TrafficData[[#This Row],[totalCourt]],TrafficData[[#This Row],[disposedCourt]]&lt;=TrafficData[[#This Row],[totalCourt]])</f>
        <v>1</v>
      </c>
    </row>
    <row r="390" spans="1:16">
      <c r="A390" s="1">
        <v>42393</v>
      </c>
      <c r="B390">
        <v>627</v>
      </c>
      <c r="C390">
        <v>82</v>
      </c>
      <c r="D390">
        <v>545</v>
      </c>
      <c r="E390">
        <v>365180</v>
      </c>
      <c r="F390">
        <v>188725</v>
      </c>
      <c r="G390">
        <v>553905</v>
      </c>
      <c r="H390">
        <v>415</v>
      </c>
      <c r="I390">
        <v>33</v>
      </c>
      <c r="J390">
        <v>448</v>
      </c>
      <c r="K390" t="b">
        <f>TrafficData[[#This Row],[disposedChallan]]+TrafficData[[#This Row],[pendingChallan]]=TrafficData[[#This Row],[totalChallan]]</f>
        <v>1</v>
      </c>
      <c r="L390" t="b">
        <f>TrafficData[[#This Row],[pendingAmount]]+TrafficData[[#This Row],[disposedAmount]]=TrafficData[[#This Row],[totalAmount]]</f>
        <v>1</v>
      </c>
      <c r="M390" t="b">
        <f>TrafficData[[#This Row],[pendingCourt]]+TrafficData[[#This Row],[disposedCourt]]=TrafficData[[#This Row],[totalCourt]]</f>
        <v>1</v>
      </c>
      <c r="N390" s="8" t="b">
        <f>AND(TrafficData[[#This Row],[disposedChallan]]&lt;=TrafficData[[#This Row],[totalChallan]],TrafficData[[#This Row],[pendingChallan]]&lt;=TrafficData[[#This Row],[totalChallan]])</f>
        <v>1</v>
      </c>
      <c r="O390" s="8" t="b">
        <f>AND(TrafficData[[#This Row],[pendingAmount]]&lt;=TrafficData[[#This Row],[totalAmount]],TrafficData[[#This Row],[disposedAmount]]&lt;=TrafficData[[#This Row],[totalAmount]])</f>
        <v>1</v>
      </c>
      <c r="P390" s="8" t="b">
        <f>AND(TrafficData[[#This Row],[pendingCourt]]&lt;=TrafficData[[#This Row],[totalCourt]],TrafficData[[#This Row],[disposedCourt]]&lt;=TrafficData[[#This Row],[totalCourt]])</f>
        <v>1</v>
      </c>
    </row>
    <row r="391" spans="1:16">
      <c r="A391" s="1">
        <v>42394</v>
      </c>
      <c r="B391">
        <v>785</v>
      </c>
      <c r="C391">
        <v>132</v>
      </c>
      <c r="D391">
        <v>653</v>
      </c>
      <c r="E391">
        <v>866500</v>
      </c>
      <c r="F391">
        <v>111150</v>
      </c>
      <c r="G391">
        <v>977650</v>
      </c>
      <c r="H391">
        <v>425</v>
      </c>
      <c r="I391">
        <v>34</v>
      </c>
      <c r="J391">
        <v>459</v>
      </c>
      <c r="K391" t="b">
        <f>TrafficData[[#This Row],[disposedChallan]]+TrafficData[[#This Row],[pendingChallan]]=TrafficData[[#This Row],[totalChallan]]</f>
        <v>1</v>
      </c>
      <c r="L391" t="b">
        <f>TrafficData[[#This Row],[pendingAmount]]+TrafficData[[#This Row],[disposedAmount]]=TrafficData[[#This Row],[totalAmount]]</f>
        <v>1</v>
      </c>
      <c r="M391" t="b">
        <f>TrafficData[[#This Row],[pendingCourt]]+TrafficData[[#This Row],[disposedCourt]]=TrafficData[[#This Row],[totalCourt]]</f>
        <v>1</v>
      </c>
      <c r="N391" s="8" t="b">
        <f>AND(TrafficData[[#This Row],[disposedChallan]]&lt;=TrafficData[[#This Row],[totalChallan]],TrafficData[[#This Row],[pendingChallan]]&lt;=TrafficData[[#This Row],[totalChallan]])</f>
        <v>1</v>
      </c>
      <c r="O391" s="8" t="b">
        <f>AND(TrafficData[[#This Row],[pendingAmount]]&lt;=TrafficData[[#This Row],[totalAmount]],TrafficData[[#This Row],[disposedAmount]]&lt;=TrafficData[[#This Row],[totalAmount]])</f>
        <v>1</v>
      </c>
      <c r="P391" s="8" t="b">
        <f>AND(TrafficData[[#This Row],[pendingCourt]]&lt;=TrafficData[[#This Row],[totalCourt]],TrafficData[[#This Row],[disposedCourt]]&lt;=TrafficData[[#This Row],[totalCourt]])</f>
        <v>1</v>
      </c>
    </row>
    <row r="392" spans="1:16">
      <c r="A392" s="1">
        <v>42395</v>
      </c>
      <c r="B392">
        <v>223</v>
      </c>
      <c r="C392">
        <v>39</v>
      </c>
      <c r="D392">
        <v>184</v>
      </c>
      <c r="E392">
        <v>409925</v>
      </c>
      <c r="F392">
        <v>222400</v>
      </c>
      <c r="G392">
        <v>632325</v>
      </c>
      <c r="H392">
        <v>103</v>
      </c>
      <c r="I392">
        <v>6</v>
      </c>
      <c r="J392">
        <v>109</v>
      </c>
      <c r="K392" t="b">
        <f>TrafficData[[#This Row],[disposedChallan]]+TrafficData[[#This Row],[pendingChallan]]=TrafficData[[#This Row],[totalChallan]]</f>
        <v>1</v>
      </c>
      <c r="L392" t="b">
        <f>TrafficData[[#This Row],[pendingAmount]]+TrafficData[[#This Row],[disposedAmount]]=TrafficData[[#This Row],[totalAmount]]</f>
        <v>1</v>
      </c>
      <c r="M392" t="b">
        <f>TrafficData[[#This Row],[pendingCourt]]+TrafficData[[#This Row],[disposedCourt]]=TrafficData[[#This Row],[totalCourt]]</f>
        <v>1</v>
      </c>
      <c r="N392" s="8" t="b">
        <f>AND(TrafficData[[#This Row],[disposedChallan]]&lt;=TrafficData[[#This Row],[totalChallan]],TrafficData[[#This Row],[pendingChallan]]&lt;=TrafficData[[#This Row],[totalChallan]])</f>
        <v>1</v>
      </c>
      <c r="O392" s="8" t="b">
        <f>AND(TrafficData[[#This Row],[pendingAmount]]&lt;=TrafficData[[#This Row],[totalAmount]],TrafficData[[#This Row],[disposedAmount]]&lt;=TrafficData[[#This Row],[totalAmount]])</f>
        <v>1</v>
      </c>
      <c r="P392" s="8" t="b">
        <f>AND(TrafficData[[#This Row],[pendingCourt]]&lt;=TrafficData[[#This Row],[totalCourt]],TrafficData[[#This Row],[disposedCourt]]&lt;=TrafficData[[#This Row],[totalCourt]])</f>
        <v>1</v>
      </c>
    </row>
    <row r="393" spans="1:16">
      <c r="A393" s="1">
        <v>42396</v>
      </c>
      <c r="B393">
        <v>1162</v>
      </c>
      <c r="C393">
        <v>158</v>
      </c>
      <c r="D393">
        <v>1004</v>
      </c>
      <c r="E393">
        <v>1353575</v>
      </c>
      <c r="F393">
        <v>225500</v>
      </c>
      <c r="G393">
        <v>1579075</v>
      </c>
      <c r="H393">
        <v>709</v>
      </c>
      <c r="I393">
        <v>44</v>
      </c>
      <c r="J393">
        <v>753</v>
      </c>
      <c r="K393" t="b">
        <f>TrafficData[[#This Row],[disposedChallan]]+TrafficData[[#This Row],[pendingChallan]]=TrafficData[[#This Row],[totalChallan]]</f>
        <v>1</v>
      </c>
      <c r="L393" t="b">
        <f>TrafficData[[#This Row],[pendingAmount]]+TrafficData[[#This Row],[disposedAmount]]=TrafficData[[#This Row],[totalAmount]]</f>
        <v>1</v>
      </c>
      <c r="M393" t="b">
        <f>TrafficData[[#This Row],[pendingCourt]]+TrafficData[[#This Row],[disposedCourt]]=TrafficData[[#This Row],[totalCourt]]</f>
        <v>1</v>
      </c>
      <c r="N393" s="8" t="b">
        <f>AND(TrafficData[[#This Row],[disposedChallan]]&lt;=TrafficData[[#This Row],[totalChallan]],TrafficData[[#This Row],[pendingChallan]]&lt;=TrafficData[[#This Row],[totalChallan]])</f>
        <v>1</v>
      </c>
      <c r="O393" s="8" t="b">
        <f>AND(TrafficData[[#This Row],[pendingAmount]]&lt;=TrafficData[[#This Row],[totalAmount]],TrafficData[[#This Row],[disposedAmount]]&lt;=TrafficData[[#This Row],[totalAmount]])</f>
        <v>1</v>
      </c>
      <c r="P393" s="8" t="b">
        <f>AND(TrafficData[[#This Row],[pendingCourt]]&lt;=TrafficData[[#This Row],[totalCourt]],TrafficData[[#This Row],[disposedCourt]]&lt;=TrafficData[[#This Row],[totalCourt]])</f>
        <v>1</v>
      </c>
    </row>
    <row r="394" spans="1:16">
      <c r="A394" s="1">
        <v>42397</v>
      </c>
      <c r="B394">
        <v>1028</v>
      </c>
      <c r="C394">
        <v>149</v>
      </c>
      <c r="D394">
        <v>879</v>
      </c>
      <c r="E394">
        <v>1048600</v>
      </c>
      <c r="F394">
        <v>250024</v>
      </c>
      <c r="G394">
        <v>1298624</v>
      </c>
      <c r="H394">
        <v>609</v>
      </c>
      <c r="I394">
        <v>47</v>
      </c>
      <c r="J394">
        <v>656</v>
      </c>
      <c r="K394" t="b">
        <f>TrafficData[[#This Row],[disposedChallan]]+TrafficData[[#This Row],[pendingChallan]]=TrafficData[[#This Row],[totalChallan]]</f>
        <v>1</v>
      </c>
      <c r="L394" t="b">
        <f>TrafficData[[#This Row],[pendingAmount]]+TrafficData[[#This Row],[disposedAmount]]=TrafficData[[#This Row],[totalAmount]]</f>
        <v>1</v>
      </c>
      <c r="M394" t="b">
        <f>TrafficData[[#This Row],[pendingCourt]]+TrafficData[[#This Row],[disposedCourt]]=TrafficData[[#This Row],[totalCourt]]</f>
        <v>1</v>
      </c>
      <c r="N394" s="8" t="b">
        <f>AND(TrafficData[[#This Row],[disposedChallan]]&lt;=TrafficData[[#This Row],[totalChallan]],TrafficData[[#This Row],[pendingChallan]]&lt;=TrafficData[[#This Row],[totalChallan]])</f>
        <v>1</v>
      </c>
      <c r="O394" s="8" t="b">
        <f>AND(TrafficData[[#This Row],[pendingAmount]]&lt;=TrafficData[[#This Row],[totalAmount]],TrafficData[[#This Row],[disposedAmount]]&lt;=TrafficData[[#This Row],[totalAmount]])</f>
        <v>1</v>
      </c>
      <c r="P394" s="8" t="b">
        <f>AND(TrafficData[[#This Row],[pendingCourt]]&lt;=TrafficData[[#This Row],[totalCourt]],TrafficData[[#This Row],[disposedCourt]]&lt;=TrafficData[[#This Row],[totalCourt]])</f>
        <v>1</v>
      </c>
    </row>
    <row r="395" spans="1:16">
      <c r="A395" s="1">
        <v>42398</v>
      </c>
      <c r="B395">
        <v>1240</v>
      </c>
      <c r="C395">
        <v>168</v>
      </c>
      <c r="D395">
        <v>1072</v>
      </c>
      <c r="E395">
        <v>714125</v>
      </c>
      <c r="F395">
        <v>538050</v>
      </c>
      <c r="G395">
        <v>1252175</v>
      </c>
      <c r="H395">
        <v>813</v>
      </c>
      <c r="I395">
        <v>39</v>
      </c>
      <c r="J395">
        <v>852</v>
      </c>
      <c r="K395" t="b">
        <f>TrafficData[[#This Row],[disposedChallan]]+TrafficData[[#This Row],[pendingChallan]]=TrafficData[[#This Row],[totalChallan]]</f>
        <v>1</v>
      </c>
      <c r="L395" t="b">
        <f>TrafficData[[#This Row],[pendingAmount]]+TrafficData[[#This Row],[disposedAmount]]=TrafficData[[#This Row],[totalAmount]]</f>
        <v>1</v>
      </c>
      <c r="M395" t="b">
        <f>TrafficData[[#This Row],[pendingCourt]]+TrafficData[[#This Row],[disposedCourt]]=TrafficData[[#This Row],[totalCourt]]</f>
        <v>1</v>
      </c>
      <c r="N395" s="8" t="b">
        <f>AND(TrafficData[[#This Row],[disposedChallan]]&lt;=TrafficData[[#This Row],[totalChallan]],TrafficData[[#This Row],[pendingChallan]]&lt;=TrafficData[[#This Row],[totalChallan]])</f>
        <v>1</v>
      </c>
      <c r="O395" s="8" t="b">
        <f>AND(TrafficData[[#This Row],[pendingAmount]]&lt;=TrafficData[[#This Row],[totalAmount]],TrafficData[[#This Row],[disposedAmount]]&lt;=TrafficData[[#This Row],[totalAmount]])</f>
        <v>1</v>
      </c>
      <c r="P395" s="8" t="b">
        <f>AND(TrafficData[[#This Row],[pendingCourt]]&lt;=TrafficData[[#This Row],[totalCourt]],TrafficData[[#This Row],[disposedCourt]]&lt;=TrafficData[[#This Row],[totalCourt]])</f>
        <v>1</v>
      </c>
    </row>
    <row r="396" spans="1:16">
      <c r="A396" s="1">
        <v>42399</v>
      </c>
      <c r="B396">
        <v>994</v>
      </c>
      <c r="C396">
        <v>168</v>
      </c>
      <c r="D396">
        <v>826</v>
      </c>
      <c r="E396">
        <v>1094568</v>
      </c>
      <c r="F396">
        <v>669450</v>
      </c>
      <c r="G396">
        <v>1764018</v>
      </c>
      <c r="H396">
        <v>599</v>
      </c>
      <c r="I396">
        <v>38</v>
      </c>
      <c r="J396">
        <v>637</v>
      </c>
      <c r="K396" t="b">
        <f>TrafficData[[#This Row],[disposedChallan]]+TrafficData[[#This Row],[pendingChallan]]=TrafficData[[#This Row],[totalChallan]]</f>
        <v>1</v>
      </c>
      <c r="L396" t="b">
        <f>TrafficData[[#This Row],[pendingAmount]]+TrafficData[[#This Row],[disposedAmount]]=TrafficData[[#This Row],[totalAmount]]</f>
        <v>1</v>
      </c>
      <c r="M396" t="b">
        <f>TrafficData[[#This Row],[pendingCourt]]+TrafficData[[#This Row],[disposedCourt]]=TrafficData[[#This Row],[totalCourt]]</f>
        <v>1</v>
      </c>
      <c r="N396" s="8" t="b">
        <f>AND(TrafficData[[#This Row],[disposedChallan]]&lt;=TrafficData[[#This Row],[totalChallan]],TrafficData[[#This Row],[pendingChallan]]&lt;=TrafficData[[#This Row],[totalChallan]])</f>
        <v>1</v>
      </c>
      <c r="O396" s="8" t="b">
        <f>AND(TrafficData[[#This Row],[pendingAmount]]&lt;=TrafficData[[#This Row],[totalAmount]],TrafficData[[#This Row],[disposedAmount]]&lt;=TrafficData[[#This Row],[totalAmount]])</f>
        <v>1</v>
      </c>
      <c r="P396" s="8" t="b">
        <f>AND(TrafficData[[#This Row],[pendingCourt]]&lt;=TrafficData[[#This Row],[totalCourt]],TrafficData[[#This Row],[disposedCourt]]&lt;=TrafficData[[#This Row],[totalCourt]])</f>
        <v>1</v>
      </c>
    </row>
    <row r="397" spans="1:16">
      <c r="A397" s="1">
        <v>42400</v>
      </c>
      <c r="B397">
        <v>730</v>
      </c>
      <c r="C397">
        <v>81</v>
      </c>
      <c r="D397">
        <v>649</v>
      </c>
      <c r="E397">
        <v>615199</v>
      </c>
      <c r="F397">
        <v>229325</v>
      </c>
      <c r="G397">
        <v>844524</v>
      </c>
      <c r="H397">
        <v>460</v>
      </c>
      <c r="I397">
        <v>21</v>
      </c>
      <c r="J397">
        <v>481</v>
      </c>
      <c r="K397" t="b">
        <f>TrafficData[[#This Row],[disposedChallan]]+TrafficData[[#This Row],[pendingChallan]]=TrafficData[[#This Row],[totalChallan]]</f>
        <v>1</v>
      </c>
      <c r="L397" t="b">
        <f>TrafficData[[#This Row],[pendingAmount]]+TrafficData[[#This Row],[disposedAmount]]=TrafficData[[#This Row],[totalAmount]]</f>
        <v>1</v>
      </c>
      <c r="M397" t="b">
        <f>TrafficData[[#This Row],[pendingCourt]]+TrafficData[[#This Row],[disposedCourt]]=TrafficData[[#This Row],[totalCourt]]</f>
        <v>1</v>
      </c>
      <c r="N397" s="8" t="b">
        <f>AND(TrafficData[[#This Row],[disposedChallan]]&lt;=TrafficData[[#This Row],[totalChallan]],TrafficData[[#This Row],[pendingChallan]]&lt;=TrafficData[[#This Row],[totalChallan]])</f>
        <v>1</v>
      </c>
      <c r="O397" s="8" t="b">
        <f>AND(TrafficData[[#This Row],[pendingAmount]]&lt;=TrafficData[[#This Row],[totalAmount]],TrafficData[[#This Row],[disposedAmount]]&lt;=TrafficData[[#This Row],[totalAmount]])</f>
        <v>1</v>
      </c>
      <c r="P397" s="8" t="b">
        <f>AND(TrafficData[[#This Row],[pendingCourt]]&lt;=TrafficData[[#This Row],[totalCourt]],TrafficData[[#This Row],[disposedCourt]]&lt;=TrafficData[[#This Row],[totalCourt]])</f>
        <v>1</v>
      </c>
    </row>
    <row r="398" spans="1:16">
      <c r="A398" s="1">
        <v>42401</v>
      </c>
      <c r="B398">
        <v>1298</v>
      </c>
      <c r="C398">
        <v>128</v>
      </c>
      <c r="D398">
        <v>1170</v>
      </c>
      <c r="E398">
        <v>870425</v>
      </c>
      <c r="F398">
        <v>164645</v>
      </c>
      <c r="G398">
        <v>1035070</v>
      </c>
      <c r="H398">
        <v>824</v>
      </c>
      <c r="I398">
        <v>41</v>
      </c>
      <c r="J398">
        <v>865</v>
      </c>
      <c r="K398" t="b">
        <f>TrafficData[[#This Row],[disposedChallan]]+TrafficData[[#This Row],[pendingChallan]]=TrafficData[[#This Row],[totalChallan]]</f>
        <v>1</v>
      </c>
      <c r="L398" t="b">
        <f>TrafficData[[#This Row],[pendingAmount]]+TrafficData[[#This Row],[disposedAmount]]=TrafficData[[#This Row],[totalAmount]]</f>
        <v>1</v>
      </c>
      <c r="M398" t="b">
        <f>TrafficData[[#This Row],[pendingCourt]]+TrafficData[[#This Row],[disposedCourt]]=TrafficData[[#This Row],[totalCourt]]</f>
        <v>1</v>
      </c>
      <c r="N398" s="8" t="b">
        <f>AND(TrafficData[[#This Row],[disposedChallan]]&lt;=TrafficData[[#This Row],[totalChallan]],TrafficData[[#This Row],[pendingChallan]]&lt;=TrafficData[[#This Row],[totalChallan]])</f>
        <v>1</v>
      </c>
      <c r="O398" s="8" t="b">
        <f>AND(TrafficData[[#This Row],[pendingAmount]]&lt;=TrafficData[[#This Row],[totalAmount]],TrafficData[[#This Row],[disposedAmount]]&lt;=TrafficData[[#This Row],[totalAmount]])</f>
        <v>1</v>
      </c>
      <c r="P398" s="8" t="b">
        <f>AND(TrafficData[[#This Row],[pendingCourt]]&lt;=TrafficData[[#This Row],[totalCourt]],TrafficData[[#This Row],[disposedCourt]]&lt;=TrafficData[[#This Row],[totalCourt]])</f>
        <v>1</v>
      </c>
    </row>
    <row r="399" spans="1:16">
      <c r="A399" s="1">
        <v>42402</v>
      </c>
      <c r="B399">
        <v>1387</v>
      </c>
      <c r="C399">
        <v>173</v>
      </c>
      <c r="D399">
        <v>1214</v>
      </c>
      <c r="E399">
        <v>1753849</v>
      </c>
      <c r="F399">
        <v>427452</v>
      </c>
      <c r="G399">
        <v>2181301</v>
      </c>
      <c r="H399">
        <v>838</v>
      </c>
      <c r="I399">
        <v>14</v>
      </c>
      <c r="J399">
        <v>852</v>
      </c>
      <c r="K399" t="b">
        <f>TrafficData[[#This Row],[disposedChallan]]+TrafficData[[#This Row],[pendingChallan]]=TrafficData[[#This Row],[totalChallan]]</f>
        <v>1</v>
      </c>
      <c r="L399" t="b">
        <f>TrafficData[[#This Row],[pendingAmount]]+TrafficData[[#This Row],[disposedAmount]]=TrafficData[[#This Row],[totalAmount]]</f>
        <v>1</v>
      </c>
      <c r="M399" t="b">
        <f>TrafficData[[#This Row],[pendingCourt]]+TrafficData[[#This Row],[disposedCourt]]=TrafficData[[#This Row],[totalCourt]]</f>
        <v>1</v>
      </c>
      <c r="N399" s="8" t="b">
        <f>AND(TrafficData[[#This Row],[disposedChallan]]&lt;=TrafficData[[#This Row],[totalChallan]],TrafficData[[#This Row],[pendingChallan]]&lt;=TrafficData[[#This Row],[totalChallan]])</f>
        <v>1</v>
      </c>
      <c r="O399" s="8" t="b">
        <f>AND(TrafficData[[#This Row],[pendingAmount]]&lt;=TrafficData[[#This Row],[totalAmount]],TrafficData[[#This Row],[disposedAmount]]&lt;=TrafficData[[#This Row],[totalAmount]])</f>
        <v>1</v>
      </c>
      <c r="P399" s="8" t="b">
        <f>AND(TrafficData[[#This Row],[pendingCourt]]&lt;=TrafficData[[#This Row],[totalCourt]],TrafficData[[#This Row],[disposedCourt]]&lt;=TrafficData[[#This Row],[totalCourt]])</f>
        <v>1</v>
      </c>
    </row>
    <row r="400" spans="1:16">
      <c r="A400" s="1">
        <v>42403</v>
      </c>
      <c r="B400">
        <v>1553</v>
      </c>
      <c r="C400">
        <v>203</v>
      </c>
      <c r="D400">
        <v>1350</v>
      </c>
      <c r="E400">
        <v>1266500</v>
      </c>
      <c r="F400">
        <v>632100</v>
      </c>
      <c r="G400">
        <v>1898600</v>
      </c>
      <c r="H400">
        <v>969</v>
      </c>
      <c r="I400">
        <v>24</v>
      </c>
      <c r="J400">
        <v>993</v>
      </c>
      <c r="K400" t="b">
        <f>TrafficData[[#This Row],[disposedChallan]]+TrafficData[[#This Row],[pendingChallan]]=TrafficData[[#This Row],[totalChallan]]</f>
        <v>1</v>
      </c>
      <c r="L400" t="b">
        <f>TrafficData[[#This Row],[pendingAmount]]+TrafficData[[#This Row],[disposedAmount]]=TrafficData[[#This Row],[totalAmount]]</f>
        <v>1</v>
      </c>
      <c r="M400" t="b">
        <f>TrafficData[[#This Row],[pendingCourt]]+TrafficData[[#This Row],[disposedCourt]]=TrafficData[[#This Row],[totalCourt]]</f>
        <v>1</v>
      </c>
      <c r="N400" s="8" t="b">
        <f>AND(TrafficData[[#This Row],[disposedChallan]]&lt;=TrafficData[[#This Row],[totalChallan]],TrafficData[[#This Row],[pendingChallan]]&lt;=TrafficData[[#This Row],[totalChallan]])</f>
        <v>1</v>
      </c>
      <c r="O400" s="8" t="b">
        <f>AND(TrafficData[[#This Row],[pendingAmount]]&lt;=TrafficData[[#This Row],[totalAmount]],TrafficData[[#This Row],[disposedAmount]]&lt;=TrafficData[[#This Row],[totalAmount]])</f>
        <v>1</v>
      </c>
      <c r="P400" s="8" t="b">
        <f>AND(TrafficData[[#This Row],[pendingCourt]]&lt;=TrafficData[[#This Row],[totalCourt]],TrafficData[[#This Row],[disposedCourt]]&lt;=TrafficData[[#This Row],[totalCourt]])</f>
        <v>1</v>
      </c>
    </row>
    <row r="401" spans="1:16">
      <c r="A401" s="1">
        <v>42404</v>
      </c>
      <c r="B401">
        <v>1492</v>
      </c>
      <c r="C401">
        <v>184</v>
      </c>
      <c r="D401">
        <v>1308</v>
      </c>
      <c r="E401">
        <v>1297770</v>
      </c>
      <c r="F401">
        <v>383073</v>
      </c>
      <c r="G401">
        <v>1680843</v>
      </c>
      <c r="H401">
        <v>981</v>
      </c>
      <c r="I401">
        <v>50</v>
      </c>
      <c r="J401">
        <v>1031</v>
      </c>
      <c r="K401" t="b">
        <f>TrafficData[[#This Row],[disposedChallan]]+TrafficData[[#This Row],[pendingChallan]]=TrafficData[[#This Row],[totalChallan]]</f>
        <v>1</v>
      </c>
      <c r="L401" t="b">
        <f>TrafficData[[#This Row],[pendingAmount]]+TrafficData[[#This Row],[disposedAmount]]=TrafficData[[#This Row],[totalAmount]]</f>
        <v>1</v>
      </c>
      <c r="M401" t="b">
        <f>TrafficData[[#This Row],[pendingCourt]]+TrafficData[[#This Row],[disposedCourt]]=TrafficData[[#This Row],[totalCourt]]</f>
        <v>1</v>
      </c>
      <c r="N401" s="8" t="b">
        <f>AND(TrafficData[[#This Row],[disposedChallan]]&lt;=TrafficData[[#This Row],[totalChallan]],TrafficData[[#This Row],[pendingChallan]]&lt;=TrafficData[[#This Row],[totalChallan]])</f>
        <v>1</v>
      </c>
      <c r="O401" s="8" t="b">
        <f>AND(TrafficData[[#This Row],[pendingAmount]]&lt;=TrafficData[[#This Row],[totalAmount]],TrafficData[[#This Row],[disposedAmount]]&lt;=TrafficData[[#This Row],[totalAmount]])</f>
        <v>1</v>
      </c>
      <c r="P401" s="8" t="b">
        <f>AND(TrafficData[[#This Row],[pendingCourt]]&lt;=TrafficData[[#This Row],[totalCourt]],TrafficData[[#This Row],[disposedCourt]]&lt;=TrafficData[[#This Row],[totalCourt]])</f>
        <v>1</v>
      </c>
    </row>
    <row r="402" spans="1:16">
      <c r="A402" s="1">
        <v>42405</v>
      </c>
      <c r="B402">
        <v>1566</v>
      </c>
      <c r="C402">
        <v>178</v>
      </c>
      <c r="D402">
        <v>1388</v>
      </c>
      <c r="E402">
        <v>1346385</v>
      </c>
      <c r="F402">
        <v>284297</v>
      </c>
      <c r="G402">
        <v>1630682</v>
      </c>
      <c r="H402">
        <v>1038</v>
      </c>
      <c r="I402">
        <v>74</v>
      </c>
      <c r="J402">
        <v>1112</v>
      </c>
      <c r="K402" t="b">
        <f>TrafficData[[#This Row],[disposedChallan]]+TrafficData[[#This Row],[pendingChallan]]=TrafficData[[#This Row],[totalChallan]]</f>
        <v>1</v>
      </c>
      <c r="L402" t="b">
        <f>TrafficData[[#This Row],[pendingAmount]]+TrafficData[[#This Row],[disposedAmount]]=TrafficData[[#This Row],[totalAmount]]</f>
        <v>1</v>
      </c>
      <c r="M402" t="b">
        <f>TrafficData[[#This Row],[pendingCourt]]+TrafficData[[#This Row],[disposedCourt]]=TrafficData[[#This Row],[totalCourt]]</f>
        <v>1</v>
      </c>
      <c r="N402" s="8" t="b">
        <f>AND(TrafficData[[#This Row],[disposedChallan]]&lt;=TrafficData[[#This Row],[totalChallan]],TrafficData[[#This Row],[pendingChallan]]&lt;=TrafficData[[#This Row],[totalChallan]])</f>
        <v>1</v>
      </c>
      <c r="O402" s="8" t="b">
        <f>AND(TrafficData[[#This Row],[pendingAmount]]&lt;=TrafficData[[#This Row],[totalAmount]],TrafficData[[#This Row],[disposedAmount]]&lt;=TrafficData[[#This Row],[totalAmount]])</f>
        <v>1</v>
      </c>
      <c r="P402" s="8" t="b">
        <f>AND(TrafficData[[#This Row],[pendingCourt]]&lt;=TrafficData[[#This Row],[totalCourt]],TrafficData[[#This Row],[disposedCourt]]&lt;=TrafficData[[#This Row],[totalCourt]])</f>
        <v>1</v>
      </c>
    </row>
    <row r="403" spans="1:16">
      <c r="A403" s="1">
        <v>42406</v>
      </c>
      <c r="B403">
        <v>1612</v>
      </c>
      <c r="C403">
        <v>182</v>
      </c>
      <c r="D403">
        <v>1430</v>
      </c>
      <c r="E403">
        <v>697974</v>
      </c>
      <c r="F403">
        <v>259925</v>
      </c>
      <c r="G403">
        <v>957899</v>
      </c>
      <c r="H403">
        <v>1146</v>
      </c>
      <c r="I403">
        <v>58</v>
      </c>
      <c r="J403">
        <v>1204</v>
      </c>
      <c r="K403" t="b">
        <f>TrafficData[[#This Row],[disposedChallan]]+TrafficData[[#This Row],[pendingChallan]]=TrafficData[[#This Row],[totalChallan]]</f>
        <v>1</v>
      </c>
      <c r="L403" t="b">
        <f>TrafficData[[#This Row],[pendingAmount]]+TrafficData[[#This Row],[disposedAmount]]=TrafficData[[#This Row],[totalAmount]]</f>
        <v>1</v>
      </c>
      <c r="M403" t="b">
        <f>TrafficData[[#This Row],[pendingCourt]]+TrafficData[[#This Row],[disposedCourt]]=TrafficData[[#This Row],[totalCourt]]</f>
        <v>1</v>
      </c>
      <c r="N403" s="8" t="b">
        <f>AND(TrafficData[[#This Row],[disposedChallan]]&lt;=TrafficData[[#This Row],[totalChallan]],TrafficData[[#This Row],[pendingChallan]]&lt;=TrafficData[[#This Row],[totalChallan]])</f>
        <v>1</v>
      </c>
      <c r="O403" s="8" t="b">
        <f>AND(TrafficData[[#This Row],[pendingAmount]]&lt;=TrafficData[[#This Row],[totalAmount]],TrafficData[[#This Row],[disposedAmount]]&lt;=TrafficData[[#This Row],[totalAmount]])</f>
        <v>1</v>
      </c>
      <c r="P403" s="8" t="b">
        <f>AND(TrafficData[[#This Row],[pendingCourt]]&lt;=TrafficData[[#This Row],[totalCourt]],TrafficData[[#This Row],[disposedCourt]]&lt;=TrafficData[[#This Row],[totalCourt]])</f>
        <v>1</v>
      </c>
    </row>
    <row r="404" spans="1:16">
      <c r="A404" s="1">
        <v>42407</v>
      </c>
      <c r="B404">
        <v>852</v>
      </c>
      <c r="C404">
        <v>80</v>
      </c>
      <c r="D404">
        <v>772</v>
      </c>
      <c r="E404">
        <v>666350</v>
      </c>
      <c r="F404">
        <v>138400</v>
      </c>
      <c r="G404">
        <v>804750</v>
      </c>
      <c r="H404">
        <v>579</v>
      </c>
      <c r="I404">
        <v>27</v>
      </c>
      <c r="J404">
        <v>606</v>
      </c>
      <c r="K404" t="b">
        <f>TrafficData[[#This Row],[disposedChallan]]+TrafficData[[#This Row],[pendingChallan]]=TrafficData[[#This Row],[totalChallan]]</f>
        <v>1</v>
      </c>
      <c r="L404" t="b">
        <f>TrafficData[[#This Row],[pendingAmount]]+TrafficData[[#This Row],[disposedAmount]]=TrafficData[[#This Row],[totalAmount]]</f>
        <v>1</v>
      </c>
      <c r="M404" t="b">
        <f>TrafficData[[#This Row],[pendingCourt]]+TrafficData[[#This Row],[disposedCourt]]=TrafficData[[#This Row],[totalCourt]]</f>
        <v>1</v>
      </c>
      <c r="N404" s="8" t="b">
        <f>AND(TrafficData[[#This Row],[disposedChallan]]&lt;=TrafficData[[#This Row],[totalChallan]],TrafficData[[#This Row],[pendingChallan]]&lt;=TrafficData[[#This Row],[totalChallan]])</f>
        <v>1</v>
      </c>
      <c r="O404" s="8" t="b">
        <f>AND(TrafficData[[#This Row],[pendingAmount]]&lt;=TrafficData[[#This Row],[totalAmount]],TrafficData[[#This Row],[disposedAmount]]&lt;=TrafficData[[#This Row],[totalAmount]])</f>
        <v>1</v>
      </c>
      <c r="P404" s="8" t="b">
        <f>AND(TrafficData[[#This Row],[pendingCourt]]&lt;=TrafficData[[#This Row],[totalCourt]],TrafficData[[#This Row],[disposedCourt]]&lt;=TrafficData[[#This Row],[totalCourt]])</f>
        <v>1</v>
      </c>
    </row>
    <row r="405" spans="1:16">
      <c r="A405" s="1">
        <v>42408</v>
      </c>
      <c r="B405">
        <v>1312</v>
      </c>
      <c r="C405">
        <v>139</v>
      </c>
      <c r="D405">
        <v>1173</v>
      </c>
      <c r="E405">
        <v>1037175</v>
      </c>
      <c r="F405">
        <v>159503</v>
      </c>
      <c r="G405">
        <v>1196678</v>
      </c>
      <c r="H405">
        <v>876</v>
      </c>
      <c r="I405">
        <v>60</v>
      </c>
      <c r="J405">
        <v>936</v>
      </c>
      <c r="K405" t="b">
        <f>TrafficData[[#This Row],[disposedChallan]]+TrafficData[[#This Row],[pendingChallan]]=TrafficData[[#This Row],[totalChallan]]</f>
        <v>1</v>
      </c>
      <c r="L405" t="b">
        <f>TrafficData[[#This Row],[pendingAmount]]+TrafficData[[#This Row],[disposedAmount]]=TrafficData[[#This Row],[totalAmount]]</f>
        <v>1</v>
      </c>
      <c r="M405" t="b">
        <f>TrafficData[[#This Row],[pendingCourt]]+TrafficData[[#This Row],[disposedCourt]]=TrafficData[[#This Row],[totalCourt]]</f>
        <v>1</v>
      </c>
      <c r="N405" s="8" t="b">
        <f>AND(TrafficData[[#This Row],[disposedChallan]]&lt;=TrafficData[[#This Row],[totalChallan]],TrafficData[[#This Row],[pendingChallan]]&lt;=TrafficData[[#This Row],[totalChallan]])</f>
        <v>1</v>
      </c>
      <c r="O405" s="8" t="b">
        <f>AND(TrafficData[[#This Row],[pendingAmount]]&lt;=TrafficData[[#This Row],[totalAmount]],TrafficData[[#This Row],[disposedAmount]]&lt;=TrafficData[[#This Row],[totalAmount]])</f>
        <v>1</v>
      </c>
      <c r="P405" s="8" t="b">
        <f>AND(TrafficData[[#This Row],[pendingCourt]]&lt;=TrafficData[[#This Row],[totalCourt]],TrafficData[[#This Row],[disposedCourt]]&lt;=TrafficData[[#This Row],[totalCourt]])</f>
        <v>1</v>
      </c>
    </row>
    <row r="406" spans="1:16">
      <c r="A406" s="1">
        <v>42409</v>
      </c>
      <c r="B406">
        <v>1855</v>
      </c>
      <c r="C406">
        <v>181</v>
      </c>
      <c r="D406">
        <v>1674</v>
      </c>
      <c r="E406">
        <v>1233023</v>
      </c>
      <c r="F406">
        <v>217000</v>
      </c>
      <c r="G406">
        <v>1450023</v>
      </c>
      <c r="H406">
        <v>1343</v>
      </c>
      <c r="I406">
        <v>74</v>
      </c>
      <c r="J406">
        <v>1417</v>
      </c>
      <c r="K406" t="b">
        <f>TrafficData[[#This Row],[disposedChallan]]+TrafficData[[#This Row],[pendingChallan]]=TrafficData[[#This Row],[totalChallan]]</f>
        <v>1</v>
      </c>
      <c r="L406" t="b">
        <f>TrafficData[[#This Row],[pendingAmount]]+TrafficData[[#This Row],[disposedAmount]]=TrafficData[[#This Row],[totalAmount]]</f>
        <v>1</v>
      </c>
      <c r="M406" t="b">
        <f>TrafficData[[#This Row],[pendingCourt]]+TrafficData[[#This Row],[disposedCourt]]=TrafficData[[#This Row],[totalCourt]]</f>
        <v>1</v>
      </c>
      <c r="N406" s="8" t="b">
        <f>AND(TrafficData[[#This Row],[disposedChallan]]&lt;=TrafficData[[#This Row],[totalChallan]],TrafficData[[#This Row],[pendingChallan]]&lt;=TrafficData[[#This Row],[totalChallan]])</f>
        <v>1</v>
      </c>
      <c r="O406" s="8" t="b">
        <f>AND(TrafficData[[#This Row],[pendingAmount]]&lt;=TrafficData[[#This Row],[totalAmount]],TrafficData[[#This Row],[disposedAmount]]&lt;=TrafficData[[#This Row],[totalAmount]])</f>
        <v>1</v>
      </c>
      <c r="P406" s="8" t="b">
        <f>AND(TrafficData[[#This Row],[pendingCourt]]&lt;=TrafficData[[#This Row],[totalCourt]],TrafficData[[#This Row],[disposedCourt]]&lt;=TrafficData[[#This Row],[totalCourt]])</f>
        <v>1</v>
      </c>
    </row>
    <row r="407" spans="1:16">
      <c r="A407" s="1">
        <v>42410</v>
      </c>
      <c r="B407">
        <v>1704</v>
      </c>
      <c r="C407">
        <v>177</v>
      </c>
      <c r="D407">
        <v>1527</v>
      </c>
      <c r="E407">
        <v>914000</v>
      </c>
      <c r="F407">
        <v>338010</v>
      </c>
      <c r="G407">
        <v>1252010</v>
      </c>
      <c r="H407">
        <v>1147</v>
      </c>
      <c r="I407">
        <v>66</v>
      </c>
      <c r="J407">
        <v>1213</v>
      </c>
      <c r="K407" t="b">
        <f>TrafficData[[#This Row],[disposedChallan]]+TrafficData[[#This Row],[pendingChallan]]=TrafficData[[#This Row],[totalChallan]]</f>
        <v>1</v>
      </c>
      <c r="L407" t="b">
        <f>TrafficData[[#This Row],[pendingAmount]]+TrafficData[[#This Row],[disposedAmount]]=TrafficData[[#This Row],[totalAmount]]</f>
        <v>1</v>
      </c>
      <c r="M407" t="b">
        <f>TrafficData[[#This Row],[pendingCourt]]+TrafficData[[#This Row],[disposedCourt]]=TrafficData[[#This Row],[totalCourt]]</f>
        <v>1</v>
      </c>
      <c r="N407" s="8" t="b">
        <f>AND(TrafficData[[#This Row],[disposedChallan]]&lt;=TrafficData[[#This Row],[totalChallan]],TrafficData[[#This Row],[pendingChallan]]&lt;=TrafficData[[#This Row],[totalChallan]])</f>
        <v>1</v>
      </c>
      <c r="O407" s="8" t="b">
        <f>AND(TrafficData[[#This Row],[pendingAmount]]&lt;=TrafficData[[#This Row],[totalAmount]],TrafficData[[#This Row],[disposedAmount]]&lt;=TrafficData[[#This Row],[totalAmount]])</f>
        <v>1</v>
      </c>
      <c r="P407" s="8" t="b">
        <f>AND(TrafficData[[#This Row],[pendingCourt]]&lt;=TrafficData[[#This Row],[totalCourt]],TrafficData[[#This Row],[disposedCourt]]&lt;=TrafficData[[#This Row],[totalCourt]])</f>
        <v>1</v>
      </c>
    </row>
    <row r="408" spans="1:16">
      <c r="A408" s="1">
        <v>42411</v>
      </c>
      <c r="B408">
        <v>2128</v>
      </c>
      <c r="C408">
        <v>244</v>
      </c>
      <c r="D408">
        <v>1884</v>
      </c>
      <c r="E408">
        <v>1242300</v>
      </c>
      <c r="F408">
        <v>410525</v>
      </c>
      <c r="G408">
        <v>1652825</v>
      </c>
      <c r="H408">
        <v>1418</v>
      </c>
      <c r="I408">
        <v>76</v>
      </c>
      <c r="J408">
        <v>1494</v>
      </c>
      <c r="K408" t="b">
        <f>TrafficData[[#This Row],[disposedChallan]]+TrafficData[[#This Row],[pendingChallan]]=TrafficData[[#This Row],[totalChallan]]</f>
        <v>1</v>
      </c>
      <c r="L408" t="b">
        <f>TrafficData[[#This Row],[pendingAmount]]+TrafficData[[#This Row],[disposedAmount]]=TrafficData[[#This Row],[totalAmount]]</f>
        <v>1</v>
      </c>
      <c r="M408" t="b">
        <f>TrafficData[[#This Row],[pendingCourt]]+TrafficData[[#This Row],[disposedCourt]]=TrafficData[[#This Row],[totalCourt]]</f>
        <v>1</v>
      </c>
      <c r="N408" s="8" t="b">
        <f>AND(TrafficData[[#This Row],[disposedChallan]]&lt;=TrafficData[[#This Row],[totalChallan]],TrafficData[[#This Row],[pendingChallan]]&lt;=TrafficData[[#This Row],[totalChallan]])</f>
        <v>1</v>
      </c>
      <c r="O408" s="8" t="b">
        <f>AND(TrafficData[[#This Row],[pendingAmount]]&lt;=TrafficData[[#This Row],[totalAmount]],TrafficData[[#This Row],[disposedAmount]]&lt;=TrafficData[[#This Row],[totalAmount]])</f>
        <v>1</v>
      </c>
      <c r="P408" s="8" t="b">
        <f>AND(TrafficData[[#This Row],[pendingCourt]]&lt;=TrafficData[[#This Row],[totalCourt]],TrafficData[[#This Row],[disposedCourt]]&lt;=TrafficData[[#This Row],[totalCourt]])</f>
        <v>1</v>
      </c>
    </row>
    <row r="409" spans="1:16">
      <c r="A409" s="1">
        <v>42412</v>
      </c>
      <c r="B409">
        <v>1794</v>
      </c>
      <c r="C409">
        <v>173</v>
      </c>
      <c r="D409">
        <v>1621</v>
      </c>
      <c r="E409">
        <v>1077990</v>
      </c>
      <c r="F409">
        <v>311643</v>
      </c>
      <c r="G409">
        <v>1389633</v>
      </c>
      <c r="H409">
        <v>1229</v>
      </c>
      <c r="I409">
        <v>53</v>
      </c>
      <c r="J409">
        <v>1282</v>
      </c>
      <c r="K409" t="b">
        <f>TrafficData[[#This Row],[disposedChallan]]+TrafficData[[#This Row],[pendingChallan]]=TrafficData[[#This Row],[totalChallan]]</f>
        <v>1</v>
      </c>
      <c r="L409" t="b">
        <f>TrafficData[[#This Row],[pendingAmount]]+TrafficData[[#This Row],[disposedAmount]]=TrafficData[[#This Row],[totalAmount]]</f>
        <v>1</v>
      </c>
      <c r="M409" t="b">
        <f>TrafficData[[#This Row],[pendingCourt]]+TrafficData[[#This Row],[disposedCourt]]=TrafficData[[#This Row],[totalCourt]]</f>
        <v>1</v>
      </c>
      <c r="N409" s="8" t="b">
        <f>AND(TrafficData[[#This Row],[disposedChallan]]&lt;=TrafficData[[#This Row],[totalChallan]],TrafficData[[#This Row],[pendingChallan]]&lt;=TrafficData[[#This Row],[totalChallan]])</f>
        <v>1</v>
      </c>
      <c r="O409" s="8" t="b">
        <f>AND(TrafficData[[#This Row],[pendingAmount]]&lt;=TrafficData[[#This Row],[totalAmount]],TrafficData[[#This Row],[disposedAmount]]&lt;=TrafficData[[#This Row],[totalAmount]])</f>
        <v>1</v>
      </c>
      <c r="P409" s="8" t="b">
        <f>AND(TrafficData[[#This Row],[pendingCourt]]&lt;=TrafficData[[#This Row],[totalCourt]],TrafficData[[#This Row],[disposedCourt]]&lt;=TrafficData[[#This Row],[totalCourt]])</f>
        <v>1</v>
      </c>
    </row>
    <row r="410" spans="1:16">
      <c r="A410" s="1">
        <v>42413</v>
      </c>
      <c r="B410">
        <v>1189</v>
      </c>
      <c r="C410">
        <v>109</v>
      </c>
      <c r="D410">
        <v>1080</v>
      </c>
      <c r="E410">
        <v>580525</v>
      </c>
      <c r="F410">
        <v>233325</v>
      </c>
      <c r="G410">
        <v>813850</v>
      </c>
      <c r="H410">
        <v>808</v>
      </c>
      <c r="I410">
        <v>30</v>
      </c>
      <c r="J410">
        <v>838</v>
      </c>
      <c r="K410" t="b">
        <f>TrafficData[[#This Row],[disposedChallan]]+TrafficData[[#This Row],[pendingChallan]]=TrafficData[[#This Row],[totalChallan]]</f>
        <v>1</v>
      </c>
      <c r="L410" t="b">
        <f>TrafficData[[#This Row],[pendingAmount]]+TrafficData[[#This Row],[disposedAmount]]=TrafficData[[#This Row],[totalAmount]]</f>
        <v>1</v>
      </c>
      <c r="M410" t="b">
        <f>TrafficData[[#This Row],[pendingCourt]]+TrafficData[[#This Row],[disposedCourt]]=TrafficData[[#This Row],[totalCourt]]</f>
        <v>1</v>
      </c>
      <c r="N410" s="8" t="b">
        <f>AND(TrafficData[[#This Row],[disposedChallan]]&lt;=TrafficData[[#This Row],[totalChallan]],TrafficData[[#This Row],[pendingChallan]]&lt;=TrafficData[[#This Row],[totalChallan]])</f>
        <v>1</v>
      </c>
      <c r="O410" s="8" t="b">
        <f>AND(TrafficData[[#This Row],[pendingAmount]]&lt;=TrafficData[[#This Row],[totalAmount]],TrafficData[[#This Row],[disposedAmount]]&lt;=TrafficData[[#This Row],[totalAmount]])</f>
        <v>1</v>
      </c>
      <c r="P410" s="8" t="b">
        <f>AND(TrafficData[[#This Row],[pendingCourt]]&lt;=TrafficData[[#This Row],[totalCourt]],TrafficData[[#This Row],[disposedCourt]]&lt;=TrafficData[[#This Row],[totalCourt]])</f>
        <v>1</v>
      </c>
    </row>
    <row r="411" spans="1:16">
      <c r="A411" s="1">
        <v>42414</v>
      </c>
      <c r="B411">
        <v>1171</v>
      </c>
      <c r="C411">
        <v>120</v>
      </c>
      <c r="D411">
        <v>1051</v>
      </c>
      <c r="E411">
        <v>450500</v>
      </c>
      <c r="F411">
        <v>210800</v>
      </c>
      <c r="G411">
        <v>661300</v>
      </c>
      <c r="H411">
        <v>813</v>
      </c>
      <c r="I411">
        <v>50</v>
      </c>
      <c r="J411">
        <v>863</v>
      </c>
      <c r="K411" t="b">
        <f>TrafficData[[#This Row],[disposedChallan]]+TrafficData[[#This Row],[pendingChallan]]=TrafficData[[#This Row],[totalChallan]]</f>
        <v>1</v>
      </c>
      <c r="L411" t="b">
        <f>TrafficData[[#This Row],[pendingAmount]]+TrafficData[[#This Row],[disposedAmount]]=TrafficData[[#This Row],[totalAmount]]</f>
        <v>1</v>
      </c>
      <c r="M411" t="b">
        <f>TrafficData[[#This Row],[pendingCourt]]+TrafficData[[#This Row],[disposedCourt]]=TrafficData[[#This Row],[totalCourt]]</f>
        <v>1</v>
      </c>
      <c r="N411" s="8" t="b">
        <f>AND(TrafficData[[#This Row],[disposedChallan]]&lt;=TrafficData[[#This Row],[totalChallan]],TrafficData[[#This Row],[pendingChallan]]&lt;=TrafficData[[#This Row],[totalChallan]])</f>
        <v>1</v>
      </c>
      <c r="O411" s="8" t="b">
        <f>AND(TrafficData[[#This Row],[pendingAmount]]&lt;=TrafficData[[#This Row],[totalAmount]],TrafficData[[#This Row],[disposedAmount]]&lt;=TrafficData[[#This Row],[totalAmount]])</f>
        <v>1</v>
      </c>
      <c r="P411" s="8" t="b">
        <f>AND(TrafficData[[#This Row],[pendingCourt]]&lt;=TrafficData[[#This Row],[totalCourt]],TrafficData[[#This Row],[disposedCourt]]&lt;=TrafficData[[#This Row],[totalCourt]])</f>
        <v>1</v>
      </c>
    </row>
    <row r="412" spans="1:16">
      <c r="A412" s="1">
        <v>42415</v>
      </c>
      <c r="B412">
        <v>1547</v>
      </c>
      <c r="C412">
        <v>148</v>
      </c>
      <c r="D412">
        <v>1399</v>
      </c>
      <c r="E412">
        <v>692550</v>
      </c>
      <c r="F412">
        <v>152500</v>
      </c>
      <c r="G412">
        <v>845050</v>
      </c>
      <c r="H412">
        <v>1019</v>
      </c>
      <c r="I412">
        <v>56</v>
      </c>
      <c r="J412">
        <v>1075</v>
      </c>
      <c r="K412" t="b">
        <f>TrafficData[[#This Row],[disposedChallan]]+TrafficData[[#This Row],[pendingChallan]]=TrafficData[[#This Row],[totalChallan]]</f>
        <v>1</v>
      </c>
      <c r="L412" t="b">
        <f>TrafficData[[#This Row],[pendingAmount]]+TrafficData[[#This Row],[disposedAmount]]=TrafficData[[#This Row],[totalAmount]]</f>
        <v>1</v>
      </c>
      <c r="M412" t="b">
        <f>TrafficData[[#This Row],[pendingCourt]]+TrafficData[[#This Row],[disposedCourt]]=TrafficData[[#This Row],[totalCourt]]</f>
        <v>1</v>
      </c>
      <c r="N412" s="8" t="b">
        <f>AND(TrafficData[[#This Row],[disposedChallan]]&lt;=TrafficData[[#This Row],[totalChallan]],TrafficData[[#This Row],[pendingChallan]]&lt;=TrafficData[[#This Row],[totalChallan]])</f>
        <v>1</v>
      </c>
      <c r="O412" s="8" t="b">
        <f>AND(TrafficData[[#This Row],[pendingAmount]]&lt;=TrafficData[[#This Row],[totalAmount]],TrafficData[[#This Row],[disposedAmount]]&lt;=TrafficData[[#This Row],[totalAmount]])</f>
        <v>1</v>
      </c>
      <c r="P412" s="8" t="b">
        <f>AND(TrafficData[[#This Row],[pendingCourt]]&lt;=TrafficData[[#This Row],[totalCourt]],TrafficData[[#This Row],[disposedCourt]]&lt;=TrafficData[[#This Row],[totalCourt]])</f>
        <v>1</v>
      </c>
    </row>
    <row r="413" spans="1:16">
      <c r="A413" s="1">
        <v>42416</v>
      </c>
      <c r="B413">
        <v>1526</v>
      </c>
      <c r="C413">
        <v>165</v>
      </c>
      <c r="D413">
        <v>1361</v>
      </c>
      <c r="E413">
        <v>950425</v>
      </c>
      <c r="F413">
        <v>176630</v>
      </c>
      <c r="G413">
        <v>1127055</v>
      </c>
      <c r="H413">
        <v>1007</v>
      </c>
      <c r="I413">
        <v>18</v>
      </c>
      <c r="J413">
        <v>1025</v>
      </c>
      <c r="K413" t="b">
        <f>TrafficData[[#This Row],[disposedChallan]]+TrafficData[[#This Row],[pendingChallan]]=TrafficData[[#This Row],[totalChallan]]</f>
        <v>1</v>
      </c>
      <c r="L413" t="b">
        <f>TrafficData[[#This Row],[pendingAmount]]+TrafficData[[#This Row],[disposedAmount]]=TrafficData[[#This Row],[totalAmount]]</f>
        <v>1</v>
      </c>
      <c r="M413" t="b">
        <f>TrafficData[[#This Row],[pendingCourt]]+TrafficData[[#This Row],[disposedCourt]]=TrafficData[[#This Row],[totalCourt]]</f>
        <v>1</v>
      </c>
      <c r="N413" s="8" t="b">
        <f>AND(TrafficData[[#This Row],[disposedChallan]]&lt;=TrafficData[[#This Row],[totalChallan]],TrafficData[[#This Row],[pendingChallan]]&lt;=TrafficData[[#This Row],[totalChallan]])</f>
        <v>1</v>
      </c>
      <c r="O413" s="8" t="b">
        <f>AND(TrafficData[[#This Row],[pendingAmount]]&lt;=TrafficData[[#This Row],[totalAmount]],TrafficData[[#This Row],[disposedAmount]]&lt;=TrafficData[[#This Row],[totalAmount]])</f>
        <v>1</v>
      </c>
      <c r="P413" s="8" t="b">
        <f>AND(TrafficData[[#This Row],[pendingCourt]]&lt;=TrafficData[[#This Row],[totalCourt]],TrafficData[[#This Row],[disposedCourt]]&lt;=TrafficData[[#This Row],[totalCourt]])</f>
        <v>1</v>
      </c>
    </row>
    <row r="414" spans="1:16">
      <c r="A414" s="1">
        <v>42417</v>
      </c>
      <c r="B414">
        <v>1797</v>
      </c>
      <c r="C414">
        <v>210</v>
      </c>
      <c r="D414">
        <v>1587</v>
      </c>
      <c r="E414">
        <v>985200</v>
      </c>
      <c r="F414">
        <v>485200</v>
      </c>
      <c r="G414">
        <v>1470400</v>
      </c>
      <c r="H414">
        <v>1157</v>
      </c>
      <c r="I414">
        <v>65</v>
      </c>
      <c r="J414">
        <v>1222</v>
      </c>
      <c r="K414" t="b">
        <f>TrafficData[[#This Row],[disposedChallan]]+TrafficData[[#This Row],[pendingChallan]]=TrafficData[[#This Row],[totalChallan]]</f>
        <v>1</v>
      </c>
      <c r="L414" t="b">
        <f>TrafficData[[#This Row],[pendingAmount]]+TrafficData[[#This Row],[disposedAmount]]=TrafficData[[#This Row],[totalAmount]]</f>
        <v>1</v>
      </c>
      <c r="M414" t="b">
        <f>TrafficData[[#This Row],[pendingCourt]]+TrafficData[[#This Row],[disposedCourt]]=TrafficData[[#This Row],[totalCourt]]</f>
        <v>1</v>
      </c>
      <c r="N414" s="8" t="b">
        <f>AND(TrafficData[[#This Row],[disposedChallan]]&lt;=TrafficData[[#This Row],[totalChallan]],TrafficData[[#This Row],[pendingChallan]]&lt;=TrafficData[[#This Row],[totalChallan]])</f>
        <v>1</v>
      </c>
      <c r="O414" s="8" t="b">
        <f>AND(TrafficData[[#This Row],[pendingAmount]]&lt;=TrafficData[[#This Row],[totalAmount]],TrafficData[[#This Row],[disposedAmount]]&lt;=TrafficData[[#This Row],[totalAmount]])</f>
        <v>1</v>
      </c>
      <c r="P414" s="8" t="b">
        <f>AND(TrafficData[[#This Row],[pendingCourt]]&lt;=TrafficData[[#This Row],[totalCourt]],TrafficData[[#This Row],[disposedCourt]]&lt;=TrafficData[[#This Row],[totalCourt]])</f>
        <v>1</v>
      </c>
    </row>
    <row r="415" spans="1:16">
      <c r="A415" s="1">
        <v>42418</v>
      </c>
      <c r="B415">
        <v>1622</v>
      </c>
      <c r="C415">
        <v>241</v>
      </c>
      <c r="D415">
        <v>1381</v>
      </c>
      <c r="E415">
        <v>794053</v>
      </c>
      <c r="F415">
        <v>421775</v>
      </c>
      <c r="G415">
        <v>1215828</v>
      </c>
      <c r="H415">
        <v>976</v>
      </c>
      <c r="I415">
        <v>57</v>
      </c>
      <c r="J415">
        <v>1033</v>
      </c>
      <c r="K415" t="b">
        <f>TrafficData[[#This Row],[disposedChallan]]+TrafficData[[#This Row],[pendingChallan]]=TrafficData[[#This Row],[totalChallan]]</f>
        <v>1</v>
      </c>
      <c r="L415" t="b">
        <f>TrafficData[[#This Row],[pendingAmount]]+TrafficData[[#This Row],[disposedAmount]]=TrafficData[[#This Row],[totalAmount]]</f>
        <v>1</v>
      </c>
      <c r="M415" t="b">
        <f>TrafficData[[#This Row],[pendingCourt]]+TrafficData[[#This Row],[disposedCourt]]=TrafficData[[#This Row],[totalCourt]]</f>
        <v>1</v>
      </c>
      <c r="N415" s="8" t="b">
        <f>AND(TrafficData[[#This Row],[disposedChallan]]&lt;=TrafficData[[#This Row],[totalChallan]],TrafficData[[#This Row],[pendingChallan]]&lt;=TrafficData[[#This Row],[totalChallan]])</f>
        <v>1</v>
      </c>
      <c r="O415" s="8" t="b">
        <f>AND(TrafficData[[#This Row],[pendingAmount]]&lt;=TrafficData[[#This Row],[totalAmount]],TrafficData[[#This Row],[disposedAmount]]&lt;=TrafficData[[#This Row],[totalAmount]])</f>
        <v>1</v>
      </c>
      <c r="P415" s="8" t="b">
        <f>AND(TrafficData[[#This Row],[pendingCourt]]&lt;=TrafficData[[#This Row],[totalCourt]],TrafficData[[#This Row],[disposedCourt]]&lt;=TrafficData[[#This Row],[totalCourt]])</f>
        <v>1</v>
      </c>
    </row>
    <row r="416" spans="1:16">
      <c r="A416" s="1">
        <v>42419</v>
      </c>
      <c r="B416">
        <v>1319</v>
      </c>
      <c r="C416">
        <v>157</v>
      </c>
      <c r="D416">
        <v>1162</v>
      </c>
      <c r="E416">
        <v>853100</v>
      </c>
      <c r="F416">
        <v>255100</v>
      </c>
      <c r="G416">
        <v>1108200</v>
      </c>
      <c r="H416">
        <v>845</v>
      </c>
      <c r="I416">
        <v>40</v>
      </c>
      <c r="J416">
        <v>885</v>
      </c>
      <c r="K416" t="b">
        <f>TrafficData[[#This Row],[disposedChallan]]+TrafficData[[#This Row],[pendingChallan]]=TrafficData[[#This Row],[totalChallan]]</f>
        <v>1</v>
      </c>
      <c r="L416" t="b">
        <f>TrafficData[[#This Row],[pendingAmount]]+TrafficData[[#This Row],[disposedAmount]]=TrafficData[[#This Row],[totalAmount]]</f>
        <v>1</v>
      </c>
      <c r="M416" t="b">
        <f>TrafficData[[#This Row],[pendingCourt]]+TrafficData[[#This Row],[disposedCourt]]=TrafficData[[#This Row],[totalCourt]]</f>
        <v>1</v>
      </c>
      <c r="N416" s="8" t="b">
        <f>AND(TrafficData[[#This Row],[disposedChallan]]&lt;=TrafficData[[#This Row],[totalChallan]],TrafficData[[#This Row],[pendingChallan]]&lt;=TrafficData[[#This Row],[totalChallan]])</f>
        <v>1</v>
      </c>
      <c r="O416" s="8" t="b">
        <f>AND(TrafficData[[#This Row],[pendingAmount]]&lt;=TrafficData[[#This Row],[totalAmount]],TrafficData[[#This Row],[disposedAmount]]&lt;=TrafficData[[#This Row],[totalAmount]])</f>
        <v>1</v>
      </c>
      <c r="P416" s="8" t="b">
        <f>AND(TrafficData[[#This Row],[pendingCourt]]&lt;=TrafficData[[#This Row],[totalCourt]],TrafficData[[#This Row],[disposedCourt]]&lt;=TrafficData[[#This Row],[totalCourt]])</f>
        <v>1</v>
      </c>
    </row>
    <row r="417" spans="1:16">
      <c r="A417" s="1">
        <v>42420</v>
      </c>
      <c r="B417">
        <v>1222</v>
      </c>
      <c r="C417">
        <v>115</v>
      </c>
      <c r="D417">
        <v>1107</v>
      </c>
      <c r="E417">
        <v>832900</v>
      </c>
      <c r="F417">
        <v>158350</v>
      </c>
      <c r="G417">
        <v>991250</v>
      </c>
      <c r="H417">
        <v>872</v>
      </c>
      <c r="I417">
        <v>38</v>
      </c>
      <c r="J417">
        <v>910</v>
      </c>
      <c r="K417" t="b">
        <f>TrafficData[[#This Row],[disposedChallan]]+TrafficData[[#This Row],[pendingChallan]]=TrafficData[[#This Row],[totalChallan]]</f>
        <v>1</v>
      </c>
      <c r="L417" t="b">
        <f>TrafficData[[#This Row],[pendingAmount]]+TrafficData[[#This Row],[disposedAmount]]=TrafficData[[#This Row],[totalAmount]]</f>
        <v>1</v>
      </c>
      <c r="M417" t="b">
        <f>TrafficData[[#This Row],[pendingCourt]]+TrafficData[[#This Row],[disposedCourt]]=TrafficData[[#This Row],[totalCourt]]</f>
        <v>1</v>
      </c>
      <c r="N417" s="8" t="b">
        <f>AND(TrafficData[[#This Row],[disposedChallan]]&lt;=TrafficData[[#This Row],[totalChallan]],TrafficData[[#This Row],[pendingChallan]]&lt;=TrafficData[[#This Row],[totalChallan]])</f>
        <v>1</v>
      </c>
      <c r="O417" s="8" t="b">
        <f>AND(TrafficData[[#This Row],[pendingAmount]]&lt;=TrafficData[[#This Row],[totalAmount]],TrafficData[[#This Row],[disposedAmount]]&lt;=TrafficData[[#This Row],[totalAmount]])</f>
        <v>1</v>
      </c>
      <c r="P417" s="8" t="b">
        <f>AND(TrafficData[[#This Row],[pendingCourt]]&lt;=TrafficData[[#This Row],[totalCourt]],TrafficData[[#This Row],[disposedCourt]]&lt;=TrafficData[[#This Row],[totalCourt]])</f>
        <v>1</v>
      </c>
    </row>
    <row r="418" spans="1:16">
      <c r="A418" s="1">
        <v>42421</v>
      </c>
      <c r="B418">
        <v>797</v>
      </c>
      <c r="C418">
        <v>92</v>
      </c>
      <c r="D418">
        <v>705</v>
      </c>
      <c r="E418">
        <v>372350</v>
      </c>
      <c r="F418">
        <v>168100</v>
      </c>
      <c r="G418">
        <v>540450</v>
      </c>
      <c r="H418">
        <v>571</v>
      </c>
      <c r="I418">
        <v>34</v>
      </c>
      <c r="J418">
        <v>605</v>
      </c>
      <c r="K418" t="b">
        <f>TrafficData[[#This Row],[disposedChallan]]+TrafficData[[#This Row],[pendingChallan]]=TrafficData[[#This Row],[totalChallan]]</f>
        <v>1</v>
      </c>
      <c r="L418" t="b">
        <f>TrafficData[[#This Row],[pendingAmount]]+TrafficData[[#This Row],[disposedAmount]]=TrafficData[[#This Row],[totalAmount]]</f>
        <v>1</v>
      </c>
      <c r="M418" t="b">
        <f>TrafficData[[#This Row],[pendingCourt]]+TrafficData[[#This Row],[disposedCourt]]=TrafficData[[#This Row],[totalCourt]]</f>
        <v>1</v>
      </c>
      <c r="N418" s="8" t="b">
        <f>AND(TrafficData[[#This Row],[disposedChallan]]&lt;=TrafficData[[#This Row],[totalChallan]],TrafficData[[#This Row],[pendingChallan]]&lt;=TrafficData[[#This Row],[totalChallan]])</f>
        <v>1</v>
      </c>
      <c r="O418" s="8" t="b">
        <f>AND(TrafficData[[#This Row],[pendingAmount]]&lt;=TrafficData[[#This Row],[totalAmount]],TrafficData[[#This Row],[disposedAmount]]&lt;=TrafficData[[#This Row],[totalAmount]])</f>
        <v>1</v>
      </c>
      <c r="P418" s="8" t="b">
        <f>AND(TrafficData[[#This Row],[pendingCourt]]&lt;=TrafficData[[#This Row],[totalCourt]],TrafficData[[#This Row],[disposedCourt]]&lt;=TrafficData[[#This Row],[totalCourt]])</f>
        <v>1</v>
      </c>
    </row>
    <row r="419" spans="1:16">
      <c r="A419" s="1">
        <v>42422</v>
      </c>
      <c r="B419">
        <v>1155</v>
      </c>
      <c r="C419">
        <v>114</v>
      </c>
      <c r="D419">
        <v>1041</v>
      </c>
      <c r="E419">
        <v>869250</v>
      </c>
      <c r="F419">
        <v>189785</v>
      </c>
      <c r="G419">
        <v>1059035</v>
      </c>
      <c r="H419">
        <v>772</v>
      </c>
      <c r="I419">
        <v>38</v>
      </c>
      <c r="J419">
        <v>810</v>
      </c>
      <c r="K419" t="b">
        <f>TrafficData[[#This Row],[disposedChallan]]+TrafficData[[#This Row],[pendingChallan]]=TrafficData[[#This Row],[totalChallan]]</f>
        <v>1</v>
      </c>
      <c r="L419" t="b">
        <f>TrafficData[[#This Row],[pendingAmount]]+TrafficData[[#This Row],[disposedAmount]]=TrafficData[[#This Row],[totalAmount]]</f>
        <v>1</v>
      </c>
      <c r="M419" t="b">
        <f>TrafficData[[#This Row],[pendingCourt]]+TrafficData[[#This Row],[disposedCourt]]=TrafficData[[#This Row],[totalCourt]]</f>
        <v>1</v>
      </c>
      <c r="N419" s="8" t="b">
        <f>AND(TrafficData[[#This Row],[disposedChallan]]&lt;=TrafficData[[#This Row],[totalChallan]],TrafficData[[#This Row],[pendingChallan]]&lt;=TrafficData[[#This Row],[totalChallan]])</f>
        <v>1</v>
      </c>
      <c r="O419" s="8" t="b">
        <f>AND(TrafficData[[#This Row],[pendingAmount]]&lt;=TrafficData[[#This Row],[totalAmount]],TrafficData[[#This Row],[disposedAmount]]&lt;=TrafficData[[#This Row],[totalAmount]])</f>
        <v>1</v>
      </c>
      <c r="P419" s="8" t="b">
        <f>AND(TrafficData[[#This Row],[pendingCourt]]&lt;=TrafficData[[#This Row],[totalCourt]],TrafficData[[#This Row],[disposedCourt]]&lt;=TrafficData[[#This Row],[totalCourt]])</f>
        <v>1</v>
      </c>
    </row>
    <row r="420" spans="1:16">
      <c r="A420" s="1">
        <v>42423</v>
      </c>
      <c r="B420">
        <v>1300</v>
      </c>
      <c r="C420">
        <v>142</v>
      </c>
      <c r="D420">
        <v>1158</v>
      </c>
      <c r="E420">
        <v>1249550</v>
      </c>
      <c r="F420">
        <v>227475</v>
      </c>
      <c r="G420">
        <v>1477025</v>
      </c>
      <c r="H420">
        <v>868</v>
      </c>
      <c r="I420">
        <v>49</v>
      </c>
      <c r="J420">
        <v>917</v>
      </c>
      <c r="K420" t="b">
        <f>TrafficData[[#This Row],[disposedChallan]]+TrafficData[[#This Row],[pendingChallan]]=TrafficData[[#This Row],[totalChallan]]</f>
        <v>1</v>
      </c>
      <c r="L420" t="b">
        <f>TrafficData[[#This Row],[pendingAmount]]+TrafficData[[#This Row],[disposedAmount]]=TrafficData[[#This Row],[totalAmount]]</f>
        <v>1</v>
      </c>
      <c r="M420" t="b">
        <f>TrafficData[[#This Row],[pendingCourt]]+TrafficData[[#This Row],[disposedCourt]]=TrafficData[[#This Row],[totalCourt]]</f>
        <v>1</v>
      </c>
      <c r="N420" s="8" t="b">
        <f>AND(TrafficData[[#This Row],[disposedChallan]]&lt;=TrafficData[[#This Row],[totalChallan]],TrafficData[[#This Row],[pendingChallan]]&lt;=TrafficData[[#This Row],[totalChallan]])</f>
        <v>1</v>
      </c>
      <c r="O420" s="8" t="b">
        <f>AND(TrafficData[[#This Row],[pendingAmount]]&lt;=TrafficData[[#This Row],[totalAmount]],TrafficData[[#This Row],[disposedAmount]]&lt;=TrafficData[[#This Row],[totalAmount]])</f>
        <v>1</v>
      </c>
      <c r="P420" s="8" t="b">
        <f>AND(TrafficData[[#This Row],[pendingCourt]]&lt;=TrafficData[[#This Row],[totalCourt]],TrafficData[[#This Row],[disposedCourt]]&lt;=TrafficData[[#This Row],[totalCourt]])</f>
        <v>1</v>
      </c>
    </row>
    <row r="421" spans="1:16">
      <c r="A421" s="1">
        <v>42424</v>
      </c>
      <c r="B421">
        <v>1561</v>
      </c>
      <c r="C421">
        <v>170</v>
      </c>
      <c r="D421">
        <v>1391</v>
      </c>
      <c r="E421">
        <v>1327851</v>
      </c>
      <c r="F421">
        <v>203650</v>
      </c>
      <c r="G421">
        <v>1531501</v>
      </c>
      <c r="H421">
        <v>1023</v>
      </c>
      <c r="I421">
        <v>52</v>
      </c>
      <c r="J421">
        <v>1075</v>
      </c>
      <c r="K421" t="b">
        <f>TrafficData[[#This Row],[disposedChallan]]+TrafficData[[#This Row],[pendingChallan]]=TrafficData[[#This Row],[totalChallan]]</f>
        <v>1</v>
      </c>
      <c r="L421" t="b">
        <f>TrafficData[[#This Row],[pendingAmount]]+TrafficData[[#This Row],[disposedAmount]]=TrafficData[[#This Row],[totalAmount]]</f>
        <v>1</v>
      </c>
      <c r="M421" t="b">
        <f>TrafficData[[#This Row],[pendingCourt]]+TrafficData[[#This Row],[disposedCourt]]=TrafficData[[#This Row],[totalCourt]]</f>
        <v>1</v>
      </c>
      <c r="N421" s="8" t="b">
        <f>AND(TrafficData[[#This Row],[disposedChallan]]&lt;=TrafficData[[#This Row],[totalChallan]],TrafficData[[#This Row],[pendingChallan]]&lt;=TrafficData[[#This Row],[totalChallan]])</f>
        <v>1</v>
      </c>
      <c r="O421" s="8" t="b">
        <f>AND(TrafficData[[#This Row],[pendingAmount]]&lt;=TrafficData[[#This Row],[totalAmount]],TrafficData[[#This Row],[disposedAmount]]&lt;=TrafficData[[#This Row],[totalAmount]])</f>
        <v>1</v>
      </c>
      <c r="P421" s="8" t="b">
        <f>AND(TrafficData[[#This Row],[pendingCourt]]&lt;=TrafficData[[#This Row],[totalCourt]],TrafficData[[#This Row],[disposedCourt]]&lt;=TrafficData[[#This Row],[totalCourt]])</f>
        <v>1</v>
      </c>
    </row>
    <row r="422" spans="1:16">
      <c r="A422" s="1">
        <v>42425</v>
      </c>
      <c r="B422">
        <v>1495</v>
      </c>
      <c r="C422">
        <v>153</v>
      </c>
      <c r="D422">
        <v>1342</v>
      </c>
      <c r="E422">
        <v>1076860</v>
      </c>
      <c r="F422">
        <v>506894</v>
      </c>
      <c r="G422">
        <v>1583754</v>
      </c>
      <c r="H422">
        <v>983</v>
      </c>
      <c r="I422">
        <v>58</v>
      </c>
      <c r="J422">
        <v>1041</v>
      </c>
      <c r="K422" t="b">
        <f>TrafficData[[#This Row],[disposedChallan]]+TrafficData[[#This Row],[pendingChallan]]=TrafficData[[#This Row],[totalChallan]]</f>
        <v>1</v>
      </c>
      <c r="L422" t="b">
        <f>TrafficData[[#This Row],[pendingAmount]]+TrafficData[[#This Row],[disposedAmount]]=TrafficData[[#This Row],[totalAmount]]</f>
        <v>1</v>
      </c>
      <c r="M422" t="b">
        <f>TrafficData[[#This Row],[pendingCourt]]+TrafficData[[#This Row],[disposedCourt]]=TrafficData[[#This Row],[totalCourt]]</f>
        <v>1</v>
      </c>
      <c r="N422" s="8" t="b">
        <f>AND(TrafficData[[#This Row],[disposedChallan]]&lt;=TrafficData[[#This Row],[totalChallan]],TrafficData[[#This Row],[pendingChallan]]&lt;=TrafficData[[#This Row],[totalChallan]])</f>
        <v>1</v>
      </c>
      <c r="O422" s="8" t="b">
        <f>AND(TrafficData[[#This Row],[pendingAmount]]&lt;=TrafficData[[#This Row],[totalAmount]],TrafficData[[#This Row],[disposedAmount]]&lt;=TrafficData[[#This Row],[totalAmount]])</f>
        <v>1</v>
      </c>
      <c r="P422" s="8" t="b">
        <f>AND(TrafficData[[#This Row],[pendingCourt]]&lt;=TrafficData[[#This Row],[totalCourt]],TrafficData[[#This Row],[disposedCourt]]&lt;=TrafficData[[#This Row],[totalCourt]])</f>
        <v>1</v>
      </c>
    </row>
    <row r="423" spans="1:16">
      <c r="A423" s="1">
        <v>42426</v>
      </c>
      <c r="B423">
        <v>1407</v>
      </c>
      <c r="C423">
        <v>154</v>
      </c>
      <c r="D423">
        <v>1253</v>
      </c>
      <c r="E423">
        <v>1022500</v>
      </c>
      <c r="F423">
        <v>256091</v>
      </c>
      <c r="G423">
        <v>1278591</v>
      </c>
      <c r="H423">
        <v>958</v>
      </c>
      <c r="I423">
        <v>29</v>
      </c>
      <c r="J423">
        <v>987</v>
      </c>
      <c r="K423" t="b">
        <f>TrafficData[[#This Row],[disposedChallan]]+TrafficData[[#This Row],[pendingChallan]]=TrafficData[[#This Row],[totalChallan]]</f>
        <v>1</v>
      </c>
      <c r="L423" t="b">
        <f>TrafficData[[#This Row],[pendingAmount]]+TrafficData[[#This Row],[disposedAmount]]=TrafficData[[#This Row],[totalAmount]]</f>
        <v>1</v>
      </c>
      <c r="M423" t="b">
        <f>TrafficData[[#This Row],[pendingCourt]]+TrafficData[[#This Row],[disposedCourt]]=TrafficData[[#This Row],[totalCourt]]</f>
        <v>1</v>
      </c>
      <c r="N423" s="8" t="b">
        <f>AND(TrafficData[[#This Row],[disposedChallan]]&lt;=TrafficData[[#This Row],[totalChallan]],TrafficData[[#This Row],[pendingChallan]]&lt;=TrafficData[[#This Row],[totalChallan]])</f>
        <v>1</v>
      </c>
      <c r="O423" s="8" t="b">
        <f>AND(TrafficData[[#This Row],[pendingAmount]]&lt;=TrafficData[[#This Row],[totalAmount]],TrafficData[[#This Row],[disposedAmount]]&lt;=TrafficData[[#This Row],[totalAmount]])</f>
        <v>1</v>
      </c>
      <c r="P423" s="8" t="b">
        <f>AND(TrafficData[[#This Row],[pendingCourt]]&lt;=TrafficData[[#This Row],[totalCourt]],TrafficData[[#This Row],[disposedCourt]]&lt;=TrafficData[[#This Row],[totalCourt]])</f>
        <v>1</v>
      </c>
    </row>
    <row r="424" spans="1:16">
      <c r="A424" s="1">
        <v>42427</v>
      </c>
      <c r="B424">
        <v>1088</v>
      </c>
      <c r="C424">
        <v>102</v>
      </c>
      <c r="D424">
        <v>986</v>
      </c>
      <c r="E424">
        <v>758050</v>
      </c>
      <c r="F424">
        <v>184750</v>
      </c>
      <c r="G424">
        <v>942800</v>
      </c>
      <c r="H424">
        <v>749</v>
      </c>
      <c r="I424">
        <v>19</v>
      </c>
      <c r="J424">
        <v>768</v>
      </c>
      <c r="K424" t="b">
        <f>TrafficData[[#This Row],[disposedChallan]]+TrafficData[[#This Row],[pendingChallan]]=TrafficData[[#This Row],[totalChallan]]</f>
        <v>1</v>
      </c>
      <c r="L424" t="b">
        <f>TrafficData[[#This Row],[pendingAmount]]+TrafficData[[#This Row],[disposedAmount]]=TrafficData[[#This Row],[totalAmount]]</f>
        <v>1</v>
      </c>
      <c r="M424" t="b">
        <f>TrafficData[[#This Row],[pendingCourt]]+TrafficData[[#This Row],[disposedCourt]]=TrafficData[[#This Row],[totalCourt]]</f>
        <v>1</v>
      </c>
      <c r="N424" s="8" t="b">
        <f>AND(TrafficData[[#This Row],[disposedChallan]]&lt;=TrafficData[[#This Row],[totalChallan]],TrafficData[[#This Row],[pendingChallan]]&lt;=TrafficData[[#This Row],[totalChallan]])</f>
        <v>1</v>
      </c>
      <c r="O424" s="8" t="b">
        <f>AND(TrafficData[[#This Row],[pendingAmount]]&lt;=TrafficData[[#This Row],[totalAmount]],TrafficData[[#This Row],[disposedAmount]]&lt;=TrafficData[[#This Row],[totalAmount]])</f>
        <v>1</v>
      </c>
      <c r="P424" s="8" t="b">
        <f>AND(TrafficData[[#This Row],[pendingCourt]]&lt;=TrafficData[[#This Row],[totalCourt]],TrafficData[[#This Row],[disposedCourt]]&lt;=TrafficData[[#This Row],[totalCourt]])</f>
        <v>1</v>
      </c>
    </row>
    <row r="425" spans="1:16">
      <c r="A425" s="1">
        <v>42428</v>
      </c>
      <c r="B425">
        <v>821</v>
      </c>
      <c r="C425">
        <v>97</v>
      </c>
      <c r="D425">
        <v>724</v>
      </c>
      <c r="E425">
        <v>519190</v>
      </c>
      <c r="F425">
        <v>148475</v>
      </c>
      <c r="G425">
        <v>667665</v>
      </c>
      <c r="H425">
        <v>571</v>
      </c>
      <c r="I425">
        <v>40</v>
      </c>
      <c r="J425">
        <v>611</v>
      </c>
      <c r="K425" t="b">
        <f>TrafficData[[#This Row],[disposedChallan]]+TrafficData[[#This Row],[pendingChallan]]=TrafficData[[#This Row],[totalChallan]]</f>
        <v>1</v>
      </c>
      <c r="L425" t="b">
        <f>TrafficData[[#This Row],[pendingAmount]]+TrafficData[[#This Row],[disposedAmount]]=TrafficData[[#This Row],[totalAmount]]</f>
        <v>1</v>
      </c>
      <c r="M425" t="b">
        <f>TrafficData[[#This Row],[pendingCourt]]+TrafficData[[#This Row],[disposedCourt]]=TrafficData[[#This Row],[totalCourt]]</f>
        <v>1</v>
      </c>
      <c r="N425" s="8" t="b">
        <f>AND(TrafficData[[#This Row],[disposedChallan]]&lt;=TrafficData[[#This Row],[totalChallan]],TrafficData[[#This Row],[pendingChallan]]&lt;=TrafficData[[#This Row],[totalChallan]])</f>
        <v>1</v>
      </c>
      <c r="O425" s="8" t="b">
        <f>AND(TrafficData[[#This Row],[pendingAmount]]&lt;=TrafficData[[#This Row],[totalAmount]],TrafficData[[#This Row],[disposedAmount]]&lt;=TrafficData[[#This Row],[totalAmount]])</f>
        <v>1</v>
      </c>
      <c r="P425" s="8" t="b">
        <f>AND(TrafficData[[#This Row],[pendingCourt]]&lt;=TrafficData[[#This Row],[totalCourt]],TrafficData[[#This Row],[disposedCourt]]&lt;=TrafficData[[#This Row],[totalCourt]])</f>
        <v>1</v>
      </c>
    </row>
    <row r="426" spans="1:16">
      <c r="A426" s="1">
        <v>42429</v>
      </c>
      <c r="B426">
        <v>1268</v>
      </c>
      <c r="C426">
        <v>100</v>
      </c>
      <c r="D426">
        <v>1168</v>
      </c>
      <c r="E426">
        <v>700330</v>
      </c>
      <c r="F426">
        <v>227381</v>
      </c>
      <c r="G426">
        <v>927711</v>
      </c>
      <c r="H426">
        <v>841</v>
      </c>
      <c r="I426">
        <v>46</v>
      </c>
      <c r="J426">
        <v>887</v>
      </c>
      <c r="K426" t="b">
        <f>TrafficData[[#This Row],[disposedChallan]]+TrafficData[[#This Row],[pendingChallan]]=TrafficData[[#This Row],[totalChallan]]</f>
        <v>1</v>
      </c>
      <c r="L426" t="b">
        <f>TrafficData[[#This Row],[pendingAmount]]+TrafficData[[#This Row],[disposedAmount]]=TrafficData[[#This Row],[totalAmount]]</f>
        <v>1</v>
      </c>
      <c r="M426" t="b">
        <f>TrafficData[[#This Row],[pendingCourt]]+TrafficData[[#This Row],[disposedCourt]]=TrafficData[[#This Row],[totalCourt]]</f>
        <v>1</v>
      </c>
      <c r="N426" s="8" t="b">
        <f>AND(TrafficData[[#This Row],[disposedChallan]]&lt;=TrafficData[[#This Row],[totalChallan]],TrafficData[[#This Row],[pendingChallan]]&lt;=TrafficData[[#This Row],[totalChallan]])</f>
        <v>1</v>
      </c>
      <c r="O426" s="8" t="b">
        <f>AND(TrafficData[[#This Row],[pendingAmount]]&lt;=TrafficData[[#This Row],[totalAmount]],TrafficData[[#This Row],[disposedAmount]]&lt;=TrafficData[[#This Row],[totalAmount]])</f>
        <v>1</v>
      </c>
      <c r="P426" s="8" t="b">
        <f>AND(TrafficData[[#This Row],[pendingCourt]]&lt;=TrafficData[[#This Row],[totalCourt]],TrafficData[[#This Row],[disposedCourt]]&lt;=TrafficData[[#This Row],[totalCourt]])</f>
        <v>1</v>
      </c>
    </row>
    <row r="427" spans="1:16">
      <c r="A427" s="1">
        <v>42430</v>
      </c>
      <c r="B427">
        <v>1478</v>
      </c>
      <c r="C427">
        <v>181</v>
      </c>
      <c r="D427">
        <v>1297</v>
      </c>
      <c r="E427">
        <v>1019300</v>
      </c>
      <c r="F427">
        <v>300100</v>
      </c>
      <c r="G427">
        <v>1319400</v>
      </c>
      <c r="H427">
        <v>960</v>
      </c>
      <c r="I427">
        <v>61</v>
      </c>
      <c r="J427">
        <v>1021</v>
      </c>
      <c r="K427" t="b">
        <f>TrafficData[[#This Row],[disposedChallan]]+TrafficData[[#This Row],[pendingChallan]]=TrafficData[[#This Row],[totalChallan]]</f>
        <v>1</v>
      </c>
      <c r="L427" t="b">
        <f>TrafficData[[#This Row],[pendingAmount]]+TrafficData[[#This Row],[disposedAmount]]=TrafficData[[#This Row],[totalAmount]]</f>
        <v>1</v>
      </c>
      <c r="M427" t="b">
        <f>TrafficData[[#This Row],[pendingCourt]]+TrafficData[[#This Row],[disposedCourt]]=TrafficData[[#This Row],[totalCourt]]</f>
        <v>1</v>
      </c>
      <c r="N427" s="8" t="b">
        <f>AND(TrafficData[[#This Row],[disposedChallan]]&lt;=TrafficData[[#This Row],[totalChallan]],TrafficData[[#This Row],[pendingChallan]]&lt;=TrafficData[[#This Row],[totalChallan]])</f>
        <v>1</v>
      </c>
      <c r="O427" s="8" t="b">
        <f>AND(TrafficData[[#This Row],[pendingAmount]]&lt;=TrafficData[[#This Row],[totalAmount]],TrafficData[[#This Row],[disposedAmount]]&lt;=TrafficData[[#This Row],[totalAmount]])</f>
        <v>1</v>
      </c>
      <c r="P427" s="8" t="b">
        <f>AND(TrafficData[[#This Row],[pendingCourt]]&lt;=TrafficData[[#This Row],[totalCourt]],TrafficData[[#This Row],[disposedCourt]]&lt;=TrafficData[[#This Row],[totalCourt]])</f>
        <v>1</v>
      </c>
    </row>
    <row r="428" spans="1:16">
      <c r="A428" s="1">
        <v>42431</v>
      </c>
      <c r="B428">
        <v>1634</v>
      </c>
      <c r="C428">
        <v>221</v>
      </c>
      <c r="D428">
        <v>1413</v>
      </c>
      <c r="E428">
        <v>1999862</v>
      </c>
      <c r="F428">
        <v>687150</v>
      </c>
      <c r="G428">
        <v>2687012</v>
      </c>
      <c r="H428">
        <v>975</v>
      </c>
      <c r="I428">
        <v>30</v>
      </c>
      <c r="J428">
        <v>1005</v>
      </c>
      <c r="K428" t="b">
        <f>TrafficData[[#This Row],[disposedChallan]]+TrafficData[[#This Row],[pendingChallan]]=TrafficData[[#This Row],[totalChallan]]</f>
        <v>1</v>
      </c>
      <c r="L428" t="b">
        <f>TrafficData[[#This Row],[pendingAmount]]+TrafficData[[#This Row],[disposedAmount]]=TrafficData[[#This Row],[totalAmount]]</f>
        <v>1</v>
      </c>
      <c r="M428" t="b">
        <f>TrafficData[[#This Row],[pendingCourt]]+TrafficData[[#This Row],[disposedCourt]]=TrafficData[[#This Row],[totalCourt]]</f>
        <v>1</v>
      </c>
      <c r="N428" s="8" t="b">
        <f>AND(TrafficData[[#This Row],[disposedChallan]]&lt;=TrafficData[[#This Row],[totalChallan]],TrafficData[[#This Row],[pendingChallan]]&lt;=TrafficData[[#This Row],[totalChallan]])</f>
        <v>1</v>
      </c>
      <c r="O428" s="8" t="b">
        <f>AND(TrafficData[[#This Row],[pendingAmount]]&lt;=TrafficData[[#This Row],[totalAmount]],TrafficData[[#This Row],[disposedAmount]]&lt;=TrafficData[[#This Row],[totalAmount]])</f>
        <v>1</v>
      </c>
      <c r="P428" s="8" t="b">
        <f>AND(TrafficData[[#This Row],[pendingCourt]]&lt;=TrafficData[[#This Row],[totalCourt]],TrafficData[[#This Row],[disposedCourt]]&lt;=TrafficData[[#This Row],[totalCourt]])</f>
        <v>1</v>
      </c>
    </row>
    <row r="429" spans="1:16">
      <c r="A429" s="1">
        <v>42432</v>
      </c>
      <c r="B429">
        <v>1435</v>
      </c>
      <c r="C429">
        <v>212</v>
      </c>
      <c r="D429">
        <v>1223</v>
      </c>
      <c r="E429">
        <v>1529240</v>
      </c>
      <c r="F429">
        <v>481325</v>
      </c>
      <c r="G429">
        <v>2010565</v>
      </c>
      <c r="H429">
        <v>903</v>
      </c>
      <c r="I429">
        <v>22</v>
      </c>
      <c r="J429">
        <v>925</v>
      </c>
      <c r="K429" t="b">
        <f>TrafficData[[#This Row],[disposedChallan]]+TrafficData[[#This Row],[pendingChallan]]=TrafficData[[#This Row],[totalChallan]]</f>
        <v>1</v>
      </c>
      <c r="L429" t="b">
        <f>TrafficData[[#This Row],[pendingAmount]]+TrafficData[[#This Row],[disposedAmount]]=TrafficData[[#This Row],[totalAmount]]</f>
        <v>1</v>
      </c>
      <c r="M429" t="b">
        <f>TrafficData[[#This Row],[pendingCourt]]+TrafficData[[#This Row],[disposedCourt]]=TrafficData[[#This Row],[totalCourt]]</f>
        <v>1</v>
      </c>
      <c r="N429" s="8" t="b">
        <f>AND(TrafficData[[#This Row],[disposedChallan]]&lt;=TrafficData[[#This Row],[totalChallan]],TrafficData[[#This Row],[pendingChallan]]&lt;=TrafficData[[#This Row],[totalChallan]])</f>
        <v>1</v>
      </c>
      <c r="O429" s="8" t="b">
        <f>AND(TrafficData[[#This Row],[pendingAmount]]&lt;=TrafficData[[#This Row],[totalAmount]],TrafficData[[#This Row],[disposedAmount]]&lt;=TrafficData[[#This Row],[totalAmount]])</f>
        <v>1</v>
      </c>
      <c r="P429" s="8" t="b">
        <f>AND(TrafficData[[#This Row],[pendingCourt]]&lt;=TrafficData[[#This Row],[totalCourt]],TrafficData[[#This Row],[disposedCourt]]&lt;=TrafficData[[#This Row],[totalCourt]])</f>
        <v>1</v>
      </c>
    </row>
    <row r="430" spans="1:16">
      <c r="A430" s="1">
        <v>42433</v>
      </c>
      <c r="B430">
        <v>1450</v>
      </c>
      <c r="C430">
        <v>168</v>
      </c>
      <c r="D430">
        <v>1282</v>
      </c>
      <c r="E430">
        <v>1159200</v>
      </c>
      <c r="F430">
        <v>267090</v>
      </c>
      <c r="G430">
        <v>1426290</v>
      </c>
      <c r="H430">
        <v>969</v>
      </c>
      <c r="I430">
        <v>27</v>
      </c>
      <c r="J430">
        <v>996</v>
      </c>
      <c r="K430" t="b">
        <f>TrafficData[[#This Row],[disposedChallan]]+TrafficData[[#This Row],[pendingChallan]]=TrafficData[[#This Row],[totalChallan]]</f>
        <v>1</v>
      </c>
      <c r="L430" t="b">
        <f>TrafficData[[#This Row],[pendingAmount]]+TrafficData[[#This Row],[disposedAmount]]=TrafficData[[#This Row],[totalAmount]]</f>
        <v>1</v>
      </c>
      <c r="M430" t="b">
        <f>TrafficData[[#This Row],[pendingCourt]]+TrafficData[[#This Row],[disposedCourt]]=TrafficData[[#This Row],[totalCourt]]</f>
        <v>1</v>
      </c>
      <c r="N430" s="8" t="b">
        <f>AND(TrafficData[[#This Row],[disposedChallan]]&lt;=TrafficData[[#This Row],[totalChallan]],TrafficData[[#This Row],[pendingChallan]]&lt;=TrafficData[[#This Row],[totalChallan]])</f>
        <v>1</v>
      </c>
      <c r="O430" s="8" t="b">
        <f>AND(TrafficData[[#This Row],[pendingAmount]]&lt;=TrafficData[[#This Row],[totalAmount]],TrafficData[[#This Row],[disposedAmount]]&lt;=TrafficData[[#This Row],[totalAmount]])</f>
        <v>1</v>
      </c>
      <c r="P430" s="8" t="b">
        <f>AND(TrafficData[[#This Row],[pendingCourt]]&lt;=TrafficData[[#This Row],[totalCourt]],TrafficData[[#This Row],[disposedCourt]]&lt;=TrafficData[[#This Row],[totalCourt]])</f>
        <v>1</v>
      </c>
    </row>
    <row r="431" spans="1:16">
      <c r="A431" s="1">
        <v>42434</v>
      </c>
      <c r="B431">
        <v>1096</v>
      </c>
      <c r="C431">
        <v>134</v>
      </c>
      <c r="D431">
        <v>962</v>
      </c>
      <c r="E431">
        <v>1137675</v>
      </c>
      <c r="F431">
        <v>271300</v>
      </c>
      <c r="G431">
        <v>1408975</v>
      </c>
      <c r="H431">
        <v>674</v>
      </c>
      <c r="I431">
        <v>40</v>
      </c>
      <c r="J431">
        <v>714</v>
      </c>
      <c r="K431" t="b">
        <f>TrafficData[[#This Row],[disposedChallan]]+TrafficData[[#This Row],[pendingChallan]]=TrafficData[[#This Row],[totalChallan]]</f>
        <v>1</v>
      </c>
      <c r="L431" t="b">
        <f>TrafficData[[#This Row],[pendingAmount]]+TrafficData[[#This Row],[disposedAmount]]=TrafficData[[#This Row],[totalAmount]]</f>
        <v>1</v>
      </c>
      <c r="M431" t="b">
        <f>TrafficData[[#This Row],[pendingCourt]]+TrafficData[[#This Row],[disposedCourt]]=TrafficData[[#This Row],[totalCourt]]</f>
        <v>1</v>
      </c>
      <c r="N431" s="8" t="b">
        <f>AND(TrafficData[[#This Row],[disposedChallan]]&lt;=TrafficData[[#This Row],[totalChallan]],TrafficData[[#This Row],[pendingChallan]]&lt;=TrafficData[[#This Row],[totalChallan]])</f>
        <v>1</v>
      </c>
      <c r="O431" s="8" t="b">
        <f>AND(TrafficData[[#This Row],[pendingAmount]]&lt;=TrafficData[[#This Row],[totalAmount]],TrafficData[[#This Row],[disposedAmount]]&lt;=TrafficData[[#This Row],[totalAmount]])</f>
        <v>1</v>
      </c>
      <c r="P431" s="8" t="b">
        <f>AND(TrafficData[[#This Row],[pendingCourt]]&lt;=TrafficData[[#This Row],[totalCourt]],TrafficData[[#This Row],[disposedCourt]]&lt;=TrafficData[[#This Row],[totalCourt]])</f>
        <v>1</v>
      </c>
    </row>
    <row r="432" spans="1:16">
      <c r="A432" s="1">
        <v>42435</v>
      </c>
      <c r="B432">
        <v>586</v>
      </c>
      <c r="C432">
        <v>88</v>
      </c>
      <c r="D432">
        <v>498</v>
      </c>
      <c r="E432">
        <v>575360</v>
      </c>
      <c r="F432">
        <v>98800</v>
      </c>
      <c r="G432">
        <v>674160</v>
      </c>
      <c r="H432">
        <v>365</v>
      </c>
      <c r="I432">
        <v>32</v>
      </c>
      <c r="J432">
        <v>397</v>
      </c>
      <c r="K432" t="b">
        <f>TrafficData[[#This Row],[disposedChallan]]+TrafficData[[#This Row],[pendingChallan]]=TrafficData[[#This Row],[totalChallan]]</f>
        <v>1</v>
      </c>
      <c r="L432" t="b">
        <f>TrafficData[[#This Row],[pendingAmount]]+TrafficData[[#This Row],[disposedAmount]]=TrafficData[[#This Row],[totalAmount]]</f>
        <v>1</v>
      </c>
      <c r="M432" t="b">
        <f>TrafficData[[#This Row],[pendingCourt]]+TrafficData[[#This Row],[disposedCourt]]=TrafficData[[#This Row],[totalCourt]]</f>
        <v>1</v>
      </c>
      <c r="N432" s="8" t="b">
        <f>AND(TrafficData[[#This Row],[disposedChallan]]&lt;=TrafficData[[#This Row],[totalChallan]],TrafficData[[#This Row],[pendingChallan]]&lt;=TrafficData[[#This Row],[totalChallan]])</f>
        <v>1</v>
      </c>
      <c r="O432" s="8" t="b">
        <f>AND(TrafficData[[#This Row],[pendingAmount]]&lt;=TrafficData[[#This Row],[totalAmount]],TrafficData[[#This Row],[disposedAmount]]&lt;=TrafficData[[#This Row],[totalAmount]])</f>
        <v>1</v>
      </c>
      <c r="P432" s="8" t="b">
        <f>AND(TrafficData[[#This Row],[pendingCourt]]&lt;=TrafficData[[#This Row],[totalCourt]],TrafficData[[#This Row],[disposedCourt]]&lt;=TrafficData[[#This Row],[totalCourt]])</f>
        <v>1</v>
      </c>
    </row>
    <row r="433" spans="1:16">
      <c r="A433" s="1">
        <v>42436</v>
      </c>
      <c r="B433">
        <v>898</v>
      </c>
      <c r="C433">
        <v>132</v>
      </c>
      <c r="D433">
        <v>766</v>
      </c>
      <c r="E433">
        <v>1232650</v>
      </c>
      <c r="F433">
        <v>836200</v>
      </c>
      <c r="G433">
        <v>2068850</v>
      </c>
      <c r="H433">
        <v>522</v>
      </c>
      <c r="I433">
        <v>39</v>
      </c>
      <c r="J433">
        <v>561</v>
      </c>
      <c r="K433" t="b">
        <f>TrafficData[[#This Row],[disposedChallan]]+TrafficData[[#This Row],[pendingChallan]]=TrafficData[[#This Row],[totalChallan]]</f>
        <v>1</v>
      </c>
      <c r="L433" t="b">
        <f>TrafficData[[#This Row],[pendingAmount]]+TrafficData[[#This Row],[disposedAmount]]=TrafficData[[#This Row],[totalAmount]]</f>
        <v>1</v>
      </c>
      <c r="M433" t="b">
        <f>TrafficData[[#This Row],[pendingCourt]]+TrafficData[[#This Row],[disposedCourt]]=TrafficData[[#This Row],[totalCourt]]</f>
        <v>1</v>
      </c>
      <c r="N433" s="8" t="b">
        <f>AND(TrafficData[[#This Row],[disposedChallan]]&lt;=TrafficData[[#This Row],[totalChallan]],TrafficData[[#This Row],[pendingChallan]]&lt;=TrafficData[[#This Row],[totalChallan]])</f>
        <v>1</v>
      </c>
      <c r="O433" s="8" t="b">
        <f>AND(TrafficData[[#This Row],[pendingAmount]]&lt;=TrafficData[[#This Row],[totalAmount]],TrafficData[[#This Row],[disposedAmount]]&lt;=TrafficData[[#This Row],[totalAmount]])</f>
        <v>1</v>
      </c>
      <c r="P433" s="8" t="b">
        <f>AND(TrafficData[[#This Row],[pendingCourt]]&lt;=TrafficData[[#This Row],[totalCourt]],TrafficData[[#This Row],[disposedCourt]]&lt;=TrafficData[[#This Row],[totalCourt]])</f>
        <v>1</v>
      </c>
    </row>
    <row r="434" spans="1:16">
      <c r="A434" s="1">
        <v>42437</v>
      </c>
      <c r="B434">
        <v>1552</v>
      </c>
      <c r="C434">
        <v>182</v>
      </c>
      <c r="D434">
        <v>1370</v>
      </c>
      <c r="E434">
        <v>1576371</v>
      </c>
      <c r="F434">
        <v>430540</v>
      </c>
      <c r="G434">
        <v>2006911</v>
      </c>
      <c r="H434">
        <v>1003</v>
      </c>
      <c r="I434">
        <v>72</v>
      </c>
      <c r="J434">
        <v>1075</v>
      </c>
      <c r="K434" t="b">
        <f>TrafficData[[#This Row],[disposedChallan]]+TrafficData[[#This Row],[pendingChallan]]=TrafficData[[#This Row],[totalChallan]]</f>
        <v>1</v>
      </c>
      <c r="L434" t="b">
        <f>TrafficData[[#This Row],[pendingAmount]]+TrafficData[[#This Row],[disposedAmount]]=TrafficData[[#This Row],[totalAmount]]</f>
        <v>1</v>
      </c>
      <c r="M434" t="b">
        <f>TrafficData[[#This Row],[pendingCourt]]+TrafficData[[#This Row],[disposedCourt]]=TrafficData[[#This Row],[totalCourt]]</f>
        <v>1</v>
      </c>
      <c r="N434" s="8" t="b">
        <f>AND(TrafficData[[#This Row],[disposedChallan]]&lt;=TrafficData[[#This Row],[totalChallan]],TrafficData[[#This Row],[pendingChallan]]&lt;=TrafficData[[#This Row],[totalChallan]])</f>
        <v>1</v>
      </c>
      <c r="O434" s="8" t="b">
        <f>AND(TrafficData[[#This Row],[pendingAmount]]&lt;=TrafficData[[#This Row],[totalAmount]],TrafficData[[#This Row],[disposedAmount]]&lt;=TrafficData[[#This Row],[totalAmount]])</f>
        <v>1</v>
      </c>
      <c r="P434" s="8" t="b">
        <f>AND(TrafficData[[#This Row],[pendingCourt]]&lt;=TrafficData[[#This Row],[totalCourt]],TrafficData[[#This Row],[disposedCourt]]&lt;=TrafficData[[#This Row],[totalCourt]])</f>
        <v>1</v>
      </c>
    </row>
    <row r="435" spans="1:16">
      <c r="A435" s="1">
        <v>42438</v>
      </c>
      <c r="B435">
        <v>1517</v>
      </c>
      <c r="C435">
        <v>196</v>
      </c>
      <c r="D435">
        <v>1321</v>
      </c>
      <c r="E435">
        <v>1435050</v>
      </c>
      <c r="F435">
        <v>478750</v>
      </c>
      <c r="G435">
        <v>1913800</v>
      </c>
      <c r="H435">
        <v>964</v>
      </c>
      <c r="I435">
        <v>67</v>
      </c>
      <c r="J435">
        <v>1031</v>
      </c>
      <c r="K435" t="b">
        <f>TrafficData[[#This Row],[disposedChallan]]+TrafficData[[#This Row],[pendingChallan]]=TrafficData[[#This Row],[totalChallan]]</f>
        <v>1</v>
      </c>
      <c r="L435" t="b">
        <f>TrafficData[[#This Row],[pendingAmount]]+TrafficData[[#This Row],[disposedAmount]]=TrafficData[[#This Row],[totalAmount]]</f>
        <v>1</v>
      </c>
      <c r="M435" t="b">
        <f>TrafficData[[#This Row],[pendingCourt]]+TrafficData[[#This Row],[disposedCourt]]=TrafficData[[#This Row],[totalCourt]]</f>
        <v>1</v>
      </c>
      <c r="N435" s="8" t="b">
        <f>AND(TrafficData[[#This Row],[disposedChallan]]&lt;=TrafficData[[#This Row],[totalChallan]],TrafficData[[#This Row],[pendingChallan]]&lt;=TrafficData[[#This Row],[totalChallan]])</f>
        <v>1</v>
      </c>
      <c r="O435" s="8" t="b">
        <f>AND(TrafficData[[#This Row],[pendingAmount]]&lt;=TrafficData[[#This Row],[totalAmount]],TrafficData[[#This Row],[disposedAmount]]&lt;=TrafficData[[#This Row],[totalAmount]])</f>
        <v>1</v>
      </c>
      <c r="P435" s="8" t="b">
        <f>AND(TrafficData[[#This Row],[pendingCourt]]&lt;=TrafficData[[#This Row],[totalCourt]],TrafficData[[#This Row],[disposedCourt]]&lt;=TrafficData[[#This Row],[totalCourt]])</f>
        <v>1</v>
      </c>
    </row>
    <row r="436" spans="1:16">
      <c r="A436" s="1">
        <v>42439</v>
      </c>
      <c r="B436">
        <v>1147</v>
      </c>
      <c r="C436">
        <v>133</v>
      </c>
      <c r="D436">
        <v>1014</v>
      </c>
      <c r="E436">
        <v>1443750</v>
      </c>
      <c r="F436">
        <v>375200</v>
      </c>
      <c r="G436">
        <v>1818950</v>
      </c>
      <c r="H436">
        <v>719</v>
      </c>
      <c r="I436">
        <v>25</v>
      </c>
      <c r="J436">
        <v>744</v>
      </c>
      <c r="K436" t="b">
        <f>TrafficData[[#This Row],[disposedChallan]]+TrafficData[[#This Row],[pendingChallan]]=TrafficData[[#This Row],[totalChallan]]</f>
        <v>1</v>
      </c>
      <c r="L436" t="b">
        <f>TrafficData[[#This Row],[pendingAmount]]+TrafficData[[#This Row],[disposedAmount]]=TrafficData[[#This Row],[totalAmount]]</f>
        <v>1</v>
      </c>
      <c r="M436" t="b">
        <f>TrafficData[[#This Row],[pendingCourt]]+TrafficData[[#This Row],[disposedCourt]]=TrafficData[[#This Row],[totalCourt]]</f>
        <v>1</v>
      </c>
      <c r="N436" s="8" t="b">
        <f>AND(TrafficData[[#This Row],[disposedChallan]]&lt;=TrafficData[[#This Row],[totalChallan]],TrafficData[[#This Row],[pendingChallan]]&lt;=TrafficData[[#This Row],[totalChallan]])</f>
        <v>1</v>
      </c>
      <c r="O436" s="8" t="b">
        <f>AND(TrafficData[[#This Row],[pendingAmount]]&lt;=TrafficData[[#This Row],[totalAmount]],TrafficData[[#This Row],[disposedAmount]]&lt;=TrafficData[[#This Row],[totalAmount]])</f>
        <v>1</v>
      </c>
      <c r="P436" s="8" t="b">
        <f>AND(TrafficData[[#This Row],[pendingCourt]]&lt;=TrafficData[[#This Row],[totalCourt]],TrafficData[[#This Row],[disposedCourt]]&lt;=TrafficData[[#This Row],[totalCourt]])</f>
        <v>1</v>
      </c>
    </row>
    <row r="437" spans="1:16">
      <c r="A437" s="1">
        <v>42440</v>
      </c>
      <c r="B437">
        <v>962</v>
      </c>
      <c r="C437">
        <v>125</v>
      </c>
      <c r="D437">
        <v>837</v>
      </c>
      <c r="E437">
        <v>1210225</v>
      </c>
      <c r="F437">
        <v>290345</v>
      </c>
      <c r="G437">
        <v>1500570</v>
      </c>
      <c r="H437">
        <v>545</v>
      </c>
      <c r="I437">
        <v>26</v>
      </c>
      <c r="J437">
        <v>571</v>
      </c>
      <c r="K437" t="b">
        <f>TrafficData[[#This Row],[disposedChallan]]+TrafficData[[#This Row],[pendingChallan]]=TrafficData[[#This Row],[totalChallan]]</f>
        <v>1</v>
      </c>
      <c r="L437" t="b">
        <f>TrafficData[[#This Row],[pendingAmount]]+TrafficData[[#This Row],[disposedAmount]]=TrafficData[[#This Row],[totalAmount]]</f>
        <v>1</v>
      </c>
      <c r="M437" t="b">
        <f>TrafficData[[#This Row],[pendingCourt]]+TrafficData[[#This Row],[disposedCourt]]=TrafficData[[#This Row],[totalCourt]]</f>
        <v>1</v>
      </c>
      <c r="N437" s="8" t="b">
        <f>AND(TrafficData[[#This Row],[disposedChallan]]&lt;=TrafficData[[#This Row],[totalChallan]],TrafficData[[#This Row],[pendingChallan]]&lt;=TrafficData[[#This Row],[totalChallan]])</f>
        <v>1</v>
      </c>
      <c r="O437" s="8" t="b">
        <f>AND(TrafficData[[#This Row],[pendingAmount]]&lt;=TrafficData[[#This Row],[totalAmount]],TrafficData[[#This Row],[disposedAmount]]&lt;=TrafficData[[#This Row],[totalAmount]])</f>
        <v>1</v>
      </c>
      <c r="P437" s="8" t="b">
        <f>AND(TrafficData[[#This Row],[pendingCourt]]&lt;=TrafficData[[#This Row],[totalCourt]],TrafficData[[#This Row],[disposedCourt]]&lt;=TrafficData[[#This Row],[totalCourt]])</f>
        <v>1</v>
      </c>
    </row>
    <row r="438" spans="1:16">
      <c r="A438" s="1">
        <v>42441</v>
      </c>
      <c r="B438">
        <v>725</v>
      </c>
      <c r="C438">
        <v>95</v>
      </c>
      <c r="D438">
        <v>630</v>
      </c>
      <c r="E438">
        <v>778800</v>
      </c>
      <c r="F438">
        <v>256850</v>
      </c>
      <c r="G438">
        <v>1035650</v>
      </c>
      <c r="H438">
        <v>443</v>
      </c>
      <c r="I438">
        <v>25</v>
      </c>
      <c r="J438">
        <v>468</v>
      </c>
      <c r="K438" t="b">
        <f>TrafficData[[#This Row],[disposedChallan]]+TrafficData[[#This Row],[pendingChallan]]=TrafficData[[#This Row],[totalChallan]]</f>
        <v>1</v>
      </c>
      <c r="L438" t="b">
        <f>TrafficData[[#This Row],[pendingAmount]]+TrafficData[[#This Row],[disposedAmount]]=TrafficData[[#This Row],[totalAmount]]</f>
        <v>1</v>
      </c>
      <c r="M438" t="b">
        <f>TrafficData[[#This Row],[pendingCourt]]+TrafficData[[#This Row],[disposedCourt]]=TrafficData[[#This Row],[totalCourt]]</f>
        <v>1</v>
      </c>
      <c r="N438" s="8" t="b">
        <f>AND(TrafficData[[#This Row],[disposedChallan]]&lt;=TrafficData[[#This Row],[totalChallan]],TrafficData[[#This Row],[pendingChallan]]&lt;=TrafficData[[#This Row],[totalChallan]])</f>
        <v>1</v>
      </c>
      <c r="O438" s="8" t="b">
        <f>AND(TrafficData[[#This Row],[pendingAmount]]&lt;=TrafficData[[#This Row],[totalAmount]],TrafficData[[#This Row],[disposedAmount]]&lt;=TrafficData[[#This Row],[totalAmount]])</f>
        <v>1</v>
      </c>
      <c r="P438" s="8" t="b">
        <f>AND(TrafficData[[#This Row],[pendingCourt]]&lt;=TrafficData[[#This Row],[totalCourt]],TrafficData[[#This Row],[disposedCourt]]&lt;=TrafficData[[#This Row],[totalCourt]])</f>
        <v>1</v>
      </c>
    </row>
    <row r="439" spans="1:16">
      <c r="A439" s="1">
        <v>42442</v>
      </c>
      <c r="B439">
        <v>777</v>
      </c>
      <c r="C439">
        <v>95</v>
      </c>
      <c r="D439">
        <v>682</v>
      </c>
      <c r="E439">
        <v>796000</v>
      </c>
      <c r="F439">
        <v>179340</v>
      </c>
      <c r="G439">
        <v>975340</v>
      </c>
      <c r="H439">
        <v>491</v>
      </c>
      <c r="I439">
        <v>31</v>
      </c>
      <c r="J439">
        <v>522</v>
      </c>
      <c r="K439" t="b">
        <f>TrafficData[[#This Row],[disposedChallan]]+TrafficData[[#This Row],[pendingChallan]]=TrafficData[[#This Row],[totalChallan]]</f>
        <v>1</v>
      </c>
      <c r="L439" t="b">
        <f>TrafficData[[#This Row],[pendingAmount]]+TrafficData[[#This Row],[disposedAmount]]=TrafficData[[#This Row],[totalAmount]]</f>
        <v>1</v>
      </c>
      <c r="M439" t="b">
        <f>TrafficData[[#This Row],[pendingCourt]]+TrafficData[[#This Row],[disposedCourt]]=TrafficData[[#This Row],[totalCourt]]</f>
        <v>1</v>
      </c>
      <c r="N439" s="8" t="b">
        <f>AND(TrafficData[[#This Row],[disposedChallan]]&lt;=TrafficData[[#This Row],[totalChallan]],TrafficData[[#This Row],[pendingChallan]]&lt;=TrafficData[[#This Row],[totalChallan]])</f>
        <v>1</v>
      </c>
      <c r="O439" s="8" t="b">
        <f>AND(TrafficData[[#This Row],[pendingAmount]]&lt;=TrafficData[[#This Row],[totalAmount]],TrafficData[[#This Row],[disposedAmount]]&lt;=TrafficData[[#This Row],[totalAmount]])</f>
        <v>1</v>
      </c>
      <c r="P439" s="8" t="b">
        <f>AND(TrafficData[[#This Row],[pendingCourt]]&lt;=TrafficData[[#This Row],[totalCourt]],TrafficData[[#This Row],[disposedCourt]]&lt;=TrafficData[[#This Row],[totalCourt]])</f>
        <v>1</v>
      </c>
    </row>
    <row r="440" spans="1:16">
      <c r="A440" s="1">
        <v>42443</v>
      </c>
      <c r="B440">
        <v>1265</v>
      </c>
      <c r="C440">
        <v>151</v>
      </c>
      <c r="D440">
        <v>1114</v>
      </c>
      <c r="E440">
        <v>1065848</v>
      </c>
      <c r="F440">
        <v>332850</v>
      </c>
      <c r="G440">
        <v>1398698</v>
      </c>
      <c r="H440">
        <v>807</v>
      </c>
      <c r="I440">
        <v>30</v>
      </c>
      <c r="J440">
        <v>837</v>
      </c>
      <c r="K440" t="b">
        <f>TrafficData[[#This Row],[disposedChallan]]+TrafficData[[#This Row],[pendingChallan]]=TrafficData[[#This Row],[totalChallan]]</f>
        <v>1</v>
      </c>
      <c r="L440" t="b">
        <f>TrafficData[[#This Row],[pendingAmount]]+TrafficData[[#This Row],[disposedAmount]]=TrafficData[[#This Row],[totalAmount]]</f>
        <v>1</v>
      </c>
      <c r="M440" t="b">
        <f>TrafficData[[#This Row],[pendingCourt]]+TrafficData[[#This Row],[disposedCourt]]=TrafficData[[#This Row],[totalCourt]]</f>
        <v>1</v>
      </c>
      <c r="N440" s="8" t="b">
        <f>AND(TrafficData[[#This Row],[disposedChallan]]&lt;=TrafficData[[#This Row],[totalChallan]],TrafficData[[#This Row],[pendingChallan]]&lt;=TrafficData[[#This Row],[totalChallan]])</f>
        <v>1</v>
      </c>
      <c r="O440" s="8" t="b">
        <f>AND(TrafficData[[#This Row],[pendingAmount]]&lt;=TrafficData[[#This Row],[totalAmount]],TrafficData[[#This Row],[disposedAmount]]&lt;=TrafficData[[#This Row],[totalAmount]])</f>
        <v>1</v>
      </c>
      <c r="P440" s="8" t="b">
        <f>AND(TrafficData[[#This Row],[pendingCourt]]&lt;=TrafficData[[#This Row],[totalCourt]],TrafficData[[#This Row],[disposedCourt]]&lt;=TrafficData[[#This Row],[totalCourt]])</f>
        <v>1</v>
      </c>
    </row>
    <row r="441" spans="1:16">
      <c r="A441" s="1">
        <v>42444</v>
      </c>
      <c r="B441">
        <v>1348</v>
      </c>
      <c r="C441">
        <v>171</v>
      </c>
      <c r="D441">
        <v>1177</v>
      </c>
      <c r="E441">
        <v>1160650</v>
      </c>
      <c r="F441">
        <v>289050</v>
      </c>
      <c r="G441">
        <v>1449700</v>
      </c>
      <c r="H441">
        <v>870</v>
      </c>
      <c r="I441">
        <v>17</v>
      </c>
      <c r="J441">
        <v>887</v>
      </c>
      <c r="K441" t="b">
        <f>TrafficData[[#This Row],[disposedChallan]]+TrafficData[[#This Row],[pendingChallan]]=TrafficData[[#This Row],[totalChallan]]</f>
        <v>1</v>
      </c>
      <c r="L441" t="b">
        <f>TrafficData[[#This Row],[pendingAmount]]+TrafficData[[#This Row],[disposedAmount]]=TrafficData[[#This Row],[totalAmount]]</f>
        <v>1</v>
      </c>
      <c r="M441" t="b">
        <f>TrafficData[[#This Row],[pendingCourt]]+TrafficData[[#This Row],[disposedCourt]]=TrafficData[[#This Row],[totalCourt]]</f>
        <v>1</v>
      </c>
      <c r="N441" s="8" t="b">
        <f>AND(TrafficData[[#This Row],[disposedChallan]]&lt;=TrafficData[[#This Row],[totalChallan]],TrafficData[[#This Row],[pendingChallan]]&lt;=TrafficData[[#This Row],[totalChallan]])</f>
        <v>1</v>
      </c>
      <c r="O441" s="8" t="b">
        <f>AND(TrafficData[[#This Row],[pendingAmount]]&lt;=TrafficData[[#This Row],[totalAmount]],TrafficData[[#This Row],[disposedAmount]]&lt;=TrafficData[[#This Row],[totalAmount]])</f>
        <v>1</v>
      </c>
      <c r="P441" s="8" t="b">
        <f>AND(TrafficData[[#This Row],[pendingCourt]]&lt;=TrafficData[[#This Row],[totalCourt]],TrafficData[[#This Row],[disposedCourt]]&lt;=TrafficData[[#This Row],[totalCourt]])</f>
        <v>1</v>
      </c>
    </row>
    <row r="442" spans="1:16">
      <c r="A442" s="1">
        <v>42445</v>
      </c>
      <c r="B442">
        <v>1579</v>
      </c>
      <c r="C442">
        <v>188</v>
      </c>
      <c r="D442">
        <v>1391</v>
      </c>
      <c r="E442">
        <v>1197396</v>
      </c>
      <c r="F442">
        <v>377590</v>
      </c>
      <c r="G442">
        <v>1574986</v>
      </c>
      <c r="H442">
        <v>1050</v>
      </c>
      <c r="I442">
        <v>51</v>
      </c>
      <c r="J442">
        <v>1101</v>
      </c>
      <c r="K442" t="b">
        <f>TrafficData[[#This Row],[disposedChallan]]+TrafficData[[#This Row],[pendingChallan]]=TrafficData[[#This Row],[totalChallan]]</f>
        <v>1</v>
      </c>
      <c r="L442" t="b">
        <f>TrafficData[[#This Row],[pendingAmount]]+TrafficData[[#This Row],[disposedAmount]]=TrafficData[[#This Row],[totalAmount]]</f>
        <v>1</v>
      </c>
      <c r="M442" t="b">
        <f>TrafficData[[#This Row],[pendingCourt]]+TrafficData[[#This Row],[disposedCourt]]=TrafficData[[#This Row],[totalCourt]]</f>
        <v>1</v>
      </c>
      <c r="N442" s="8" t="b">
        <f>AND(TrafficData[[#This Row],[disposedChallan]]&lt;=TrafficData[[#This Row],[totalChallan]],TrafficData[[#This Row],[pendingChallan]]&lt;=TrafficData[[#This Row],[totalChallan]])</f>
        <v>1</v>
      </c>
      <c r="O442" s="8" t="b">
        <f>AND(TrafficData[[#This Row],[pendingAmount]]&lt;=TrafficData[[#This Row],[totalAmount]],TrafficData[[#This Row],[disposedAmount]]&lt;=TrafficData[[#This Row],[totalAmount]])</f>
        <v>1</v>
      </c>
      <c r="P442" s="8" t="b">
        <f>AND(TrafficData[[#This Row],[pendingCourt]]&lt;=TrafficData[[#This Row],[totalCourt]],TrafficData[[#This Row],[disposedCourt]]&lt;=TrafficData[[#This Row],[totalCourt]])</f>
        <v>1</v>
      </c>
    </row>
    <row r="443" spans="1:16">
      <c r="A443" s="1">
        <v>42446</v>
      </c>
      <c r="B443">
        <v>1479</v>
      </c>
      <c r="C443">
        <v>166</v>
      </c>
      <c r="D443">
        <v>1313</v>
      </c>
      <c r="E443">
        <v>965600</v>
      </c>
      <c r="F443">
        <v>243010</v>
      </c>
      <c r="G443">
        <v>1208610</v>
      </c>
      <c r="H443">
        <v>1010</v>
      </c>
      <c r="I443">
        <v>63</v>
      </c>
      <c r="J443">
        <v>1073</v>
      </c>
      <c r="K443" t="b">
        <f>TrafficData[[#This Row],[disposedChallan]]+TrafficData[[#This Row],[pendingChallan]]=TrafficData[[#This Row],[totalChallan]]</f>
        <v>1</v>
      </c>
      <c r="L443" t="b">
        <f>TrafficData[[#This Row],[pendingAmount]]+TrafficData[[#This Row],[disposedAmount]]=TrafficData[[#This Row],[totalAmount]]</f>
        <v>1</v>
      </c>
      <c r="M443" t="b">
        <f>TrafficData[[#This Row],[pendingCourt]]+TrafficData[[#This Row],[disposedCourt]]=TrafficData[[#This Row],[totalCourt]]</f>
        <v>1</v>
      </c>
      <c r="N443" s="8" t="b">
        <f>AND(TrafficData[[#This Row],[disposedChallan]]&lt;=TrafficData[[#This Row],[totalChallan]],TrafficData[[#This Row],[pendingChallan]]&lt;=TrafficData[[#This Row],[totalChallan]])</f>
        <v>1</v>
      </c>
      <c r="O443" s="8" t="b">
        <f>AND(TrafficData[[#This Row],[pendingAmount]]&lt;=TrafficData[[#This Row],[totalAmount]],TrafficData[[#This Row],[disposedAmount]]&lt;=TrafficData[[#This Row],[totalAmount]])</f>
        <v>1</v>
      </c>
      <c r="P443" s="8" t="b">
        <f>AND(TrafficData[[#This Row],[pendingCourt]]&lt;=TrafficData[[#This Row],[totalCourt]],TrafficData[[#This Row],[disposedCourt]]&lt;=TrafficData[[#This Row],[totalCourt]])</f>
        <v>1</v>
      </c>
    </row>
    <row r="444" spans="1:16">
      <c r="A444" s="1">
        <v>42447</v>
      </c>
      <c r="B444">
        <v>1477</v>
      </c>
      <c r="C444">
        <v>161</v>
      </c>
      <c r="D444">
        <v>1316</v>
      </c>
      <c r="E444">
        <v>973050</v>
      </c>
      <c r="F444">
        <v>374948</v>
      </c>
      <c r="G444">
        <v>1347998</v>
      </c>
      <c r="H444">
        <v>1044</v>
      </c>
      <c r="I444">
        <v>29</v>
      </c>
      <c r="J444">
        <v>1073</v>
      </c>
      <c r="K444" t="b">
        <f>TrafficData[[#This Row],[disposedChallan]]+TrafficData[[#This Row],[pendingChallan]]=TrafficData[[#This Row],[totalChallan]]</f>
        <v>1</v>
      </c>
      <c r="L444" t="b">
        <f>TrafficData[[#This Row],[pendingAmount]]+TrafficData[[#This Row],[disposedAmount]]=TrafficData[[#This Row],[totalAmount]]</f>
        <v>1</v>
      </c>
      <c r="M444" t="b">
        <f>TrafficData[[#This Row],[pendingCourt]]+TrafficData[[#This Row],[disposedCourt]]=TrafficData[[#This Row],[totalCourt]]</f>
        <v>1</v>
      </c>
      <c r="N444" s="8" t="b">
        <f>AND(TrafficData[[#This Row],[disposedChallan]]&lt;=TrafficData[[#This Row],[totalChallan]],TrafficData[[#This Row],[pendingChallan]]&lt;=TrafficData[[#This Row],[totalChallan]])</f>
        <v>1</v>
      </c>
      <c r="O444" s="8" t="b">
        <f>AND(TrafficData[[#This Row],[pendingAmount]]&lt;=TrafficData[[#This Row],[totalAmount]],TrafficData[[#This Row],[disposedAmount]]&lt;=TrafficData[[#This Row],[totalAmount]])</f>
        <v>1</v>
      </c>
      <c r="P444" s="8" t="b">
        <f>AND(TrafficData[[#This Row],[pendingCourt]]&lt;=TrafficData[[#This Row],[totalCourt]],TrafficData[[#This Row],[disposedCourt]]&lt;=TrafficData[[#This Row],[totalCourt]])</f>
        <v>1</v>
      </c>
    </row>
    <row r="445" spans="1:16">
      <c r="A445" s="1">
        <v>42448</v>
      </c>
      <c r="B445">
        <v>961</v>
      </c>
      <c r="C445">
        <v>120</v>
      </c>
      <c r="D445">
        <v>841</v>
      </c>
      <c r="E445">
        <v>951430</v>
      </c>
      <c r="F445">
        <v>411400</v>
      </c>
      <c r="G445">
        <v>1362830</v>
      </c>
      <c r="H445">
        <v>597</v>
      </c>
      <c r="I445">
        <v>44</v>
      </c>
      <c r="J445">
        <v>641</v>
      </c>
      <c r="K445" t="b">
        <f>TrafficData[[#This Row],[disposedChallan]]+TrafficData[[#This Row],[pendingChallan]]=TrafficData[[#This Row],[totalChallan]]</f>
        <v>1</v>
      </c>
      <c r="L445" t="b">
        <f>TrafficData[[#This Row],[pendingAmount]]+TrafficData[[#This Row],[disposedAmount]]=TrafficData[[#This Row],[totalAmount]]</f>
        <v>1</v>
      </c>
      <c r="M445" t="b">
        <f>TrafficData[[#This Row],[pendingCourt]]+TrafficData[[#This Row],[disposedCourt]]=TrafficData[[#This Row],[totalCourt]]</f>
        <v>1</v>
      </c>
      <c r="N445" s="8" t="b">
        <f>AND(TrafficData[[#This Row],[disposedChallan]]&lt;=TrafficData[[#This Row],[totalChallan]],TrafficData[[#This Row],[pendingChallan]]&lt;=TrafficData[[#This Row],[totalChallan]])</f>
        <v>1</v>
      </c>
      <c r="O445" s="8" t="b">
        <f>AND(TrafficData[[#This Row],[pendingAmount]]&lt;=TrafficData[[#This Row],[totalAmount]],TrafficData[[#This Row],[disposedAmount]]&lt;=TrafficData[[#This Row],[totalAmount]])</f>
        <v>1</v>
      </c>
      <c r="P445" s="8" t="b">
        <f>AND(TrafficData[[#This Row],[pendingCourt]]&lt;=TrafficData[[#This Row],[totalCourt]],TrafficData[[#This Row],[disposedCourt]]&lt;=TrafficData[[#This Row],[totalCourt]])</f>
        <v>1</v>
      </c>
    </row>
    <row r="446" spans="1:16">
      <c r="A446" s="1">
        <v>42449</v>
      </c>
      <c r="B446">
        <v>945</v>
      </c>
      <c r="C446">
        <v>96</v>
      </c>
      <c r="D446">
        <v>849</v>
      </c>
      <c r="E446">
        <v>676138</v>
      </c>
      <c r="F446">
        <v>158634</v>
      </c>
      <c r="G446">
        <v>834772</v>
      </c>
      <c r="H446">
        <v>677</v>
      </c>
      <c r="I446">
        <v>33</v>
      </c>
      <c r="J446">
        <v>710</v>
      </c>
      <c r="K446" t="b">
        <f>TrafficData[[#This Row],[disposedChallan]]+TrafficData[[#This Row],[pendingChallan]]=TrafficData[[#This Row],[totalChallan]]</f>
        <v>1</v>
      </c>
      <c r="L446" t="b">
        <f>TrafficData[[#This Row],[pendingAmount]]+TrafficData[[#This Row],[disposedAmount]]=TrafficData[[#This Row],[totalAmount]]</f>
        <v>1</v>
      </c>
      <c r="M446" t="b">
        <f>TrafficData[[#This Row],[pendingCourt]]+TrafficData[[#This Row],[disposedCourt]]=TrafficData[[#This Row],[totalCourt]]</f>
        <v>1</v>
      </c>
      <c r="N446" s="8" t="b">
        <f>AND(TrafficData[[#This Row],[disposedChallan]]&lt;=TrafficData[[#This Row],[totalChallan]],TrafficData[[#This Row],[pendingChallan]]&lt;=TrafficData[[#This Row],[totalChallan]])</f>
        <v>1</v>
      </c>
      <c r="O446" s="8" t="b">
        <f>AND(TrafficData[[#This Row],[pendingAmount]]&lt;=TrafficData[[#This Row],[totalAmount]],TrafficData[[#This Row],[disposedAmount]]&lt;=TrafficData[[#This Row],[totalAmount]])</f>
        <v>1</v>
      </c>
      <c r="P446" s="8" t="b">
        <f>AND(TrafficData[[#This Row],[pendingCourt]]&lt;=TrafficData[[#This Row],[totalCourt]],TrafficData[[#This Row],[disposedCourt]]&lt;=TrafficData[[#This Row],[totalCourt]])</f>
        <v>1</v>
      </c>
    </row>
    <row r="447" spans="1:16">
      <c r="A447" s="1">
        <v>42450</v>
      </c>
      <c r="B447">
        <v>1340</v>
      </c>
      <c r="C447">
        <v>145</v>
      </c>
      <c r="D447">
        <v>1195</v>
      </c>
      <c r="E447">
        <v>1193900</v>
      </c>
      <c r="F447">
        <v>257855</v>
      </c>
      <c r="G447">
        <v>1451755</v>
      </c>
      <c r="H447">
        <v>893</v>
      </c>
      <c r="I447">
        <v>28</v>
      </c>
      <c r="J447">
        <v>921</v>
      </c>
      <c r="K447" t="b">
        <f>TrafficData[[#This Row],[disposedChallan]]+TrafficData[[#This Row],[pendingChallan]]=TrafficData[[#This Row],[totalChallan]]</f>
        <v>1</v>
      </c>
      <c r="L447" t="b">
        <f>TrafficData[[#This Row],[pendingAmount]]+TrafficData[[#This Row],[disposedAmount]]=TrafficData[[#This Row],[totalAmount]]</f>
        <v>1</v>
      </c>
      <c r="M447" t="b">
        <f>TrafficData[[#This Row],[pendingCourt]]+TrafficData[[#This Row],[disposedCourt]]=TrafficData[[#This Row],[totalCourt]]</f>
        <v>1</v>
      </c>
      <c r="N447" s="8" t="b">
        <f>AND(TrafficData[[#This Row],[disposedChallan]]&lt;=TrafficData[[#This Row],[totalChallan]],TrafficData[[#This Row],[pendingChallan]]&lt;=TrafficData[[#This Row],[totalChallan]])</f>
        <v>1</v>
      </c>
      <c r="O447" s="8" t="b">
        <f>AND(TrafficData[[#This Row],[pendingAmount]]&lt;=TrafficData[[#This Row],[totalAmount]],TrafficData[[#This Row],[disposedAmount]]&lt;=TrafficData[[#This Row],[totalAmount]])</f>
        <v>1</v>
      </c>
      <c r="P447" s="8" t="b">
        <f>AND(TrafficData[[#This Row],[pendingCourt]]&lt;=TrafficData[[#This Row],[totalCourt]],TrafficData[[#This Row],[disposedCourt]]&lt;=TrafficData[[#This Row],[totalCourt]])</f>
        <v>1</v>
      </c>
    </row>
    <row r="448" spans="1:16">
      <c r="A448" s="1">
        <v>42451</v>
      </c>
      <c r="B448">
        <v>1145</v>
      </c>
      <c r="C448">
        <v>115</v>
      </c>
      <c r="D448">
        <v>1030</v>
      </c>
      <c r="E448">
        <v>1077600</v>
      </c>
      <c r="F448">
        <v>150451</v>
      </c>
      <c r="G448">
        <v>1228051</v>
      </c>
      <c r="H448">
        <v>791</v>
      </c>
      <c r="I448">
        <v>41</v>
      </c>
      <c r="J448">
        <v>832</v>
      </c>
      <c r="K448" t="b">
        <f>TrafficData[[#This Row],[disposedChallan]]+TrafficData[[#This Row],[pendingChallan]]=TrafficData[[#This Row],[totalChallan]]</f>
        <v>1</v>
      </c>
      <c r="L448" t="b">
        <f>TrafficData[[#This Row],[pendingAmount]]+TrafficData[[#This Row],[disposedAmount]]=TrafficData[[#This Row],[totalAmount]]</f>
        <v>1</v>
      </c>
      <c r="M448" t="b">
        <f>TrafficData[[#This Row],[pendingCourt]]+TrafficData[[#This Row],[disposedCourt]]=TrafficData[[#This Row],[totalCourt]]</f>
        <v>1</v>
      </c>
      <c r="N448" s="8" t="b">
        <f>AND(TrafficData[[#This Row],[disposedChallan]]&lt;=TrafficData[[#This Row],[totalChallan]],TrafficData[[#This Row],[pendingChallan]]&lt;=TrafficData[[#This Row],[totalChallan]])</f>
        <v>1</v>
      </c>
      <c r="O448" s="8" t="b">
        <f>AND(TrafficData[[#This Row],[pendingAmount]]&lt;=TrafficData[[#This Row],[totalAmount]],TrafficData[[#This Row],[disposedAmount]]&lt;=TrafficData[[#This Row],[totalAmount]])</f>
        <v>1</v>
      </c>
      <c r="P448" s="8" t="b">
        <f>AND(TrafficData[[#This Row],[pendingCourt]]&lt;=TrafficData[[#This Row],[totalCourt]],TrafficData[[#This Row],[disposedCourt]]&lt;=TrafficData[[#This Row],[totalCourt]])</f>
        <v>1</v>
      </c>
    </row>
    <row r="449" spans="1:16">
      <c r="A449" s="1">
        <v>42452</v>
      </c>
      <c r="B449">
        <v>1142</v>
      </c>
      <c r="C449">
        <v>157</v>
      </c>
      <c r="D449">
        <v>985</v>
      </c>
      <c r="E449">
        <v>838300</v>
      </c>
      <c r="F449">
        <v>269249</v>
      </c>
      <c r="G449">
        <v>1107549</v>
      </c>
      <c r="H449">
        <v>774</v>
      </c>
      <c r="I449">
        <v>56</v>
      </c>
      <c r="J449">
        <v>830</v>
      </c>
      <c r="K449" t="b">
        <f>TrafficData[[#This Row],[disposedChallan]]+TrafficData[[#This Row],[pendingChallan]]=TrafficData[[#This Row],[totalChallan]]</f>
        <v>1</v>
      </c>
      <c r="L449" t="b">
        <f>TrafficData[[#This Row],[pendingAmount]]+TrafficData[[#This Row],[disposedAmount]]=TrafficData[[#This Row],[totalAmount]]</f>
        <v>1</v>
      </c>
      <c r="M449" t="b">
        <f>TrafficData[[#This Row],[pendingCourt]]+TrafficData[[#This Row],[disposedCourt]]=TrafficData[[#This Row],[totalCourt]]</f>
        <v>1</v>
      </c>
      <c r="N449" s="8" t="b">
        <f>AND(TrafficData[[#This Row],[disposedChallan]]&lt;=TrafficData[[#This Row],[totalChallan]],TrafficData[[#This Row],[pendingChallan]]&lt;=TrafficData[[#This Row],[totalChallan]])</f>
        <v>1</v>
      </c>
      <c r="O449" s="8" t="b">
        <f>AND(TrafficData[[#This Row],[pendingAmount]]&lt;=TrafficData[[#This Row],[totalAmount]],TrafficData[[#This Row],[disposedAmount]]&lt;=TrafficData[[#This Row],[totalAmount]])</f>
        <v>1</v>
      </c>
      <c r="P449" s="8" t="b">
        <f>AND(TrafficData[[#This Row],[pendingCourt]]&lt;=TrafficData[[#This Row],[totalCourt]],TrafficData[[#This Row],[disposedCourt]]&lt;=TrafficData[[#This Row],[totalCourt]])</f>
        <v>1</v>
      </c>
    </row>
    <row r="450" spans="1:16">
      <c r="A450" s="1">
        <v>42453</v>
      </c>
      <c r="B450">
        <v>776</v>
      </c>
      <c r="C450">
        <v>49</v>
      </c>
      <c r="D450">
        <v>727</v>
      </c>
      <c r="E450">
        <v>192500</v>
      </c>
      <c r="F450">
        <v>27200</v>
      </c>
      <c r="G450">
        <v>219700</v>
      </c>
      <c r="H450">
        <v>623</v>
      </c>
      <c r="I450">
        <v>11</v>
      </c>
      <c r="J450">
        <v>634</v>
      </c>
      <c r="K450" t="b">
        <f>TrafficData[[#This Row],[disposedChallan]]+TrafficData[[#This Row],[pendingChallan]]=TrafficData[[#This Row],[totalChallan]]</f>
        <v>1</v>
      </c>
      <c r="L450" t="b">
        <f>TrafficData[[#This Row],[pendingAmount]]+TrafficData[[#This Row],[disposedAmount]]=TrafficData[[#This Row],[totalAmount]]</f>
        <v>1</v>
      </c>
      <c r="M450" t="b">
        <f>TrafficData[[#This Row],[pendingCourt]]+TrafficData[[#This Row],[disposedCourt]]=TrafficData[[#This Row],[totalCourt]]</f>
        <v>1</v>
      </c>
      <c r="N450" s="8" t="b">
        <f>AND(TrafficData[[#This Row],[disposedChallan]]&lt;=TrafficData[[#This Row],[totalChallan]],TrafficData[[#This Row],[pendingChallan]]&lt;=TrafficData[[#This Row],[totalChallan]])</f>
        <v>1</v>
      </c>
      <c r="O450" s="8" t="b">
        <f>AND(TrafficData[[#This Row],[pendingAmount]]&lt;=TrafficData[[#This Row],[totalAmount]],TrafficData[[#This Row],[disposedAmount]]&lt;=TrafficData[[#This Row],[totalAmount]])</f>
        <v>1</v>
      </c>
      <c r="P450" s="8" t="b">
        <f>AND(TrafficData[[#This Row],[pendingCourt]]&lt;=TrafficData[[#This Row],[totalCourt]],TrafficData[[#This Row],[disposedCourt]]&lt;=TrafficData[[#This Row],[totalCourt]])</f>
        <v>1</v>
      </c>
    </row>
    <row r="451" spans="1:16">
      <c r="A451" s="1">
        <v>42454</v>
      </c>
      <c r="B451">
        <v>1540</v>
      </c>
      <c r="C451">
        <v>143</v>
      </c>
      <c r="D451">
        <v>1397</v>
      </c>
      <c r="E451">
        <v>1234000</v>
      </c>
      <c r="F451">
        <v>102100</v>
      </c>
      <c r="G451">
        <v>1336100</v>
      </c>
      <c r="H451">
        <v>1125</v>
      </c>
      <c r="I451">
        <v>78</v>
      </c>
      <c r="J451">
        <v>1203</v>
      </c>
      <c r="K451" t="b">
        <f>TrafficData[[#This Row],[disposedChallan]]+TrafficData[[#This Row],[pendingChallan]]=TrafficData[[#This Row],[totalChallan]]</f>
        <v>1</v>
      </c>
      <c r="L451" t="b">
        <f>TrafficData[[#This Row],[pendingAmount]]+TrafficData[[#This Row],[disposedAmount]]=TrafficData[[#This Row],[totalAmount]]</f>
        <v>1</v>
      </c>
      <c r="M451" t="b">
        <f>TrafficData[[#This Row],[pendingCourt]]+TrafficData[[#This Row],[disposedCourt]]=TrafficData[[#This Row],[totalCourt]]</f>
        <v>1</v>
      </c>
      <c r="N451" s="8" t="b">
        <f>AND(TrafficData[[#This Row],[disposedChallan]]&lt;=TrafficData[[#This Row],[totalChallan]],TrafficData[[#This Row],[pendingChallan]]&lt;=TrafficData[[#This Row],[totalChallan]])</f>
        <v>1</v>
      </c>
      <c r="O451" s="8" t="b">
        <f>AND(TrafficData[[#This Row],[pendingAmount]]&lt;=TrafficData[[#This Row],[totalAmount]],TrafficData[[#This Row],[disposedAmount]]&lt;=TrafficData[[#This Row],[totalAmount]])</f>
        <v>1</v>
      </c>
      <c r="P451" s="8" t="b">
        <f>AND(TrafficData[[#This Row],[pendingCourt]]&lt;=TrafficData[[#This Row],[totalCourt]],TrafficData[[#This Row],[disposedCourt]]&lt;=TrafficData[[#This Row],[totalCourt]])</f>
        <v>1</v>
      </c>
    </row>
    <row r="452" spans="1:16">
      <c r="A452" s="1">
        <v>42455</v>
      </c>
      <c r="B452">
        <v>1166</v>
      </c>
      <c r="C452">
        <v>140</v>
      </c>
      <c r="D452">
        <v>1026</v>
      </c>
      <c r="E452">
        <v>718150</v>
      </c>
      <c r="F452">
        <v>145100</v>
      </c>
      <c r="G452">
        <v>863250</v>
      </c>
      <c r="H452">
        <v>767</v>
      </c>
      <c r="I452">
        <v>54</v>
      </c>
      <c r="J452">
        <v>821</v>
      </c>
      <c r="K452" t="b">
        <f>TrafficData[[#This Row],[disposedChallan]]+TrafficData[[#This Row],[pendingChallan]]=TrafficData[[#This Row],[totalChallan]]</f>
        <v>1</v>
      </c>
      <c r="L452" t="b">
        <f>TrafficData[[#This Row],[pendingAmount]]+TrafficData[[#This Row],[disposedAmount]]=TrafficData[[#This Row],[totalAmount]]</f>
        <v>1</v>
      </c>
      <c r="M452" t="b">
        <f>TrafficData[[#This Row],[pendingCourt]]+TrafficData[[#This Row],[disposedCourt]]=TrafficData[[#This Row],[totalCourt]]</f>
        <v>1</v>
      </c>
      <c r="N452" s="8" t="b">
        <f>AND(TrafficData[[#This Row],[disposedChallan]]&lt;=TrafficData[[#This Row],[totalChallan]],TrafficData[[#This Row],[pendingChallan]]&lt;=TrafficData[[#This Row],[totalChallan]])</f>
        <v>1</v>
      </c>
      <c r="O452" s="8" t="b">
        <f>AND(TrafficData[[#This Row],[pendingAmount]]&lt;=TrafficData[[#This Row],[totalAmount]],TrafficData[[#This Row],[disposedAmount]]&lt;=TrafficData[[#This Row],[totalAmount]])</f>
        <v>1</v>
      </c>
      <c r="P452" s="8" t="b">
        <f>AND(TrafficData[[#This Row],[pendingCourt]]&lt;=TrafficData[[#This Row],[totalCourt]],TrafficData[[#This Row],[disposedCourt]]&lt;=TrafficData[[#This Row],[totalCourt]])</f>
        <v>1</v>
      </c>
    </row>
    <row r="453" spans="1:16">
      <c r="A453" s="1">
        <v>42456</v>
      </c>
      <c r="B453">
        <v>606</v>
      </c>
      <c r="C453">
        <v>87</v>
      </c>
      <c r="D453">
        <v>519</v>
      </c>
      <c r="E453">
        <v>677649</v>
      </c>
      <c r="F453">
        <v>143500</v>
      </c>
      <c r="G453">
        <v>821149</v>
      </c>
      <c r="H453">
        <v>355</v>
      </c>
      <c r="I453">
        <v>22</v>
      </c>
      <c r="J453">
        <v>377</v>
      </c>
      <c r="K453" t="b">
        <f>TrafficData[[#This Row],[disposedChallan]]+TrafficData[[#This Row],[pendingChallan]]=TrafficData[[#This Row],[totalChallan]]</f>
        <v>1</v>
      </c>
      <c r="L453" t="b">
        <f>TrafficData[[#This Row],[pendingAmount]]+TrafficData[[#This Row],[disposedAmount]]=TrafficData[[#This Row],[totalAmount]]</f>
        <v>1</v>
      </c>
      <c r="M453" t="b">
        <f>TrafficData[[#This Row],[pendingCourt]]+TrafficData[[#This Row],[disposedCourt]]=TrafficData[[#This Row],[totalCourt]]</f>
        <v>1</v>
      </c>
      <c r="N453" s="8" t="b">
        <f>AND(TrafficData[[#This Row],[disposedChallan]]&lt;=TrafficData[[#This Row],[totalChallan]],TrafficData[[#This Row],[pendingChallan]]&lt;=TrafficData[[#This Row],[totalChallan]])</f>
        <v>1</v>
      </c>
      <c r="O453" s="8" t="b">
        <f>AND(TrafficData[[#This Row],[pendingAmount]]&lt;=TrafficData[[#This Row],[totalAmount]],TrafficData[[#This Row],[disposedAmount]]&lt;=TrafficData[[#This Row],[totalAmount]])</f>
        <v>1</v>
      </c>
      <c r="P453" s="8" t="b">
        <f>AND(TrafficData[[#This Row],[pendingCourt]]&lt;=TrafficData[[#This Row],[totalCourt]],TrafficData[[#This Row],[disposedCourt]]&lt;=TrafficData[[#This Row],[totalCourt]])</f>
        <v>1</v>
      </c>
    </row>
    <row r="454" spans="1:16">
      <c r="A454" s="1">
        <v>42457</v>
      </c>
      <c r="B454">
        <v>1249</v>
      </c>
      <c r="C454">
        <v>163</v>
      </c>
      <c r="D454">
        <v>1086</v>
      </c>
      <c r="E454">
        <v>945800</v>
      </c>
      <c r="F454">
        <v>189400</v>
      </c>
      <c r="G454">
        <v>1135200</v>
      </c>
      <c r="H454">
        <v>823</v>
      </c>
      <c r="I454">
        <v>21</v>
      </c>
      <c r="J454">
        <v>844</v>
      </c>
      <c r="K454" t="b">
        <f>TrafficData[[#This Row],[disposedChallan]]+TrafficData[[#This Row],[pendingChallan]]=TrafficData[[#This Row],[totalChallan]]</f>
        <v>1</v>
      </c>
      <c r="L454" t="b">
        <f>TrafficData[[#This Row],[pendingAmount]]+TrafficData[[#This Row],[disposedAmount]]=TrafficData[[#This Row],[totalAmount]]</f>
        <v>1</v>
      </c>
      <c r="M454" t="b">
        <f>TrafficData[[#This Row],[pendingCourt]]+TrafficData[[#This Row],[disposedCourt]]=TrafficData[[#This Row],[totalCourt]]</f>
        <v>1</v>
      </c>
      <c r="N454" s="8" t="b">
        <f>AND(TrafficData[[#This Row],[disposedChallan]]&lt;=TrafficData[[#This Row],[totalChallan]],TrafficData[[#This Row],[pendingChallan]]&lt;=TrafficData[[#This Row],[totalChallan]])</f>
        <v>1</v>
      </c>
      <c r="O454" s="8" t="b">
        <f>AND(TrafficData[[#This Row],[pendingAmount]]&lt;=TrafficData[[#This Row],[totalAmount]],TrafficData[[#This Row],[disposedAmount]]&lt;=TrafficData[[#This Row],[totalAmount]])</f>
        <v>1</v>
      </c>
      <c r="P454" s="8" t="b">
        <f>AND(TrafficData[[#This Row],[pendingCourt]]&lt;=TrafficData[[#This Row],[totalCourt]],TrafficData[[#This Row],[disposedCourt]]&lt;=TrafficData[[#This Row],[totalCourt]])</f>
        <v>1</v>
      </c>
    </row>
    <row r="455" spans="1:16">
      <c r="A455" s="1">
        <v>42458</v>
      </c>
      <c r="B455">
        <v>1678</v>
      </c>
      <c r="C455">
        <v>216</v>
      </c>
      <c r="D455">
        <v>1462</v>
      </c>
      <c r="E455">
        <v>723900</v>
      </c>
      <c r="F455">
        <v>298860</v>
      </c>
      <c r="G455">
        <v>1022760</v>
      </c>
      <c r="H455">
        <v>1163</v>
      </c>
      <c r="I455">
        <v>78</v>
      </c>
      <c r="J455">
        <v>1241</v>
      </c>
      <c r="K455" t="b">
        <f>TrafficData[[#This Row],[disposedChallan]]+TrafficData[[#This Row],[pendingChallan]]=TrafficData[[#This Row],[totalChallan]]</f>
        <v>1</v>
      </c>
      <c r="L455" t="b">
        <f>TrafficData[[#This Row],[pendingAmount]]+TrafficData[[#This Row],[disposedAmount]]=TrafficData[[#This Row],[totalAmount]]</f>
        <v>1</v>
      </c>
      <c r="M455" t="b">
        <f>TrafficData[[#This Row],[pendingCourt]]+TrafficData[[#This Row],[disposedCourt]]=TrafficData[[#This Row],[totalCourt]]</f>
        <v>1</v>
      </c>
      <c r="N455" s="8" t="b">
        <f>AND(TrafficData[[#This Row],[disposedChallan]]&lt;=TrafficData[[#This Row],[totalChallan]],TrafficData[[#This Row],[pendingChallan]]&lt;=TrafficData[[#This Row],[totalChallan]])</f>
        <v>1</v>
      </c>
      <c r="O455" s="8" t="b">
        <f>AND(TrafficData[[#This Row],[pendingAmount]]&lt;=TrafficData[[#This Row],[totalAmount]],TrafficData[[#This Row],[disposedAmount]]&lt;=TrafficData[[#This Row],[totalAmount]])</f>
        <v>1</v>
      </c>
      <c r="P455" s="8" t="b">
        <f>AND(TrafficData[[#This Row],[pendingCourt]]&lt;=TrafficData[[#This Row],[totalCourt]],TrafficData[[#This Row],[disposedCourt]]&lt;=TrafficData[[#This Row],[totalCourt]])</f>
        <v>1</v>
      </c>
    </row>
    <row r="456" spans="1:16">
      <c r="A456" s="1">
        <v>42459</v>
      </c>
      <c r="B456">
        <v>1698</v>
      </c>
      <c r="C456">
        <v>251</v>
      </c>
      <c r="D456">
        <v>1447</v>
      </c>
      <c r="E456">
        <v>1135300</v>
      </c>
      <c r="F456">
        <v>573184</v>
      </c>
      <c r="G456">
        <v>1708484</v>
      </c>
      <c r="H456">
        <v>1161</v>
      </c>
      <c r="I456">
        <v>36</v>
      </c>
      <c r="J456">
        <v>1197</v>
      </c>
      <c r="K456" t="b">
        <f>TrafficData[[#This Row],[disposedChallan]]+TrafficData[[#This Row],[pendingChallan]]=TrafficData[[#This Row],[totalChallan]]</f>
        <v>1</v>
      </c>
      <c r="L456" t="b">
        <f>TrafficData[[#This Row],[pendingAmount]]+TrafficData[[#This Row],[disposedAmount]]=TrafficData[[#This Row],[totalAmount]]</f>
        <v>1</v>
      </c>
      <c r="M456" t="b">
        <f>TrafficData[[#This Row],[pendingCourt]]+TrafficData[[#This Row],[disposedCourt]]=TrafficData[[#This Row],[totalCourt]]</f>
        <v>1</v>
      </c>
      <c r="N456" s="8" t="b">
        <f>AND(TrafficData[[#This Row],[disposedChallan]]&lt;=TrafficData[[#This Row],[totalChallan]],TrafficData[[#This Row],[pendingChallan]]&lt;=TrafficData[[#This Row],[totalChallan]])</f>
        <v>1</v>
      </c>
      <c r="O456" s="8" t="b">
        <f>AND(TrafficData[[#This Row],[pendingAmount]]&lt;=TrafficData[[#This Row],[totalAmount]],TrafficData[[#This Row],[disposedAmount]]&lt;=TrafficData[[#This Row],[totalAmount]])</f>
        <v>1</v>
      </c>
      <c r="P456" s="8" t="b">
        <f>AND(TrafficData[[#This Row],[pendingCourt]]&lt;=TrafficData[[#This Row],[totalCourt]],TrafficData[[#This Row],[disposedCourt]]&lt;=TrafficData[[#This Row],[totalCourt]])</f>
        <v>1</v>
      </c>
    </row>
    <row r="457" spans="1:16">
      <c r="A457" s="1">
        <v>42460</v>
      </c>
      <c r="B457">
        <v>1725</v>
      </c>
      <c r="C457">
        <v>199</v>
      </c>
      <c r="D457">
        <v>1526</v>
      </c>
      <c r="E457">
        <v>1132750</v>
      </c>
      <c r="F457">
        <v>173700</v>
      </c>
      <c r="G457">
        <v>1306450</v>
      </c>
      <c r="H457">
        <v>1253</v>
      </c>
      <c r="I457">
        <v>29</v>
      </c>
      <c r="J457">
        <v>1282</v>
      </c>
      <c r="K457" t="b">
        <f>TrafficData[[#This Row],[disposedChallan]]+TrafficData[[#This Row],[pendingChallan]]=TrafficData[[#This Row],[totalChallan]]</f>
        <v>1</v>
      </c>
      <c r="L457" t="b">
        <f>TrafficData[[#This Row],[pendingAmount]]+TrafficData[[#This Row],[disposedAmount]]=TrafficData[[#This Row],[totalAmount]]</f>
        <v>1</v>
      </c>
      <c r="M457" t="b">
        <f>TrafficData[[#This Row],[pendingCourt]]+TrafficData[[#This Row],[disposedCourt]]=TrafficData[[#This Row],[totalCourt]]</f>
        <v>1</v>
      </c>
      <c r="N457" s="8" t="b">
        <f>AND(TrafficData[[#This Row],[disposedChallan]]&lt;=TrafficData[[#This Row],[totalChallan]],TrafficData[[#This Row],[pendingChallan]]&lt;=TrafficData[[#This Row],[totalChallan]])</f>
        <v>1</v>
      </c>
      <c r="O457" s="8" t="b">
        <f>AND(TrafficData[[#This Row],[pendingAmount]]&lt;=TrafficData[[#This Row],[totalAmount]],TrafficData[[#This Row],[disposedAmount]]&lt;=TrafficData[[#This Row],[totalAmount]])</f>
        <v>1</v>
      </c>
      <c r="P457" s="8" t="b">
        <f>AND(TrafficData[[#This Row],[pendingCourt]]&lt;=TrafficData[[#This Row],[totalCourt]],TrafficData[[#This Row],[disposedCourt]]&lt;=TrafficData[[#This Row],[totalCourt]])</f>
        <v>1</v>
      </c>
    </row>
    <row r="458" spans="1:16">
      <c r="A458" s="1">
        <v>42461</v>
      </c>
      <c r="B458">
        <v>1602</v>
      </c>
      <c r="C458">
        <v>168</v>
      </c>
      <c r="D458">
        <v>1434</v>
      </c>
      <c r="E458">
        <v>970150</v>
      </c>
      <c r="F458">
        <v>187150</v>
      </c>
      <c r="G458">
        <v>1157300</v>
      </c>
      <c r="H458">
        <v>1135</v>
      </c>
      <c r="I458">
        <v>83</v>
      </c>
      <c r="J458">
        <v>1218</v>
      </c>
      <c r="K458" t="b">
        <f>TrafficData[[#This Row],[disposedChallan]]+TrafficData[[#This Row],[pendingChallan]]=TrafficData[[#This Row],[totalChallan]]</f>
        <v>1</v>
      </c>
      <c r="L458" t="b">
        <f>TrafficData[[#This Row],[pendingAmount]]+TrafficData[[#This Row],[disposedAmount]]=TrafficData[[#This Row],[totalAmount]]</f>
        <v>1</v>
      </c>
      <c r="M458" t="b">
        <f>TrafficData[[#This Row],[pendingCourt]]+TrafficData[[#This Row],[disposedCourt]]=TrafficData[[#This Row],[totalCourt]]</f>
        <v>1</v>
      </c>
      <c r="N458" s="8" t="b">
        <f>AND(TrafficData[[#This Row],[disposedChallan]]&lt;=TrafficData[[#This Row],[totalChallan]],TrafficData[[#This Row],[pendingChallan]]&lt;=TrafficData[[#This Row],[totalChallan]])</f>
        <v>1</v>
      </c>
      <c r="O458" s="8" t="b">
        <f>AND(TrafficData[[#This Row],[pendingAmount]]&lt;=TrafficData[[#This Row],[totalAmount]],TrafficData[[#This Row],[disposedAmount]]&lt;=TrafficData[[#This Row],[totalAmount]])</f>
        <v>1</v>
      </c>
      <c r="P458" s="8" t="b">
        <f>AND(TrafficData[[#This Row],[pendingCourt]]&lt;=TrafficData[[#This Row],[totalCourt]],TrafficData[[#This Row],[disposedCourt]]&lt;=TrafficData[[#This Row],[totalCourt]])</f>
        <v>1</v>
      </c>
    </row>
    <row r="459" spans="1:16">
      <c r="A459" s="1">
        <v>42462</v>
      </c>
      <c r="B459">
        <v>1506</v>
      </c>
      <c r="C459">
        <v>163</v>
      </c>
      <c r="D459">
        <v>1343</v>
      </c>
      <c r="E459">
        <v>1257850</v>
      </c>
      <c r="F459">
        <v>294850</v>
      </c>
      <c r="G459">
        <v>1552700</v>
      </c>
      <c r="H459">
        <v>974</v>
      </c>
      <c r="I459">
        <v>54</v>
      </c>
      <c r="J459">
        <v>1028</v>
      </c>
      <c r="K459" t="b">
        <f>TrafficData[[#This Row],[disposedChallan]]+TrafficData[[#This Row],[pendingChallan]]=TrafficData[[#This Row],[totalChallan]]</f>
        <v>1</v>
      </c>
      <c r="L459" t="b">
        <f>TrafficData[[#This Row],[pendingAmount]]+TrafficData[[#This Row],[disposedAmount]]=TrafficData[[#This Row],[totalAmount]]</f>
        <v>1</v>
      </c>
      <c r="M459" t="b">
        <f>TrafficData[[#This Row],[pendingCourt]]+TrafficData[[#This Row],[disposedCourt]]=TrafficData[[#This Row],[totalCourt]]</f>
        <v>1</v>
      </c>
      <c r="N459" s="8" t="b">
        <f>AND(TrafficData[[#This Row],[disposedChallan]]&lt;=TrafficData[[#This Row],[totalChallan]],TrafficData[[#This Row],[pendingChallan]]&lt;=TrafficData[[#This Row],[totalChallan]])</f>
        <v>1</v>
      </c>
      <c r="O459" s="8" t="b">
        <f>AND(TrafficData[[#This Row],[pendingAmount]]&lt;=TrafficData[[#This Row],[totalAmount]],TrafficData[[#This Row],[disposedAmount]]&lt;=TrafficData[[#This Row],[totalAmount]])</f>
        <v>1</v>
      </c>
      <c r="P459" s="8" t="b">
        <f>AND(TrafficData[[#This Row],[pendingCourt]]&lt;=TrafficData[[#This Row],[totalCourt]],TrafficData[[#This Row],[disposedCourt]]&lt;=TrafficData[[#This Row],[totalCourt]])</f>
        <v>1</v>
      </c>
    </row>
    <row r="460" spans="1:16">
      <c r="A460" s="1">
        <v>42463</v>
      </c>
      <c r="B460">
        <v>703</v>
      </c>
      <c r="C460">
        <v>82</v>
      </c>
      <c r="D460">
        <v>621</v>
      </c>
      <c r="E460">
        <v>396075</v>
      </c>
      <c r="F460">
        <v>82450</v>
      </c>
      <c r="G460">
        <v>478525</v>
      </c>
      <c r="H460">
        <v>463</v>
      </c>
      <c r="I460">
        <v>32</v>
      </c>
      <c r="J460">
        <v>495</v>
      </c>
      <c r="K460" t="b">
        <f>TrafficData[[#This Row],[disposedChallan]]+TrafficData[[#This Row],[pendingChallan]]=TrafficData[[#This Row],[totalChallan]]</f>
        <v>1</v>
      </c>
      <c r="L460" t="b">
        <f>TrafficData[[#This Row],[pendingAmount]]+TrafficData[[#This Row],[disposedAmount]]=TrafficData[[#This Row],[totalAmount]]</f>
        <v>1</v>
      </c>
      <c r="M460" t="b">
        <f>TrafficData[[#This Row],[pendingCourt]]+TrafficData[[#This Row],[disposedCourt]]=TrafficData[[#This Row],[totalCourt]]</f>
        <v>1</v>
      </c>
      <c r="N460" s="8" t="b">
        <f>AND(TrafficData[[#This Row],[disposedChallan]]&lt;=TrafficData[[#This Row],[totalChallan]],TrafficData[[#This Row],[pendingChallan]]&lt;=TrafficData[[#This Row],[totalChallan]])</f>
        <v>1</v>
      </c>
      <c r="O460" s="8" t="b">
        <f>AND(TrafficData[[#This Row],[pendingAmount]]&lt;=TrafficData[[#This Row],[totalAmount]],TrafficData[[#This Row],[disposedAmount]]&lt;=TrafficData[[#This Row],[totalAmount]])</f>
        <v>1</v>
      </c>
      <c r="P460" s="8" t="b">
        <f>AND(TrafficData[[#This Row],[pendingCourt]]&lt;=TrafficData[[#This Row],[totalCourt]],TrafficData[[#This Row],[disposedCourt]]&lt;=TrafficData[[#This Row],[totalCourt]])</f>
        <v>1</v>
      </c>
    </row>
    <row r="461" spans="1:16">
      <c r="A461" s="1">
        <v>42464</v>
      </c>
      <c r="B461">
        <v>1302</v>
      </c>
      <c r="C461">
        <v>156</v>
      </c>
      <c r="D461">
        <v>1146</v>
      </c>
      <c r="E461">
        <v>1380648</v>
      </c>
      <c r="F461">
        <v>276021</v>
      </c>
      <c r="G461">
        <v>1656669</v>
      </c>
      <c r="H461">
        <v>795</v>
      </c>
      <c r="I461">
        <v>57</v>
      </c>
      <c r="J461">
        <v>852</v>
      </c>
      <c r="K461" t="b">
        <f>TrafficData[[#This Row],[disposedChallan]]+TrafficData[[#This Row],[pendingChallan]]=TrafficData[[#This Row],[totalChallan]]</f>
        <v>1</v>
      </c>
      <c r="L461" t="b">
        <f>TrafficData[[#This Row],[pendingAmount]]+TrafficData[[#This Row],[disposedAmount]]=TrafficData[[#This Row],[totalAmount]]</f>
        <v>1</v>
      </c>
      <c r="M461" t="b">
        <f>TrafficData[[#This Row],[pendingCourt]]+TrafficData[[#This Row],[disposedCourt]]=TrafficData[[#This Row],[totalCourt]]</f>
        <v>1</v>
      </c>
      <c r="N461" s="8" t="b">
        <f>AND(TrafficData[[#This Row],[disposedChallan]]&lt;=TrafficData[[#This Row],[totalChallan]],TrafficData[[#This Row],[pendingChallan]]&lt;=TrafficData[[#This Row],[totalChallan]])</f>
        <v>1</v>
      </c>
      <c r="O461" s="8" t="b">
        <f>AND(TrafficData[[#This Row],[pendingAmount]]&lt;=TrafficData[[#This Row],[totalAmount]],TrafficData[[#This Row],[disposedAmount]]&lt;=TrafficData[[#This Row],[totalAmount]])</f>
        <v>1</v>
      </c>
      <c r="P461" s="8" t="b">
        <f>AND(TrafficData[[#This Row],[pendingCourt]]&lt;=TrafficData[[#This Row],[totalCourt]],TrafficData[[#This Row],[disposedCourt]]&lt;=TrafficData[[#This Row],[totalCourt]])</f>
        <v>1</v>
      </c>
    </row>
    <row r="462" spans="1:16">
      <c r="A462" s="1">
        <v>42465</v>
      </c>
      <c r="B462">
        <v>1667</v>
      </c>
      <c r="C462">
        <v>186</v>
      </c>
      <c r="D462">
        <v>1481</v>
      </c>
      <c r="E462">
        <v>1637440</v>
      </c>
      <c r="F462">
        <v>184740</v>
      </c>
      <c r="G462">
        <v>1822180</v>
      </c>
      <c r="H462">
        <v>1147</v>
      </c>
      <c r="I462">
        <v>63</v>
      </c>
      <c r="J462">
        <v>1210</v>
      </c>
      <c r="K462" t="b">
        <f>TrafficData[[#This Row],[disposedChallan]]+TrafficData[[#This Row],[pendingChallan]]=TrafficData[[#This Row],[totalChallan]]</f>
        <v>1</v>
      </c>
      <c r="L462" t="b">
        <f>TrafficData[[#This Row],[pendingAmount]]+TrafficData[[#This Row],[disposedAmount]]=TrafficData[[#This Row],[totalAmount]]</f>
        <v>1</v>
      </c>
      <c r="M462" t="b">
        <f>TrafficData[[#This Row],[pendingCourt]]+TrafficData[[#This Row],[disposedCourt]]=TrafficData[[#This Row],[totalCourt]]</f>
        <v>1</v>
      </c>
      <c r="N462" s="8" t="b">
        <f>AND(TrafficData[[#This Row],[disposedChallan]]&lt;=TrafficData[[#This Row],[totalChallan]],TrafficData[[#This Row],[pendingChallan]]&lt;=TrafficData[[#This Row],[totalChallan]])</f>
        <v>1</v>
      </c>
      <c r="O462" s="8" t="b">
        <f>AND(TrafficData[[#This Row],[pendingAmount]]&lt;=TrafficData[[#This Row],[totalAmount]],TrafficData[[#This Row],[disposedAmount]]&lt;=TrafficData[[#This Row],[totalAmount]])</f>
        <v>1</v>
      </c>
      <c r="P462" s="8" t="b">
        <f>AND(TrafficData[[#This Row],[pendingCourt]]&lt;=TrafficData[[#This Row],[totalCourt]],TrafficData[[#This Row],[disposedCourt]]&lt;=TrafficData[[#This Row],[totalCourt]])</f>
        <v>1</v>
      </c>
    </row>
    <row r="463" spans="1:16">
      <c r="A463" s="1">
        <v>42466</v>
      </c>
      <c r="B463">
        <v>1735</v>
      </c>
      <c r="C463">
        <v>234</v>
      </c>
      <c r="D463">
        <v>1501</v>
      </c>
      <c r="E463">
        <v>1123400</v>
      </c>
      <c r="F463">
        <v>338300</v>
      </c>
      <c r="G463">
        <v>1461700</v>
      </c>
      <c r="H463">
        <v>1128</v>
      </c>
      <c r="I463">
        <v>28</v>
      </c>
      <c r="J463">
        <v>1156</v>
      </c>
      <c r="K463" t="b">
        <f>TrafficData[[#This Row],[disposedChallan]]+TrafficData[[#This Row],[pendingChallan]]=TrafficData[[#This Row],[totalChallan]]</f>
        <v>1</v>
      </c>
      <c r="L463" t="b">
        <f>TrafficData[[#This Row],[pendingAmount]]+TrafficData[[#This Row],[disposedAmount]]=TrafficData[[#This Row],[totalAmount]]</f>
        <v>1</v>
      </c>
      <c r="M463" t="b">
        <f>TrafficData[[#This Row],[pendingCourt]]+TrafficData[[#This Row],[disposedCourt]]=TrafficData[[#This Row],[totalCourt]]</f>
        <v>1</v>
      </c>
      <c r="N463" s="8" t="b">
        <f>AND(TrafficData[[#This Row],[disposedChallan]]&lt;=TrafficData[[#This Row],[totalChallan]],TrafficData[[#This Row],[pendingChallan]]&lt;=TrafficData[[#This Row],[totalChallan]])</f>
        <v>1</v>
      </c>
      <c r="O463" s="8" t="b">
        <f>AND(TrafficData[[#This Row],[pendingAmount]]&lt;=TrafficData[[#This Row],[totalAmount]],TrafficData[[#This Row],[disposedAmount]]&lt;=TrafficData[[#This Row],[totalAmount]])</f>
        <v>1</v>
      </c>
      <c r="P463" s="8" t="b">
        <f>AND(TrafficData[[#This Row],[pendingCourt]]&lt;=TrafficData[[#This Row],[totalCourt]],TrafficData[[#This Row],[disposedCourt]]&lt;=TrafficData[[#This Row],[totalCourt]])</f>
        <v>1</v>
      </c>
    </row>
    <row r="464" spans="1:16">
      <c r="A464" s="1">
        <v>42467</v>
      </c>
      <c r="B464">
        <v>2130</v>
      </c>
      <c r="C464">
        <v>223</v>
      </c>
      <c r="D464">
        <v>1907</v>
      </c>
      <c r="E464">
        <v>1441296</v>
      </c>
      <c r="F464">
        <v>290820</v>
      </c>
      <c r="G464">
        <v>1732116</v>
      </c>
      <c r="H464">
        <v>1552</v>
      </c>
      <c r="I464">
        <v>39</v>
      </c>
      <c r="J464">
        <v>1591</v>
      </c>
      <c r="K464" t="b">
        <f>TrafficData[[#This Row],[disposedChallan]]+TrafficData[[#This Row],[pendingChallan]]=TrafficData[[#This Row],[totalChallan]]</f>
        <v>1</v>
      </c>
      <c r="L464" t="b">
        <f>TrafficData[[#This Row],[pendingAmount]]+TrafficData[[#This Row],[disposedAmount]]=TrafficData[[#This Row],[totalAmount]]</f>
        <v>1</v>
      </c>
      <c r="M464" t="b">
        <f>TrafficData[[#This Row],[pendingCourt]]+TrafficData[[#This Row],[disposedCourt]]=TrafficData[[#This Row],[totalCourt]]</f>
        <v>1</v>
      </c>
      <c r="N464" s="8" t="b">
        <f>AND(TrafficData[[#This Row],[disposedChallan]]&lt;=TrafficData[[#This Row],[totalChallan]],TrafficData[[#This Row],[pendingChallan]]&lt;=TrafficData[[#This Row],[totalChallan]])</f>
        <v>1</v>
      </c>
      <c r="O464" s="8" t="b">
        <f>AND(TrafficData[[#This Row],[pendingAmount]]&lt;=TrafficData[[#This Row],[totalAmount]],TrafficData[[#This Row],[disposedAmount]]&lt;=TrafficData[[#This Row],[totalAmount]])</f>
        <v>1</v>
      </c>
      <c r="P464" s="8" t="b">
        <f>AND(TrafficData[[#This Row],[pendingCourt]]&lt;=TrafficData[[#This Row],[totalCourt]],TrafficData[[#This Row],[disposedCourt]]&lt;=TrafficData[[#This Row],[totalCourt]])</f>
        <v>1</v>
      </c>
    </row>
    <row r="465" spans="1:16">
      <c r="A465" s="1">
        <v>42468</v>
      </c>
      <c r="B465">
        <v>1470</v>
      </c>
      <c r="C465">
        <v>118</v>
      </c>
      <c r="D465">
        <v>1352</v>
      </c>
      <c r="E465">
        <v>794050</v>
      </c>
      <c r="F465">
        <v>115700</v>
      </c>
      <c r="G465">
        <v>909750</v>
      </c>
      <c r="H465">
        <v>1075</v>
      </c>
      <c r="I465">
        <v>44</v>
      </c>
      <c r="J465">
        <v>1119</v>
      </c>
      <c r="K465" t="b">
        <f>TrafficData[[#This Row],[disposedChallan]]+TrafficData[[#This Row],[pendingChallan]]=TrafficData[[#This Row],[totalChallan]]</f>
        <v>1</v>
      </c>
      <c r="L465" t="b">
        <f>TrafficData[[#This Row],[pendingAmount]]+TrafficData[[#This Row],[disposedAmount]]=TrafficData[[#This Row],[totalAmount]]</f>
        <v>1</v>
      </c>
      <c r="M465" t="b">
        <f>TrafficData[[#This Row],[pendingCourt]]+TrafficData[[#This Row],[disposedCourt]]=TrafficData[[#This Row],[totalCourt]]</f>
        <v>1</v>
      </c>
      <c r="N465" s="8" t="b">
        <f>AND(TrafficData[[#This Row],[disposedChallan]]&lt;=TrafficData[[#This Row],[totalChallan]],TrafficData[[#This Row],[pendingChallan]]&lt;=TrafficData[[#This Row],[totalChallan]])</f>
        <v>1</v>
      </c>
      <c r="O465" s="8" t="b">
        <f>AND(TrafficData[[#This Row],[pendingAmount]]&lt;=TrafficData[[#This Row],[totalAmount]],TrafficData[[#This Row],[disposedAmount]]&lt;=TrafficData[[#This Row],[totalAmount]])</f>
        <v>1</v>
      </c>
      <c r="P465" s="8" t="b">
        <f>AND(TrafficData[[#This Row],[pendingCourt]]&lt;=TrafficData[[#This Row],[totalCourt]],TrafficData[[#This Row],[disposedCourt]]&lt;=TrafficData[[#This Row],[totalCourt]])</f>
        <v>1</v>
      </c>
    </row>
    <row r="466" spans="1:16">
      <c r="A466" s="1">
        <v>42469</v>
      </c>
      <c r="B466">
        <v>1756</v>
      </c>
      <c r="C466">
        <v>222</v>
      </c>
      <c r="D466">
        <v>1534</v>
      </c>
      <c r="E466">
        <v>928450</v>
      </c>
      <c r="F466">
        <v>182460</v>
      </c>
      <c r="G466">
        <v>1110910</v>
      </c>
      <c r="H466">
        <v>1248</v>
      </c>
      <c r="I466">
        <v>101</v>
      </c>
      <c r="J466">
        <v>1349</v>
      </c>
      <c r="K466" t="b">
        <f>TrafficData[[#This Row],[disposedChallan]]+TrafficData[[#This Row],[pendingChallan]]=TrafficData[[#This Row],[totalChallan]]</f>
        <v>1</v>
      </c>
      <c r="L466" t="b">
        <f>TrafficData[[#This Row],[pendingAmount]]+TrafficData[[#This Row],[disposedAmount]]=TrafficData[[#This Row],[totalAmount]]</f>
        <v>1</v>
      </c>
      <c r="M466" t="b">
        <f>TrafficData[[#This Row],[pendingCourt]]+TrafficData[[#This Row],[disposedCourt]]=TrafficData[[#This Row],[totalCourt]]</f>
        <v>1</v>
      </c>
      <c r="N466" s="8" t="b">
        <f>AND(TrafficData[[#This Row],[disposedChallan]]&lt;=TrafficData[[#This Row],[totalChallan]],TrafficData[[#This Row],[pendingChallan]]&lt;=TrafficData[[#This Row],[totalChallan]])</f>
        <v>1</v>
      </c>
      <c r="O466" s="8" t="b">
        <f>AND(TrafficData[[#This Row],[pendingAmount]]&lt;=TrafficData[[#This Row],[totalAmount]],TrafficData[[#This Row],[disposedAmount]]&lt;=TrafficData[[#This Row],[totalAmount]])</f>
        <v>1</v>
      </c>
      <c r="P466" s="8" t="b">
        <f>AND(TrafficData[[#This Row],[pendingCourt]]&lt;=TrafficData[[#This Row],[totalCourt]],TrafficData[[#This Row],[disposedCourt]]&lt;=TrafficData[[#This Row],[totalCourt]])</f>
        <v>1</v>
      </c>
    </row>
    <row r="467" spans="1:16">
      <c r="A467" s="1">
        <v>42470</v>
      </c>
      <c r="B467">
        <v>861</v>
      </c>
      <c r="C467">
        <v>111</v>
      </c>
      <c r="D467">
        <v>750</v>
      </c>
      <c r="E467">
        <v>552270</v>
      </c>
      <c r="F467">
        <v>137900</v>
      </c>
      <c r="G467">
        <v>690170</v>
      </c>
      <c r="H467">
        <v>533</v>
      </c>
      <c r="I467">
        <v>25</v>
      </c>
      <c r="J467">
        <v>558</v>
      </c>
      <c r="K467" t="b">
        <f>TrafficData[[#This Row],[disposedChallan]]+TrafficData[[#This Row],[pendingChallan]]=TrafficData[[#This Row],[totalChallan]]</f>
        <v>1</v>
      </c>
      <c r="L467" t="b">
        <f>TrafficData[[#This Row],[pendingAmount]]+TrafficData[[#This Row],[disposedAmount]]=TrafficData[[#This Row],[totalAmount]]</f>
        <v>1</v>
      </c>
      <c r="M467" t="b">
        <f>TrafficData[[#This Row],[pendingCourt]]+TrafficData[[#This Row],[disposedCourt]]=TrafficData[[#This Row],[totalCourt]]</f>
        <v>1</v>
      </c>
      <c r="N467" s="8" t="b">
        <f>AND(TrafficData[[#This Row],[disposedChallan]]&lt;=TrafficData[[#This Row],[totalChallan]],TrafficData[[#This Row],[pendingChallan]]&lt;=TrafficData[[#This Row],[totalChallan]])</f>
        <v>1</v>
      </c>
      <c r="O467" s="8" t="b">
        <f>AND(TrafficData[[#This Row],[pendingAmount]]&lt;=TrafficData[[#This Row],[totalAmount]],TrafficData[[#This Row],[disposedAmount]]&lt;=TrafficData[[#This Row],[totalAmount]])</f>
        <v>1</v>
      </c>
      <c r="P467" s="8" t="b">
        <f>AND(TrafficData[[#This Row],[pendingCourt]]&lt;=TrafficData[[#This Row],[totalCourt]],TrafficData[[#This Row],[disposedCourt]]&lt;=TrafficData[[#This Row],[totalCourt]])</f>
        <v>1</v>
      </c>
    </row>
    <row r="468" spans="1:16">
      <c r="A468" s="1">
        <v>42471</v>
      </c>
      <c r="B468">
        <v>1562</v>
      </c>
      <c r="C468">
        <v>187</v>
      </c>
      <c r="D468">
        <v>1375</v>
      </c>
      <c r="E468">
        <v>1003900</v>
      </c>
      <c r="F468">
        <v>244200</v>
      </c>
      <c r="G468">
        <v>1248100</v>
      </c>
      <c r="H468">
        <v>983</v>
      </c>
      <c r="I468">
        <v>69</v>
      </c>
      <c r="J468">
        <v>1052</v>
      </c>
      <c r="K468" t="b">
        <f>TrafficData[[#This Row],[disposedChallan]]+TrafficData[[#This Row],[pendingChallan]]=TrafficData[[#This Row],[totalChallan]]</f>
        <v>1</v>
      </c>
      <c r="L468" t="b">
        <f>TrafficData[[#This Row],[pendingAmount]]+TrafficData[[#This Row],[disposedAmount]]=TrafficData[[#This Row],[totalAmount]]</f>
        <v>1</v>
      </c>
      <c r="M468" t="b">
        <f>TrafficData[[#This Row],[pendingCourt]]+TrafficData[[#This Row],[disposedCourt]]=TrafficData[[#This Row],[totalCourt]]</f>
        <v>1</v>
      </c>
      <c r="N468" s="8" t="b">
        <f>AND(TrafficData[[#This Row],[disposedChallan]]&lt;=TrafficData[[#This Row],[totalChallan]],TrafficData[[#This Row],[pendingChallan]]&lt;=TrafficData[[#This Row],[totalChallan]])</f>
        <v>1</v>
      </c>
      <c r="O468" s="8" t="b">
        <f>AND(TrafficData[[#This Row],[pendingAmount]]&lt;=TrafficData[[#This Row],[totalAmount]],TrafficData[[#This Row],[disposedAmount]]&lt;=TrafficData[[#This Row],[totalAmount]])</f>
        <v>1</v>
      </c>
      <c r="P468" s="8" t="b">
        <f>AND(TrafficData[[#This Row],[pendingCourt]]&lt;=TrafficData[[#This Row],[totalCourt]],TrafficData[[#This Row],[disposedCourt]]&lt;=TrafficData[[#This Row],[totalCourt]])</f>
        <v>1</v>
      </c>
    </row>
    <row r="469" spans="1:16">
      <c r="A469" s="1">
        <v>42472</v>
      </c>
      <c r="B469">
        <v>1717</v>
      </c>
      <c r="C469">
        <v>229</v>
      </c>
      <c r="D469">
        <v>1488</v>
      </c>
      <c r="E469">
        <v>1395700</v>
      </c>
      <c r="F469">
        <v>394925</v>
      </c>
      <c r="G469">
        <v>1790625</v>
      </c>
      <c r="H469">
        <v>1115</v>
      </c>
      <c r="I469">
        <v>88</v>
      </c>
      <c r="J469">
        <v>1203</v>
      </c>
      <c r="K469" t="b">
        <f>TrafficData[[#This Row],[disposedChallan]]+TrafficData[[#This Row],[pendingChallan]]=TrafficData[[#This Row],[totalChallan]]</f>
        <v>1</v>
      </c>
      <c r="L469" t="b">
        <f>TrafficData[[#This Row],[pendingAmount]]+TrafficData[[#This Row],[disposedAmount]]=TrafficData[[#This Row],[totalAmount]]</f>
        <v>1</v>
      </c>
      <c r="M469" t="b">
        <f>TrafficData[[#This Row],[pendingCourt]]+TrafficData[[#This Row],[disposedCourt]]=TrafficData[[#This Row],[totalCourt]]</f>
        <v>1</v>
      </c>
      <c r="N469" s="8" t="b">
        <f>AND(TrafficData[[#This Row],[disposedChallan]]&lt;=TrafficData[[#This Row],[totalChallan]],TrafficData[[#This Row],[pendingChallan]]&lt;=TrafficData[[#This Row],[totalChallan]])</f>
        <v>1</v>
      </c>
      <c r="O469" s="8" t="b">
        <f>AND(TrafficData[[#This Row],[pendingAmount]]&lt;=TrafficData[[#This Row],[totalAmount]],TrafficData[[#This Row],[disposedAmount]]&lt;=TrafficData[[#This Row],[totalAmount]])</f>
        <v>1</v>
      </c>
      <c r="P469" s="8" t="b">
        <f>AND(TrafficData[[#This Row],[pendingCourt]]&lt;=TrafficData[[#This Row],[totalCourt]],TrafficData[[#This Row],[disposedCourt]]&lt;=TrafficData[[#This Row],[totalCourt]])</f>
        <v>1</v>
      </c>
    </row>
    <row r="470" spans="1:16">
      <c r="A470" s="1">
        <v>42473</v>
      </c>
      <c r="B470">
        <v>1984</v>
      </c>
      <c r="C470">
        <v>203</v>
      </c>
      <c r="D470">
        <v>1781</v>
      </c>
      <c r="E470">
        <v>963150</v>
      </c>
      <c r="F470">
        <v>280000</v>
      </c>
      <c r="G470">
        <v>1243150</v>
      </c>
      <c r="H470">
        <v>1411</v>
      </c>
      <c r="I470">
        <v>88</v>
      </c>
      <c r="J470">
        <v>1499</v>
      </c>
      <c r="K470" t="b">
        <f>TrafficData[[#This Row],[disposedChallan]]+TrafficData[[#This Row],[pendingChallan]]=TrafficData[[#This Row],[totalChallan]]</f>
        <v>1</v>
      </c>
      <c r="L470" t="b">
        <f>TrafficData[[#This Row],[pendingAmount]]+TrafficData[[#This Row],[disposedAmount]]=TrafficData[[#This Row],[totalAmount]]</f>
        <v>1</v>
      </c>
      <c r="M470" t="b">
        <f>TrafficData[[#This Row],[pendingCourt]]+TrafficData[[#This Row],[disposedCourt]]=TrafficData[[#This Row],[totalCourt]]</f>
        <v>1</v>
      </c>
      <c r="N470" s="8" t="b">
        <f>AND(TrafficData[[#This Row],[disposedChallan]]&lt;=TrafficData[[#This Row],[totalChallan]],TrafficData[[#This Row],[pendingChallan]]&lt;=TrafficData[[#This Row],[totalChallan]])</f>
        <v>1</v>
      </c>
      <c r="O470" s="8" t="b">
        <f>AND(TrafficData[[#This Row],[pendingAmount]]&lt;=TrafficData[[#This Row],[totalAmount]],TrafficData[[#This Row],[disposedAmount]]&lt;=TrafficData[[#This Row],[totalAmount]])</f>
        <v>1</v>
      </c>
      <c r="P470" s="8" t="b">
        <f>AND(TrafficData[[#This Row],[pendingCourt]]&lt;=TrafficData[[#This Row],[totalCourt]],TrafficData[[#This Row],[disposedCourt]]&lt;=TrafficData[[#This Row],[totalCourt]])</f>
        <v>1</v>
      </c>
    </row>
    <row r="471" spans="1:16">
      <c r="A471" s="1">
        <v>42474</v>
      </c>
      <c r="B471">
        <v>1586</v>
      </c>
      <c r="C471">
        <v>146</v>
      </c>
      <c r="D471">
        <v>1440</v>
      </c>
      <c r="E471">
        <v>812527</v>
      </c>
      <c r="F471">
        <v>230450</v>
      </c>
      <c r="G471">
        <v>1042977</v>
      </c>
      <c r="H471">
        <v>1063</v>
      </c>
      <c r="I471">
        <v>50</v>
      </c>
      <c r="J471">
        <v>1113</v>
      </c>
      <c r="K471" t="b">
        <f>TrafficData[[#This Row],[disposedChallan]]+TrafficData[[#This Row],[pendingChallan]]=TrafficData[[#This Row],[totalChallan]]</f>
        <v>1</v>
      </c>
      <c r="L471" t="b">
        <f>TrafficData[[#This Row],[pendingAmount]]+TrafficData[[#This Row],[disposedAmount]]=TrafficData[[#This Row],[totalAmount]]</f>
        <v>1</v>
      </c>
      <c r="M471" t="b">
        <f>TrafficData[[#This Row],[pendingCourt]]+TrafficData[[#This Row],[disposedCourt]]=TrafficData[[#This Row],[totalCourt]]</f>
        <v>1</v>
      </c>
      <c r="N471" s="8" t="b">
        <f>AND(TrafficData[[#This Row],[disposedChallan]]&lt;=TrafficData[[#This Row],[totalChallan]],TrafficData[[#This Row],[pendingChallan]]&lt;=TrafficData[[#This Row],[totalChallan]])</f>
        <v>1</v>
      </c>
      <c r="O471" s="8" t="b">
        <f>AND(TrafficData[[#This Row],[pendingAmount]]&lt;=TrafficData[[#This Row],[totalAmount]],TrafficData[[#This Row],[disposedAmount]]&lt;=TrafficData[[#This Row],[totalAmount]])</f>
        <v>1</v>
      </c>
      <c r="P471" s="8" t="b">
        <f>AND(TrafficData[[#This Row],[pendingCourt]]&lt;=TrafficData[[#This Row],[totalCourt]],TrafficData[[#This Row],[disposedCourt]]&lt;=TrafficData[[#This Row],[totalCourt]])</f>
        <v>1</v>
      </c>
    </row>
    <row r="472" spans="1:16">
      <c r="A472" s="1">
        <v>42475</v>
      </c>
      <c r="B472">
        <v>1128</v>
      </c>
      <c r="C472">
        <v>146</v>
      </c>
      <c r="D472">
        <v>982</v>
      </c>
      <c r="E472">
        <v>652731</v>
      </c>
      <c r="F472">
        <v>202025</v>
      </c>
      <c r="G472">
        <v>854756</v>
      </c>
      <c r="H472">
        <v>727</v>
      </c>
      <c r="I472">
        <v>24</v>
      </c>
      <c r="J472">
        <v>751</v>
      </c>
      <c r="K472" t="b">
        <f>TrafficData[[#This Row],[disposedChallan]]+TrafficData[[#This Row],[pendingChallan]]=TrafficData[[#This Row],[totalChallan]]</f>
        <v>1</v>
      </c>
      <c r="L472" t="b">
        <f>TrafficData[[#This Row],[pendingAmount]]+TrafficData[[#This Row],[disposedAmount]]=TrafficData[[#This Row],[totalAmount]]</f>
        <v>1</v>
      </c>
      <c r="M472" t="b">
        <f>TrafficData[[#This Row],[pendingCourt]]+TrafficData[[#This Row],[disposedCourt]]=TrafficData[[#This Row],[totalCourt]]</f>
        <v>1</v>
      </c>
      <c r="N472" s="8" t="b">
        <f>AND(TrafficData[[#This Row],[disposedChallan]]&lt;=TrafficData[[#This Row],[totalChallan]],TrafficData[[#This Row],[pendingChallan]]&lt;=TrafficData[[#This Row],[totalChallan]])</f>
        <v>1</v>
      </c>
      <c r="O472" s="8" t="b">
        <f>AND(TrafficData[[#This Row],[pendingAmount]]&lt;=TrafficData[[#This Row],[totalAmount]],TrafficData[[#This Row],[disposedAmount]]&lt;=TrafficData[[#This Row],[totalAmount]])</f>
        <v>1</v>
      </c>
      <c r="P472" s="8" t="b">
        <f>AND(TrafficData[[#This Row],[pendingCourt]]&lt;=TrafficData[[#This Row],[totalCourt]],TrafficData[[#This Row],[disposedCourt]]&lt;=TrafficData[[#This Row],[totalCourt]])</f>
        <v>1</v>
      </c>
    </row>
    <row r="473" spans="1:16">
      <c r="A473" s="1">
        <v>42476</v>
      </c>
      <c r="B473">
        <v>1137</v>
      </c>
      <c r="C473">
        <v>121</v>
      </c>
      <c r="D473">
        <v>1016</v>
      </c>
      <c r="E473">
        <v>828300</v>
      </c>
      <c r="F473">
        <v>204500</v>
      </c>
      <c r="G473">
        <v>1032800</v>
      </c>
      <c r="H473">
        <v>803</v>
      </c>
      <c r="I473">
        <v>42</v>
      </c>
      <c r="J473">
        <v>845</v>
      </c>
      <c r="K473" t="b">
        <f>TrafficData[[#This Row],[disposedChallan]]+TrafficData[[#This Row],[pendingChallan]]=TrafficData[[#This Row],[totalChallan]]</f>
        <v>1</v>
      </c>
      <c r="L473" t="b">
        <f>TrafficData[[#This Row],[pendingAmount]]+TrafficData[[#This Row],[disposedAmount]]=TrafficData[[#This Row],[totalAmount]]</f>
        <v>1</v>
      </c>
      <c r="M473" t="b">
        <f>TrafficData[[#This Row],[pendingCourt]]+TrafficData[[#This Row],[disposedCourt]]=TrafficData[[#This Row],[totalCourt]]</f>
        <v>1</v>
      </c>
      <c r="N473" s="8" t="b">
        <f>AND(TrafficData[[#This Row],[disposedChallan]]&lt;=TrafficData[[#This Row],[totalChallan]],TrafficData[[#This Row],[pendingChallan]]&lt;=TrafficData[[#This Row],[totalChallan]])</f>
        <v>1</v>
      </c>
      <c r="O473" s="8" t="b">
        <f>AND(TrafficData[[#This Row],[pendingAmount]]&lt;=TrafficData[[#This Row],[totalAmount]],TrafficData[[#This Row],[disposedAmount]]&lt;=TrafficData[[#This Row],[totalAmount]])</f>
        <v>1</v>
      </c>
      <c r="P473" s="8" t="b">
        <f>AND(TrafficData[[#This Row],[pendingCourt]]&lt;=TrafficData[[#This Row],[totalCourt]],TrafficData[[#This Row],[disposedCourt]]&lt;=TrafficData[[#This Row],[totalCourt]])</f>
        <v>1</v>
      </c>
    </row>
    <row r="474" spans="1:16">
      <c r="A474" s="1">
        <v>42477</v>
      </c>
      <c r="B474">
        <v>867</v>
      </c>
      <c r="C474">
        <v>99</v>
      </c>
      <c r="D474">
        <v>768</v>
      </c>
      <c r="E474">
        <v>371019</v>
      </c>
      <c r="F474">
        <v>96677</v>
      </c>
      <c r="G474">
        <v>467696</v>
      </c>
      <c r="H474">
        <v>618</v>
      </c>
      <c r="I474">
        <v>45</v>
      </c>
      <c r="J474">
        <v>663</v>
      </c>
      <c r="K474" t="b">
        <f>TrafficData[[#This Row],[disposedChallan]]+TrafficData[[#This Row],[pendingChallan]]=TrafficData[[#This Row],[totalChallan]]</f>
        <v>1</v>
      </c>
      <c r="L474" t="b">
        <f>TrafficData[[#This Row],[pendingAmount]]+TrafficData[[#This Row],[disposedAmount]]=TrafficData[[#This Row],[totalAmount]]</f>
        <v>1</v>
      </c>
      <c r="M474" t="b">
        <f>TrafficData[[#This Row],[pendingCourt]]+TrafficData[[#This Row],[disposedCourt]]=TrafficData[[#This Row],[totalCourt]]</f>
        <v>1</v>
      </c>
      <c r="N474" s="8" t="b">
        <f>AND(TrafficData[[#This Row],[disposedChallan]]&lt;=TrafficData[[#This Row],[totalChallan]],TrafficData[[#This Row],[pendingChallan]]&lt;=TrafficData[[#This Row],[totalChallan]])</f>
        <v>1</v>
      </c>
      <c r="O474" s="8" t="b">
        <f>AND(TrafficData[[#This Row],[pendingAmount]]&lt;=TrafficData[[#This Row],[totalAmount]],TrafficData[[#This Row],[disposedAmount]]&lt;=TrafficData[[#This Row],[totalAmount]])</f>
        <v>1</v>
      </c>
      <c r="P474" s="8" t="b">
        <f>AND(TrafficData[[#This Row],[pendingCourt]]&lt;=TrafficData[[#This Row],[totalCourt]],TrafficData[[#This Row],[disposedCourt]]&lt;=TrafficData[[#This Row],[totalCourt]])</f>
        <v>1</v>
      </c>
    </row>
    <row r="475" spans="1:16">
      <c r="A475" s="1">
        <v>42478</v>
      </c>
      <c r="B475">
        <v>1195</v>
      </c>
      <c r="C475">
        <v>138</v>
      </c>
      <c r="D475">
        <v>1057</v>
      </c>
      <c r="E475">
        <v>620549</v>
      </c>
      <c r="F475">
        <v>299700</v>
      </c>
      <c r="G475">
        <v>920249</v>
      </c>
      <c r="H475">
        <v>764</v>
      </c>
      <c r="I475">
        <v>54</v>
      </c>
      <c r="J475">
        <v>818</v>
      </c>
      <c r="K475" t="b">
        <f>TrafficData[[#This Row],[disposedChallan]]+TrafficData[[#This Row],[pendingChallan]]=TrafficData[[#This Row],[totalChallan]]</f>
        <v>1</v>
      </c>
      <c r="L475" t="b">
        <f>TrafficData[[#This Row],[pendingAmount]]+TrafficData[[#This Row],[disposedAmount]]=TrafficData[[#This Row],[totalAmount]]</f>
        <v>1</v>
      </c>
      <c r="M475" t="b">
        <f>TrafficData[[#This Row],[pendingCourt]]+TrafficData[[#This Row],[disposedCourt]]=TrafficData[[#This Row],[totalCourt]]</f>
        <v>1</v>
      </c>
      <c r="N475" s="8" t="b">
        <f>AND(TrafficData[[#This Row],[disposedChallan]]&lt;=TrafficData[[#This Row],[totalChallan]],TrafficData[[#This Row],[pendingChallan]]&lt;=TrafficData[[#This Row],[totalChallan]])</f>
        <v>1</v>
      </c>
      <c r="O475" s="8" t="b">
        <f>AND(TrafficData[[#This Row],[pendingAmount]]&lt;=TrafficData[[#This Row],[totalAmount]],TrafficData[[#This Row],[disposedAmount]]&lt;=TrafficData[[#This Row],[totalAmount]])</f>
        <v>1</v>
      </c>
      <c r="P475" s="8" t="b">
        <f>AND(TrafficData[[#This Row],[pendingCourt]]&lt;=TrafficData[[#This Row],[totalCourt]],TrafficData[[#This Row],[disposedCourt]]&lt;=TrafficData[[#This Row],[totalCourt]])</f>
        <v>1</v>
      </c>
    </row>
    <row r="476" spans="1:16">
      <c r="A476" s="1">
        <v>42479</v>
      </c>
      <c r="B476">
        <v>1294</v>
      </c>
      <c r="C476">
        <v>175</v>
      </c>
      <c r="D476">
        <v>1119</v>
      </c>
      <c r="E476">
        <v>2798411</v>
      </c>
      <c r="F476">
        <v>202900</v>
      </c>
      <c r="G476">
        <v>3001311</v>
      </c>
      <c r="H476">
        <v>869</v>
      </c>
      <c r="I476">
        <v>31</v>
      </c>
      <c r="J476">
        <v>900</v>
      </c>
      <c r="K476" t="b">
        <f>TrafficData[[#This Row],[disposedChallan]]+TrafficData[[#This Row],[pendingChallan]]=TrafficData[[#This Row],[totalChallan]]</f>
        <v>1</v>
      </c>
      <c r="L476" t="b">
        <f>TrafficData[[#This Row],[pendingAmount]]+TrafficData[[#This Row],[disposedAmount]]=TrafficData[[#This Row],[totalAmount]]</f>
        <v>1</v>
      </c>
      <c r="M476" t="b">
        <f>TrafficData[[#This Row],[pendingCourt]]+TrafficData[[#This Row],[disposedCourt]]=TrafficData[[#This Row],[totalCourt]]</f>
        <v>1</v>
      </c>
      <c r="N476" s="8" t="b">
        <f>AND(TrafficData[[#This Row],[disposedChallan]]&lt;=TrafficData[[#This Row],[totalChallan]],TrafficData[[#This Row],[pendingChallan]]&lt;=TrafficData[[#This Row],[totalChallan]])</f>
        <v>1</v>
      </c>
      <c r="O476" s="8" t="b">
        <f>AND(TrafficData[[#This Row],[pendingAmount]]&lt;=TrafficData[[#This Row],[totalAmount]],TrafficData[[#This Row],[disposedAmount]]&lt;=TrafficData[[#This Row],[totalAmount]])</f>
        <v>1</v>
      </c>
      <c r="P476" s="8" t="b">
        <f>AND(TrafficData[[#This Row],[pendingCourt]]&lt;=TrafficData[[#This Row],[totalCourt]],TrafficData[[#This Row],[disposedCourt]]&lt;=TrafficData[[#This Row],[totalCourt]])</f>
        <v>1</v>
      </c>
    </row>
    <row r="477" spans="1:16">
      <c r="A477" s="1">
        <v>42480</v>
      </c>
      <c r="B477">
        <v>1338</v>
      </c>
      <c r="C477">
        <v>132</v>
      </c>
      <c r="D477">
        <v>1206</v>
      </c>
      <c r="E477">
        <v>1052750</v>
      </c>
      <c r="F477">
        <v>295201</v>
      </c>
      <c r="G477">
        <v>1347951</v>
      </c>
      <c r="H477">
        <v>906</v>
      </c>
      <c r="I477">
        <v>54</v>
      </c>
      <c r="J477">
        <v>960</v>
      </c>
      <c r="K477" t="b">
        <f>TrafficData[[#This Row],[disposedChallan]]+TrafficData[[#This Row],[pendingChallan]]=TrafficData[[#This Row],[totalChallan]]</f>
        <v>1</v>
      </c>
      <c r="L477" t="b">
        <f>TrafficData[[#This Row],[pendingAmount]]+TrafficData[[#This Row],[disposedAmount]]=TrafficData[[#This Row],[totalAmount]]</f>
        <v>1</v>
      </c>
      <c r="M477" t="b">
        <f>TrafficData[[#This Row],[pendingCourt]]+TrafficData[[#This Row],[disposedCourt]]=TrafficData[[#This Row],[totalCourt]]</f>
        <v>1</v>
      </c>
      <c r="N477" s="8" t="b">
        <f>AND(TrafficData[[#This Row],[disposedChallan]]&lt;=TrafficData[[#This Row],[totalChallan]],TrafficData[[#This Row],[pendingChallan]]&lt;=TrafficData[[#This Row],[totalChallan]])</f>
        <v>1</v>
      </c>
      <c r="O477" s="8" t="b">
        <f>AND(TrafficData[[#This Row],[pendingAmount]]&lt;=TrafficData[[#This Row],[totalAmount]],TrafficData[[#This Row],[disposedAmount]]&lt;=TrafficData[[#This Row],[totalAmount]])</f>
        <v>1</v>
      </c>
      <c r="P477" s="8" t="b">
        <f>AND(TrafficData[[#This Row],[pendingCourt]]&lt;=TrafficData[[#This Row],[totalCourt]],TrafficData[[#This Row],[disposedCourt]]&lt;=TrafficData[[#This Row],[totalCourt]])</f>
        <v>1</v>
      </c>
    </row>
    <row r="478" spans="1:16">
      <c r="A478" s="1">
        <v>42481</v>
      </c>
      <c r="B478">
        <v>1438</v>
      </c>
      <c r="C478">
        <v>160</v>
      </c>
      <c r="D478">
        <v>1278</v>
      </c>
      <c r="E478">
        <v>1022600</v>
      </c>
      <c r="F478">
        <v>371660</v>
      </c>
      <c r="G478">
        <v>1394260</v>
      </c>
      <c r="H478">
        <v>1006</v>
      </c>
      <c r="I478">
        <v>37</v>
      </c>
      <c r="J478">
        <v>1043</v>
      </c>
      <c r="K478" t="b">
        <f>TrafficData[[#This Row],[disposedChallan]]+TrafficData[[#This Row],[pendingChallan]]=TrafficData[[#This Row],[totalChallan]]</f>
        <v>1</v>
      </c>
      <c r="L478" t="b">
        <f>TrafficData[[#This Row],[pendingAmount]]+TrafficData[[#This Row],[disposedAmount]]=TrafficData[[#This Row],[totalAmount]]</f>
        <v>1</v>
      </c>
      <c r="M478" t="b">
        <f>TrafficData[[#This Row],[pendingCourt]]+TrafficData[[#This Row],[disposedCourt]]=TrafficData[[#This Row],[totalCourt]]</f>
        <v>1</v>
      </c>
      <c r="N478" s="8" t="b">
        <f>AND(TrafficData[[#This Row],[disposedChallan]]&lt;=TrafficData[[#This Row],[totalChallan]],TrafficData[[#This Row],[pendingChallan]]&lt;=TrafficData[[#This Row],[totalChallan]])</f>
        <v>1</v>
      </c>
      <c r="O478" s="8" t="b">
        <f>AND(TrafficData[[#This Row],[pendingAmount]]&lt;=TrafficData[[#This Row],[totalAmount]],TrafficData[[#This Row],[disposedAmount]]&lt;=TrafficData[[#This Row],[totalAmount]])</f>
        <v>1</v>
      </c>
      <c r="P478" s="8" t="b">
        <f>AND(TrafficData[[#This Row],[pendingCourt]]&lt;=TrafficData[[#This Row],[totalCourt]],TrafficData[[#This Row],[disposedCourt]]&lt;=TrafficData[[#This Row],[totalCourt]])</f>
        <v>1</v>
      </c>
    </row>
    <row r="479" spans="1:16">
      <c r="A479" s="1">
        <v>42482</v>
      </c>
      <c r="B479">
        <v>1608</v>
      </c>
      <c r="C479">
        <v>172</v>
      </c>
      <c r="D479">
        <v>1436</v>
      </c>
      <c r="E479">
        <v>963200</v>
      </c>
      <c r="F479">
        <v>241900</v>
      </c>
      <c r="G479">
        <v>1205100</v>
      </c>
      <c r="H479">
        <v>1129</v>
      </c>
      <c r="I479">
        <v>89</v>
      </c>
      <c r="J479">
        <v>1218</v>
      </c>
      <c r="K479" t="b">
        <f>TrafficData[[#This Row],[disposedChallan]]+TrafficData[[#This Row],[pendingChallan]]=TrafficData[[#This Row],[totalChallan]]</f>
        <v>1</v>
      </c>
      <c r="L479" t="b">
        <f>TrafficData[[#This Row],[pendingAmount]]+TrafficData[[#This Row],[disposedAmount]]=TrafficData[[#This Row],[totalAmount]]</f>
        <v>1</v>
      </c>
      <c r="M479" t="b">
        <f>TrafficData[[#This Row],[pendingCourt]]+TrafficData[[#This Row],[disposedCourt]]=TrafficData[[#This Row],[totalCourt]]</f>
        <v>1</v>
      </c>
      <c r="N479" s="8" t="b">
        <f>AND(TrafficData[[#This Row],[disposedChallan]]&lt;=TrafficData[[#This Row],[totalChallan]],TrafficData[[#This Row],[pendingChallan]]&lt;=TrafficData[[#This Row],[totalChallan]])</f>
        <v>1</v>
      </c>
      <c r="O479" s="8" t="b">
        <f>AND(TrafficData[[#This Row],[pendingAmount]]&lt;=TrafficData[[#This Row],[totalAmount]],TrafficData[[#This Row],[disposedAmount]]&lt;=TrafficData[[#This Row],[totalAmount]])</f>
        <v>1</v>
      </c>
      <c r="P479" s="8" t="b">
        <f>AND(TrafficData[[#This Row],[pendingCourt]]&lt;=TrafficData[[#This Row],[totalCourt]],TrafficData[[#This Row],[disposedCourt]]&lt;=TrafficData[[#This Row],[totalCourt]])</f>
        <v>1</v>
      </c>
    </row>
    <row r="480" spans="1:16">
      <c r="A480" s="1">
        <v>42483</v>
      </c>
      <c r="B480">
        <v>1299</v>
      </c>
      <c r="C480">
        <v>143</v>
      </c>
      <c r="D480">
        <v>1156</v>
      </c>
      <c r="E480">
        <v>808231</v>
      </c>
      <c r="F480">
        <v>375990</v>
      </c>
      <c r="G480">
        <v>1184221</v>
      </c>
      <c r="H480">
        <v>899</v>
      </c>
      <c r="I480">
        <v>36</v>
      </c>
      <c r="J480">
        <v>935</v>
      </c>
      <c r="K480" t="b">
        <f>TrafficData[[#This Row],[disposedChallan]]+TrafficData[[#This Row],[pendingChallan]]=TrafficData[[#This Row],[totalChallan]]</f>
        <v>1</v>
      </c>
      <c r="L480" t="b">
        <f>TrafficData[[#This Row],[pendingAmount]]+TrafficData[[#This Row],[disposedAmount]]=TrafficData[[#This Row],[totalAmount]]</f>
        <v>1</v>
      </c>
      <c r="M480" t="b">
        <f>TrafficData[[#This Row],[pendingCourt]]+TrafficData[[#This Row],[disposedCourt]]=TrafficData[[#This Row],[totalCourt]]</f>
        <v>1</v>
      </c>
      <c r="N480" s="8" t="b">
        <f>AND(TrafficData[[#This Row],[disposedChallan]]&lt;=TrafficData[[#This Row],[totalChallan]],TrafficData[[#This Row],[pendingChallan]]&lt;=TrafficData[[#This Row],[totalChallan]])</f>
        <v>1</v>
      </c>
      <c r="O480" s="8" t="b">
        <f>AND(TrafficData[[#This Row],[pendingAmount]]&lt;=TrafficData[[#This Row],[totalAmount]],TrafficData[[#This Row],[disposedAmount]]&lt;=TrafficData[[#This Row],[totalAmount]])</f>
        <v>1</v>
      </c>
      <c r="P480" s="8" t="b">
        <f>AND(TrafficData[[#This Row],[pendingCourt]]&lt;=TrafficData[[#This Row],[totalCourt]],TrafficData[[#This Row],[disposedCourt]]&lt;=TrafficData[[#This Row],[totalCourt]])</f>
        <v>1</v>
      </c>
    </row>
    <row r="481" spans="1:16">
      <c r="A481" s="1">
        <v>42484</v>
      </c>
      <c r="B481">
        <v>907</v>
      </c>
      <c r="C481">
        <v>92</v>
      </c>
      <c r="D481">
        <v>815</v>
      </c>
      <c r="E481">
        <v>612650</v>
      </c>
      <c r="F481">
        <v>204475</v>
      </c>
      <c r="G481">
        <v>817125</v>
      </c>
      <c r="H481">
        <v>659</v>
      </c>
      <c r="I481">
        <v>43</v>
      </c>
      <c r="J481">
        <v>702</v>
      </c>
      <c r="K481" t="b">
        <f>TrafficData[[#This Row],[disposedChallan]]+TrafficData[[#This Row],[pendingChallan]]=TrafficData[[#This Row],[totalChallan]]</f>
        <v>1</v>
      </c>
      <c r="L481" t="b">
        <f>TrafficData[[#This Row],[pendingAmount]]+TrafficData[[#This Row],[disposedAmount]]=TrafficData[[#This Row],[totalAmount]]</f>
        <v>1</v>
      </c>
      <c r="M481" t="b">
        <f>TrafficData[[#This Row],[pendingCourt]]+TrafficData[[#This Row],[disposedCourt]]=TrafficData[[#This Row],[totalCourt]]</f>
        <v>1</v>
      </c>
      <c r="N481" s="8" t="b">
        <f>AND(TrafficData[[#This Row],[disposedChallan]]&lt;=TrafficData[[#This Row],[totalChallan]],TrafficData[[#This Row],[pendingChallan]]&lt;=TrafficData[[#This Row],[totalChallan]])</f>
        <v>1</v>
      </c>
      <c r="O481" s="8" t="b">
        <f>AND(TrafficData[[#This Row],[pendingAmount]]&lt;=TrafficData[[#This Row],[totalAmount]],TrafficData[[#This Row],[disposedAmount]]&lt;=TrafficData[[#This Row],[totalAmount]])</f>
        <v>1</v>
      </c>
      <c r="P481" s="8" t="b">
        <f>AND(TrafficData[[#This Row],[pendingCourt]]&lt;=TrafficData[[#This Row],[totalCourt]],TrafficData[[#This Row],[disposedCourt]]&lt;=TrafficData[[#This Row],[totalCourt]])</f>
        <v>1</v>
      </c>
    </row>
    <row r="482" spans="1:16">
      <c r="A482" s="1">
        <v>42485</v>
      </c>
      <c r="B482">
        <v>1602</v>
      </c>
      <c r="C482">
        <v>232</v>
      </c>
      <c r="D482">
        <v>1370</v>
      </c>
      <c r="E482">
        <v>945300</v>
      </c>
      <c r="F482">
        <v>465510</v>
      </c>
      <c r="G482">
        <v>1410810</v>
      </c>
      <c r="H482">
        <v>1067</v>
      </c>
      <c r="I482">
        <v>37</v>
      </c>
      <c r="J482">
        <v>1104</v>
      </c>
      <c r="K482" t="b">
        <f>TrafficData[[#This Row],[disposedChallan]]+TrafficData[[#This Row],[pendingChallan]]=TrafficData[[#This Row],[totalChallan]]</f>
        <v>1</v>
      </c>
      <c r="L482" t="b">
        <f>TrafficData[[#This Row],[pendingAmount]]+TrafficData[[#This Row],[disposedAmount]]=TrafficData[[#This Row],[totalAmount]]</f>
        <v>1</v>
      </c>
      <c r="M482" t="b">
        <f>TrafficData[[#This Row],[pendingCourt]]+TrafficData[[#This Row],[disposedCourt]]=TrafficData[[#This Row],[totalCourt]]</f>
        <v>1</v>
      </c>
      <c r="N482" s="8" t="b">
        <f>AND(TrafficData[[#This Row],[disposedChallan]]&lt;=TrafficData[[#This Row],[totalChallan]],TrafficData[[#This Row],[pendingChallan]]&lt;=TrafficData[[#This Row],[totalChallan]])</f>
        <v>1</v>
      </c>
      <c r="O482" s="8" t="b">
        <f>AND(TrafficData[[#This Row],[pendingAmount]]&lt;=TrafficData[[#This Row],[totalAmount]],TrafficData[[#This Row],[disposedAmount]]&lt;=TrafficData[[#This Row],[totalAmount]])</f>
        <v>1</v>
      </c>
      <c r="P482" s="8" t="b">
        <f>AND(TrafficData[[#This Row],[pendingCourt]]&lt;=TrafficData[[#This Row],[totalCourt]],TrafficData[[#This Row],[disposedCourt]]&lt;=TrafficData[[#This Row],[totalCourt]])</f>
        <v>1</v>
      </c>
    </row>
    <row r="483" spans="1:16">
      <c r="A483" s="1">
        <v>42486</v>
      </c>
      <c r="B483">
        <v>1611</v>
      </c>
      <c r="C483">
        <v>184</v>
      </c>
      <c r="D483">
        <v>1427</v>
      </c>
      <c r="E483">
        <v>1011700</v>
      </c>
      <c r="F483">
        <v>318500</v>
      </c>
      <c r="G483">
        <v>1330200</v>
      </c>
      <c r="H483">
        <v>1093</v>
      </c>
      <c r="I483">
        <v>64</v>
      </c>
      <c r="J483">
        <v>1157</v>
      </c>
      <c r="K483" t="b">
        <f>TrafficData[[#This Row],[disposedChallan]]+TrafficData[[#This Row],[pendingChallan]]=TrafficData[[#This Row],[totalChallan]]</f>
        <v>1</v>
      </c>
      <c r="L483" t="b">
        <f>TrafficData[[#This Row],[pendingAmount]]+TrafficData[[#This Row],[disposedAmount]]=TrafficData[[#This Row],[totalAmount]]</f>
        <v>1</v>
      </c>
      <c r="M483" t="b">
        <f>TrafficData[[#This Row],[pendingCourt]]+TrafficData[[#This Row],[disposedCourt]]=TrafficData[[#This Row],[totalCourt]]</f>
        <v>1</v>
      </c>
      <c r="N483" s="8" t="b">
        <f>AND(TrafficData[[#This Row],[disposedChallan]]&lt;=TrafficData[[#This Row],[totalChallan]],TrafficData[[#This Row],[pendingChallan]]&lt;=TrafficData[[#This Row],[totalChallan]])</f>
        <v>1</v>
      </c>
      <c r="O483" s="8" t="b">
        <f>AND(TrafficData[[#This Row],[pendingAmount]]&lt;=TrafficData[[#This Row],[totalAmount]],TrafficData[[#This Row],[disposedAmount]]&lt;=TrafficData[[#This Row],[totalAmount]])</f>
        <v>1</v>
      </c>
      <c r="P483" s="8" t="b">
        <f>AND(TrafficData[[#This Row],[pendingCourt]]&lt;=TrafficData[[#This Row],[totalCourt]],TrafficData[[#This Row],[disposedCourt]]&lt;=TrafficData[[#This Row],[totalCourt]])</f>
        <v>1</v>
      </c>
    </row>
    <row r="484" spans="1:16">
      <c r="A484" s="1">
        <v>42487</v>
      </c>
      <c r="B484">
        <v>1464</v>
      </c>
      <c r="C484">
        <v>184</v>
      </c>
      <c r="D484">
        <v>1280</v>
      </c>
      <c r="E484">
        <v>1283500</v>
      </c>
      <c r="F484">
        <v>252000</v>
      </c>
      <c r="G484">
        <v>1535500</v>
      </c>
      <c r="H484">
        <v>909</v>
      </c>
      <c r="I484">
        <v>59</v>
      </c>
      <c r="J484">
        <v>968</v>
      </c>
      <c r="K484" t="b">
        <f>TrafficData[[#This Row],[disposedChallan]]+TrafficData[[#This Row],[pendingChallan]]=TrafficData[[#This Row],[totalChallan]]</f>
        <v>1</v>
      </c>
      <c r="L484" t="b">
        <f>TrafficData[[#This Row],[pendingAmount]]+TrafficData[[#This Row],[disposedAmount]]=TrafficData[[#This Row],[totalAmount]]</f>
        <v>1</v>
      </c>
      <c r="M484" t="b">
        <f>TrafficData[[#This Row],[pendingCourt]]+TrafficData[[#This Row],[disposedCourt]]=TrafficData[[#This Row],[totalCourt]]</f>
        <v>1</v>
      </c>
      <c r="N484" s="8" t="b">
        <f>AND(TrafficData[[#This Row],[disposedChallan]]&lt;=TrafficData[[#This Row],[totalChallan]],TrafficData[[#This Row],[pendingChallan]]&lt;=TrafficData[[#This Row],[totalChallan]])</f>
        <v>1</v>
      </c>
      <c r="O484" s="8" t="b">
        <f>AND(TrafficData[[#This Row],[pendingAmount]]&lt;=TrafficData[[#This Row],[totalAmount]],TrafficData[[#This Row],[disposedAmount]]&lt;=TrafficData[[#This Row],[totalAmount]])</f>
        <v>1</v>
      </c>
      <c r="P484" s="8" t="b">
        <f>AND(TrafficData[[#This Row],[pendingCourt]]&lt;=TrafficData[[#This Row],[totalCourt]],TrafficData[[#This Row],[disposedCourt]]&lt;=TrafficData[[#This Row],[totalCourt]])</f>
        <v>1</v>
      </c>
    </row>
    <row r="485" spans="1:16">
      <c r="A485" s="1">
        <v>42488</v>
      </c>
      <c r="B485">
        <v>1450</v>
      </c>
      <c r="C485">
        <v>206</v>
      </c>
      <c r="D485">
        <v>1244</v>
      </c>
      <c r="E485">
        <v>1160450</v>
      </c>
      <c r="F485">
        <v>468315</v>
      </c>
      <c r="G485">
        <v>1628765</v>
      </c>
      <c r="H485">
        <v>903</v>
      </c>
      <c r="I485">
        <v>55</v>
      </c>
      <c r="J485">
        <v>958</v>
      </c>
      <c r="K485" t="b">
        <f>TrafficData[[#This Row],[disposedChallan]]+TrafficData[[#This Row],[pendingChallan]]=TrafficData[[#This Row],[totalChallan]]</f>
        <v>1</v>
      </c>
      <c r="L485" t="b">
        <f>TrafficData[[#This Row],[pendingAmount]]+TrafficData[[#This Row],[disposedAmount]]=TrafficData[[#This Row],[totalAmount]]</f>
        <v>1</v>
      </c>
      <c r="M485" t="b">
        <f>TrafficData[[#This Row],[pendingCourt]]+TrafficData[[#This Row],[disposedCourt]]=TrafficData[[#This Row],[totalCourt]]</f>
        <v>1</v>
      </c>
      <c r="N485" s="8" t="b">
        <f>AND(TrafficData[[#This Row],[disposedChallan]]&lt;=TrafficData[[#This Row],[totalChallan]],TrafficData[[#This Row],[pendingChallan]]&lt;=TrafficData[[#This Row],[totalChallan]])</f>
        <v>1</v>
      </c>
      <c r="O485" s="8" t="b">
        <f>AND(TrafficData[[#This Row],[pendingAmount]]&lt;=TrafficData[[#This Row],[totalAmount]],TrafficData[[#This Row],[disposedAmount]]&lt;=TrafficData[[#This Row],[totalAmount]])</f>
        <v>1</v>
      </c>
      <c r="P485" s="8" t="b">
        <f>AND(TrafficData[[#This Row],[pendingCourt]]&lt;=TrafficData[[#This Row],[totalCourt]],TrafficData[[#This Row],[disposedCourt]]&lt;=TrafficData[[#This Row],[totalCourt]])</f>
        <v>1</v>
      </c>
    </row>
    <row r="486" spans="1:16">
      <c r="A486" s="1">
        <v>42489</v>
      </c>
      <c r="B486">
        <v>1236</v>
      </c>
      <c r="C486">
        <v>170</v>
      </c>
      <c r="D486">
        <v>1066</v>
      </c>
      <c r="E486">
        <v>1153040</v>
      </c>
      <c r="F486">
        <v>612132</v>
      </c>
      <c r="G486">
        <v>1765172</v>
      </c>
      <c r="H486">
        <v>673</v>
      </c>
      <c r="I486">
        <v>29</v>
      </c>
      <c r="J486">
        <v>702</v>
      </c>
      <c r="K486" t="b">
        <f>TrafficData[[#This Row],[disposedChallan]]+TrafficData[[#This Row],[pendingChallan]]=TrafficData[[#This Row],[totalChallan]]</f>
        <v>1</v>
      </c>
      <c r="L486" t="b">
        <f>TrafficData[[#This Row],[pendingAmount]]+TrafficData[[#This Row],[disposedAmount]]=TrafficData[[#This Row],[totalAmount]]</f>
        <v>1</v>
      </c>
      <c r="M486" t="b">
        <f>TrafficData[[#This Row],[pendingCourt]]+TrafficData[[#This Row],[disposedCourt]]=TrafficData[[#This Row],[totalCourt]]</f>
        <v>1</v>
      </c>
      <c r="N486" s="8" t="b">
        <f>AND(TrafficData[[#This Row],[disposedChallan]]&lt;=TrafficData[[#This Row],[totalChallan]],TrafficData[[#This Row],[pendingChallan]]&lt;=TrafficData[[#This Row],[totalChallan]])</f>
        <v>1</v>
      </c>
      <c r="O486" s="8" t="b">
        <f>AND(TrafficData[[#This Row],[pendingAmount]]&lt;=TrafficData[[#This Row],[totalAmount]],TrafficData[[#This Row],[disposedAmount]]&lt;=TrafficData[[#This Row],[totalAmount]])</f>
        <v>1</v>
      </c>
      <c r="P486" s="8" t="b">
        <f>AND(TrafficData[[#This Row],[pendingCourt]]&lt;=TrafficData[[#This Row],[totalCourt]],TrafficData[[#This Row],[disposedCourt]]&lt;=TrafficData[[#This Row],[totalCourt]])</f>
        <v>1</v>
      </c>
    </row>
    <row r="487" spans="1:16">
      <c r="A487" s="1">
        <v>42490</v>
      </c>
      <c r="B487">
        <v>1048</v>
      </c>
      <c r="C487">
        <v>117</v>
      </c>
      <c r="D487">
        <v>931</v>
      </c>
      <c r="E487">
        <v>649450</v>
      </c>
      <c r="F487">
        <v>175800</v>
      </c>
      <c r="G487">
        <v>825250</v>
      </c>
      <c r="H487">
        <v>653</v>
      </c>
      <c r="I487">
        <v>40</v>
      </c>
      <c r="J487">
        <v>693</v>
      </c>
      <c r="K487" t="b">
        <f>TrafficData[[#This Row],[disposedChallan]]+TrafficData[[#This Row],[pendingChallan]]=TrafficData[[#This Row],[totalChallan]]</f>
        <v>1</v>
      </c>
      <c r="L487" t="b">
        <f>TrafficData[[#This Row],[pendingAmount]]+TrafficData[[#This Row],[disposedAmount]]=TrafficData[[#This Row],[totalAmount]]</f>
        <v>1</v>
      </c>
      <c r="M487" t="b">
        <f>TrafficData[[#This Row],[pendingCourt]]+TrafficData[[#This Row],[disposedCourt]]=TrafficData[[#This Row],[totalCourt]]</f>
        <v>1</v>
      </c>
      <c r="N487" s="8" t="b">
        <f>AND(TrafficData[[#This Row],[disposedChallan]]&lt;=TrafficData[[#This Row],[totalChallan]],TrafficData[[#This Row],[pendingChallan]]&lt;=TrafficData[[#This Row],[totalChallan]])</f>
        <v>1</v>
      </c>
      <c r="O487" s="8" t="b">
        <f>AND(TrafficData[[#This Row],[pendingAmount]]&lt;=TrafficData[[#This Row],[totalAmount]],TrafficData[[#This Row],[disposedAmount]]&lt;=TrafficData[[#This Row],[totalAmount]])</f>
        <v>1</v>
      </c>
      <c r="P487" s="8" t="b">
        <f>AND(TrafficData[[#This Row],[pendingCourt]]&lt;=TrafficData[[#This Row],[totalCourt]],TrafficData[[#This Row],[disposedCourt]]&lt;=TrafficData[[#This Row],[totalCourt]])</f>
        <v>1</v>
      </c>
    </row>
    <row r="488" spans="1:16">
      <c r="A488" s="1">
        <v>42491</v>
      </c>
      <c r="B488">
        <v>555</v>
      </c>
      <c r="C488">
        <v>58</v>
      </c>
      <c r="D488">
        <v>497</v>
      </c>
      <c r="E488">
        <v>514500</v>
      </c>
      <c r="F488">
        <v>97600</v>
      </c>
      <c r="G488">
        <v>612100</v>
      </c>
      <c r="H488">
        <v>333</v>
      </c>
      <c r="I488">
        <v>7</v>
      </c>
      <c r="J488">
        <v>340</v>
      </c>
      <c r="K488" t="b">
        <f>TrafficData[[#This Row],[disposedChallan]]+TrafficData[[#This Row],[pendingChallan]]=TrafficData[[#This Row],[totalChallan]]</f>
        <v>1</v>
      </c>
      <c r="L488" t="b">
        <f>TrafficData[[#This Row],[pendingAmount]]+TrafficData[[#This Row],[disposedAmount]]=TrafficData[[#This Row],[totalAmount]]</f>
        <v>1</v>
      </c>
      <c r="M488" t="b">
        <f>TrafficData[[#This Row],[pendingCourt]]+TrafficData[[#This Row],[disposedCourt]]=TrafficData[[#This Row],[totalCourt]]</f>
        <v>1</v>
      </c>
      <c r="N488" s="8" t="b">
        <f>AND(TrafficData[[#This Row],[disposedChallan]]&lt;=TrafficData[[#This Row],[totalChallan]],TrafficData[[#This Row],[pendingChallan]]&lt;=TrafficData[[#This Row],[totalChallan]])</f>
        <v>1</v>
      </c>
      <c r="O488" s="8" t="b">
        <f>AND(TrafficData[[#This Row],[pendingAmount]]&lt;=TrafficData[[#This Row],[totalAmount]],TrafficData[[#This Row],[disposedAmount]]&lt;=TrafficData[[#This Row],[totalAmount]])</f>
        <v>1</v>
      </c>
      <c r="P488" s="8" t="b">
        <f>AND(TrafficData[[#This Row],[pendingCourt]]&lt;=TrafficData[[#This Row],[totalCourt]],TrafficData[[#This Row],[disposedCourt]]&lt;=TrafficData[[#This Row],[totalCourt]])</f>
        <v>1</v>
      </c>
    </row>
    <row r="489" spans="1:16">
      <c r="A489" s="1">
        <v>42492</v>
      </c>
      <c r="B489">
        <v>943</v>
      </c>
      <c r="C489">
        <v>107</v>
      </c>
      <c r="D489">
        <v>836</v>
      </c>
      <c r="E489">
        <v>787697</v>
      </c>
      <c r="F489">
        <v>238105</v>
      </c>
      <c r="G489">
        <v>1025802</v>
      </c>
      <c r="H489">
        <v>532</v>
      </c>
      <c r="I489">
        <v>45</v>
      </c>
      <c r="J489">
        <v>577</v>
      </c>
      <c r="K489" t="b">
        <f>TrafficData[[#This Row],[disposedChallan]]+TrafficData[[#This Row],[pendingChallan]]=TrafficData[[#This Row],[totalChallan]]</f>
        <v>1</v>
      </c>
      <c r="L489" t="b">
        <f>TrafficData[[#This Row],[pendingAmount]]+TrafficData[[#This Row],[disposedAmount]]=TrafficData[[#This Row],[totalAmount]]</f>
        <v>1</v>
      </c>
      <c r="M489" t="b">
        <f>TrafficData[[#This Row],[pendingCourt]]+TrafficData[[#This Row],[disposedCourt]]=TrafficData[[#This Row],[totalCourt]]</f>
        <v>1</v>
      </c>
      <c r="N489" s="8" t="b">
        <f>AND(TrafficData[[#This Row],[disposedChallan]]&lt;=TrafficData[[#This Row],[totalChallan]],TrafficData[[#This Row],[pendingChallan]]&lt;=TrafficData[[#This Row],[totalChallan]])</f>
        <v>1</v>
      </c>
      <c r="O489" s="8" t="b">
        <f>AND(TrafficData[[#This Row],[pendingAmount]]&lt;=TrafficData[[#This Row],[totalAmount]],TrafficData[[#This Row],[disposedAmount]]&lt;=TrafficData[[#This Row],[totalAmount]])</f>
        <v>1</v>
      </c>
      <c r="P489" s="8" t="b">
        <f>AND(TrafficData[[#This Row],[pendingCourt]]&lt;=TrafficData[[#This Row],[totalCourt]],TrafficData[[#This Row],[disposedCourt]]&lt;=TrafficData[[#This Row],[totalCourt]])</f>
        <v>1</v>
      </c>
    </row>
    <row r="490" spans="1:16">
      <c r="A490" s="1">
        <v>42493</v>
      </c>
      <c r="B490">
        <v>1278</v>
      </c>
      <c r="C490">
        <v>141</v>
      </c>
      <c r="D490">
        <v>1137</v>
      </c>
      <c r="E490">
        <v>866530</v>
      </c>
      <c r="F490">
        <v>255455</v>
      </c>
      <c r="G490">
        <v>1121985</v>
      </c>
      <c r="H490">
        <v>818</v>
      </c>
      <c r="I490">
        <v>46</v>
      </c>
      <c r="J490">
        <v>864</v>
      </c>
      <c r="K490" t="b">
        <f>TrafficData[[#This Row],[disposedChallan]]+TrafficData[[#This Row],[pendingChallan]]=TrafficData[[#This Row],[totalChallan]]</f>
        <v>1</v>
      </c>
      <c r="L490" t="b">
        <f>TrafficData[[#This Row],[pendingAmount]]+TrafficData[[#This Row],[disposedAmount]]=TrafficData[[#This Row],[totalAmount]]</f>
        <v>1</v>
      </c>
      <c r="M490" t="b">
        <f>TrafficData[[#This Row],[pendingCourt]]+TrafficData[[#This Row],[disposedCourt]]=TrafficData[[#This Row],[totalCourt]]</f>
        <v>1</v>
      </c>
      <c r="N490" s="8" t="b">
        <f>AND(TrafficData[[#This Row],[disposedChallan]]&lt;=TrafficData[[#This Row],[totalChallan]],TrafficData[[#This Row],[pendingChallan]]&lt;=TrafficData[[#This Row],[totalChallan]])</f>
        <v>1</v>
      </c>
      <c r="O490" s="8" t="b">
        <f>AND(TrafficData[[#This Row],[pendingAmount]]&lt;=TrafficData[[#This Row],[totalAmount]],TrafficData[[#This Row],[disposedAmount]]&lt;=TrafficData[[#This Row],[totalAmount]])</f>
        <v>1</v>
      </c>
      <c r="P490" s="8" t="b">
        <f>AND(TrafficData[[#This Row],[pendingCourt]]&lt;=TrafficData[[#This Row],[totalCourt]],TrafficData[[#This Row],[disposedCourt]]&lt;=TrafficData[[#This Row],[totalCourt]])</f>
        <v>1</v>
      </c>
    </row>
    <row r="491" spans="1:16">
      <c r="A491" s="1">
        <v>42494</v>
      </c>
      <c r="B491">
        <v>1515</v>
      </c>
      <c r="C491">
        <v>177</v>
      </c>
      <c r="D491">
        <v>1338</v>
      </c>
      <c r="E491">
        <v>1380350</v>
      </c>
      <c r="F491">
        <v>438030</v>
      </c>
      <c r="G491">
        <v>1818380</v>
      </c>
      <c r="H491">
        <v>993</v>
      </c>
      <c r="I491">
        <v>28</v>
      </c>
      <c r="J491">
        <v>1021</v>
      </c>
      <c r="K491" t="b">
        <f>TrafficData[[#This Row],[disposedChallan]]+TrafficData[[#This Row],[pendingChallan]]=TrafficData[[#This Row],[totalChallan]]</f>
        <v>1</v>
      </c>
      <c r="L491" t="b">
        <f>TrafficData[[#This Row],[pendingAmount]]+TrafficData[[#This Row],[disposedAmount]]=TrafficData[[#This Row],[totalAmount]]</f>
        <v>1</v>
      </c>
      <c r="M491" t="b">
        <f>TrafficData[[#This Row],[pendingCourt]]+TrafficData[[#This Row],[disposedCourt]]=TrafficData[[#This Row],[totalCourt]]</f>
        <v>1</v>
      </c>
      <c r="N491" s="8" t="b">
        <f>AND(TrafficData[[#This Row],[disposedChallan]]&lt;=TrafficData[[#This Row],[totalChallan]],TrafficData[[#This Row],[pendingChallan]]&lt;=TrafficData[[#This Row],[totalChallan]])</f>
        <v>1</v>
      </c>
      <c r="O491" s="8" t="b">
        <f>AND(TrafficData[[#This Row],[pendingAmount]]&lt;=TrafficData[[#This Row],[totalAmount]],TrafficData[[#This Row],[disposedAmount]]&lt;=TrafficData[[#This Row],[totalAmount]])</f>
        <v>1</v>
      </c>
      <c r="P491" s="8" t="b">
        <f>AND(TrafficData[[#This Row],[pendingCourt]]&lt;=TrafficData[[#This Row],[totalCourt]],TrafficData[[#This Row],[disposedCourt]]&lt;=TrafficData[[#This Row],[totalCourt]])</f>
        <v>1</v>
      </c>
    </row>
    <row r="492" spans="1:16">
      <c r="A492" s="1">
        <v>42495</v>
      </c>
      <c r="B492">
        <v>1564</v>
      </c>
      <c r="C492">
        <v>165</v>
      </c>
      <c r="D492">
        <v>1399</v>
      </c>
      <c r="E492">
        <v>1135190</v>
      </c>
      <c r="F492">
        <v>405690</v>
      </c>
      <c r="G492">
        <v>1540880</v>
      </c>
      <c r="H492">
        <v>1070</v>
      </c>
      <c r="I492">
        <v>55</v>
      </c>
      <c r="J492">
        <v>1125</v>
      </c>
      <c r="K492" t="b">
        <f>TrafficData[[#This Row],[disposedChallan]]+TrafficData[[#This Row],[pendingChallan]]=TrafficData[[#This Row],[totalChallan]]</f>
        <v>1</v>
      </c>
      <c r="L492" t="b">
        <f>TrafficData[[#This Row],[pendingAmount]]+TrafficData[[#This Row],[disposedAmount]]=TrafficData[[#This Row],[totalAmount]]</f>
        <v>1</v>
      </c>
      <c r="M492" t="b">
        <f>TrafficData[[#This Row],[pendingCourt]]+TrafficData[[#This Row],[disposedCourt]]=TrafficData[[#This Row],[totalCourt]]</f>
        <v>1</v>
      </c>
      <c r="N492" s="8" t="b">
        <f>AND(TrafficData[[#This Row],[disposedChallan]]&lt;=TrafficData[[#This Row],[totalChallan]],TrafficData[[#This Row],[pendingChallan]]&lt;=TrafficData[[#This Row],[totalChallan]])</f>
        <v>1</v>
      </c>
      <c r="O492" s="8" t="b">
        <f>AND(TrafficData[[#This Row],[pendingAmount]]&lt;=TrafficData[[#This Row],[totalAmount]],TrafficData[[#This Row],[disposedAmount]]&lt;=TrafficData[[#This Row],[totalAmount]])</f>
        <v>1</v>
      </c>
      <c r="P492" s="8" t="b">
        <f>AND(TrafficData[[#This Row],[pendingCourt]]&lt;=TrafficData[[#This Row],[totalCourt]],TrafficData[[#This Row],[disposedCourt]]&lt;=TrafficData[[#This Row],[totalCourt]])</f>
        <v>1</v>
      </c>
    </row>
    <row r="493" spans="1:16">
      <c r="A493" s="1">
        <v>42496</v>
      </c>
      <c r="B493">
        <v>1558</v>
      </c>
      <c r="C493">
        <v>156</v>
      </c>
      <c r="D493">
        <v>1402</v>
      </c>
      <c r="E493">
        <v>1377120</v>
      </c>
      <c r="F493">
        <v>283590</v>
      </c>
      <c r="G493">
        <v>1660710</v>
      </c>
      <c r="H493">
        <v>1015</v>
      </c>
      <c r="I493">
        <v>23</v>
      </c>
      <c r="J493">
        <v>1038</v>
      </c>
      <c r="K493" t="b">
        <f>TrafficData[[#This Row],[disposedChallan]]+TrafficData[[#This Row],[pendingChallan]]=TrafficData[[#This Row],[totalChallan]]</f>
        <v>1</v>
      </c>
      <c r="L493" t="b">
        <f>TrafficData[[#This Row],[pendingAmount]]+TrafficData[[#This Row],[disposedAmount]]=TrafficData[[#This Row],[totalAmount]]</f>
        <v>1</v>
      </c>
      <c r="M493" t="b">
        <f>TrafficData[[#This Row],[pendingCourt]]+TrafficData[[#This Row],[disposedCourt]]=TrafficData[[#This Row],[totalCourt]]</f>
        <v>1</v>
      </c>
      <c r="N493" s="8" t="b">
        <f>AND(TrafficData[[#This Row],[disposedChallan]]&lt;=TrafficData[[#This Row],[totalChallan]],TrafficData[[#This Row],[pendingChallan]]&lt;=TrafficData[[#This Row],[totalChallan]])</f>
        <v>1</v>
      </c>
      <c r="O493" s="8" t="b">
        <f>AND(TrafficData[[#This Row],[pendingAmount]]&lt;=TrafficData[[#This Row],[totalAmount]],TrafficData[[#This Row],[disposedAmount]]&lt;=TrafficData[[#This Row],[totalAmount]])</f>
        <v>1</v>
      </c>
      <c r="P493" s="8" t="b">
        <f>AND(TrafficData[[#This Row],[pendingCourt]]&lt;=TrafficData[[#This Row],[totalCourt]],TrafficData[[#This Row],[disposedCourt]]&lt;=TrafficData[[#This Row],[totalCourt]])</f>
        <v>1</v>
      </c>
    </row>
    <row r="494" spans="1:16">
      <c r="A494" s="1">
        <v>42497</v>
      </c>
      <c r="B494">
        <v>1233</v>
      </c>
      <c r="C494">
        <v>128</v>
      </c>
      <c r="D494">
        <v>1105</v>
      </c>
      <c r="E494">
        <v>892350</v>
      </c>
      <c r="F494">
        <v>217972</v>
      </c>
      <c r="G494">
        <v>1110322</v>
      </c>
      <c r="H494">
        <v>823</v>
      </c>
      <c r="I494">
        <v>18</v>
      </c>
      <c r="J494">
        <v>841</v>
      </c>
      <c r="K494" t="b">
        <f>TrafficData[[#This Row],[disposedChallan]]+TrafficData[[#This Row],[pendingChallan]]=TrafficData[[#This Row],[totalChallan]]</f>
        <v>1</v>
      </c>
      <c r="L494" t="b">
        <f>TrafficData[[#This Row],[pendingAmount]]+TrafficData[[#This Row],[disposedAmount]]=TrafficData[[#This Row],[totalAmount]]</f>
        <v>1</v>
      </c>
      <c r="M494" t="b">
        <f>TrafficData[[#This Row],[pendingCourt]]+TrafficData[[#This Row],[disposedCourt]]=TrafficData[[#This Row],[totalCourt]]</f>
        <v>1</v>
      </c>
      <c r="N494" s="8" t="b">
        <f>AND(TrafficData[[#This Row],[disposedChallan]]&lt;=TrafficData[[#This Row],[totalChallan]],TrafficData[[#This Row],[pendingChallan]]&lt;=TrafficData[[#This Row],[totalChallan]])</f>
        <v>1</v>
      </c>
      <c r="O494" s="8" t="b">
        <f>AND(TrafficData[[#This Row],[pendingAmount]]&lt;=TrafficData[[#This Row],[totalAmount]],TrafficData[[#This Row],[disposedAmount]]&lt;=TrafficData[[#This Row],[totalAmount]])</f>
        <v>1</v>
      </c>
      <c r="P494" s="8" t="b">
        <f>AND(TrafficData[[#This Row],[pendingCourt]]&lt;=TrafficData[[#This Row],[totalCourt]],TrafficData[[#This Row],[disposedCourt]]&lt;=TrafficData[[#This Row],[totalCourt]])</f>
        <v>1</v>
      </c>
    </row>
    <row r="495" spans="1:16">
      <c r="A495" s="1">
        <v>42498</v>
      </c>
      <c r="B495">
        <v>594</v>
      </c>
      <c r="C495">
        <v>52</v>
      </c>
      <c r="D495">
        <v>542</v>
      </c>
      <c r="E495">
        <v>369950</v>
      </c>
      <c r="F495">
        <v>154200</v>
      </c>
      <c r="G495">
        <v>524150</v>
      </c>
      <c r="H495">
        <v>377</v>
      </c>
      <c r="I495">
        <v>18</v>
      </c>
      <c r="J495">
        <v>395</v>
      </c>
      <c r="K495" t="b">
        <f>TrafficData[[#This Row],[disposedChallan]]+TrafficData[[#This Row],[pendingChallan]]=TrafficData[[#This Row],[totalChallan]]</f>
        <v>1</v>
      </c>
      <c r="L495" t="b">
        <f>TrafficData[[#This Row],[pendingAmount]]+TrafficData[[#This Row],[disposedAmount]]=TrafficData[[#This Row],[totalAmount]]</f>
        <v>1</v>
      </c>
      <c r="M495" t="b">
        <f>TrafficData[[#This Row],[pendingCourt]]+TrafficData[[#This Row],[disposedCourt]]=TrafficData[[#This Row],[totalCourt]]</f>
        <v>1</v>
      </c>
      <c r="N495" s="8" t="b">
        <f>AND(TrafficData[[#This Row],[disposedChallan]]&lt;=TrafficData[[#This Row],[totalChallan]],TrafficData[[#This Row],[pendingChallan]]&lt;=TrafficData[[#This Row],[totalChallan]])</f>
        <v>1</v>
      </c>
      <c r="O495" s="8" t="b">
        <f>AND(TrafficData[[#This Row],[pendingAmount]]&lt;=TrafficData[[#This Row],[totalAmount]],TrafficData[[#This Row],[disposedAmount]]&lt;=TrafficData[[#This Row],[totalAmount]])</f>
        <v>1</v>
      </c>
      <c r="P495" s="8" t="b">
        <f>AND(TrafficData[[#This Row],[pendingCourt]]&lt;=TrafficData[[#This Row],[totalCourt]],TrafficData[[#This Row],[disposedCourt]]&lt;=TrafficData[[#This Row],[totalCourt]])</f>
        <v>1</v>
      </c>
    </row>
    <row r="496" spans="1:16">
      <c r="A496" s="1">
        <v>42499</v>
      </c>
      <c r="B496">
        <v>1003</v>
      </c>
      <c r="C496">
        <v>103</v>
      </c>
      <c r="D496">
        <v>900</v>
      </c>
      <c r="E496">
        <v>661500</v>
      </c>
      <c r="F496">
        <v>93000</v>
      </c>
      <c r="G496">
        <v>754500</v>
      </c>
      <c r="H496">
        <v>592</v>
      </c>
      <c r="I496">
        <v>40</v>
      </c>
      <c r="J496">
        <v>632</v>
      </c>
      <c r="K496" t="b">
        <f>TrafficData[[#This Row],[disposedChallan]]+TrafficData[[#This Row],[pendingChallan]]=TrafficData[[#This Row],[totalChallan]]</f>
        <v>1</v>
      </c>
      <c r="L496" t="b">
        <f>TrafficData[[#This Row],[pendingAmount]]+TrafficData[[#This Row],[disposedAmount]]=TrafficData[[#This Row],[totalAmount]]</f>
        <v>1</v>
      </c>
      <c r="M496" t="b">
        <f>TrafficData[[#This Row],[pendingCourt]]+TrafficData[[#This Row],[disposedCourt]]=TrafficData[[#This Row],[totalCourt]]</f>
        <v>1</v>
      </c>
      <c r="N496" s="8" t="b">
        <f>AND(TrafficData[[#This Row],[disposedChallan]]&lt;=TrafficData[[#This Row],[totalChallan]],TrafficData[[#This Row],[pendingChallan]]&lt;=TrafficData[[#This Row],[totalChallan]])</f>
        <v>1</v>
      </c>
      <c r="O496" s="8" t="b">
        <f>AND(TrafficData[[#This Row],[pendingAmount]]&lt;=TrafficData[[#This Row],[totalAmount]],TrafficData[[#This Row],[disposedAmount]]&lt;=TrafficData[[#This Row],[totalAmount]])</f>
        <v>1</v>
      </c>
      <c r="P496" s="8" t="b">
        <f>AND(TrafficData[[#This Row],[pendingCourt]]&lt;=TrafficData[[#This Row],[totalCourt]],TrafficData[[#This Row],[disposedCourt]]&lt;=TrafficData[[#This Row],[totalCourt]])</f>
        <v>1</v>
      </c>
    </row>
    <row r="497" spans="1:16">
      <c r="A497" s="1">
        <v>42500</v>
      </c>
      <c r="B497">
        <v>1492</v>
      </c>
      <c r="C497">
        <v>175</v>
      </c>
      <c r="D497">
        <v>1317</v>
      </c>
      <c r="E497">
        <v>1125048</v>
      </c>
      <c r="F497">
        <v>216545</v>
      </c>
      <c r="G497">
        <v>1341593</v>
      </c>
      <c r="H497">
        <v>935</v>
      </c>
      <c r="I497">
        <v>21</v>
      </c>
      <c r="J497">
        <v>956</v>
      </c>
      <c r="K497" t="b">
        <f>TrafficData[[#This Row],[disposedChallan]]+TrafficData[[#This Row],[pendingChallan]]=TrafficData[[#This Row],[totalChallan]]</f>
        <v>1</v>
      </c>
      <c r="L497" t="b">
        <f>TrafficData[[#This Row],[pendingAmount]]+TrafficData[[#This Row],[disposedAmount]]=TrafficData[[#This Row],[totalAmount]]</f>
        <v>1</v>
      </c>
      <c r="M497" t="b">
        <f>TrafficData[[#This Row],[pendingCourt]]+TrafficData[[#This Row],[disposedCourt]]=TrafficData[[#This Row],[totalCourt]]</f>
        <v>1</v>
      </c>
      <c r="N497" s="8" t="b">
        <f>AND(TrafficData[[#This Row],[disposedChallan]]&lt;=TrafficData[[#This Row],[totalChallan]],TrafficData[[#This Row],[pendingChallan]]&lt;=TrafficData[[#This Row],[totalChallan]])</f>
        <v>1</v>
      </c>
      <c r="O497" s="8" t="b">
        <f>AND(TrafficData[[#This Row],[pendingAmount]]&lt;=TrafficData[[#This Row],[totalAmount]],TrafficData[[#This Row],[disposedAmount]]&lt;=TrafficData[[#This Row],[totalAmount]])</f>
        <v>1</v>
      </c>
      <c r="P497" s="8" t="b">
        <f>AND(TrafficData[[#This Row],[pendingCourt]]&lt;=TrafficData[[#This Row],[totalCourt]],TrafficData[[#This Row],[disposedCourt]]&lt;=TrafficData[[#This Row],[totalCourt]])</f>
        <v>1</v>
      </c>
    </row>
    <row r="498" spans="1:16">
      <c r="A498" s="1">
        <v>42501</v>
      </c>
      <c r="B498">
        <v>1437</v>
      </c>
      <c r="C498">
        <v>176</v>
      </c>
      <c r="D498">
        <v>1261</v>
      </c>
      <c r="E498">
        <v>1134100</v>
      </c>
      <c r="F498">
        <v>482880</v>
      </c>
      <c r="G498">
        <v>1616980</v>
      </c>
      <c r="H498">
        <v>844</v>
      </c>
      <c r="I498">
        <v>25</v>
      </c>
      <c r="J498">
        <v>869</v>
      </c>
      <c r="K498" t="b">
        <f>TrafficData[[#This Row],[disposedChallan]]+TrafficData[[#This Row],[pendingChallan]]=TrafficData[[#This Row],[totalChallan]]</f>
        <v>1</v>
      </c>
      <c r="L498" t="b">
        <f>TrafficData[[#This Row],[pendingAmount]]+TrafficData[[#This Row],[disposedAmount]]=TrafficData[[#This Row],[totalAmount]]</f>
        <v>1</v>
      </c>
      <c r="M498" t="b">
        <f>TrafficData[[#This Row],[pendingCourt]]+TrafficData[[#This Row],[disposedCourt]]=TrafficData[[#This Row],[totalCourt]]</f>
        <v>1</v>
      </c>
      <c r="N498" s="8" t="b">
        <f>AND(TrafficData[[#This Row],[disposedChallan]]&lt;=TrafficData[[#This Row],[totalChallan]],TrafficData[[#This Row],[pendingChallan]]&lt;=TrafficData[[#This Row],[totalChallan]])</f>
        <v>1</v>
      </c>
      <c r="O498" s="8" t="b">
        <f>AND(TrafficData[[#This Row],[pendingAmount]]&lt;=TrafficData[[#This Row],[totalAmount]],TrafficData[[#This Row],[disposedAmount]]&lt;=TrafficData[[#This Row],[totalAmount]])</f>
        <v>1</v>
      </c>
      <c r="P498" s="8" t="b">
        <f>AND(TrafficData[[#This Row],[pendingCourt]]&lt;=TrafficData[[#This Row],[totalCourt]],TrafficData[[#This Row],[disposedCourt]]&lt;=TrafficData[[#This Row],[totalCourt]])</f>
        <v>1</v>
      </c>
    </row>
    <row r="499" spans="1:16">
      <c r="A499" s="1">
        <v>42502</v>
      </c>
      <c r="B499">
        <v>1504</v>
      </c>
      <c r="C499">
        <v>166</v>
      </c>
      <c r="D499">
        <v>1338</v>
      </c>
      <c r="E499">
        <v>959150</v>
      </c>
      <c r="F499">
        <v>248735</v>
      </c>
      <c r="G499">
        <v>1207885</v>
      </c>
      <c r="H499">
        <v>932</v>
      </c>
      <c r="I499">
        <v>14</v>
      </c>
      <c r="J499">
        <v>946</v>
      </c>
      <c r="K499" t="b">
        <f>TrafficData[[#This Row],[disposedChallan]]+TrafficData[[#This Row],[pendingChallan]]=TrafficData[[#This Row],[totalChallan]]</f>
        <v>1</v>
      </c>
      <c r="L499" t="b">
        <f>TrafficData[[#This Row],[pendingAmount]]+TrafficData[[#This Row],[disposedAmount]]=TrafficData[[#This Row],[totalAmount]]</f>
        <v>1</v>
      </c>
      <c r="M499" t="b">
        <f>TrafficData[[#This Row],[pendingCourt]]+TrafficData[[#This Row],[disposedCourt]]=TrafficData[[#This Row],[totalCourt]]</f>
        <v>1</v>
      </c>
      <c r="N499" s="8" t="b">
        <f>AND(TrafficData[[#This Row],[disposedChallan]]&lt;=TrafficData[[#This Row],[totalChallan]],TrafficData[[#This Row],[pendingChallan]]&lt;=TrafficData[[#This Row],[totalChallan]])</f>
        <v>1</v>
      </c>
      <c r="O499" s="8" t="b">
        <f>AND(TrafficData[[#This Row],[pendingAmount]]&lt;=TrafficData[[#This Row],[totalAmount]],TrafficData[[#This Row],[disposedAmount]]&lt;=TrafficData[[#This Row],[totalAmount]])</f>
        <v>1</v>
      </c>
      <c r="P499" s="8" t="b">
        <f>AND(TrafficData[[#This Row],[pendingCourt]]&lt;=TrafficData[[#This Row],[totalCourt]],TrafficData[[#This Row],[disposedCourt]]&lt;=TrafficData[[#This Row],[totalCourt]])</f>
        <v>1</v>
      </c>
    </row>
    <row r="500" spans="1:16">
      <c r="A500" s="1">
        <v>42503</v>
      </c>
      <c r="B500">
        <v>1536</v>
      </c>
      <c r="C500">
        <v>163</v>
      </c>
      <c r="D500">
        <v>1373</v>
      </c>
      <c r="E500">
        <v>925900</v>
      </c>
      <c r="F500">
        <v>342064</v>
      </c>
      <c r="G500">
        <v>1267964</v>
      </c>
      <c r="H500">
        <v>1039</v>
      </c>
      <c r="I500">
        <v>51</v>
      </c>
      <c r="J500">
        <v>1090</v>
      </c>
      <c r="K500" t="b">
        <f>TrafficData[[#This Row],[disposedChallan]]+TrafficData[[#This Row],[pendingChallan]]=TrafficData[[#This Row],[totalChallan]]</f>
        <v>1</v>
      </c>
      <c r="L500" t="b">
        <f>TrafficData[[#This Row],[pendingAmount]]+TrafficData[[#This Row],[disposedAmount]]=TrafficData[[#This Row],[totalAmount]]</f>
        <v>1</v>
      </c>
      <c r="M500" t="b">
        <f>TrafficData[[#This Row],[pendingCourt]]+TrafficData[[#This Row],[disposedCourt]]=TrafficData[[#This Row],[totalCourt]]</f>
        <v>1</v>
      </c>
      <c r="N500" s="8" t="b">
        <f>AND(TrafficData[[#This Row],[disposedChallan]]&lt;=TrafficData[[#This Row],[totalChallan]],TrafficData[[#This Row],[pendingChallan]]&lt;=TrafficData[[#This Row],[totalChallan]])</f>
        <v>1</v>
      </c>
      <c r="O500" s="8" t="b">
        <f>AND(TrafficData[[#This Row],[pendingAmount]]&lt;=TrafficData[[#This Row],[totalAmount]],TrafficData[[#This Row],[disposedAmount]]&lt;=TrafficData[[#This Row],[totalAmount]])</f>
        <v>1</v>
      </c>
      <c r="P500" s="8" t="b">
        <f>AND(TrafficData[[#This Row],[pendingCourt]]&lt;=TrafficData[[#This Row],[totalCourt]],TrafficData[[#This Row],[disposedCourt]]&lt;=TrafficData[[#This Row],[totalCourt]])</f>
        <v>1</v>
      </c>
    </row>
    <row r="501" spans="1:16">
      <c r="A501" s="1">
        <v>42504</v>
      </c>
      <c r="B501">
        <v>1494</v>
      </c>
      <c r="C501">
        <v>128</v>
      </c>
      <c r="D501">
        <v>1366</v>
      </c>
      <c r="E501">
        <v>804835</v>
      </c>
      <c r="F501">
        <v>259535</v>
      </c>
      <c r="G501">
        <v>1064370</v>
      </c>
      <c r="H501">
        <v>965</v>
      </c>
      <c r="I501">
        <v>21</v>
      </c>
      <c r="J501">
        <v>986</v>
      </c>
      <c r="K501" t="b">
        <f>TrafficData[[#This Row],[disposedChallan]]+TrafficData[[#This Row],[pendingChallan]]=TrafficData[[#This Row],[totalChallan]]</f>
        <v>1</v>
      </c>
      <c r="L501" t="b">
        <f>TrafficData[[#This Row],[pendingAmount]]+TrafficData[[#This Row],[disposedAmount]]=TrafficData[[#This Row],[totalAmount]]</f>
        <v>1</v>
      </c>
      <c r="M501" t="b">
        <f>TrafficData[[#This Row],[pendingCourt]]+TrafficData[[#This Row],[disposedCourt]]=TrafficData[[#This Row],[totalCourt]]</f>
        <v>1</v>
      </c>
      <c r="N501" s="8" t="b">
        <f>AND(TrafficData[[#This Row],[disposedChallan]]&lt;=TrafficData[[#This Row],[totalChallan]],TrafficData[[#This Row],[pendingChallan]]&lt;=TrafficData[[#This Row],[totalChallan]])</f>
        <v>1</v>
      </c>
      <c r="O501" s="8" t="b">
        <f>AND(TrafficData[[#This Row],[pendingAmount]]&lt;=TrafficData[[#This Row],[totalAmount]],TrafficData[[#This Row],[disposedAmount]]&lt;=TrafficData[[#This Row],[totalAmount]])</f>
        <v>1</v>
      </c>
      <c r="P501" s="8" t="b">
        <f>AND(TrafficData[[#This Row],[pendingCourt]]&lt;=TrafficData[[#This Row],[totalCourt]],TrafficData[[#This Row],[disposedCourt]]&lt;=TrafficData[[#This Row],[totalCourt]])</f>
        <v>1</v>
      </c>
    </row>
    <row r="502" spans="1:16">
      <c r="A502" s="1">
        <v>42505</v>
      </c>
      <c r="B502">
        <v>863</v>
      </c>
      <c r="C502">
        <v>57</v>
      </c>
      <c r="D502">
        <v>806</v>
      </c>
      <c r="E502">
        <v>650300</v>
      </c>
      <c r="F502">
        <v>142700</v>
      </c>
      <c r="G502">
        <v>793000</v>
      </c>
      <c r="H502">
        <v>610</v>
      </c>
      <c r="I502">
        <v>13</v>
      </c>
      <c r="J502">
        <v>623</v>
      </c>
      <c r="K502" t="b">
        <f>TrafficData[[#This Row],[disposedChallan]]+TrafficData[[#This Row],[pendingChallan]]=TrafficData[[#This Row],[totalChallan]]</f>
        <v>1</v>
      </c>
      <c r="L502" t="b">
        <f>TrafficData[[#This Row],[pendingAmount]]+TrafficData[[#This Row],[disposedAmount]]=TrafficData[[#This Row],[totalAmount]]</f>
        <v>1</v>
      </c>
      <c r="M502" t="b">
        <f>TrafficData[[#This Row],[pendingCourt]]+TrafficData[[#This Row],[disposedCourt]]=TrafficData[[#This Row],[totalCourt]]</f>
        <v>1</v>
      </c>
      <c r="N502" s="8" t="b">
        <f>AND(TrafficData[[#This Row],[disposedChallan]]&lt;=TrafficData[[#This Row],[totalChallan]],TrafficData[[#This Row],[pendingChallan]]&lt;=TrafficData[[#This Row],[totalChallan]])</f>
        <v>1</v>
      </c>
      <c r="O502" s="8" t="b">
        <f>AND(TrafficData[[#This Row],[pendingAmount]]&lt;=TrafficData[[#This Row],[totalAmount]],TrafficData[[#This Row],[disposedAmount]]&lt;=TrafficData[[#This Row],[totalAmount]])</f>
        <v>1</v>
      </c>
      <c r="P502" s="8" t="b">
        <f>AND(TrafficData[[#This Row],[pendingCourt]]&lt;=TrafficData[[#This Row],[totalCourt]],TrafficData[[#This Row],[disposedCourt]]&lt;=TrafficData[[#This Row],[totalCourt]])</f>
        <v>1</v>
      </c>
    </row>
    <row r="503" spans="1:16">
      <c r="A503" s="1">
        <v>42506</v>
      </c>
      <c r="B503">
        <v>1274</v>
      </c>
      <c r="C503">
        <v>93</v>
      </c>
      <c r="D503">
        <v>1181</v>
      </c>
      <c r="E503">
        <v>977550</v>
      </c>
      <c r="F503">
        <v>248000</v>
      </c>
      <c r="G503">
        <v>1225550</v>
      </c>
      <c r="H503">
        <v>817</v>
      </c>
      <c r="I503">
        <v>8</v>
      </c>
      <c r="J503">
        <v>825</v>
      </c>
      <c r="K503" t="b">
        <f>TrafficData[[#This Row],[disposedChallan]]+TrafficData[[#This Row],[pendingChallan]]=TrafficData[[#This Row],[totalChallan]]</f>
        <v>1</v>
      </c>
      <c r="L503" t="b">
        <f>TrafficData[[#This Row],[pendingAmount]]+TrafficData[[#This Row],[disposedAmount]]=TrafficData[[#This Row],[totalAmount]]</f>
        <v>1</v>
      </c>
      <c r="M503" t="b">
        <f>TrafficData[[#This Row],[pendingCourt]]+TrafficData[[#This Row],[disposedCourt]]=TrafficData[[#This Row],[totalCourt]]</f>
        <v>1</v>
      </c>
      <c r="N503" s="8" t="b">
        <f>AND(TrafficData[[#This Row],[disposedChallan]]&lt;=TrafficData[[#This Row],[totalChallan]],TrafficData[[#This Row],[pendingChallan]]&lt;=TrafficData[[#This Row],[totalChallan]])</f>
        <v>1</v>
      </c>
      <c r="O503" s="8" t="b">
        <f>AND(TrafficData[[#This Row],[pendingAmount]]&lt;=TrafficData[[#This Row],[totalAmount]],TrafficData[[#This Row],[disposedAmount]]&lt;=TrafficData[[#This Row],[totalAmount]])</f>
        <v>1</v>
      </c>
      <c r="P503" s="8" t="b">
        <f>AND(TrafficData[[#This Row],[pendingCourt]]&lt;=TrafficData[[#This Row],[totalCourt]],TrafficData[[#This Row],[disposedCourt]]&lt;=TrafficData[[#This Row],[totalCourt]])</f>
        <v>1</v>
      </c>
    </row>
    <row r="504" spans="1:16">
      <c r="A504" s="1">
        <v>42507</v>
      </c>
      <c r="B504">
        <v>1521</v>
      </c>
      <c r="C504">
        <v>88</v>
      </c>
      <c r="D504">
        <v>1433</v>
      </c>
      <c r="E504">
        <v>3716605</v>
      </c>
      <c r="F504">
        <v>313125</v>
      </c>
      <c r="G504">
        <v>4029730</v>
      </c>
      <c r="H504">
        <v>1032</v>
      </c>
      <c r="I504">
        <v>7</v>
      </c>
      <c r="J504">
        <v>1039</v>
      </c>
      <c r="K504" t="b">
        <f>TrafficData[[#This Row],[disposedChallan]]+TrafficData[[#This Row],[pendingChallan]]=TrafficData[[#This Row],[totalChallan]]</f>
        <v>1</v>
      </c>
      <c r="L504" t="b">
        <f>TrafficData[[#This Row],[pendingAmount]]+TrafficData[[#This Row],[disposedAmount]]=TrafficData[[#This Row],[totalAmount]]</f>
        <v>1</v>
      </c>
      <c r="M504" t="b">
        <f>TrafficData[[#This Row],[pendingCourt]]+TrafficData[[#This Row],[disposedCourt]]=TrafficData[[#This Row],[totalCourt]]</f>
        <v>1</v>
      </c>
      <c r="N504" s="8" t="b">
        <f>AND(TrafficData[[#This Row],[disposedChallan]]&lt;=TrafficData[[#This Row],[totalChallan]],TrafficData[[#This Row],[pendingChallan]]&lt;=TrafficData[[#This Row],[totalChallan]])</f>
        <v>1</v>
      </c>
      <c r="O504" s="8" t="b">
        <f>AND(TrafficData[[#This Row],[pendingAmount]]&lt;=TrafficData[[#This Row],[totalAmount]],TrafficData[[#This Row],[disposedAmount]]&lt;=TrafficData[[#This Row],[totalAmount]])</f>
        <v>1</v>
      </c>
      <c r="P504" s="8" t="b">
        <f>AND(TrafficData[[#This Row],[pendingCourt]]&lt;=TrafficData[[#This Row],[totalCourt]],TrafficData[[#This Row],[disposedCourt]]&lt;=TrafficData[[#This Row],[totalCourt]])</f>
        <v>1</v>
      </c>
    </row>
    <row r="505" spans="1:16">
      <c r="A505" s="1">
        <v>42508</v>
      </c>
      <c r="B505">
        <v>1430</v>
      </c>
      <c r="C505">
        <v>112</v>
      </c>
      <c r="D505">
        <v>1318</v>
      </c>
      <c r="E505">
        <v>1084645</v>
      </c>
      <c r="F505">
        <v>369078</v>
      </c>
      <c r="G505">
        <v>1453723</v>
      </c>
      <c r="H505">
        <v>993</v>
      </c>
      <c r="I505">
        <v>31</v>
      </c>
      <c r="J505">
        <v>1024</v>
      </c>
      <c r="K505" t="b">
        <f>TrafficData[[#This Row],[disposedChallan]]+TrafficData[[#This Row],[pendingChallan]]=TrafficData[[#This Row],[totalChallan]]</f>
        <v>1</v>
      </c>
      <c r="L505" t="b">
        <f>TrafficData[[#This Row],[pendingAmount]]+TrafficData[[#This Row],[disposedAmount]]=TrafficData[[#This Row],[totalAmount]]</f>
        <v>1</v>
      </c>
      <c r="M505" t="b">
        <f>TrafficData[[#This Row],[pendingCourt]]+TrafficData[[#This Row],[disposedCourt]]=TrafficData[[#This Row],[totalCourt]]</f>
        <v>1</v>
      </c>
      <c r="N505" s="8" t="b">
        <f>AND(TrafficData[[#This Row],[disposedChallan]]&lt;=TrafficData[[#This Row],[totalChallan]],TrafficData[[#This Row],[pendingChallan]]&lt;=TrafficData[[#This Row],[totalChallan]])</f>
        <v>1</v>
      </c>
      <c r="O505" s="8" t="b">
        <f>AND(TrafficData[[#This Row],[pendingAmount]]&lt;=TrafficData[[#This Row],[totalAmount]],TrafficData[[#This Row],[disposedAmount]]&lt;=TrafficData[[#This Row],[totalAmount]])</f>
        <v>1</v>
      </c>
      <c r="P505" s="8" t="b">
        <f>AND(TrafficData[[#This Row],[pendingCourt]]&lt;=TrafficData[[#This Row],[totalCourt]],TrafficData[[#This Row],[disposedCourt]]&lt;=TrafficData[[#This Row],[totalCourt]])</f>
        <v>1</v>
      </c>
    </row>
    <row r="506" spans="1:16">
      <c r="A506" s="1">
        <v>42509</v>
      </c>
      <c r="B506">
        <v>1593</v>
      </c>
      <c r="C506">
        <v>71</v>
      </c>
      <c r="D506">
        <v>1522</v>
      </c>
      <c r="E506">
        <v>1222900</v>
      </c>
      <c r="F506">
        <v>224884</v>
      </c>
      <c r="G506">
        <v>1447784</v>
      </c>
      <c r="H506">
        <v>1143</v>
      </c>
      <c r="I506">
        <v>3</v>
      </c>
      <c r="J506">
        <v>1146</v>
      </c>
      <c r="K506" t="b">
        <f>TrafficData[[#This Row],[disposedChallan]]+TrafficData[[#This Row],[pendingChallan]]=TrafficData[[#This Row],[totalChallan]]</f>
        <v>1</v>
      </c>
      <c r="L506" t="b">
        <f>TrafficData[[#This Row],[pendingAmount]]+TrafficData[[#This Row],[disposedAmount]]=TrafficData[[#This Row],[totalAmount]]</f>
        <v>1</v>
      </c>
      <c r="M506" t="b">
        <f>TrafficData[[#This Row],[pendingCourt]]+TrafficData[[#This Row],[disposedCourt]]=TrafficData[[#This Row],[totalCourt]]</f>
        <v>1</v>
      </c>
      <c r="N506" s="8" t="b">
        <f>AND(TrafficData[[#This Row],[disposedChallan]]&lt;=TrafficData[[#This Row],[totalChallan]],TrafficData[[#This Row],[pendingChallan]]&lt;=TrafficData[[#This Row],[totalChallan]])</f>
        <v>1</v>
      </c>
      <c r="O506" s="8" t="b">
        <f>AND(TrafficData[[#This Row],[pendingAmount]]&lt;=TrafficData[[#This Row],[totalAmount]],TrafficData[[#This Row],[disposedAmount]]&lt;=TrafficData[[#This Row],[totalAmount]])</f>
        <v>1</v>
      </c>
      <c r="P506" s="8" t="b">
        <f>AND(TrafficData[[#This Row],[pendingCourt]]&lt;=TrafficData[[#This Row],[totalCourt]],TrafficData[[#This Row],[disposedCourt]]&lt;=TrafficData[[#This Row],[totalCourt]])</f>
        <v>1</v>
      </c>
    </row>
    <row r="507" spans="1:16">
      <c r="A507" s="1">
        <v>42510</v>
      </c>
      <c r="B507">
        <v>1325</v>
      </c>
      <c r="C507">
        <v>54</v>
      </c>
      <c r="D507">
        <v>1271</v>
      </c>
      <c r="E507">
        <v>924150</v>
      </c>
      <c r="F507">
        <v>204650</v>
      </c>
      <c r="G507">
        <v>1128800</v>
      </c>
      <c r="H507">
        <v>1004</v>
      </c>
      <c r="I507">
        <v>4</v>
      </c>
      <c r="J507">
        <v>1008</v>
      </c>
      <c r="K507" t="b">
        <f>TrafficData[[#This Row],[disposedChallan]]+TrafficData[[#This Row],[pendingChallan]]=TrafficData[[#This Row],[totalChallan]]</f>
        <v>1</v>
      </c>
      <c r="L507" t="b">
        <f>TrafficData[[#This Row],[pendingAmount]]+TrafficData[[#This Row],[disposedAmount]]=TrafficData[[#This Row],[totalAmount]]</f>
        <v>1</v>
      </c>
      <c r="M507" t="b">
        <f>TrafficData[[#This Row],[pendingCourt]]+TrafficData[[#This Row],[disposedCourt]]=TrafficData[[#This Row],[totalCourt]]</f>
        <v>1</v>
      </c>
      <c r="N507" s="8" t="b">
        <f>AND(TrafficData[[#This Row],[disposedChallan]]&lt;=TrafficData[[#This Row],[totalChallan]],TrafficData[[#This Row],[pendingChallan]]&lt;=TrafficData[[#This Row],[totalChallan]])</f>
        <v>1</v>
      </c>
      <c r="O507" s="8" t="b">
        <f>AND(TrafficData[[#This Row],[pendingAmount]]&lt;=TrafficData[[#This Row],[totalAmount]],TrafficData[[#This Row],[disposedAmount]]&lt;=TrafficData[[#This Row],[totalAmount]])</f>
        <v>1</v>
      </c>
      <c r="P507" s="8" t="b">
        <f>AND(TrafficData[[#This Row],[pendingCourt]]&lt;=TrafficData[[#This Row],[totalCourt]],TrafficData[[#This Row],[disposedCourt]]&lt;=TrafficData[[#This Row],[totalCourt]])</f>
        <v>1</v>
      </c>
    </row>
    <row r="508" spans="1:16">
      <c r="A508" s="1">
        <v>42511</v>
      </c>
      <c r="B508">
        <v>1153</v>
      </c>
      <c r="C508">
        <v>58</v>
      </c>
      <c r="D508">
        <v>1095</v>
      </c>
      <c r="E508">
        <v>731550</v>
      </c>
      <c r="F508">
        <v>223300</v>
      </c>
      <c r="G508">
        <v>954850</v>
      </c>
      <c r="H508">
        <v>872</v>
      </c>
      <c r="I508">
        <v>1</v>
      </c>
      <c r="J508">
        <v>873</v>
      </c>
      <c r="K508" t="b">
        <f>TrafficData[[#This Row],[disposedChallan]]+TrafficData[[#This Row],[pendingChallan]]=TrafficData[[#This Row],[totalChallan]]</f>
        <v>1</v>
      </c>
      <c r="L508" t="b">
        <f>TrafficData[[#This Row],[pendingAmount]]+TrafficData[[#This Row],[disposedAmount]]=TrafficData[[#This Row],[totalAmount]]</f>
        <v>1</v>
      </c>
      <c r="M508" t="b">
        <f>TrafficData[[#This Row],[pendingCourt]]+TrafficData[[#This Row],[disposedCourt]]=TrafficData[[#This Row],[totalCourt]]</f>
        <v>1</v>
      </c>
      <c r="N508" s="8" t="b">
        <f>AND(TrafficData[[#This Row],[disposedChallan]]&lt;=TrafficData[[#This Row],[totalChallan]],TrafficData[[#This Row],[pendingChallan]]&lt;=TrafficData[[#This Row],[totalChallan]])</f>
        <v>1</v>
      </c>
      <c r="O508" s="8" t="b">
        <f>AND(TrafficData[[#This Row],[pendingAmount]]&lt;=TrafficData[[#This Row],[totalAmount]],TrafficData[[#This Row],[disposedAmount]]&lt;=TrafficData[[#This Row],[totalAmount]])</f>
        <v>1</v>
      </c>
      <c r="P508" s="8" t="b">
        <f>AND(TrafficData[[#This Row],[pendingCourt]]&lt;=TrafficData[[#This Row],[totalCourt]],TrafficData[[#This Row],[disposedCourt]]&lt;=TrafficData[[#This Row],[totalCourt]])</f>
        <v>1</v>
      </c>
    </row>
    <row r="509" spans="1:16">
      <c r="A509" s="1">
        <v>42512</v>
      </c>
      <c r="B509">
        <v>1482</v>
      </c>
      <c r="C509">
        <v>39</v>
      </c>
      <c r="D509">
        <v>1443</v>
      </c>
      <c r="E509">
        <v>546950</v>
      </c>
      <c r="F509">
        <v>85875</v>
      </c>
      <c r="G509">
        <v>632825</v>
      </c>
      <c r="H509">
        <v>1306</v>
      </c>
      <c r="I509">
        <v>3</v>
      </c>
      <c r="J509">
        <v>1309</v>
      </c>
      <c r="K509" t="b">
        <f>TrafficData[[#This Row],[disposedChallan]]+TrafficData[[#This Row],[pendingChallan]]=TrafficData[[#This Row],[totalChallan]]</f>
        <v>1</v>
      </c>
      <c r="L509" t="b">
        <f>TrafficData[[#This Row],[pendingAmount]]+TrafficData[[#This Row],[disposedAmount]]=TrafficData[[#This Row],[totalAmount]]</f>
        <v>1</v>
      </c>
      <c r="M509" t="b">
        <f>TrafficData[[#This Row],[pendingCourt]]+TrafficData[[#This Row],[disposedCourt]]=TrafficData[[#This Row],[totalCourt]]</f>
        <v>1</v>
      </c>
      <c r="N509" s="8" t="b">
        <f>AND(TrafficData[[#This Row],[disposedChallan]]&lt;=TrafficData[[#This Row],[totalChallan]],TrafficData[[#This Row],[pendingChallan]]&lt;=TrafficData[[#This Row],[totalChallan]])</f>
        <v>1</v>
      </c>
      <c r="O509" s="8" t="b">
        <f>AND(TrafficData[[#This Row],[pendingAmount]]&lt;=TrafficData[[#This Row],[totalAmount]],TrafficData[[#This Row],[disposedAmount]]&lt;=TrafficData[[#This Row],[totalAmount]])</f>
        <v>1</v>
      </c>
      <c r="P509" s="8" t="b">
        <f>AND(TrafficData[[#This Row],[pendingCourt]]&lt;=TrafficData[[#This Row],[totalCourt]],TrafficData[[#This Row],[disposedCourt]]&lt;=TrafficData[[#This Row],[totalCourt]])</f>
        <v>1</v>
      </c>
    </row>
    <row r="510" spans="1:16">
      <c r="A510" s="1">
        <v>42513</v>
      </c>
      <c r="B510">
        <v>1793</v>
      </c>
      <c r="C510">
        <v>59</v>
      </c>
      <c r="D510">
        <v>1734</v>
      </c>
      <c r="E510">
        <v>690627</v>
      </c>
      <c r="F510">
        <v>139700</v>
      </c>
      <c r="G510">
        <v>830327</v>
      </c>
      <c r="H510">
        <v>1507</v>
      </c>
      <c r="I510">
        <v>14</v>
      </c>
      <c r="J510">
        <v>1521</v>
      </c>
      <c r="K510" t="b">
        <f>TrafficData[[#This Row],[disposedChallan]]+TrafficData[[#This Row],[pendingChallan]]=TrafficData[[#This Row],[totalChallan]]</f>
        <v>1</v>
      </c>
      <c r="L510" t="b">
        <f>TrafficData[[#This Row],[pendingAmount]]+TrafficData[[#This Row],[disposedAmount]]=TrafficData[[#This Row],[totalAmount]]</f>
        <v>1</v>
      </c>
      <c r="M510" t="b">
        <f>TrafficData[[#This Row],[pendingCourt]]+TrafficData[[#This Row],[disposedCourt]]=TrafficData[[#This Row],[totalCourt]]</f>
        <v>1</v>
      </c>
      <c r="N510" s="8" t="b">
        <f>AND(TrafficData[[#This Row],[disposedChallan]]&lt;=TrafficData[[#This Row],[totalChallan]],TrafficData[[#This Row],[pendingChallan]]&lt;=TrafficData[[#This Row],[totalChallan]])</f>
        <v>1</v>
      </c>
      <c r="O510" s="8" t="b">
        <f>AND(TrafficData[[#This Row],[pendingAmount]]&lt;=TrafficData[[#This Row],[totalAmount]],TrafficData[[#This Row],[disposedAmount]]&lt;=TrafficData[[#This Row],[totalAmount]])</f>
        <v>1</v>
      </c>
      <c r="P510" s="8" t="b">
        <f>AND(TrafficData[[#This Row],[pendingCourt]]&lt;=TrafficData[[#This Row],[totalCourt]],TrafficData[[#This Row],[disposedCourt]]&lt;=TrafficData[[#This Row],[totalCourt]])</f>
        <v>1</v>
      </c>
    </row>
    <row r="511" spans="1:16">
      <c r="A511" s="1">
        <v>42514</v>
      </c>
      <c r="B511">
        <v>1366</v>
      </c>
      <c r="C511">
        <v>80</v>
      </c>
      <c r="D511">
        <v>1286</v>
      </c>
      <c r="E511">
        <v>963700</v>
      </c>
      <c r="F511">
        <v>265575</v>
      </c>
      <c r="G511">
        <v>1229275</v>
      </c>
      <c r="H511">
        <v>969</v>
      </c>
      <c r="I511">
        <v>9</v>
      </c>
      <c r="J511">
        <v>978</v>
      </c>
      <c r="K511" t="b">
        <f>TrafficData[[#This Row],[disposedChallan]]+TrafficData[[#This Row],[pendingChallan]]=TrafficData[[#This Row],[totalChallan]]</f>
        <v>1</v>
      </c>
      <c r="L511" t="b">
        <f>TrafficData[[#This Row],[pendingAmount]]+TrafficData[[#This Row],[disposedAmount]]=TrafficData[[#This Row],[totalAmount]]</f>
        <v>1</v>
      </c>
      <c r="M511" t="b">
        <f>TrafficData[[#This Row],[pendingCourt]]+TrafficData[[#This Row],[disposedCourt]]=TrafficData[[#This Row],[totalCourt]]</f>
        <v>1</v>
      </c>
      <c r="N511" s="8" t="b">
        <f>AND(TrafficData[[#This Row],[disposedChallan]]&lt;=TrafficData[[#This Row],[totalChallan]],TrafficData[[#This Row],[pendingChallan]]&lt;=TrafficData[[#This Row],[totalChallan]])</f>
        <v>1</v>
      </c>
      <c r="O511" s="8" t="b">
        <f>AND(TrafficData[[#This Row],[pendingAmount]]&lt;=TrafficData[[#This Row],[totalAmount]],TrafficData[[#This Row],[disposedAmount]]&lt;=TrafficData[[#This Row],[totalAmount]])</f>
        <v>1</v>
      </c>
      <c r="P511" s="8" t="b">
        <f>AND(TrafficData[[#This Row],[pendingCourt]]&lt;=TrafficData[[#This Row],[totalCourt]],TrafficData[[#This Row],[disposedCourt]]&lt;=TrafficData[[#This Row],[totalCourt]])</f>
        <v>1</v>
      </c>
    </row>
    <row r="512" spans="1:16">
      <c r="A512" s="1">
        <v>42515</v>
      </c>
      <c r="B512">
        <v>1780</v>
      </c>
      <c r="C512">
        <v>77</v>
      </c>
      <c r="D512">
        <v>1703</v>
      </c>
      <c r="E512">
        <v>1013300</v>
      </c>
      <c r="F512">
        <v>345350</v>
      </c>
      <c r="G512">
        <v>1358650</v>
      </c>
      <c r="H512">
        <v>13</v>
      </c>
      <c r="I512">
        <v>6</v>
      </c>
      <c r="J512">
        <v>19</v>
      </c>
      <c r="K512" t="b">
        <f>TrafficData[[#This Row],[disposedChallan]]+TrafficData[[#This Row],[pendingChallan]]=TrafficData[[#This Row],[totalChallan]]</f>
        <v>1</v>
      </c>
      <c r="L512" t="b">
        <f>TrafficData[[#This Row],[pendingAmount]]+TrafficData[[#This Row],[disposedAmount]]=TrafficData[[#This Row],[totalAmount]]</f>
        <v>1</v>
      </c>
      <c r="M512" t="b">
        <f>TrafficData[[#This Row],[pendingCourt]]+TrafficData[[#This Row],[disposedCourt]]=TrafficData[[#This Row],[totalCourt]]</f>
        <v>1</v>
      </c>
      <c r="N512" s="8" t="b">
        <f>AND(TrafficData[[#This Row],[disposedChallan]]&lt;=TrafficData[[#This Row],[totalChallan]],TrafficData[[#This Row],[pendingChallan]]&lt;=TrafficData[[#This Row],[totalChallan]])</f>
        <v>1</v>
      </c>
      <c r="O512" s="8" t="b">
        <f>AND(TrafficData[[#This Row],[pendingAmount]]&lt;=TrafficData[[#This Row],[totalAmount]],TrafficData[[#This Row],[disposedAmount]]&lt;=TrafficData[[#This Row],[totalAmount]])</f>
        <v>1</v>
      </c>
      <c r="P512" s="8" t="b">
        <f>AND(TrafficData[[#This Row],[pendingCourt]]&lt;=TrafficData[[#This Row],[totalCourt]],TrafficData[[#This Row],[disposedCourt]]&lt;=TrafficData[[#This Row],[totalCourt]])</f>
        <v>1</v>
      </c>
    </row>
    <row r="513" spans="1:16">
      <c r="A513" s="1">
        <v>42516</v>
      </c>
      <c r="B513">
        <v>1430</v>
      </c>
      <c r="C513">
        <v>94</v>
      </c>
      <c r="D513">
        <v>1336</v>
      </c>
      <c r="E513">
        <v>794220</v>
      </c>
      <c r="F513">
        <v>353450</v>
      </c>
      <c r="G513">
        <v>1147670</v>
      </c>
      <c r="H513">
        <v>1015</v>
      </c>
      <c r="I513">
        <v>23</v>
      </c>
      <c r="J513">
        <v>1038</v>
      </c>
      <c r="K513" t="b">
        <f>TrafficData[[#This Row],[disposedChallan]]+TrafficData[[#This Row],[pendingChallan]]=TrafficData[[#This Row],[totalChallan]]</f>
        <v>1</v>
      </c>
      <c r="L513" t="b">
        <f>TrafficData[[#This Row],[pendingAmount]]+TrafficData[[#This Row],[disposedAmount]]=TrafficData[[#This Row],[totalAmount]]</f>
        <v>1</v>
      </c>
      <c r="M513" t="b">
        <f>TrafficData[[#This Row],[pendingCourt]]+TrafficData[[#This Row],[disposedCourt]]=TrafficData[[#This Row],[totalCourt]]</f>
        <v>1</v>
      </c>
      <c r="N513" s="8" t="b">
        <f>AND(TrafficData[[#This Row],[disposedChallan]]&lt;=TrafficData[[#This Row],[totalChallan]],TrafficData[[#This Row],[pendingChallan]]&lt;=TrafficData[[#This Row],[totalChallan]])</f>
        <v>1</v>
      </c>
      <c r="O513" s="8" t="b">
        <f>AND(TrafficData[[#This Row],[pendingAmount]]&lt;=TrafficData[[#This Row],[totalAmount]],TrafficData[[#This Row],[disposedAmount]]&lt;=TrafficData[[#This Row],[totalAmount]])</f>
        <v>1</v>
      </c>
      <c r="P513" s="8" t="b">
        <f>AND(TrafficData[[#This Row],[pendingCourt]]&lt;=TrafficData[[#This Row],[totalCourt]],TrafficData[[#This Row],[disposedCourt]]&lt;=TrafficData[[#This Row],[totalCourt]])</f>
        <v>1</v>
      </c>
    </row>
    <row r="514" spans="1:16">
      <c r="A514" s="1">
        <v>42517</v>
      </c>
      <c r="B514">
        <v>1460</v>
      </c>
      <c r="C514">
        <v>105</v>
      </c>
      <c r="D514">
        <v>1355</v>
      </c>
      <c r="E514">
        <v>935900</v>
      </c>
      <c r="F514">
        <v>299010</v>
      </c>
      <c r="G514">
        <v>1234910</v>
      </c>
      <c r="H514">
        <v>982</v>
      </c>
      <c r="I514">
        <v>4</v>
      </c>
      <c r="J514">
        <v>986</v>
      </c>
      <c r="K514" t="b">
        <f>TrafficData[[#This Row],[disposedChallan]]+TrafficData[[#This Row],[pendingChallan]]=TrafficData[[#This Row],[totalChallan]]</f>
        <v>1</v>
      </c>
      <c r="L514" t="b">
        <f>TrafficData[[#This Row],[pendingAmount]]+TrafficData[[#This Row],[disposedAmount]]=TrafficData[[#This Row],[totalAmount]]</f>
        <v>1</v>
      </c>
      <c r="M514" t="b">
        <f>TrafficData[[#This Row],[pendingCourt]]+TrafficData[[#This Row],[disposedCourt]]=TrafficData[[#This Row],[totalCourt]]</f>
        <v>1</v>
      </c>
      <c r="N514" s="8" t="b">
        <f>AND(TrafficData[[#This Row],[disposedChallan]]&lt;=TrafficData[[#This Row],[totalChallan]],TrafficData[[#This Row],[pendingChallan]]&lt;=TrafficData[[#This Row],[totalChallan]])</f>
        <v>1</v>
      </c>
      <c r="O514" s="8" t="b">
        <f>AND(TrafficData[[#This Row],[pendingAmount]]&lt;=TrafficData[[#This Row],[totalAmount]],TrafficData[[#This Row],[disposedAmount]]&lt;=TrafficData[[#This Row],[totalAmount]])</f>
        <v>1</v>
      </c>
      <c r="P514" s="8" t="b">
        <f>AND(TrafficData[[#This Row],[pendingCourt]]&lt;=TrafficData[[#This Row],[totalCourt]],TrafficData[[#This Row],[disposedCourt]]&lt;=TrafficData[[#This Row],[totalCourt]])</f>
        <v>1</v>
      </c>
    </row>
    <row r="515" spans="1:16">
      <c r="A515" s="1">
        <v>42518</v>
      </c>
      <c r="B515">
        <v>1411</v>
      </c>
      <c r="C515">
        <v>46</v>
      </c>
      <c r="D515">
        <v>1365</v>
      </c>
      <c r="E515">
        <v>851890</v>
      </c>
      <c r="F515">
        <v>94900</v>
      </c>
      <c r="G515">
        <v>946790</v>
      </c>
      <c r="H515">
        <v>977</v>
      </c>
      <c r="I515">
        <v>11</v>
      </c>
      <c r="J515">
        <v>988</v>
      </c>
      <c r="K515" t="b">
        <f>TrafficData[[#This Row],[disposedChallan]]+TrafficData[[#This Row],[pendingChallan]]=TrafficData[[#This Row],[totalChallan]]</f>
        <v>1</v>
      </c>
      <c r="L515" t="b">
        <f>TrafficData[[#This Row],[pendingAmount]]+TrafficData[[#This Row],[disposedAmount]]=TrafficData[[#This Row],[totalAmount]]</f>
        <v>1</v>
      </c>
      <c r="M515" t="b">
        <f>TrafficData[[#This Row],[pendingCourt]]+TrafficData[[#This Row],[disposedCourt]]=TrafficData[[#This Row],[totalCourt]]</f>
        <v>1</v>
      </c>
      <c r="N515" s="8" t="b">
        <f>AND(TrafficData[[#This Row],[disposedChallan]]&lt;=TrafficData[[#This Row],[totalChallan]],TrafficData[[#This Row],[pendingChallan]]&lt;=TrafficData[[#This Row],[totalChallan]])</f>
        <v>1</v>
      </c>
      <c r="O515" s="8" t="b">
        <f>AND(TrafficData[[#This Row],[pendingAmount]]&lt;=TrafficData[[#This Row],[totalAmount]],TrafficData[[#This Row],[disposedAmount]]&lt;=TrafficData[[#This Row],[totalAmount]])</f>
        <v>1</v>
      </c>
      <c r="P515" s="8" t="b">
        <f>AND(TrafficData[[#This Row],[pendingCourt]]&lt;=TrafficData[[#This Row],[totalCourt]],TrafficData[[#This Row],[disposedCourt]]&lt;=TrafficData[[#This Row],[totalCourt]])</f>
        <v>1</v>
      </c>
    </row>
    <row r="516" spans="1:16">
      <c r="A516" s="1">
        <v>42519</v>
      </c>
      <c r="B516">
        <v>822</v>
      </c>
      <c r="C516">
        <v>30</v>
      </c>
      <c r="D516">
        <v>792</v>
      </c>
      <c r="E516">
        <v>565870</v>
      </c>
      <c r="F516">
        <v>108800</v>
      </c>
      <c r="G516">
        <v>674670</v>
      </c>
      <c r="H516">
        <v>599</v>
      </c>
      <c r="I516">
        <v>3</v>
      </c>
      <c r="J516">
        <v>602</v>
      </c>
      <c r="K516" t="b">
        <f>TrafficData[[#This Row],[disposedChallan]]+TrafficData[[#This Row],[pendingChallan]]=TrafficData[[#This Row],[totalChallan]]</f>
        <v>1</v>
      </c>
      <c r="L516" t="b">
        <f>TrafficData[[#This Row],[pendingAmount]]+TrafficData[[#This Row],[disposedAmount]]=TrafficData[[#This Row],[totalAmount]]</f>
        <v>1</v>
      </c>
      <c r="M516" t="b">
        <f>TrafficData[[#This Row],[pendingCourt]]+TrafficData[[#This Row],[disposedCourt]]=TrafficData[[#This Row],[totalCourt]]</f>
        <v>1</v>
      </c>
      <c r="N516" s="8" t="b">
        <f>AND(TrafficData[[#This Row],[disposedChallan]]&lt;=TrafficData[[#This Row],[totalChallan]],TrafficData[[#This Row],[pendingChallan]]&lt;=TrafficData[[#This Row],[totalChallan]])</f>
        <v>1</v>
      </c>
      <c r="O516" s="8" t="b">
        <f>AND(TrafficData[[#This Row],[pendingAmount]]&lt;=TrafficData[[#This Row],[totalAmount]],TrafficData[[#This Row],[disposedAmount]]&lt;=TrafficData[[#This Row],[totalAmount]])</f>
        <v>1</v>
      </c>
      <c r="P516" s="8" t="b">
        <f>AND(TrafficData[[#This Row],[pendingCourt]]&lt;=TrafficData[[#This Row],[totalCourt]],TrafficData[[#This Row],[disposedCourt]]&lt;=TrafficData[[#This Row],[totalCourt]])</f>
        <v>1</v>
      </c>
    </row>
    <row r="517" spans="1:16">
      <c r="A517" s="1">
        <v>42520</v>
      </c>
      <c r="B517">
        <v>990</v>
      </c>
      <c r="C517">
        <v>69</v>
      </c>
      <c r="D517">
        <v>921</v>
      </c>
      <c r="E517">
        <v>686610</v>
      </c>
      <c r="F517">
        <v>162101</v>
      </c>
      <c r="G517">
        <v>848711</v>
      </c>
      <c r="H517">
        <v>647</v>
      </c>
      <c r="I517">
        <v>2</v>
      </c>
      <c r="J517">
        <v>649</v>
      </c>
      <c r="K517" t="b">
        <f>TrafficData[[#This Row],[disposedChallan]]+TrafficData[[#This Row],[pendingChallan]]=TrafficData[[#This Row],[totalChallan]]</f>
        <v>1</v>
      </c>
      <c r="L517" t="b">
        <f>TrafficData[[#This Row],[pendingAmount]]+TrafficData[[#This Row],[disposedAmount]]=TrafficData[[#This Row],[totalAmount]]</f>
        <v>1</v>
      </c>
      <c r="M517" t="b">
        <f>TrafficData[[#This Row],[pendingCourt]]+TrafficData[[#This Row],[disposedCourt]]=TrafficData[[#This Row],[totalCourt]]</f>
        <v>1</v>
      </c>
      <c r="N517" s="8" t="b">
        <f>AND(TrafficData[[#This Row],[disposedChallan]]&lt;=TrafficData[[#This Row],[totalChallan]],TrafficData[[#This Row],[pendingChallan]]&lt;=TrafficData[[#This Row],[totalChallan]])</f>
        <v>1</v>
      </c>
      <c r="O517" s="8" t="b">
        <f>AND(TrafficData[[#This Row],[pendingAmount]]&lt;=TrafficData[[#This Row],[totalAmount]],TrafficData[[#This Row],[disposedAmount]]&lt;=TrafficData[[#This Row],[totalAmount]])</f>
        <v>1</v>
      </c>
      <c r="P517" s="8" t="b">
        <f>AND(TrafficData[[#This Row],[pendingCourt]]&lt;=TrafficData[[#This Row],[totalCourt]],TrafficData[[#This Row],[disposedCourt]]&lt;=TrafficData[[#This Row],[totalCourt]])</f>
        <v>1</v>
      </c>
    </row>
    <row r="518" spans="1:16">
      <c r="A518" s="1">
        <v>42521</v>
      </c>
      <c r="B518">
        <v>1532</v>
      </c>
      <c r="C518">
        <v>74</v>
      </c>
      <c r="D518">
        <v>1458</v>
      </c>
      <c r="E518">
        <v>874250</v>
      </c>
      <c r="F518">
        <v>198450</v>
      </c>
      <c r="G518">
        <v>1072700</v>
      </c>
      <c r="H518">
        <v>1115</v>
      </c>
      <c r="I518">
        <v>4</v>
      </c>
      <c r="J518">
        <v>1119</v>
      </c>
      <c r="K518" t="b">
        <f>TrafficData[[#This Row],[disposedChallan]]+TrafficData[[#This Row],[pendingChallan]]=TrafficData[[#This Row],[totalChallan]]</f>
        <v>1</v>
      </c>
      <c r="L518" t="b">
        <f>TrafficData[[#This Row],[pendingAmount]]+TrafficData[[#This Row],[disposedAmount]]=TrafficData[[#This Row],[totalAmount]]</f>
        <v>1</v>
      </c>
      <c r="M518" t="b">
        <f>TrafficData[[#This Row],[pendingCourt]]+TrafficData[[#This Row],[disposedCourt]]=TrafficData[[#This Row],[totalCourt]]</f>
        <v>1</v>
      </c>
      <c r="N518" s="8" t="b">
        <f>AND(TrafficData[[#This Row],[disposedChallan]]&lt;=TrafficData[[#This Row],[totalChallan]],TrafficData[[#This Row],[pendingChallan]]&lt;=TrafficData[[#This Row],[totalChallan]])</f>
        <v>1</v>
      </c>
      <c r="O518" s="8" t="b">
        <f>AND(TrafficData[[#This Row],[pendingAmount]]&lt;=TrafficData[[#This Row],[totalAmount]],TrafficData[[#This Row],[disposedAmount]]&lt;=TrafficData[[#This Row],[totalAmount]])</f>
        <v>1</v>
      </c>
      <c r="P518" s="8" t="b">
        <f>AND(TrafficData[[#This Row],[pendingCourt]]&lt;=TrafficData[[#This Row],[totalCourt]],TrafficData[[#This Row],[disposedCourt]]&lt;=TrafficData[[#This Row],[totalCourt]])</f>
        <v>1</v>
      </c>
    </row>
    <row r="519" spans="1:16">
      <c r="A519" s="1">
        <v>42522</v>
      </c>
      <c r="B519">
        <v>1268</v>
      </c>
      <c r="C519">
        <v>101</v>
      </c>
      <c r="D519">
        <v>1167</v>
      </c>
      <c r="E519">
        <v>1253700</v>
      </c>
      <c r="F519">
        <v>243800</v>
      </c>
      <c r="G519">
        <v>1497500</v>
      </c>
      <c r="H519">
        <v>894</v>
      </c>
      <c r="I519">
        <v>14</v>
      </c>
      <c r="J519">
        <v>908</v>
      </c>
      <c r="K519" t="b">
        <f>TrafficData[[#This Row],[disposedChallan]]+TrafficData[[#This Row],[pendingChallan]]=TrafficData[[#This Row],[totalChallan]]</f>
        <v>1</v>
      </c>
      <c r="L519" t="b">
        <f>TrafficData[[#This Row],[pendingAmount]]+TrafficData[[#This Row],[disposedAmount]]=TrafficData[[#This Row],[totalAmount]]</f>
        <v>1</v>
      </c>
      <c r="M519" t="b">
        <f>TrafficData[[#This Row],[pendingCourt]]+TrafficData[[#This Row],[disposedCourt]]=TrafficData[[#This Row],[totalCourt]]</f>
        <v>1</v>
      </c>
      <c r="N519" s="8" t="b">
        <f>AND(TrafficData[[#This Row],[disposedChallan]]&lt;=TrafficData[[#This Row],[totalChallan]],TrafficData[[#This Row],[pendingChallan]]&lt;=TrafficData[[#This Row],[totalChallan]])</f>
        <v>1</v>
      </c>
      <c r="O519" s="8" t="b">
        <f>AND(TrafficData[[#This Row],[pendingAmount]]&lt;=TrafficData[[#This Row],[totalAmount]],TrafficData[[#This Row],[disposedAmount]]&lt;=TrafficData[[#This Row],[totalAmount]])</f>
        <v>1</v>
      </c>
      <c r="P519" s="8" t="b">
        <f>AND(TrafficData[[#This Row],[pendingCourt]]&lt;=TrafficData[[#This Row],[totalCourt]],TrafficData[[#This Row],[disposedCourt]]&lt;=TrafficData[[#This Row],[totalCourt]])</f>
        <v>1</v>
      </c>
    </row>
    <row r="520" spans="1:16">
      <c r="A520" s="1">
        <v>42523</v>
      </c>
      <c r="B520">
        <v>1313</v>
      </c>
      <c r="C520">
        <v>83</v>
      </c>
      <c r="D520">
        <v>1230</v>
      </c>
      <c r="E520">
        <v>1076800</v>
      </c>
      <c r="F520">
        <v>346650</v>
      </c>
      <c r="G520">
        <v>1423450</v>
      </c>
      <c r="H520">
        <v>900</v>
      </c>
      <c r="I520">
        <v>18</v>
      </c>
      <c r="J520">
        <v>918</v>
      </c>
      <c r="K520" t="b">
        <f>TrafficData[[#This Row],[disposedChallan]]+TrafficData[[#This Row],[pendingChallan]]=TrafficData[[#This Row],[totalChallan]]</f>
        <v>1</v>
      </c>
      <c r="L520" t="b">
        <f>TrafficData[[#This Row],[pendingAmount]]+TrafficData[[#This Row],[disposedAmount]]=TrafficData[[#This Row],[totalAmount]]</f>
        <v>1</v>
      </c>
      <c r="M520" t="b">
        <f>TrafficData[[#This Row],[pendingCourt]]+TrafficData[[#This Row],[disposedCourt]]=TrafficData[[#This Row],[totalCourt]]</f>
        <v>1</v>
      </c>
      <c r="N520" s="8" t="b">
        <f>AND(TrafficData[[#This Row],[disposedChallan]]&lt;=TrafficData[[#This Row],[totalChallan]],TrafficData[[#This Row],[pendingChallan]]&lt;=TrafficData[[#This Row],[totalChallan]])</f>
        <v>1</v>
      </c>
      <c r="O520" s="8" t="b">
        <f>AND(TrafficData[[#This Row],[pendingAmount]]&lt;=TrafficData[[#This Row],[totalAmount]],TrafficData[[#This Row],[disposedAmount]]&lt;=TrafficData[[#This Row],[totalAmount]])</f>
        <v>1</v>
      </c>
      <c r="P520" s="8" t="b">
        <f>AND(TrafficData[[#This Row],[pendingCourt]]&lt;=TrafficData[[#This Row],[totalCourt]],TrafficData[[#This Row],[disposedCourt]]&lt;=TrafficData[[#This Row],[totalCourt]])</f>
        <v>1</v>
      </c>
    </row>
    <row r="521" spans="1:16">
      <c r="A521" s="1">
        <v>42524</v>
      </c>
      <c r="B521">
        <v>1276</v>
      </c>
      <c r="C521">
        <v>100</v>
      </c>
      <c r="D521">
        <v>1176</v>
      </c>
      <c r="E521">
        <v>1514640</v>
      </c>
      <c r="F521">
        <v>287273</v>
      </c>
      <c r="G521">
        <v>1801913</v>
      </c>
      <c r="H521">
        <v>849</v>
      </c>
      <c r="I521">
        <v>15</v>
      </c>
      <c r="J521">
        <v>864</v>
      </c>
      <c r="K521" t="b">
        <f>TrafficData[[#This Row],[disposedChallan]]+TrafficData[[#This Row],[pendingChallan]]=TrafficData[[#This Row],[totalChallan]]</f>
        <v>1</v>
      </c>
      <c r="L521" t="b">
        <f>TrafficData[[#This Row],[pendingAmount]]+TrafficData[[#This Row],[disposedAmount]]=TrafficData[[#This Row],[totalAmount]]</f>
        <v>1</v>
      </c>
      <c r="M521" t="b">
        <f>TrafficData[[#This Row],[pendingCourt]]+TrafficData[[#This Row],[disposedCourt]]=TrafficData[[#This Row],[totalCourt]]</f>
        <v>1</v>
      </c>
      <c r="N521" s="8" t="b">
        <f>AND(TrafficData[[#This Row],[disposedChallan]]&lt;=TrafficData[[#This Row],[totalChallan]],TrafficData[[#This Row],[pendingChallan]]&lt;=TrafficData[[#This Row],[totalChallan]])</f>
        <v>1</v>
      </c>
      <c r="O521" s="8" t="b">
        <f>AND(TrafficData[[#This Row],[pendingAmount]]&lt;=TrafficData[[#This Row],[totalAmount]],TrafficData[[#This Row],[disposedAmount]]&lt;=TrafficData[[#This Row],[totalAmount]])</f>
        <v>1</v>
      </c>
      <c r="P521" s="8" t="b">
        <f>AND(TrafficData[[#This Row],[pendingCourt]]&lt;=TrafficData[[#This Row],[totalCourt]],TrafficData[[#This Row],[disposedCourt]]&lt;=TrafficData[[#This Row],[totalCourt]])</f>
        <v>1</v>
      </c>
    </row>
    <row r="522" spans="1:16">
      <c r="A522" s="1">
        <v>42525</v>
      </c>
      <c r="B522">
        <v>1310</v>
      </c>
      <c r="C522">
        <v>86</v>
      </c>
      <c r="D522">
        <v>1224</v>
      </c>
      <c r="E522">
        <v>1139147</v>
      </c>
      <c r="F522">
        <v>238100</v>
      </c>
      <c r="G522">
        <v>1377247</v>
      </c>
      <c r="H522">
        <v>843</v>
      </c>
      <c r="I522">
        <v>6</v>
      </c>
      <c r="J522">
        <v>849</v>
      </c>
      <c r="K522" t="b">
        <f>TrafficData[[#This Row],[disposedChallan]]+TrafficData[[#This Row],[pendingChallan]]=TrafficData[[#This Row],[totalChallan]]</f>
        <v>1</v>
      </c>
      <c r="L522" t="b">
        <f>TrafficData[[#This Row],[pendingAmount]]+TrafficData[[#This Row],[disposedAmount]]=TrafficData[[#This Row],[totalAmount]]</f>
        <v>1</v>
      </c>
      <c r="M522" t="b">
        <f>TrafficData[[#This Row],[pendingCourt]]+TrafficData[[#This Row],[disposedCourt]]=TrafficData[[#This Row],[totalCourt]]</f>
        <v>1</v>
      </c>
      <c r="N522" s="8" t="b">
        <f>AND(TrafficData[[#This Row],[disposedChallan]]&lt;=TrafficData[[#This Row],[totalChallan]],TrafficData[[#This Row],[pendingChallan]]&lt;=TrafficData[[#This Row],[totalChallan]])</f>
        <v>1</v>
      </c>
      <c r="O522" s="8" t="b">
        <f>AND(TrafficData[[#This Row],[pendingAmount]]&lt;=TrafficData[[#This Row],[totalAmount]],TrafficData[[#This Row],[disposedAmount]]&lt;=TrafficData[[#This Row],[totalAmount]])</f>
        <v>1</v>
      </c>
      <c r="P522" s="8" t="b">
        <f>AND(TrafficData[[#This Row],[pendingCourt]]&lt;=TrafficData[[#This Row],[totalCourt]],TrafficData[[#This Row],[disposedCourt]]&lt;=TrafficData[[#This Row],[totalCourt]])</f>
        <v>1</v>
      </c>
    </row>
    <row r="523" spans="1:16">
      <c r="A523" s="1">
        <v>42526</v>
      </c>
      <c r="B523">
        <v>591</v>
      </c>
      <c r="C523">
        <v>56</v>
      </c>
      <c r="D523">
        <v>535</v>
      </c>
      <c r="E523">
        <v>1022950</v>
      </c>
      <c r="F523">
        <v>130620</v>
      </c>
      <c r="G523">
        <v>1153570</v>
      </c>
      <c r="H523">
        <v>325</v>
      </c>
      <c r="I523">
        <v>12</v>
      </c>
      <c r="J523">
        <v>337</v>
      </c>
      <c r="K523" t="b">
        <f>TrafficData[[#This Row],[disposedChallan]]+TrafficData[[#This Row],[pendingChallan]]=TrafficData[[#This Row],[totalChallan]]</f>
        <v>1</v>
      </c>
      <c r="L523" t="b">
        <f>TrafficData[[#This Row],[pendingAmount]]+TrafficData[[#This Row],[disposedAmount]]=TrafficData[[#This Row],[totalAmount]]</f>
        <v>1</v>
      </c>
      <c r="M523" t="b">
        <f>TrafficData[[#This Row],[pendingCourt]]+TrafficData[[#This Row],[disposedCourt]]=TrafficData[[#This Row],[totalCourt]]</f>
        <v>1</v>
      </c>
      <c r="N523" s="8" t="b">
        <f>AND(TrafficData[[#This Row],[disposedChallan]]&lt;=TrafficData[[#This Row],[totalChallan]],TrafficData[[#This Row],[pendingChallan]]&lt;=TrafficData[[#This Row],[totalChallan]])</f>
        <v>1</v>
      </c>
      <c r="O523" s="8" t="b">
        <f>AND(TrafficData[[#This Row],[pendingAmount]]&lt;=TrafficData[[#This Row],[totalAmount]],TrafficData[[#This Row],[disposedAmount]]&lt;=TrafficData[[#This Row],[totalAmount]])</f>
        <v>1</v>
      </c>
      <c r="P523" s="8" t="b">
        <f>AND(TrafficData[[#This Row],[pendingCourt]]&lt;=TrafficData[[#This Row],[totalCourt]],TrafficData[[#This Row],[disposedCourt]]&lt;=TrafficData[[#This Row],[totalCourt]])</f>
        <v>1</v>
      </c>
    </row>
    <row r="524" spans="1:16">
      <c r="A524" s="1">
        <v>42527</v>
      </c>
      <c r="B524">
        <v>987</v>
      </c>
      <c r="C524">
        <v>136</v>
      </c>
      <c r="D524">
        <v>851</v>
      </c>
      <c r="E524">
        <v>1558250</v>
      </c>
      <c r="F524">
        <v>534350</v>
      </c>
      <c r="G524">
        <v>2092600</v>
      </c>
      <c r="H524">
        <v>503</v>
      </c>
      <c r="I524">
        <v>27</v>
      </c>
      <c r="J524">
        <v>530</v>
      </c>
      <c r="K524" t="b">
        <f>TrafficData[[#This Row],[disposedChallan]]+TrafficData[[#This Row],[pendingChallan]]=TrafficData[[#This Row],[totalChallan]]</f>
        <v>1</v>
      </c>
      <c r="L524" t="b">
        <f>TrafficData[[#This Row],[pendingAmount]]+TrafficData[[#This Row],[disposedAmount]]=TrafficData[[#This Row],[totalAmount]]</f>
        <v>1</v>
      </c>
      <c r="M524" t="b">
        <f>TrafficData[[#This Row],[pendingCourt]]+TrafficData[[#This Row],[disposedCourt]]=TrafficData[[#This Row],[totalCourt]]</f>
        <v>1</v>
      </c>
      <c r="N524" s="8" t="b">
        <f>AND(TrafficData[[#This Row],[disposedChallan]]&lt;=TrafficData[[#This Row],[totalChallan]],TrafficData[[#This Row],[pendingChallan]]&lt;=TrafficData[[#This Row],[totalChallan]])</f>
        <v>1</v>
      </c>
      <c r="O524" s="8" t="b">
        <f>AND(TrafficData[[#This Row],[pendingAmount]]&lt;=TrafficData[[#This Row],[totalAmount]],TrafficData[[#This Row],[disposedAmount]]&lt;=TrafficData[[#This Row],[totalAmount]])</f>
        <v>1</v>
      </c>
      <c r="P524" s="8" t="b">
        <f>AND(TrafficData[[#This Row],[pendingCourt]]&lt;=TrafficData[[#This Row],[totalCourt]],TrafficData[[#This Row],[disposedCourt]]&lt;=TrafficData[[#This Row],[totalCourt]])</f>
        <v>1</v>
      </c>
    </row>
    <row r="525" spans="1:16">
      <c r="A525" s="1">
        <v>42528</v>
      </c>
      <c r="B525">
        <v>1256</v>
      </c>
      <c r="C525">
        <v>158</v>
      </c>
      <c r="D525">
        <v>1098</v>
      </c>
      <c r="E525">
        <v>1162900</v>
      </c>
      <c r="F525">
        <v>254550</v>
      </c>
      <c r="G525">
        <v>1417450</v>
      </c>
      <c r="H525">
        <v>817</v>
      </c>
      <c r="I525">
        <v>53</v>
      </c>
      <c r="J525">
        <v>870</v>
      </c>
      <c r="K525" t="b">
        <f>TrafficData[[#This Row],[disposedChallan]]+TrafficData[[#This Row],[pendingChallan]]=TrafficData[[#This Row],[totalChallan]]</f>
        <v>1</v>
      </c>
      <c r="L525" t="b">
        <f>TrafficData[[#This Row],[pendingAmount]]+TrafficData[[#This Row],[disposedAmount]]=TrafficData[[#This Row],[totalAmount]]</f>
        <v>1</v>
      </c>
      <c r="M525" t="b">
        <f>TrafficData[[#This Row],[pendingCourt]]+TrafficData[[#This Row],[disposedCourt]]=TrafficData[[#This Row],[totalCourt]]</f>
        <v>1</v>
      </c>
      <c r="N525" s="8" t="b">
        <f>AND(TrafficData[[#This Row],[disposedChallan]]&lt;=TrafficData[[#This Row],[totalChallan]],TrafficData[[#This Row],[pendingChallan]]&lt;=TrafficData[[#This Row],[totalChallan]])</f>
        <v>1</v>
      </c>
      <c r="O525" s="8" t="b">
        <f>AND(TrafficData[[#This Row],[pendingAmount]]&lt;=TrafficData[[#This Row],[totalAmount]],TrafficData[[#This Row],[disposedAmount]]&lt;=TrafficData[[#This Row],[totalAmount]])</f>
        <v>1</v>
      </c>
      <c r="P525" s="8" t="b">
        <f>AND(TrafficData[[#This Row],[pendingCourt]]&lt;=TrafficData[[#This Row],[totalCourt]],TrafficData[[#This Row],[disposedCourt]]&lt;=TrafficData[[#This Row],[totalCourt]])</f>
        <v>1</v>
      </c>
    </row>
    <row r="526" spans="1:16">
      <c r="A526" s="1">
        <v>42529</v>
      </c>
      <c r="B526">
        <v>1179</v>
      </c>
      <c r="C526">
        <v>121</v>
      </c>
      <c r="D526">
        <v>1058</v>
      </c>
      <c r="E526">
        <v>1487410</v>
      </c>
      <c r="F526">
        <v>226200</v>
      </c>
      <c r="G526">
        <v>1713610</v>
      </c>
      <c r="H526">
        <v>749</v>
      </c>
      <c r="I526">
        <v>39</v>
      </c>
      <c r="J526">
        <v>788</v>
      </c>
      <c r="K526" t="b">
        <f>TrafficData[[#This Row],[disposedChallan]]+TrafficData[[#This Row],[pendingChallan]]=TrafficData[[#This Row],[totalChallan]]</f>
        <v>1</v>
      </c>
      <c r="L526" t="b">
        <f>TrafficData[[#This Row],[pendingAmount]]+TrafficData[[#This Row],[disposedAmount]]=TrafficData[[#This Row],[totalAmount]]</f>
        <v>1</v>
      </c>
      <c r="M526" t="b">
        <f>TrafficData[[#This Row],[pendingCourt]]+TrafficData[[#This Row],[disposedCourt]]=TrafficData[[#This Row],[totalCourt]]</f>
        <v>1</v>
      </c>
      <c r="N526" s="8" t="b">
        <f>AND(TrafficData[[#This Row],[disposedChallan]]&lt;=TrafficData[[#This Row],[totalChallan]],TrafficData[[#This Row],[pendingChallan]]&lt;=TrafficData[[#This Row],[totalChallan]])</f>
        <v>1</v>
      </c>
      <c r="O526" s="8" t="b">
        <f>AND(TrafficData[[#This Row],[pendingAmount]]&lt;=TrafficData[[#This Row],[totalAmount]],TrafficData[[#This Row],[disposedAmount]]&lt;=TrafficData[[#This Row],[totalAmount]])</f>
        <v>1</v>
      </c>
      <c r="P526" s="8" t="b">
        <f>AND(TrafficData[[#This Row],[pendingCourt]]&lt;=TrafficData[[#This Row],[totalCourt]],TrafficData[[#This Row],[disposedCourt]]&lt;=TrafficData[[#This Row],[totalCourt]])</f>
        <v>1</v>
      </c>
    </row>
    <row r="527" spans="1:16">
      <c r="A527" s="1">
        <v>42530</v>
      </c>
      <c r="B527">
        <v>994</v>
      </c>
      <c r="C527">
        <v>130</v>
      </c>
      <c r="D527">
        <v>864</v>
      </c>
      <c r="E527">
        <v>1132419</v>
      </c>
      <c r="F527">
        <v>287380</v>
      </c>
      <c r="G527">
        <v>1419799</v>
      </c>
      <c r="H527">
        <v>586</v>
      </c>
      <c r="I527">
        <v>33</v>
      </c>
      <c r="J527">
        <v>619</v>
      </c>
      <c r="K527" t="b">
        <f>TrafficData[[#This Row],[disposedChallan]]+TrafficData[[#This Row],[pendingChallan]]=TrafficData[[#This Row],[totalChallan]]</f>
        <v>1</v>
      </c>
      <c r="L527" t="b">
        <f>TrafficData[[#This Row],[pendingAmount]]+TrafficData[[#This Row],[disposedAmount]]=TrafficData[[#This Row],[totalAmount]]</f>
        <v>1</v>
      </c>
      <c r="M527" t="b">
        <f>TrafficData[[#This Row],[pendingCourt]]+TrafficData[[#This Row],[disposedCourt]]=TrafficData[[#This Row],[totalCourt]]</f>
        <v>1</v>
      </c>
      <c r="N527" s="8" t="b">
        <f>AND(TrafficData[[#This Row],[disposedChallan]]&lt;=TrafficData[[#This Row],[totalChallan]],TrafficData[[#This Row],[pendingChallan]]&lt;=TrafficData[[#This Row],[totalChallan]])</f>
        <v>1</v>
      </c>
      <c r="O527" s="8" t="b">
        <f>AND(TrafficData[[#This Row],[pendingAmount]]&lt;=TrafficData[[#This Row],[totalAmount]],TrafficData[[#This Row],[disposedAmount]]&lt;=TrafficData[[#This Row],[totalAmount]])</f>
        <v>1</v>
      </c>
      <c r="P527" s="8" t="b">
        <f>AND(TrafficData[[#This Row],[pendingCourt]]&lt;=TrafficData[[#This Row],[totalCourt]],TrafficData[[#This Row],[disposedCourt]]&lt;=TrafficData[[#This Row],[totalCourt]])</f>
        <v>1</v>
      </c>
    </row>
    <row r="528" spans="1:16">
      <c r="A528" s="1">
        <v>42531</v>
      </c>
      <c r="B528">
        <v>1088</v>
      </c>
      <c r="C528">
        <v>157</v>
      </c>
      <c r="D528">
        <v>931</v>
      </c>
      <c r="E528">
        <v>957250</v>
      </c>
      <c r="F528">
        <v>342350</v>
      </c>
      <c r="G528">
        <v>1299600</v>
      </c>
      <c r="H528">
        <v>663</v>
      </c>
      <c r="I528">
        <v>38</v>
      </c>
      <c r="J528">
        <v>701</v>
      </c>
      <c r="K528" t="b">
        <f>TrafficData[[#This Row],[disposedChallan]]+TrafficData[[#This Row],[pendingChallan]]=TrafficData[[#This Row],[totalChallan]]</f>
        <v>1</v>
      </c>
      <c r="L528" t="b">
        <f>TrafficData[[#This Row],[pendingAmount]]+TrafficData[[#This Row],[disposedAmount]]=TrafficData[[#This Row],[totalAmount]]</f>
        <v>1</v>
      </c>
      <c r="M528" t="b">
        <f>TrafficData[[#This Row],[pendingCourt]]+TrafficData[[#This Row],[disposedCourt]]=TrafficData[[#This Row],[totalCourt]]</f>
        <v>1</v>
      </c>
      <c r="N528" s="8" t="b">
        <f>AND(TrafficData[[#This Row],[disposedChallan]]&lt;=TrafficData[[#This Row],[totalChallan]],TrafficData[[#This Row],[pendingChallan]]&lt;=TrafficData[[#This Row],[totalChallan]])</f>
        <v>1</v>
      </c>
      <c r="O528" s="8" t="b">
        <f>AND(TrafficData[[#This Row],[pendingAmount]]&lt;=TrafficData[[#This Row],[totalAmount]],TrafficData[[#This Row],[disposedAmount]]&lt;=TrafficData[[#This Row],[totalAmount]])</f>
        <v>1</v>
      </c>
      <c r="P528" s="8" t="b">
        <f>AND(TrafficData[[#This Row],[pendingCourt]]&lt;=TrafficData[[#This Row],[totalCourt]],TrafficData[[#This Row],[disposedCourt]]&lt;=TrafficData[[#This Row],[totalCourt]])</f>
        <v>1</v>
      </c>
    </row>
    <row r="529" spans="1:16">
      <c r="A529" s="1">
        <v>42532</v>
      </c>
      <c r="B529">
        <v>922</v>
      </c>
      <c r="C529">
        <v>135</v>
      </c>
      <c r="D529">
        <v>787</v>
      </c>
      <c r="E529">
        <v>805550</v>
      </c>
      <c r="F529">
        <v>223550</v>
      </c>
      <c r="G529">
        <v>1029100</v>
      </c>
      <c r="H529">
        <v>585</v>
      </c>
      <c r="I529">
        <v>40</v>
      </c>
      <c r="J529">
        <v>625</v>
      </c>
      <c r="K529" t="b">
        <f>TrafficData[[#This Row],[disposedChallan]]+TrafficData[[#This Row],[pendingChallan]]=TrafficData[[#This Row],[totalChallan]]</f>
        <v>1</v>
      </c>
      <c r="L529" t="b">
        <f>TrafficData[[#This Row],[pendingAmount]]+TrafficData[[#This Row],[disposedAmount]]=TrafficData[[#This Row],[totalAmount]]</f>
        <v>1</v>
      </c>
      <c r="M529" t="b">
        <f>TrafficData[[#This Row],[pendingCourt]]+TrafficData[[#This Row],[disposedCourt]]=TrafficData[[#This Row],[totalCourt]]</f>
        <v>1</v>
      </c>
      <c r="N529" s="8" t="b">
        <f>AND(TrafficData[[#This Row],[disposedChallan]]&lt;=TrafficData[[#This Row],[totalChallan]],TrafficData[[#This Row],[pendingChallan]]&lt;=TrafficData[[#This Row],[totalChallan]])</f>
        <v>1</v>
      </c>
      <c r="O529" s="8" t="b">
        <f>AND(TrafficData[[#This Row],[pendingAmount]]&lt;=TrafficData[[#This Row],[totalAmount]],TrafficData[[#This Row],[disposedAmount]]&lt;=TrafficData[[#This Row],[totalAmount]])</f>
        <v>1</v>
      </c>
      <c r="P529" s="8" t="b">
        <f>AND(TrafficData[[#This Row],[pendingCourt]]&lt;=TrafficData[[#This Row],[totalCourt]],TrafficData[[#This Row],[disposedCourt]]&lt;=TrafficData[[#This Row],[totalCourt]])</f>
        <v>1</v>
      </c>
    </row>
    <row r="530" spans="1:16">
      <c r="A530" s="1">
        <v>42533</v>
      </c>
      <c r="B530">
        <v>742</v>
      </c>
      <c r="C530">
        <v>103</v>
      </c>
      <c r="D530">
        <v>639</v>
      </c>
      <c r="E530">
        <v>710850</v>
      </c>
      <c r="F530">
        <v>188150</v>
      </c>
      <c r="G530">
        <v>899000</v>
      </c>
      <c r="H530">
        <v>478</v>
      </c>
      <c r="I530">
        <v>14</v>
      </c>
      <c r="J530">
        <v>492</v>
      </c>
      <c r="K530" t="b">
        <f>TrafficData[[#This Row],[disposedChallan]]+TrafficData[[#This Row],[pendingChallan]]=TrafficData[[#This Row],[totalChallan]]</f>
        <v>1</v>
      </c>
      <c r="L530" t="b">
        <f>TrafficData[[#This Row],[pendingAmount]]+TrafficData[[#This Row],[disposedAmount]]=TrafficData[[#This Row],[totalAmount]]</f>
        <v>1</v>
      </c>
      <c r="M530" t="b">
        <f>TrafficData[[#This Row],[pendingCourt]]+TrafficData[[#This Row],[disposedCourt]]=TrafficData[[#This Row],[totalCourt]]</f>
        <v>1</v>
      </c>
      <c r="N530" s="8" t="b">
        <f>AND(TrafficData[[#This Row],[disposedChallan]]&lt;=TrafficData[[#This Row],[totalChallan]],TrafficData[[#This Row],[pendingChallan]]&lt;=TrafficData[[#This Row],[totalChallan]])</f>
        <v>1</v>
      </c>
      <c r="O530" s="8" t="b">
        <f>AND(TrafficData[[#This Row],[pendingAmount]]&lt;=TrafficData[[#This Row],[totalAmount]],TrafficData[[#This Row],[disposedAmount]]&lt;=TrafficData[[#This Row],[totalAmount]])</f>
        <v>1</v>
      </c>
      <c r="P530" s="8" t="b">
        <f>AND(TrafficData[[#This Row],[pendingCourt]]&lt;=TrafficData[[#This Row],[totalCourt]],TrafficData[[#This Row],[disposedCourt]]&lt;=TrafficData[[#This Row],[totalCourt]])</f>
        <v>1</v>
      </c>
    </row>
    <row r="531" spans="1:16">
      <c r="A531" s="1">
        <v>42534</v>
      </c>
      <c r="B531">
        <v>788</v>
      </c>
      <c r="C531">
        <v>89</v>
      </c>
      <c r="D531">
        <v>699</v>
      </c>
      <c r="E531">
        <v>1220500</v>
      </c>
      <c r="F531">
        <v>84700</v>
      </c>
      <c r="G531">
        <v>1305200</v>
      </c>
      <c r="H531">
        <v>453</v>
      </c>
      <c r="I531">
        <v>27</v>
      </c>
      <c r="J531">
        <v>480</v>
      </c>
      <c r="K531" t="b">
        <f>TrafficData[[#This Row],[disposedChallan]]+TrafficData[[#This Row],[pendingChallan]]=TrafficData[[#This Row],[totalChallan]]</f>
        <v>1</v>
      </c>
      <c r="L531" t="b">
        <f>TrafficData[[#This Row],[pendingAmount]]+TrafficData[[#This Row],[disposedAmount]]=TrafficData[[#This Row],[totalAmount]]</f>
        <v>1</v>
      </c>
      <c r="M531" t="b">
        <f>TrafficData[[#This Row],[pendingCourt]]+TrafficData[[#This Row],[disposedCourt]]=TrafficData[[#This Row],[totalCourt]]</f>
        <v>1</v>
      </c>
      <c r="N531" s="8" t="b">
        <f>AND(TrafficData[[#This Row],[disposedChallan]]&lt;=TrafficData[[#This Row],[totalChallan]],TrafficData[[#This Row],[pendingChallan]]&lt;=TrafficData[[#This Row],[totalChallan]])</f>
        <v>1</v>
      </c>
      <c r="O531" s="8" t="b">
        <f>AND(TrafficData[[#This Row],[pendingAmount]]&lt;=TrafficData[[#This Row],[totalAmount]],TrafficData[[#This Row],[disposedAmount]]&lt;=TrafficData[[#This Row],[totalAmount]])</f>
        <v>1</v>
      </c>
      <c r="P531" s="8" t="b">
        <f>AND(TrafficData[[#This Row],[pendingCourt]]&lt;=TrafficData[[#This Row],[totalCourt]],TrafficData[[#This Row],[disposedCourt]]&lt;=TrafficData[[#This Row],[totalCourt]])</f>
        <v>1</v>
      </c>
    </row>
    <row r="532" spans="1:16">
      <c r="A532" s="1">
        <v>42535</v>
      </c>
      <c r="B532">
        <v>1406</v>
      </c>
      <c r="C532">
        <v>177</v>
      </c>
      <c r="D532">
        <v>1229</v>
      </c>
      <c r="E532">
        <v>1496250</v>
      </c>
      <c r="F532">
        <v>388950</v>
      </c>
      <c r="G532">
        <v>1885200</v>
      </c>
      <c r="H532">
        <v>939</v>
      </c>
      <c r="I532">
        <v>30</v>
      </c>
      <c r="J532">
        <v>969</v>
      </c>
      <c r="K532" t="b">
        <f>TrafficData[[#This Row],[disposedChallan]]+TrafficData[[#This Row],[pendingChallan]]=TrafficData[[#This Row],[totalChallan]]</f>
        <v>1</v>
      </c>
      <c r="L532" t="b">
        <f>TrafficData[[#This Row],[pendingAmount]]+TrafficData[[#This Row],[disposedAmount]]=TrafficData[[#This Row],[totalAmount]]</f>
        <v>1</v>
      </c>
      <c r="M532" t="b">
        <f>TrafficData[[#This Row],[pendingCourt]]+TrafficData[[#This Row],[disposedCourt]]=TrafficData[[#This Row],[totalCourt]]</f>
        <v>1</v>
      </c>
      <c r="N532" s="8" t="b">
        <f>AND(TrafficData[[#This Row],[disposedChallan]]&lt;=TrafficData[[#This Row],[totalChallan]],TrafficData[[#This Row],[pendingChallan]]&lt;=TrafficData[[#This Row],[totalChallan]])</f>
        <v>1</v>
      </c>
      <c r="O532" s="8" t="b">
        <f>AND(TrafficData[[#This Row],[pendingAmount]]&lt;=TrafficData[[#This Row],[totalAmount]],TrafficData[[#This Row],[disposedAmount]]&lt;=TrafficData[[#This Row],[totalAmount]])</f>
        <v>1</v>
      </c>
      <c r="P532" s="8" t="b">
        <f>AND(TrafficData[[#This Row],[pendingCourt]]&lt;=TrafficData[[#This Row],[totalCourt]],TrafficData[[#This Row],[disposedCourt]]&lt;=TrafficData[[#This Row],[totalCourt]])</f>
        <v>1</v>
      </c>
    </row>
    <row r="533" spans="1:16">
      <c r="A533" s="1">
        <v>42536</v>
      </c>
      <c r="B533">
        <v>1182</v>
      </c>
      <c r="C533">
        <v>209</v>
      </c>
      <c r="D533">
        <v>973</v>
      </c>
      <c r="E533">
        <v>1294355</v>
      </c>
      <c r="F533">
        <v>396160</v>
      </c>
      <c r="G533">
        <v>1690515</v>
      </c>
      <c r="H533">
        <v>679</v>
      </c>
      <c r="I533">
        <v>28</v>
      </c>
      <c r="J533">
        <v>707</v>
      </c>
      <c r="K533" t="b">
        <f>TrafficData[[#This Row],[disposedChallan]]+TrafficData[[#This Row],[pendingChallan]]=TrafficData[[#This Row],[totalChallan]]</f>
        <v>1</v>
      </c>
      <c r="L533" t="b">
        <f>TrafficData[[#This Row],[pendingAmount]]+TrafficData[[#This Row],[disposedAmount]]=TrafficData[[#This Row],[totalAmount]]</f>
        <v>1</v>
      </c>
      <c r="M533" t="b">
        <f>TrafficData[[#This Row],[pendingCourt]]+TrafficData[[#This Row],[disposedCourt]]=TrafficData[[#This Row],[totalCourt]]</f>
        <v>1</v>
      </c>
      <c r="N533" s="8" t="b">
        <f>AND(TrafficData[[#This Row],[disposedChallan]]&lt;=TrafficData[[#This Row],[totalChallan]],TrafficData[[#This Row],[pendingChallan]]&lt;=TrafficData[[#This Row],[totalChallan]])</f>
        <v>1</v>
      </c>
      <c r="O533" s="8" t="b">
        <f>AND(TrafficData[[#This Row],[pendingAmount]]&lt;=TrafficData[[#This Row],[totalAmount]],TrafficData[[#This Row],[disposedAmount]]&lt;=TrafficData[[#This Row],[totalAmount]])</f>
        <v>1</v>
      </c>
      <c r="P533" s="8" t="b">
        <f>AND(TrafficData[[#This Row],[pendingCourt]]&lt;=TrafficData[[#This Row],[totalCourt]],TrafficData[[#This Row],[disposedCourt]]&lt;=TrafficData[[#This Row],[totalCourt]])</f>
        <v>1</v>
      </c>
    </row>
    <row r="534" spans="1:16">
      <c r="A534" s="1">
        <v>42537</v>
      </c>
      <c r="B534">
        <v>1364</v>
      </c>
      <c r="C534">
        <v>193</v>
      </c>
      <c r="D534">
        <v>1171</v>
      </c>
      <c r="E534">
        <v>1226350</v>
      </c>
      <c r="F534">
        <v>319824</v>
      </c>
      <c r="G534">
        <v>1546174</v>
      </c>
      <c r="H534">
        <v>915</v>
      </c>
      <c r="I534">
        <v>71</v>
      </c>
      <c r="J534">
        <v>986</v>
      </c>
      <c r="K534" t="b">
        <f>TrafficData[[#This Row],[disposedChallan]]+TrafficData[[#This Row],[pendingChallan]]=TrafficData[[#This Row],[totalChallan]]</f>
        <v>1</v>
      </c>
      <c r="L534" t="b">
        <f>TrafficData[[#This Row],[pendingAmount]]+TrafficData[[#This Row],[disposedAmount]]=TrafficData[[#This Row],[totalAmount]]</f>
        <v>1</v>
      </c>
      <c r="M534" t="b">
        <f>TrafficData[[#This Row],[pendingCourt]]+TrafficData[[#This Row],[disposedCourt]]=TrafficData[[#This Row],[totalCourt]]</f>
        <v>1</v>
      </c>
      <c r="N534" s="8" t="b">
        <f>AND(TrafficData[[#This Row],[disposedChallan]]&lt;=TrafficData[[#This Row],[totalChallan]],TrafficData[[#This Row],[pendingChallan]]&lt;=TrafficData[[#This Row],[totalChallan]])</f>
        <v>1</v>
      </c>
      <c r="O534" s="8" t="b">
        <f>AND(TrafficData[[#This Row],[pendingAmount]]&lt;=TrafficData[[#This Row],[totalAmount]],TrafficData[[#This Row],[disposedAmount]]&lt;=TrafficData[[#This Row],[totalAmount]])</f>
        <v>1</v>
      </c>
      <c r="P534" s="8" t="b">
        <f>AND(TrafficData[[#This Row],[pendingCourt]]&lt;=TrafficData[[#This Row],[totalCourt]],TrafficData[[#This Row],[disposedCourt]]&lt;=TrafficData[[#This Row],[totalCourt]])</f>
        <v>1</v>
      </c>
    </row>
    <row r="535" spans="1:16">
      <c r="A535" s="1">
        <v>42538</v>
      </c>
      <c r="B535">
        <v>1067</v>
      </c>
      <c r="C535">
        <v>142</v>
      </c>
      <c r="D535">
        <v>925</v>
      </c>
      <c r="E535">
        <v>1095900</v>
      </c>
      <c r="F535">
        <v>221800</v>
      </c>
      <c r="G535">
        <v>1317700</v>
      </c>
      <c r="H535">
        <v>677</v>
      </c>
      <c r="I535">
        <v>15</v>
      </c>
      <c r="J535">
        <v>692</v>
      </c>
      <c r="K535" t="b">
        <f>TrafficData[[#This Row],[disposedChallan]]+TrafficData[[#This Row],[pendingChallan]]=TrafficData[[#This Row],[totalChallan]]</f>
        <v>1</v>
      </c>
      <c r="L535" t="b">
        <f>TrafficData[[#This Row],[pendingAmount]]+TrafficData[[#This Row],[disposedAmount]]=TrafficData[[#This Row],[totalAmount]]</f>
        <v>1</v>
      </c>
      <c r="M535" t="b">
        <f>TrafficData[[#This Row],[pendingCourt]]+TrafficData[[#This Row],[disposedCourt]]=TrafficData[[#This Row],[totalCourt]]</f>
        <v>1</v>
      </c>
      <c r="N535" s="8" t="b">
        <f>AND(TrafficData[[#This Row],[disposedChallan]]&lt;=TrafficData[[#This Row],[totalChallan]],TrafficData[[#This Row],[pendingChallan]]&lt;=TrafficData[[#This Row],[totalChallan]])</f>
        <v>1</v>
      </c>
      <c r="O535" s="8" t="b">
        <f>AND(TrafficData[[#This Row],[pendingAmount]]&lt;=TrafficData[[#This Row],[totalAmount]],TrafficData[[#This Row],[disposedAmount]]&lt;=TrafficData[[#This Row],[totalAmount]])</f>
        <v>1</v>
      </c>
      <c r="P535" s="8" t="b">
        <f>AND(TrafficData[[#This Row],[pendingCourt]]&lt;=TrafficData[[#This Row],[totalCourt]],TrafficData[[#This Row],[disposedCourt]]&lt;=TrafficData[[#This Row],[totalCourt]])</f>
        <v>1</v>
      </c>
    </row>
    <row r="536" spans="1:16">
      <c r="A536" s="1">
        <v>42539</v>
      </c>
      <c r="B536">
        <v>841</v>
      </c>
      <c r="C536">
        <v>131</v>
      </c>
      <c r="D536">
        <v>710</v>
      </c>
      <c r="E536">
        <v>1218950</v>
      </c>
      <c r="F536">
        <v>410000</v>
      </c>
      <c r="G536">
        <v>1628950</v>
      </c>
      <c r="H536">
        <v>516</v>
      </c>
      <c r="I536">
        <v>13</v>
      </c>
      <c r="J536">
        <v>529</v>
      </c>
      <c r="K536" t="b">
        <f>TrafficData[[#This Row],[disposedChallan]]+TrafficData[[#This Row],[pendingChallan]]=TrafficData[[#This Row],[totalChallan]]</f>
        <v>1</v>
      </c>
      <c r="L536" t="b">
        <f>TrafficData[[#This Row],[pendingAmount]]+TrafficData[[#This Row],[disposedAmount]]=TrafficData[[#This Row],[totalAmount]]</f>
        <v>1</v>
      </c>
      <c r="M536" t="b">
        <f>TrafficData[[#This Row],[pendingCourt]]+TrafficData[[#This Row],[disposedCourt]]=TrafficData[[#This Row],[totalCourt]]</f>
        <v>1</v>
      </c>
      <c r="N536" s="8" t="b">
        <f>AND(TrafficData[[#This Row],[disposedChallan]]&lt;=TrafficData[[#This Row],[totalChallan]],TrafficData[[#This Row],[pendingChallan]]&lt;=TrafficData[[#This Row],[totalChallan]])</f>
        <v>1</v>
      </c>
      <c r="O536" s="8" t="b">
        <f>AND(TrafficData[[#This Row],[pendingAmount]]&lt;=TrafficData[[#This Row],[totalAmount]],TrafficData[[#This Row],[disposedAmount]]&lt;=TrafficData[[#This Row],[totalAmount]])</f>
        <v>1</v>
      </c>
      <c r="P536" s="8" t="b">
        <f>AND(TrafficData[[#This Row],[pendingCourt]]&lt;=TrafficData[[#This Row],[totalCourt]],TrafficData[[#This Row],[disposedCourt]]&lt;=TrafficData[[#This Row],[totalCourt]])</f>
        <v>1</v>
      </c>
    </row>
    <row r="537" spans="1:16">
      <c r="A537" s="1">
        <v>42540</v>
      </c>
      <c r="B537">
        <v>411</v>
      </c>
      <c r="C537">
        <v>61</v>
      </c>
      <c r="D537">
        <v>350</v>
      </c>
      <c r="E537">
        <v>601201</v>
      </c>
      <c r="F537">
        <v>189300</v>
      </c>
      <c r="G537">
        <v>790501</v>
      </c>
      <c r="H537">
        <v>247</v>
      </c>
      <c r="I537">
        <v>4</v>
      </c>
      <c r="J537">
        <v>251</v>
      </c>
      <c r="K537" t="b">
        <f>TrafficData[[#This Row],[disposedChallan]]+TrafficData[[#This Row],[pendingChallan]]=TrafficData[[#This Row],[totalChallan]]</f>
        <v>1</v>
      </c>
      <c r="L537" t="b">
        <f>TrafficData[[#This Row],[pendingAmount]]+TrafficData[[#This Row],[disposedAmount]]=TrafficData[[#This Row],[totalAmount]]</f>
        <v>1</v>
      </c>
      <c r="M537" t="b">
        <f>TrafficData[[#This Row],[pendingCourt]]+TrafficData[[#This Row],[disposedCourt]]=TrafficData[[#This Row],[totalCourt]]</f>
        <v>1</v>
      </c>
      <c r="N537" s="8" t="b">
        <f>AND(TrafficData[[#This Row],[disposedChallan]]&lt;=TrafficData[[#This Row],[totalChallan]],TrafficData[[#This Row],[pendingChallan]]&lt;=TrafficData[[#This Row],[totalChallan]])</f>
        <v>1</v>
      </c>
      <c r="O537" s="8" t="b">
        <f>AND(TrafficData[[#This Row],[pendingAmount]]&lt;=TrafficData[[#This Row],[totalAmount]],TrafficData[[#This Row],[disposedAmount]]&lt;=TrafficData[[#This Row],[totalAmount]])</f>
        <v>1</v>
      </c>
      <c r="P537" s="8" t="b">
        <f>AND(TrafficData[[#This Row],[pendingCourt]]&lt;=TrafficData[[#This Row],[totalCourt]],TrafficData[[#This Row],[disposedCourt]]&lt;=TrafficData[[#This Row],[totalCourt]])</f>
        <v>1</v>
      </c>
    </row>
    <row r="538" spans="1:16">
      <c r="A538" s="1">
        <v>42541</v>
      </c>
      <c r="B538">
        <v>672</v>
      </c>
      <c r="C538">
        <v>78</v>
      </c>
      <c r="D538">
        <v>594</v>
      </c>
      <c r="E538">
        <v>768625</v>
      </c>
      <c r="F538">
        <v>183975</v>
      </c>
      <c r="G538">
        <v>952600</v>
      </c>
      <c r="H538">
        <v>377</v>
      </c>
      <c r="I538">
        <v>5</v>
      </c>
      <c r="J538">
        <v>382</v>
      </c>
      <c r="K538" t="b">
        <f>TrafficData[[#This Row],[disposedChallan]]+TrafficData[[#This Row],[pendingChallan]]=TrafficData[[#This Row],[totalChallan]]</f>
        <v>1</v>
      </c>
      <c r="L538" t="b">
        <f>TrafficData[[#This Row],[pendingAmount]]+TrafficData[[#This Row],[disposedAmount]]=TrafficData[[#This Row],[totalAmount]]</f>
        <v>1</v>
      </c>
      <c r="M538" t="b">
        <f>TrafficData[[#This Row],[pendingCourt]]+TrafficData[[#This Row],[disposedCourt]]=TrafficData[[#This Row],[totalCourt]]</f>
        <v>1</v>
      </c>
      <c r="N538" s="8" t="b">
        <f>AND(TrafficData[[#This Row],[disposedChallan]]&lt;=TrafficData[[#This Row],[totalChallan]],TrafficData[[#This Row],[pendingChallan]]&lt;=TrafficData[[#This Row],[totalChallan]])</f>
        <v>1</v>
      </c>
      <c r="O538" s="8" t="b">
        <f>AND(TrafficData[[#This Row],[pendingAmount]]&lt;=TrafficData[[#This Row],[totalAmount]],TrafficData[[#This Row],[disposedAmount]]&lt;=TrafficData[[#This Row],[totalAmount]])</f>
        <v>1</v>
      </c>
      <c r="P538" s="8" t="b">
        <f>AND(TrafficData[[#This Row],[pendingCourt]]&lt;=TrafficData[[#This Row],[totalCourt]],TrafficData[[#This Row],[disposedCourt]]&lt;=TrafficData[[#This Row],[totalCourt]])</f>
        <v>1</v>
      </c>
    </row>
    <row r="539" spans="1:16">
      <c r="A539" s="1">
        <v>42542</v>
      </c>
      <c r="B539">
        <v>916</v>
      </c>
      <c r="C539">
        <v>132</v>
      </c>
      <c r="D539">
        <v>784</v>
      </c>
      <c r="E539">
        <v>950300</v>
      </c>
      <c r="F539">
        <v>355340</v>
      </c>
      <c r="G539">
        <v>1305640</v>
      </c>
      <c r="H539">
        <v>520</v>
      </c>
      <c r="I539">
        <v>11</v>
      </c>
      <c r="J539">
        <v>531</v>
      </c>
      <c r="K539" t="b">
        <f>TrafficData[[#This Row],[disposedChallan]]+TrafficData[[#This Row],[pendingChallan]]=TrafficData[[#This Row],[totalChallan]]</f>
        <v>1</v>
      </c>
      <c r="L539" t="b">
        <f>TrafficData[[#This Row],[pendingAmount]]+TrafficData[[#This Row],[disposedAmount]]=TrafficData[[#This Row],[totalAmount]]</f>
        <v>1</v>
      </c>
      <c r="M539" t="b">
        <f>TrafficData[[#This Row],[pendingCourt]]+TrafficData[[#This Row],[disposedCourt]]=TrafficData[[#This Row],[totalCourt]]</f>
        <v>1</v>
      </c>
      <c r="N539" s="8" t="b">
        <f>AND(TrafficData[[#This Row],[disposedChallan]]&lt;=TrafficData[[#This Row],[totalChallan]],TrafficData[[#This Row],[pendingChallan]]&lt;=TrafficData[[#This Row],[totalChallan]])</f>
        <v>1</v>
      </c>
      <c r="O539" s="8" t="b">
        <f>AND(TrafficData[[#This Row],[pendingAmount]]&lt;=TrafficData[[#This Row],[totalAmount]],TrafficData[[#This Row],[disposedAmount]]&lt;=TrafficData[[#This Row],[totalAmount]])</f>
        <v>1</v>
      </c>
      <c r="P539" s="8" t="b">
        <f>AND(TrafficData[[#This Row],[pendingCourt]]&lt;=TrafficData[[#This Row],[totalCourt]],TrafficData[[#This Row],[disposedCourt]]&lt;=TrafficData[[#This Row],[totalCourt]])</f>
        <v>1</v>
      </c>
    </row>
    <row r="540" spans="1:16">
      <c r="A540" s="1">
        <v>42543</v>
      </c>
      <c r="B540">
        <v>1349</v>
      </c>
      <c r="C540">
        <v>127</v>
      </c>
      <c r="D540">
        <v>1222</v>
      </c>
      <c r="E540">
        <v>1270150</v>
      </c>
      <c r="F540">
        <v>267708</v>
      </c>
      <c r="G540">
        <v>1537858</v>
      </c>
      <c r="H540">
        <v>837</v>
      </c>
      <c r="I540">
        <v>36</v>
      </c>
      <c r="J540">
        <v>873</v>
      </c>
      <c r="K540" t="b">
        <f>TrafficData[[#This Row],[disposedChallan]]+TrafficData[[#This Row],[pendingChallan]]=TrafficData[[#This Row],[totalChallan]]</f>
        <v>1</v>
      </c>
      <c r="L540" t="b">
        <f>TrafficData[[#This Row],[pendingAmount]]+TrafficData[[#This Row],[disposedAmount]]=TrafficData[[#This Row],[totalAmount]]</f>
        <v>1</v>
      </c>
      <c r="M540" t="b">
        <f>TrafficData[[#This Row],[pendingCourt]]+TrafficData[[#This Row],[disposedCourt]]=TrafficData[[#This Row],[totalCourt]]</f>
        <v>1</v>
      </c>
      <c r="N540" s="8" t="b">
        <f>AND(TrafficData[[#This Row],[disposedChallan]]&lt;=TrafficData[[#This Row],[totalChallan]],TrafficData[[#This Row],[pendingChallan]]&lt;=TrafficData[[#This Row],[totalChallan]])</f>
        <v>1</v>
      </c>
      <c r="O540" s="8" t="b">
        <f>AND(TrafficData[[#This Row],[pendingAmount]]&lt;=TrafficData[[#This Row],[totalAmount]],TrafficData[[#This Row],[disposedAmount]]&lt;=TrafficData[[#This Row],[totalAmount]])</f>
        <v>1</v>
      </c>
      <c r="P540" s="8" t="b">
        <f>AND(TrafficData[[#This Row],[pendingCourt]]&lt;=TrafficData[[#This Row],[totalCourt]],TrafficData[[#This Row],[disposedCourt]]&lt;=TrafficData[[#This Row],[totalCourt]])</f>
        <v>1</v>
      </c>
    </row>
    <row r="541" spans="1:16">
      <c r="A541" s="1">
        <v>42544</v>
      </c>
      <c r="B541">
        <v>1503</v>
      </c>
      <c r="C541">
        <v>142</v>
      </c>
      <c r="D541">
        <v>1361</v>
      </c>
      <c r="E541">
        <v>1165850</v>
      </c>
      <c r="F541">
        <v>311814</v>
      </c>
      <c r="G541">
        <v>1477664</v>
      </c>
      <c r="H541">
        <v>1038</v>
      </c>
      <c r="I541">
        <v>16</v>
      </c>
      <c r="J541">
        <v>1054</v>
      </c>
      <c r="K541" t="b">
        <f>TrafficData[[#This Row],[disposedChallan]]+TrafficData[[#This Row],[pendingChallan]]=TrafficData[[#This Row],[totalChallan]]</f>
        <v>1</v>
      </c>
      <c r="L541" t="b">
        <f>TrafficData[[#This Row],[pendingAmount]]+TrafficData[[#This Row],[disposedAmount]]=TrafficData[[#This Row],[totalAmount]]</f>
        <v>1</v>
      </c>
      <c r="M541" t="b">
        <f>TrafficData[[#This Row],[pendingCourt]]+TrafficData[[#This Row],[disposedCourt]]=TrafficData[[#This Row],[totalCourt]]</f>
        <v>1</v>
      </c>
      <c r="N541" s="8" t="b">
        <f>AND(TrafficData[[#This Row],[disposedChallan]]&lt;=TrafficData[[#This Row],[totalChallan]],TrafficData[[#This Row],[pendingChallan]]&lt;=TrafficData[[#This Row],[totalChallan]])</f>
        <v>1</v>
      </c>
      <c r="O541" s="8" t="b">
        <f>AND(TrafficData[[#This Row],[pendingAmount]]&lt;=TrafficData[[#This Row],[totalAmount]],TrafficData[[#This Row],[disposedAmount]]&lt;=TrafficData[[#This Row],[totalAmount]])</f>
        <v>1</v>
      </c>
      <c r="P541" s="8" t="b">
        <f>AND(TrafficData[[#This Row],[pendingCourt]]&lt;=TrafficData[[#This Row],[totalCourt]],TrafficData[[#This Row],[disposedCourt]]&lt;=TrafficData[[#This Row],[totalCourt]])</f>
        <v>1</v>
      </c>
    </row>
    <row r="542" spans="1:16">
      <c r="A542" s="1">
        <v>42545</v>
      </c>
      <c r="B542">
        <v>1301</v>
      </c>
      <c r="C542">
        <v>88</v>
      </c>
      <c r="D542">
        <v>1213</v>
      </c>
      <c r="E542">
        <v>917100</v>
      </c>
      <c r="F542">
        <v>293770</v>
      </c>
      <c r="G542">
        <v>1210870</v>
      </c>
      <c r="H542">
        <v>969</v>
      </c>
      <c r="I542">
        <v>20</v>
      </c>
      <c r="J542">
        <v>989</v>
      </c>
      <c r="K542" t="b">
        <f>TrafficData[[#This Row],[disposedChallan]]+TrafficData[[#This Row],[pendingChallan]]=TrafficData[[#This Row],[totalChallan]]</f>
        <v>1</v>
      </c>
      <c r="L542" t="b">
        <f>TrafficData[[#This Row],[pendingAmount]]+TrafficData[[#This Row],[disposedAmount]]=TrafficData[[#This Row],[totalAmount]]</f>
        <v>1</v>
      </c>
      <c r="M542" t="b">
        <f>TrafficData[[#This Row],[pendingCourt]]+TrafficData[[#This Row],[disposedCourt]]=TrafficData[[#This Row],[totalCourt]]</f>
        <v>1</v>
      </c>
      <c r="N542" s="8" t="b">
        <f>AND(TrafficData[[#This Row],[disposedChallan]]&lt;=TrafficData[[#This Row],[totalChallan]],TrafficData[[#This Row],[pendingChallan]]&lt;=TrafficData[[#This Row],[totalChallan]])</f>
        <v>1</v>
      </c>
      <c r="O542" s="8" t="b">
        <f>AND(TrafficData[[#This Row],[pendingAmount]]&lt;=TrafficData[[#This Row],[totalAmount]],TrafficData[[#This Row],[disposedAmount]]&lt;=TrafficData[[#This Row],[totalAmount]])</f>
        <v>1</v>
      </c>
      <c r="P542" s="8" t="b">
        <f>AND(TrafficData[[#This Row],[pendingCourt]]&lt;=TrafficData[[#This Row],[totalCourt]],TrafficData[[#This Row],[disposedCourt]]&lt;=TrafficData[[#This Row],[totalCourt]])</f>
        <v>1</v>
      </c>
    </row>
    <row r="543" spans="1:16">
      <c r="A543" s="1">
        <v>42546</v>
      </c>
      <c r="B543">
        <v>1026</v>
      </c>
      <c r="C543">
        <v>72</v>
      </c>
      <c r="D543">
        <v>954</v>
      </c>
      <c r="E543">
        <v>898450</v>
      </c>
      <c r="F543">
        <v>258050</v>
      </c>
      <c r="G543">
        <v>1156500</v>
      </c>
      <c r="H543">
        <v>708</v>
      </c>
      <c r="I543">
        <v>7</v>
      </c>
      <c r="J543">
        <v>715</v>
      </c>
      <c r="K543" t="b">
        <f>TrafficData[[#This Row],[disposedChallan]]+TrafficData[[#This Row],[pendingChallan]]=TrafficData[[#This Row],[totalChallan]]</f>
        <v>1</v>
      </c>
      <c r="L543" t="b">
        <f>TrafficData[[#This Row],[pendingAmount]]+TrafficData[[#This Row],[disposedAmount]]=TrafficData[[#This Row],[totalAmount]]</f>
        <v>1</v>
      </c>
      <c r="M543" t="b">
        <f>TrafficData[[#This Row],[pendingCourt]]+TrafficData[[#This Row],[disposedCourt]]=TrafficData[[#This Row],[totalCourt]]</f>
        <v>1</v>
      </c>
      <c r="N543" s="8" t="b">
        <f>AND(TrafficData[[#This Row],[disposedChallan]]&lt;=TrafficData[[#This Row],[totalChallan]],TrafficData[[#This Row],[pendingChallan]]&lt;=TrafficData[[#This Row],[totalChallan]])</f>
        <v>1</v>
      </c>
      <c r="O543" s="8" t="b">
        <f>AND(TrafficData[[#This Row],[pendingAmount]]&lt;=TrafficData[[#This Row],[totalAmount]],TrafficData[[#This Row],[disposedAmount]]&lt;=TrafficData[[#This Row],[totalAmount]])</f>
        <v>1</v>
      </c>
      <c r="P543" s="8" t="b">
        <f>AND(TrafficData[[#This Row],[pendingCourt]]&lt;=TrafficData[[#This Row],[totalCourt]],TrafficData[[#This Row],[disposedCourt]]&lt;=TrafficData[[#This Row],[totalCourt]])</f>
        <v>1</v>
      </c>
    </row>
    <row r="544" spans="1:16">
      <c r="A544" s="1">
        <v>42547</v>
      </c>
      <c r="B544">
        <v>883</v>
      </c>
      <c r="C544">
        <v>66</v>
      </c>
      <c r="D544">
        <v>817</v>
      </c>
      <c r="E544">
        <v>728750</v>
      </c>
      <c r="F544">
        <v>252350</v>
      </c>
      <c r="G544">
        <v>981100</v>
      </c>
      <c r="H544">
        <v>611</v>
      </c>
      <c r="I544">
        <v>7</v>
      </c>
      <c r="J544">
        <v>618</v>
      </c>
      <c r="K544" t="b">
        <f>TrafficData[[#This Row],[disposedChallan]]+TrafficData[[#This Row],[pendingChallan]]=TrafficData[[#This Row],[totalChallan]]</f>
        <v>1</v>
      </c>
      <c r="L544" t="b">
        <f>TrafficData[[#This Row],[pendingAmount]]+TrafficData[[#This Row],[disposedAmount]]=TrafficData[[#This Row],[totalAmount]]</f>
        <v>1</v>
      </c>
      <c r="M544" t="b">
        <f>TrafficData[[#This Row],[pendingCourt]]+TrafficData[[#This Row],[disposedCourt]]=TrafficData[[#This Row],[totalCourt]]</f>
        <v>1</v>
      </c>
      <c r="N544" s="8" t="b">
        <f>AND(TrafficData[[#This Row],[disposedChallan]]&lt;=TrafficData[[#This Row],[totalChallan]],TrafficData[[#This Row],[pendingChallan]]&lt;=TrafficData[[#This Row],[totalChallan]])</f>
        <v>1</v>
      </c>
      <c r="O544" s="8" t="b">
        <f>AND(TrafficData[[#This Row],[pendingAmount]]&lt;=TrafficData[[#This Row],[totalAmount]],TrafficData[[#This Row],[disposedAmount]]&lt;=TrafficData[[#This Row],[totalAmount]])</f>
        <v>1</v>
      </c>
      <c r="P544" s="8" t="b">
        <f>AND(TrafficData[[#This Row],[pendingCourt]]&lt;=TrafficData[[#This Row],[totalCourt]],TrafficData[[#This Row],[disposedCourt]]&lt;=TrafficData[[#This Row],[totalCourt]])</f>
        <v>1</v>
      </c>
    </row>
    <row r="545" spans="1:16">
      <c r="A545" s="1">
        <v>42548</v>
      </c>
      <c r="B545">
        <v>1075</v>
      </c>
      <c r="C545">
        <v>61</v>
      </c>
      <c r="D545">
        <v>1014</v>
      </c>
      <c r="E545">
        <v>861300</v>
      </c>
      <c r="F545">
        <v>123860</v>
      </c>
      <c r="G545">
        <v>985160</v>
      </c>
      <c r="H545">
        <v>723</v>
      </c>
      <c r="I545">
        <v>5</v>
      </c>
      <c r="J545">
        <v>728</v>
      </c>
      <c r="K545" t="b">
        <f>TrafficData[[#This Row],[disposedChallan]]+TrafficData[[#This Row],[pendingChallan]]=TrafficData[[#This Row],[totalChallan]]</f>
        <v>1</v>
      </c>
      <c r="L545" t="b">
        <f>TrafficData[[#This Row],[pendingAmount]]+TrafficData[[#This Row],[disposedAmount]]=TrafficData[[#This Row],[totalAmount]]</f>
        <v>1</v>
      </c>
      <c r="M545" t="b">
        <f>TrafficData[[#This Row],[pendingCourt]]+TrafficData[[#This Row],[disposedCourt]]=TrafficData[[#This Row],[totalCourt]]</f>
        <v>1</v>
      </c>
      <c r="N545" s="8" t="b">
        <f>AND(TrafficData[[#This Row],[disposedChallan]]&lt;=TrafficData[[#This Row],[totalChallan]],TrafficData[[#This Row],[pendingChallan]]&lt;=TrafficData[[#This Row],[totalChallan]])</f>
        <v>1</v>
      </c>
      <c r="O545" s="8" t="b">
        <f>AND(TrafficData[[#This Row],[pendingAmount]]&lt;=TrafficData[[#This Row],[totalAmount]],TrafficData[[#This Row],[disposedAmount]]&lt;=TrafficData[[#This Row],[totalAmount]])</f>
        <v>1</v>
      </c>
      <c r="P545" s="8" t="b">
        <f>AND(TrafficData[[#This Row],[pendingCourt]]&lt;=TrafficData[[#This Row],[totalCourt]],TrafficData[[#This Row],[disposedCourt]]&lt;=TrafficData[[#This Row],[totalCourt]])</f>
        <v>1</v>
      </c>
    </row>
    <row r="546" spans="1:16">
      <c r="A546" s="1">
        <v>42549</v>
      </c>
      <c r="B546">
        <v>1509</v>
      </c>
      <c r="C546">
        <v>72</v>
      </c>
      <c r="D546">
        <v>1437</v>
      </c>
      <c r="E546">
        <v>1066700</v>
      </c>
      <c r="F546">
        <v>356936</v>
      </c>
      <c r="G546">
        <v>1423636</v>
      </c>
      <c r="H546">
        <v>1153</v>
      </c>
      <c r="I546">
        <v>6</v>
      </c>
      <c r="J546">
        <v>1159</v>
      </c>
      <c r="K546" t="b">
        <f>TrafficData[[#This Row],[disposedChallan]]+TrafficData[[#This Row],[pendingChallan]]=TrafficData[[#This Row],[totalChallan]]</f>
        <v>1</v>
      </c>
      <c r="L546" t="b">
        <f>TrafficData[[#This Row],[pendingAmount]]+TrafficData[[#This Row],[disposedAmount]]=TrafficData[[#This Row],[totalAmount]]</f>
        <v>1</v>
      </c>
      <c r="M546" t="b">
        <f>TrafficData[[#This Row],[pendingCourt]]+TrafficData[[#This Row],[disposedCourt]]=TrafficData[[#This Row],[totalCourt]]</f>
        <v>1</v>
      </c>
      <c r="N546" s="8" t="b">
        <f>AND(TrafficData[[#This Row],[disposedChallan]]&lt;=TrafficData[[#This Row],[totalChallan]],TrafficData[[#This Row],[pendingChallan]]&lt;=TrafficData[[#This Row],[totalChallan]])</f>
        <v>1</v>
      </c>
      <c r="O546" s="8" t="b">
        <f>AND(TrafficData[[#This Row],[pendingAmount]]&lt;=TrafficData[[#This Row],[totalAmount]],TrafficData[[#This Row],[disposedAmount]]&lt;=TrafficData[[#This Row],[totalAmount]])</f>
        <v>1</v>
      </c>
      <c r="P546" s="8" t="b">
        <f>AND(TrafficData[[#This Row],[pendingCourt]]&lt;=TrafficData[[#This Row],[totalCourt]],TrafficData[[#This Row],[disposedCourt]]&lt;=TrafficData[[#This Row],[totalCourt]])</f>
        <v>1</v>
      </c>
    </row>
    <row r="547" spans="1:16">
      <c r="A547" s="1">
        <v>42550</v>
      </c>
      <c r="B547">
        <v>1180</v>
      </c>
      <c r="C547">
        <v>74</v>
      </c>
      <c r="D547">
        <v>1106</v>
      </c>
      <c r="E547">
        <v>1206590</v>
      </c>
      <c r="F547">
        <v>197600</v>
      </c>
      <c r="G547">
        <v>1404190</v>
      </c>
      <c r="H547">
        <v>827</v>
      </c>
      <c r="I547">
        <v>3</v>
      </c>
      <c r="J547">
        <v>830</v>
      </c>
      <c r="K547" t="b">
        <f>TrafficData[[#This Row],[disposedChallan]]+TrafficData[[#This Row],[pendingChallan]]=TrafficData[[#This Row],[totalChallan]]</f>
        <v>1</v>
      </c>
      <c r="L547" t="b">
        <f>TrafficData[[#This Row],[pendingAmount]]+TrafficData[[#This Row],[disposedAmount]]=TrafficData[[#This Row],[totalAmount]]</f>
        <v>1</v>
      </c>
      <c r="M547" t="b">
        <f>TrafficData[[#This Row],[pendingCourt]]+TrafficData[[#This Row],[disposedCourt]]=TrafficData[[#This Row],[totalCourt]]</f>
        <v>1</v>
      </c>
      <c r="N547" s="8" t="b">
        <f>AND(TrafficData[[#This Row],[disposedChallan]]&lt;=TrafficData[[#This Row],[totalChallan]],TrafficData[[#This Row],[pendingChallan]]&lt;=TrafficData[[#This Row],[totalChallan]])</f>
        <v>1</v>
      </c>
      <c r="O547" s="8" t="b">
        <f>AND(TrafficData[[#This Row],[pendingAmount]]&lt;=TrafficData[[#This Row],[totalAmount]],TrafficData[[#This Row],[disposedAmount]]&lt;=TrafficData[[#This Row],[totalAmount]])</f>
        <v>1</v>
      </c>
      <c r="P547" s="8" t="b">
        <f>AND(TrafficData[[#This Row],[pendingCourt]]&lt;=TrafficData[[#This Row],[totalCourt]],TrafficData[[#This Row],[disposedCourt]]&lt;=TrafficData[[#This Row],[totalCourt]])</f>
        <v>1</v>
      </c>
    </row>
    <row r="548" spans="1:16">
      <c r="A548" s="1">
        <v>42551</v>
      </c>
      <c r="B548">
        <v>863</v>
      </c>
      <c r="C548">
        <v>72</v>
      </c>
      <c r="D548">
        <v>791</v>
      </c>
      <c r="E548">
        <v>836900</v>
      </c>
      <c r="F548">
        <v>276921</v>
      </c>
      <c r="G548">
        <v>1113821</v>
      </c>
      <c r="H548">
        <v>514</v>
      </c>
      <c r="I548">
        <v>6</v>
      </c>
      <c r="J548">
        <v>520</v>
      </c>
      <c r="K548" t="b">
        <f>TrafficData[[#This Row],[disposedChallan]]+TrafficData[[#This Row],[pendingChallan]]=TrafficData[[#This Row],[totalChallan]]</f>
        <v>1</v>
      </c>
      <c r="L548" t="b">
        <f>TrafficData[[#This Row],[pendingAmount]]+TrafficData[[#This Row],[disposedAmount]]=TrafficData[[#This Row],[totalAmount]]</f>
        <v>1</v>
      </c>
      <c r="M548" t="b">
        <f>TrafficData[[#This Row],[pendingCourt]]+TrafficData[[#This Row],[disposedCourt]]=TrafficData[[#This Row],[totalCourt]]</f>
        <v>1</v>
      </c>
      <c r="N548" s="8" t="b">
        <f>AND(TrafficData[[#This Row],[disposedChallan]]&lt;=TrafficData[[#This Row],[totalChallan]],TrafficData[[#This Row],[pendingChallan]]&lt;=TrafficData[[#This Row],[totalChallan]])</f>
        <v>1</v>
      </c>
      <c r="O548" s="8" t="b">
        <f>AND(TrafficData[[#This Row],[pendingAmount]]&lt;=TrafficData[[#This Row],[totalAmount]],TrafficData[[#This Row],[disposedAmount]]&lt;=TrafficData[[#This Row],[totalAmount]])</f>
        <v>1</v>
      </c>
      <c r="P548" s="8" t="b">
        <f>AND(TrafficData[[#This Row],[pendingCourt]]&lt;=TrafficData[[#This Row],[totalCourt]],TrafficData[[#This Row],[disposedCourt]]&lt;=TrafficData[[#This Row],[totalCourt]])</f>
        <v>1</v>
      </c>
    </row>
    <row r="549" spans="1:16">
      <c r="A549" s="1">
        <v>42552</v>
      </c>
      <c r="B549">
        <v>1057</v>
      </c>
      <c r="C549">
        <v>52</v>
      </c>
      <c r="D549">
        <v>1005</v>
      </c>
      <c r="E549">
        <v>998150</v>
      </c>
      <c r="F549">
        <v>154500</v>
      </c>
      <c r="G549">
        <v>1152650</v>
      </c>
      <c r="H549">
        <v>739</v>
      </c>
      <c r="I549">
        <v>2</v>
      </c>
      <c r="J549">
        <v>741</v>
      </c>
      <c r="K549" t="b">
        <f>TrafficData[[#This Row],[disposedChallan]]+TrafficData[[#This Row],[pendingChallan]]=TrafficData[[#This Row],[totalChallan]]</f>
        <v>1</v>
      </c>
      <c r="L549" t="b">
        <f>TrafficData[[#This Row],[pendingAmount]]+TrafficData[[#This Row],[disposedAmount]]=TrafficData[[#This Row],[totalAmount]]</f>
        <v>1</v>
      </c>
      <c r="M549" t="b">
        <f>TrafficData[[#This Row],[pendingCourt]]+TrafficData[[#This Row],[disposedCourt]]=TrafficData[[#This Row],[totalCourt]]</f>
        <v>1</v>
      </c>
      <c r="N549" s="8" t="b">
        <f>AND(TrafficData[[#This Row],[disposedChallan]]&lt;=TrafficData[[#This Row],[totalChallan]],TrafficData[[#This Row],[pendingChallan]]&lt;=TrafficData[[#This Row],[totalChallan]])</f>
        <v>1</v>
      </c>
      <c r="O549" s="8" t="b">
        <f>AND(TrafficData[[#This Row],[pendingAmount]]&lt;=TrafficData[[#This Row],[totalAmount]],TrafficData[[#This Row],[disposedAmount]]&lt;=TrafficData[[#This Row],[totalAmount]])</f>
        <v>1</v>
      </c>
      <c r="P549" s="8" t="b">
        <f>AND(TrafficData[[#This Row],[pendingCourt]]&lt;=TrafficData[[#This Row],[totalCourt]],TrafficData[[#This Row],[disposedCourt]]&lt;=TrafficData[[#This Row],[totalCourt]])</f>
        <v>1</v>
      </c>
    </row>
    <row r="550" spans="1:16">
      <c r="A550" s="1">
        <v>42553</v>
      </c>
      <c r="B550">
        <v>989</v>
      </c>
      <c r="C550">
        <v>71</v>
      </c>
      <c r="D550">
        <v>918</v>
      </c>
      <c r="E550">
        <v>979100</v>
      </c>
      <c r="F550">
        <v>158200</v>
      </c>
      <c r="G550">
        <v>1137300</v>
      </c>
      <c r="H550">
        <v>682</v>
      </c>
      <c r="I550">
        <v>8</v>
      </c>
      <c r="J550">
        <v>690</v>
      </c>
      <c r="K550" t="b">
        <f>TrafficData[[#This Row],[disposedChallan]]+TrafficData[[#This Row],[pendingChallan]]=TrafficData[[#This Row],[totalChallan]]</f>
        <v>1</v>
      </c>
      <c r="L550" t="b">
        <f>TrafficData[[#This Row],[pendingAmount]]+TrafficData[[#This Row],[disposedAmount]]=TrafficData[[#This Row],[totalAmount]]</f>
        <v>1</v>
      </c>
      <c r="M550" t="b">
        <f>TrafficData[[#This Row],[pendingCourt]]+TrafficData[[#This Row],[disposedCourt]]=TrafficData[[#This Row],[totalCourt]]</f>
        <v>1</v>
      </c>
      <c r="N550" s="8" t="b">
        <f>AND(TrafficData[[#This Row],[disposedChallan]]&lt;=TrafficData[[#This Row],[totalChallan]],TrafficData[[#This Row],[pendingChallan]]&lt;=TrafficData[[#This Row],[totalChallan]])</f>
        <v>1</v>
      </c>
      <c r="O550" s="8" t="b">
        <f>AND(TrafficData[[#This Row],[pendingAmount]]&lt;=TrafficData[[#This Row],[totalAmount]],TrafficData[[#This Row],[disposedAmount]]&lt;=TrafficData[[#This Row],[totalAmount]])</f>
        <v>1</v>
      </c>
      <c r="P550" s="8" t="b">
        <f>AND(TrafficData[[#This Row],[pendingCourt]]&lt;=TrafficData[[#This Row],[totalCourt]],TrafficData[[#This Row],[disposedCourt]]&lt;=TrafficData[[#This Row],[totalCourt]])</f>
        <v>1</v>
      </c>
    </row>
    <row r="551" spans="1:16">
      <c r="A551" s="1">
        <v>42554</v>
      </c>
      <c r="B551">
        <v>607</v>
      </c>
      <c r="C551">
        <v>40</v>
      </c>
      <c r="D551">
        <v>567</v>
      </c>
      <c r="E551">
        <v>441325</v>
      </c>
      <c r="F551">
        <v>94800</v>
      </c>
      <c r="G551">
        <v>536125</v>
      </c>
      <c r="H551">
        <v>459</v>
      </c>
      <c r="I551">
        <v>8</v>
      </c>
      <c r="J551">
        <v>467</v>
      </c>
      <c r="K551" t="b">
        <f>TrafficData[[#This Row],[disposedChallan]]+TrafficData[[#This Row],[pendingChallan]]=TrafficData[[#This Row],[totalChallan]]</f>
        <v>1</v>
      </c>
      <c r="L551" t="b">
        <f>TrafficData[[#This Row],[pendingAmount]]+TrafficData[[#This Row],[disposedAmount]]=TrafficData[[#This Row],[totalAmount]]</f>
        <v>1</v>
      </c>
      <c r="M551" t="b">
        <f>TrafficData[[#This Row],[pendingCourt]]+TrafficData[[#This Row],[disposedCourt]]=TrafficData[[#This Row],[totalCourt]]</f>
        <v>1</v>
      </c>
      <c r="N551" s="8" t="b">
        <f>AND(TrafficData[[#This Row],[disposedChallan]]&lt;=TrafficData[[#This Row],[totalChallan]],TrafficData[[#This Row],[pendingChallan]]&lt;=TrafficData[[#This Row],[totalChallan]])</f>
        <v>1</v>
      </c>
      <c r="O551" s="8" t="b">
        <f>AND(TrafficData[[#This Row],[pendingAmount]]&lt;=TrafficData[[#This Row],[totalAmount]],TrafficData[[#This Row],[disposedAmount]]&lt;=TrafficData[[#This Row],[totalAmount]])</f>
        <v>1</v>
      </c>
      <c r="P551" s="8" t="b">
        <f>AND(TrafficData[[#This Row],[pendingCourt]]&lt;=TrafficData[[#This Row],[totalCourt]],TrafficData[[#This Row],[disposedCourt]]&lt;=TrafficData[[#This Row],[totalCourt]])</f>
        <v>1</v>
      </c>
    </row>
    <row r="552" spans="1:16">
      <c r="A552" s="1">
        <v>42555</v>
      </c>
      <c r="B552">
        <v>963</v>
      </c>
      <c r="C552">
        <v>81</v>
      </c>
      <c r="D552">
        <v>882</v>
      </c>
      <c r="E552">
        <v>784525</v>
      </c>
      <c r="F552">
        <v>191507</v>
      </c>
      <c r="G552">
        <v>976032</v>
      </c>
      <c r="H552">
        <v>634</v>
      </c>
      <c r="I552">
        <v>14</v>
      </c>
      <c r="J552">
        <v>648</v>
      </c>
      <c r="K552" t="b">
        <f>TrafficData[[#This Row],[disposedChallan]]+TrafficData[[#This Row],[pendingChallan]]=TrafficData[[#This Row],[totalChallan]]</f>
        <v>1</v>
      </c>
      <c r="L552" t="b">
        <f>TrafficData[[#This Row],[pendingAmount]]+TrafficData[[#This Row],[disposedAmount]]=TrafficData[[#This Row],[totalAmount]]</f>
        <v>1</v>
      </c>
      <c r="M552" t="b">
        <f>TrafficData[[#This Row],[pendingCourt]]+TrafficData[[#This Row],[disposedCourt]]=TrafficData[[#This Row],[totalCourt]]</f>
        <v>1</v>
      </c>
      <c r="N552" s="8" t="b">
        <f>AND(TrafficData[[#This Row],[disposedChallan]]&lt;=TrafficData[[#This Row],[totalChallan]],TrafficData[[#This Row],[pendingChallan]]&lt;=TrafficData[[#This Row],[totalChallan]])</f>
        <v>1</v>
      </c>
      <c r="O552" s="8" t="b">
        <f>AND(TrafficData[[#This Row],[pendingAmount]]&lt;=TrafficData[[#This Row],[totalAmount]],TrafficData[[#This Row],[disposedAmount]]&lt;=TrafficData[[#This Row],[totalAmount]])</f>
        <v>1</v>
      </c>
      <c r="P552" s="8" t="b">
        <f>AND(TrafficData[[#This Row],[pendingCourt]]&lt;=TrafficData[[#This Row],[totalCourt]],TrafficData[[#This Row],[disposedCourt]]&lt;=TrafficData[[#This Row],[totalCourt]])</f>
        <v>1</v>
      </c>
    </row>
    <row r="553" spans="1:16">
      <c r="A553" s="1">
        <v>42556</v>
      </c>
      <c r="B553">
        <v>1053</v>
      </c>
      <c r="C553">
        <v>70</v>
      </c>
      <c r="D553">
        <v>983</v>
      </c>
      <c r="E553">
        <v>759485</v>
      </c>
      <c r="F553">
        <v>426050</v>
      </c>
      <c r="G553">
        <v>1185535</v>
      </c>
      <c r="H553">
        <v>738</v>
      </c>
      <c r="I553">
        <v>17</v>
      </c>
      <c r="J553">
        <v>755</v>
      </c>
      <c r="K553" t="b">
        <f>TrafficData[[#This Row],[disposedChallan]]+TrafficData[[#This Row],[pendingChallan]]=TrafficData[[#This Row],[totalChallan]]</f>
        <v>1</v>
      </c>
      <c r="L553" t="b">
        <f>TrafficData[[#This Row],[pendingAmount]]+TrafficData[[#This Row],[disposedAmount]]=TrafficData[[#This Row],[totalAmount]]</f>
        <v>1</v>
      </c>
      <c r="M553" t="b">
        <f>TrafficData[[#This Row],[pendingCourt]]+TrafficData[[#This Row],[disposedCourt]]=TrafficData[[#This Row],[totalCourt]]</f>
        <v>1</v>
      </c>
      <c r="N553" s="8" t="b">
        <f>AND(TrafficData[[#This Row],[disposedChallan]]&lt;=TrafficData[[#This Row],[totalChallan]],TrafficData[[#This Row],[pendingChallan]]&lt;=TrafficData[[#This Row],[totalChallan]])</f>
        <v>1</v>
      </c>
      <c r="O553" s="8" t="b">
        <f>AND(TrafficData[[#This Row],[pendingAmount]]&lt;=TrafficData[[#This Row],[totalAmount]],TrafficData[[#This Row],[disposedAmount]]&lt;=TrafficData[[#This Row],[totalAmount]])</f>
        <v>1</v>
      </c>
      <c r="P553" s="8" t="b">
        <f>AND(TrafficData[[#This Row],[pendingCourt]]&lt;=TrafficData[[#This Row],[totalCourt]],TrafficData[[#This Row],[disposedCourt]]&lt;=TrafficData[[#This Row],[totalCourt]])</f>
        <v>1</v>
      </c>
    </row>
    <row r="554" spans="1:16">
      <c r="A554" s="1">
        <v>42557</v>
      </c>
      <c r="B554">
        <v>1235</v>
      </c>
      <c r="C554">
        <v>63</v>
      </c>
      <c r="D554">
        <v>1172</v>
      </c>
      <c r="E554">
        <v>780950</v>
      </c>
      <c r="F554">
        <v>241950</v>
      </c>
      <c r="G554">
        <v>1022900</v>
      </c>
      <c r="H554">
        <v>879</v>
      </c>
      <c r="I554">
        <v>2</v>
      </c>
      <c r="J554">
        <v>881</v>
      </c>
      <c r="K554" t="b">
        <f>TrafficData[[#This Row],[disposedChallan]]+TrafficData[[#This Row],[pendingChallan]]=TrafficData[[#This Row],[totalChallan]]</f>
        <v>1</v>
      </c>
      <c r="L554" t="b">
        <f>TrafficData[[#This Row],[pendingAmount]]+TrafficData[[#This Row],[disposedAmount]]=TrafficData[[#This Row],[totalAmount]]</f>
        <v>1</v>
      </c>
      <c r="M554" t="b">
        <f>TrafficData[[#This Row],[pendingCourt]]+TrafficData[[#This Row],[disposedCourt]]=TrafficData[[#This Row],[totalCourt]]</f>
        <v>1</v>
      </c>
      <c r="N554" s="8" t="b">
        <f>AND(TrafficData[[#This Row],[disposedChallan]]&lt;=TrafficData[[#This Row],[totalChallan]],TrafficData[[#This Row],[pendingChallan]]&lt;=TrafficData[[#This Row],[totalChallan]])</f>
        <v>1</v>
      </c>
      <c r="O554" s="8" t="b">
        <f>AND(TrafficData[[#This Row],[pendingAmount]]&lt;=TrafficData[[#This Row],[totalAmount]],TrafficData[[#This Row],[disposedAmount]]&lt;=TrafficData[[#This Row],[totalAmount]])</f>
        <v>1</v>
      </c>
      <c r="P554" s="8" t="b">
        <f>AND(TrafficData[[#This Row],[pendingCourt]]&lt;=TrafficData[[#This Row],[totalCourt]],TrafficData[[#This Row],[disposedCourt]]&lt;=TrafficData[[#This Row],[totalCourt]])</f>
        <v>1</v>
      </c>
    </row>
    <row r="555" spans="1:16">
      <c r="A555" s="1">
        <v>42558</v>
      </c>
      <c r="B555">
        <v>1137</v>
      </c>
      <c r="C555">
        <v>51</v>
      </c>
      <c r="D555">
        <v>1086</v>
      </c>
      <c r="E555">
        <v>769500</v>
      </c>
      <c r="F555">
        <v>295800</v>
      </c>
      <c r="G555">
        <v>1065300</v>
      </c>
      <c r="H555">
        <v>810</v>
      </c>
      <c r="I555">
        <v>1</v>
      </c>
      <c r="J555">
        <v>811</v>
      </c>
      <c r="K555" t="b">
        <f>TrafficData[[#This Row],[disposedChallan]]+TrafficData[[#This Row],[pendingChallan]]=TrafficData[[#This Row],[totalChallan]]</f>
        <v>1</v>
      </c>
      <c r="L555" t="b">
        <f>TrafficData[[#This Row],[pendingAmount]]+TrafficData[[#This Row],[disposedAmount]]=TrafficData[[#This Row],[totalAmount]]</f>
        <v>1</v>
      </c>
      <c r="M555" t="b">
        <f>TrafficData[[#This Row],[pendingCourt]]+TrafficData[[#This Row],[disposedCourt]]=TrafficData[[#This Row],[totalCourt]]</f>
        <v>1</v>
      </c>
      <c r="N555" s="8" t="b">
        <f>AND(TrafficData[[#This Row],[disposedChallan]]&lt;=TrafficData[[#This Row],[totalChallan]],TrafficData[[#This Row],[pendingChallan]]&lt;=TrafficData[[#This Row],[totalChallan]])</f>
        <v>1</v>
      </c>
      <c r="O555" s="8" t="b">
        <f>AND(TrafficData[[#This Row],[pendingAmount]]&lt;=TrafficData[[#This Row],[totalAmount]],TrafficData[[#This Row],[disposedAmount]]&lt;=TrafficData[[#This Row],[totalAmount]])</f>
        <v>1</v>
      </c>
      <c r="P555" s="8" t="b">
        <f>AND(TrafficData[[#This Row],[pendingCourt]]&lt;=TrafficData[[#This Row],[totalCourt]],TrafficData[[#This Row],[disposedCourt]]&lt;=TrafficData[[#This Row],[totalCourt]])</f>
        <v>1</v>
      </c>
    </row>
    <row r="556" spans="1:16">
      <c r="A556" s="1">
        <v>42559</v>
      </c>
      <c r="B556">
        <v>1597</v>
      </c>
      <c r="C556">
        <v>81</v>
      </c>
      <c r="D556">
        <v>1516</v>
      </c>
      <c r="E556">
        <v>883650</v>
      </c>
      <c r="F556">
        <v>191200</v>
      </c>
      <c r="G556">
        <v>1074850</v>
      </c>
      <c r="H556">
        <v>1191</v>
      </c>
      <c r="I556">
        <v>17</v>
      </c>
      <c r="J556">
        <v>1208</v>
      </c>
      <c r="K556" t="b">
        <f>TrafficData[[#This Row],[disposedChallan]]+TrafficData[[#This Row],[pendingChallan]]=TrafficData[[#This Row],[totalChallan]]</f>
        <v>1</v>
      </c>
      <c r="L556" t="b">
        <f>TrafficData[[#This Row],[pendingAmount]]+TrafficData[[#This Row],[disposedAmount]]=TrafficData[[#This Row],[totalAmount]]</f>
        <v>1</v>
      </c>
      <c r="M556" t="b">
        <f>TrafficData[[#This Row],[pendingCourt]]+TrafficData[[#This Row],[disposedCourt]]=TrafficData[[#This Row],[totalCourt]]</f>
        <v>1</v>
      </c>
      <c r="N556" s="8" t="b">
        <f>AND(TrafficData[[#This Row],[disposedChallan]]&lt;=TrafficData[[#This Row],[totalChallan]],TrafficData[[#This Row],[pendingChallan]]&lt;=TrafficData[[#This Row],[totalChallan]])</f>
        <v>1</v>
      </c>
      <c r="O556" s="8" t="b">
        <f>AND(TrafficData[[#This Row],[pendingAmount]]&lt;=TrafficData[[#This Row],[totalAmount]],TrafficData[[#This Row],[disposedAmount]]&lt;=TrafficData[[#This Row],[totalAmount]])</f>
        <v>1</v>
      </c>
      <c r="P556" s="8" t="b">
        <f>AND(TrafficData[[#This Row],[pendingCourt]]&lt;=TrafficData[[#This Row],[totalCourt]],TrafficData[[#This Row],[disposedCourt]]&lt;=TrafficData[[#This Row],[totalCourt]])</f>
        <v>1</v>
      </c>
    </row>
    <row r="557" spans="1:16">
      <c r="A557" s="1">
        <v>42560</v>
      </c>
      <c r="B557">
        <v>1392</v>
      </c>
      <c r="C557">
        <v>62</v>
      </c>
      <c r="D557">
        <v>1330</v>
      </c>
      <c r="E557">
        <v>805225</v>
      </c>
      <c r="F557">
        <v>189100</v>
      </c>
      <c r="G557">
        <v>994325</v>
      </c>
      <c r="H557">
        <v>1143</v>
      </c>
      <c r="I557">
        <v>3</v>
      </c>
      <c r="J557">
        <v>1146</v>
      </c>
      <c r="K557" t="b">
        <f>TrafficData[[#This Row],[disposedChallan]]+TrafficData[[#This Row],[pendingChallan]]=TrafficData[[#This Row],[totalChallan]]</f>
        <v>1</v>
      </c>
      <c r="L557" t="b">
        <f>TrafficData[[#This Row],[pendingAmount]]+TrafficData[[#This Row],[disposedAmount]]=TrafficData[[#This Row],[totalAmount]]</f>
        <v>1</v>
      </c>
      <c r="M557" t="b">
        <f>TrafficData[[#This Row],[pendingCourt]]+TrafficData[[#This Row],[disposedCourt]]=TrafficData[[#This Row],[totalCourt]]</f>
        <v>1</v>
      </c>
      <c r="N557" s="8" t="b">
        <f>AND(TrafficData[[#This Row],[disposedChallan]]&lt;=TrafficData[[#This Row],[totalChallan]],TrafficData[[#This Row],[pendingChallan]]&lt;=TrafficData[[#This Row],[totalChallan]])</f>
        <v>1</v>
      </c>
      <c r="O557" s="8" t="b">
        <f>AND(TrafficData[[#This Row],[pendingAmount]]&lt;=TrafficData[[#This Row],[totalAmount]],TrafficData[[#This Row],[disposedAmount]]&lt;=TrafficData[[#This Row],[totalAmount]])</f>
        <v>1</v>
      </c>
      <c r="P557" s="8" t="b">
        <f>AND(TrafficData[[#This Row],[pendingCourt]]&lt;=TrafficData[[#This Row],[totalCourt]],TrafficData[[#This Row],[disposedCourt]]&lt;=TrafficData[[#This Row],[totalCourt]])</f>
        <v>1</v>
      </c>
    </row>
    <row r="558" spans="1:16">
      <c r="A558" s="1">
        <v>42561</v>
      </c>
      <c r="B558">
        <v>754</v>
      </c>
      <c r="C558">
        <v>45</v>
      </c>
      <c r="D558">
        <v>709</v>
      </c>
      <c r="E558">
        <v>540050</v>
      </c>
      <c r="F558">
        <v>190070</v>
      </c>
      <c r="G558">
        <v>730120</v>
      </c>
      <c r="H558">
        <v>556</v>
      </c>
      <c r="I558">
        <v>7</v>
      </c>
      <c r="J558">
        <v>563</v>
      </c>
      <c r="K558" t="b">
        <f>TrafficData[[#This Row],[disposedChallan]]+TrafficData[[#This Row],[pendingChallan]]=TrafficData[[#This Row],[totalChallan]]</f>
        <v>1</v>
      </c>
      <c r="L558" t="b">
        <f>TrafficData[[#This Row],[pendingAmount]]+TrafficData[[#This Row],[disposedAmount]]=TrafficData[[#This Row],[totalAmount]]</f>
        <v>1</v>
      </c>
      <c r="M558" t="b">
        <f>TrafficData[[#This Row],[pendingCourt]]+TrafficData[[#This Row],[disposedCourt]]=TrafficData[[#This Row],[totalCourt]]</f>
        <v>1</v>
      </c>
      <c r="N558" s="8" t="b">
        <f>AND(TrafficData[[#This Row],[disposedChallan]]&lt;=TrafficData[[#This Row],[totalChallan]],TrafficData[[#This Row],[pendingChallan]]&lt;=TrafficData[[#This Row],[totalChallan]])</f>
        <v>1</v>
      </c>
      <c r="O558" s="8" t="b">
        <f>AND(TrafficData[[#This Row],[pendingAmount]]&lt;=TrafficData[[#This Row],[totalAmount]],TrafficData[[#This Row],[disposedAmount]]&lt;=TrafficData[[#This Row],[totalAmount]])</f>
        <v>1</v>
      </c>
      <c r="P558" s="8" t="b">
        <f>AND(TrafficData[[#This Row],[pendingCourt]]&lt;=TrafficData[[#This Row],[totalCourt]],TrafficData[[#This Row],[disposedCourt]]&lt;=TrafficData[[#This Row],[totalCourt]])</f>
        <v>1</v>
      </c>
    </row>
    <row r="559" spans="1:16">
      <c r="A559" s="1">
        <v>42562</v>
      </c>
      <c r="B559">
        <v>1181</v>
      </c>
      <c r="C559">
        <v>88</v>
      </c>
      <c r="D559">
        <v>1093</v>
      </c>
      <c r="E559">
        <v>1075400</v>
      </c>
      <c r="F559">
        <v>491100</v>
      </c>
      <c r="G559">
        <v>1566500</v>
      </c>
      <c r="H559">
        <v>902</v>
      </c>
      <c r="I559">
        <v>5</v>
      </c>
      <c r="J559">
        <v>907</v>
      </c>
      <c r="K559" t="b">
        <f>TrafficData[[#This Row],[disposedChallan]]+TrafficData[[#This Row],[pendingChallan]]=TrafficData[[#This Row],[totalChallan]]</f>
        <v>1</v>
      </c>
      <c r="L559" t="b">
        <f>TrafficData[[#This Row],[pendingAmount]]+TrafficData[[#This Row],[disposedAmount]]=TrafficData[[#This Row],[totalAmount]]</f>
        <v>1</v>
      </c>
      <c r="M559" t="b">
        <f>TrafficData[[#This Row],[pendingCourt]]+TrafficData[[#This Row],[disposedCourt]]=TrafficData[[#This Row],[totalCourt]]</f>
        <v>1</v>
      </c>
      <c r="N559" s="8" t="b">
        <f>AND(TrafficData[[#This Row],[disposedChallan]]&lt;=TrafficData[[#This Row],[totalChallan]],TrafficData[[#This Row],[pendingChallan]]&lt;=TrafficData[[#This Row],[totalChallan]])</f>
        <v>1</v>
      </c>
      <c r="O559" s="8" t="b">
        <f>AND(TrafficData[[#This Row],[pendingAmount]]&lt;=TrafficData[[#This Row],[totalAmount]],TrafficData[[#This Row],[disposedAmount]]&lt;=TrafficData[[#This Row],[totalAmount]])</f>
        <v>1</v>
      </c>
      <c r="P559" s="8" t="b">
        <f>AND(TrafficData[[#This Row],[pendingCourt]]&lt;=TrafficData[[#This Row],[totalCourt]],TrafficData[[#This Row],[disposedCourt]]&lt;=TrafficData[[#This Row],[totalCourt]])</f>
        <v>1</v>
      </c>
    </row>
    <row r="560" spans="1:16">
      <c r="A560" s="1">
        <v>42563</v>
      </c>
      <c r="B560">
        <v>1435</v>
      </c>
      <c r="C560">
        <v>94</v>
      </c>
      <c r="D560">
        <v>1341</v>
      </c>
      <c r="E560">
        <v>1051550</v>
      </c>
      <c r="F560">
        <v>450191</v>
      </c>
      <c r="G560">
        <v>1501741</v>
      </c>
      <c r="H560">
        <v>1068</v>
      </c>
      <c r="I560">
        <v>17</v>
      </c>
      <c r="J560">
        <v>1085</v>
      </c>
      <c r="K560" t="b">
        <f>TrafficData[[#This Row],[disposedChallan]]+TrafficData[[#This Row],[pendingChallan]]=TrafficData[[#This Row],[totalChallan]]</f>
        <v>1</v>
      </c>
      <c r="L560" t="b">
        <f>TrafficData[[#This Row],[pendingAmount]]+TrafficData[[#This Row],[disposedAmount]]=TrafficData[[#This Row],[totalAmount]]</f>
        <v>1</v>
      </c>
      <c r="M560" t="b">
        <f>TrafficData[[#This Row],[pendingCourt]]+TrafficData[[#This Row],[disposedCourt]]=TrafficData[[#This Row],[totalCourt]]</f>
        <v>1</v>
      </c>
      <c r="N560" s="8" t="b">
        <f>AND(TrafficData[[#This Row],[disposedChallan]]&lt;=TrafficData[[#This Row],[totalChallan]],TrafficData[[#This Row],[pendingChallan]]&lt;=TrafficData[[#This Row],[totalChallan]])</f>
        <v>1</v>
      </c>
      <c r="O560" s="8" t="b">
        <f>AND(TrafficData[[#This Row],[pendingAmount]]&lt;=TrafficData[[#This Row],[totalAmount]],TrafficData[[#This Row],[disposedAmount]]&lt;=TrafficData[[#This Row],[totalAmount]])</f>
        <v>1</v>
      </c>
      <c r="P560" s="8" t="b">
        <f>AND(TrafficData[[#This Row],[pendingCourt]]&lt;=TrafficData[[#This Row],[totalCourt]],TrafficData[[#This Row],[disposedCourt]]&lt;=TrafficData[[#This Row],[totalCourt]])</f>
        <v>1</v>
      </c>
    </row>
    <row r="561" spans="1:16">
      <c r="A561" s="1">
        <v>42564</v>
      </c>
      <c r="B561">
        <v>1509</v>
      </c>
      <c r="C561">
        <v>110</v>
      </c>
      <c r="D561">
        <v>1399</v>
      </c>
      <c r="E561">
        <v>919725</v>
      </c>
      <c r="F561">
        <v>359375</v>
      </c>
      <c r="G561">
        <v>1279100</v>
      </c>
      <c r="H561">
        <v>1075</v>
      </c>
      <c r="I561">
        <v>4</v>
      </c>
      <c r="J561">
        <v>1079</v>
      </c>
      <c r="K561" t="b">
        <f>TrafficData[[#This Row],[disposedChallan]]+TrafficData[[#This Row],[pendingChallan]]=TrafficData[[#This Row],[totalChallan]]</f>
        <v>1</v>
      </c>
      <c r="L561" t="b">
        <f>TrafficData[[#This Row],[pendingAmount]]+TrafficData[[#This Row],[disposedAmount]]=TrafficData[[#This Row],[totalAmount]]</f>
        <v>1</v>
      </c>
      <c r="M561" t="b">
        <f>TrafficData[[#This Row],[pendingCourt]]+TrafficData[[#This Row],[disposedCourt]]=TrafficData[[#This Row],[totalCourt]]</f>
        <v>1</v>
      </c>
      <c r="N561" s="8" t="b">
        <f>AND(TrafficData[[#This Row],[disposedChallan]]&lt;=TrafficData[[#This Row],[totalChallan]],TrafficData[[#This Row],[pendingChallan]]&lt;=TrafficData[[#This Row],[totalChallan]])</f>
        <v>1</v>
      </c>
      <c r="O561" s="8" t="b">
        <f>AND(TrafficData[[#This Row],[pendingAmount]]&lt;=TrafficData[[#This Row],[totalAmount]],TrafficData[[#This Row],[disposedAmount]]&lt;=TrafficData[[#This Row],[totalAmount]])</f>
        <v>1</v>
      </c>
      <c r="P561" s="8" t="b">
        <f>AND(TrafficData[[#This Row],[pendingCourt]]&lt;=TrafficData[[#This Row],[totalCourt]],TrafficData[[#This Row],[disposedCourt]]&lt;=TrafficData[[#This Row],[totalCourt]])</f>
        <v>1</v>
      </c>
    </row>
    <row r="562" spans="1:16">
      <c r="A562" s="1">
        <v>42565</v>
      </c>
      <c r="B562">
        <v>1026</v>
      </c>
      <c r="C562">
        <v>84</v>
      </c>
      <c r="D562">
        <v>942</v>
      </c>
      <c r="E562">
        <v>1219700</v>
      </c>
      <c r="F562">
        <v>359050</v>
      </c>
      <c r="G562">
        <v>1578750</v>
      </c>
      <c r="H562">
        <v>656</v>
      </c>
      <c r="I562">
        <v>13</v>
      </c>
      <c r="J562">
        <v>669</v>
      </c>
      <c r="K562" t="b">
        <f>TrafficData[[#This Row],[disposedChallan]]+TrafficData[[#This Row],[pendingChallan]]=TrafficData[[#This Row],[totalChallan]]</f>
        <v>1</v>
      </c>
      <c r="L562" t="b">
        <f>TrafficData[[#This Row],[pendingAmount]]+TrafficData[[#This Row],[disposedAmount]]=TrafficData[[#This Row],[totalAmount]]</f>
        <v>1</v>
      </c>
      <c r="M562" t="b">
        <f>TrafficData[[#This Row],[pendingCourt]]+TrafficData[[#This Row],[disposedCourt]]=TrafficData[[#This Row],[totalCourt]]</f>
        <v>1</v>
      </c>
      <c r="N562" s="8" t="b">
        <f>AND(TrafficData[[#This Row],[disposedChallan]]&lt;=TrafficData[[#This Row],[totalChallan]],TrafficData[[#This Row],[pendingChallan]]&lt;=TrafficData[[#This Row],[totalChallan]])</f>
        <v>1</v>
      </c>
      <c r="O562" s="8" t="b">
        <f>AND(TrafficData[[#This Row],[pendingAmount]]&lt;=TrafficData[[#This Row],[totalAmount]],TrafficData[[#This Row],[disposedAmount]]&lt;=TrafficData[[#This Row],[totalAmount]])</f>
        <v>1</v>
      </c>
      <c r="P562" s="8" t="b">
        <f>AND(TrafficData[[#This Row],[pendingCourt]]&lt;=TrafficData[[#This Row],[totalCourt]],TrafficData[[#This Row],[disposedCourt]]&lt;=TrafficData[[#This Row],[totalCourt]])</f>
        <v>1</v>
      </c>
    </row>
    <row r="563" spans="1:16">
      <c r="A563" s="1">
        <v>42566</v>
      </c>
      <c r="B563">
        <v>1411</v>
      </c>
      <c r="C563">
        <v>71</v>
      </c>
      <c r="D563">
        <v>1340</v>
      </c>
      <c r="E563">
        <v>1101614</v>
      </c>
      <c r="F563">
        <v>146849</v>
      </c>
      <c r="G563">
        <v>1248463</v>
      </c>
      <c r="H563">
        <v>991</v>
      </c>
      <c r="I563">
        <v>9</v>
      </c>
      <c r="J563">
        <v>1000</v>
      </c>
      <c r="K563" t="b">
        <f>TrafficData[[#This Row],[disposedChallan]]+TrafficData[[#This Row],[pendingChallan]]=TrafficData[[#This Row],[totalChallan]]</f>
        <v>1</v>
      </c>
      <c r="L563" t="b">
        <f>TrafficData[[#This Row],[pendingAmount]]+TrafficData[[#This Row],[disposedAmount]]=TrafficData[[#This Row],[totalAmount]]</f>
        <v>1</v>
      </c>
      <c r="M563" t="b">
        <f>TrafficData[[#This Row],[pendingCourt]]+TrafficData[[#This Row],[disposedCourt]]=TrafficData[[#This Row],[totalCourt]]</f>
        <v>1</v>
      </c>
      <c r="N563" s="8" t="b">
        <f>AND(TrafficData[[#This Row],[disposedChallan]]&lt;=TrafficData[[#This Row],[totalChallan]],TrafficData[[#This Row],[pendingChallan]]&lt;=TrafficData[[#This Row],[totalChallan]])</f>
        <v>1</v>
      </c>
      <c r="O563" s="8" t="b">
        <f>AND(TrafficData[[#This Row],[pendingAmount]]&lt;=TrafficData[[#This Row],[totalAmount]],TrafficData[[#This Row],[disposedAmount]]&lt;=TrafficData[[#This Row],[totalAmount]])</f>
        <v>1</v>
      </c>
      <c r="P563" s="8" t="b">
        <f>AND(TrafficData[[#This Row],[pendingCourt]]&lt;=TrafficData[[#This Row],[totalCourt]],TrafficData[[#This Row],[disposedCourt]]&lt;=TrafficData[[#This Row],[totalCourt]])</f>
        <v>1</v>
      </c>
    </row>
    <row r="564" spans="1:16">
      <c r="A564" s="1">
        <v>42567</v>
      </c>
      <c r="B564">
        <v>928</v>
      </c>
      <c r="C564">
        <v>64</v>
      </c>
      <c r="D564">
        <v>864</v>
      </c>
      <c r="E564">
        <v>1099100</v>
      </c>
      <c r="F564">
        <v>318650</v>
      </c>
      <c r="G564">
        <v>1417750</v>
      </c>
      <c r="H564">
        <v>607</v>
      </c>
      <c r="I564">
        <v>2</v>
      </c>
      <c r="J564">
        <v>609</v>
      </c>
      <c r="K564" t="b">
        <f>TrafficData[[#This Row],[disposedChallan]]+TrafficData[[#This Row],[pendingChallan]]=TrafficData[[#This Row],[totalChallan]]</f>
        <v>1</v>
      </c>
      <c r="L564" t="b">
        <f>TrafficData[[#This Row],[pendingAmount]]+TrafficData[[#This Row],[disposedAmount]]=TrafficData[[#This Row],[totalAmount]]</f>
        <v>1</v>
      </c>
      <c r="M564" t="b">
        <f>TrafficData[[#This Row],[pendingCourt]]+TrafficData[[#This Row],[disposedCourt]]=TrafficData[[#This Row],[totalCourt]]</f>
        <v>1</v>
      </c>
      <c r="N564" s="8" t="b">
        <f>AND(TrafficData[[#This Row],[disposedChallan]]&lt;=TrafficData[[#This Row],[totalChallan]],TrafficData[[#This Row],[pendingChallan]]&lt;=TrafficData[[#This Row],[totalChallan]])</f>
        <v>1</v>
      </c>
      <c r="O564" s="8" t="b">
        <f>AND(TrafficData[[#This Row],[pendingAmount]]&lt;=TrafficData[[#This Row],[totalAmount]],TrafficData[[#This Row],[disposedAmount]]&lt;=TrafficData[[#This Row],[totalAmount]])</f>
        <v>1</v>
      </c>
      <c r="P564" s="8" t="b">
        <f>AND(TrafficData[[#This Row],[pendingCourt]]&lt;=TrafficData[[#This Row],[totalCourt]],TrafficData[[#This Row],[disposedCourt]]&lt;=TrafficData[[#This Row],[totalCourt]])</f>
        <v>1</v>
      </c>
    </row>
    <row r="565" spans="1:16">
      <c r="A565" s="1">
        <v>42568</v>
      </c>
      <c r="B565">
        <v>773</v>
      </c>
      <c r="C565">
        <v>68</v>
      </c>
      <c r="D565">
        <v>705</v>
      </c>
      <c r="E565">
        <v>733550</v>
      </c>
      <c r="F565">
        <v>198150</v>
      </c>
      <c r="G565">
        <v>931700</v>
      </c>
      <c r="H565">
        <v>524</v>
      </c>
      <c r="I565">
        <v>14</v>
      </c>
      <c r="J565">
        <v>538</v>
      </c>
      <c r="K565" t="b">
        <f>TrafficData[[#This Row],[disposedChallan]]+TrafficData[[#This Row],[pendingChallan]]=TrafficData[[#This Row],[totalChallan]]</f>
        <v>1</v>
      </c>
      <c r="L565" t="b">
        <f>TrafficData[[#This Row],[pendingAmount]]+TrafficData[[#This Row],[disposedAmount]]=TrafficData[[#This Row],[totalAmount]]</f>
        <v>1</v>
      </c>
      <c r="M565" t="b">
        <f>TrafficData[[#This Row],[pendingCourt]]+TrafficData[[#This Row],[disposedCourt]]=TrafficData[[#This Row],[totalCourt]]</f>
        <v>1</v>
      </c>
      <c r="N565" s="8" t="b">
        <f>AND(TrafficData[[#This Row],[disposedChallan]]&lt;=TrafficData[[#This Row],[totalChallan]],TrafficData[[#This Row],[pendingChallan]]&lt;=TrafficData[[#This Row],[totalChallan]])</f>
        <v>1</v>
      </c>
      <c r="O565" s="8" t="b">
        <f>AND(TrafficData[[#This Row],[pendingAmount]]&lt;=TrafficData[[#This Row],[totalAmount]],TrafficData[[#This Row],[disposedAmount]]&lt;=TrafficData[[#This Row],[totalAmount]])</f>
        <v>1</v>
      </c>
      <c r="P565" s="8" t="b">
        <f>AND(TrafficData[[#This Row],[pendingCourt]]&lt;=TrafficData[[#This Row],[totalCourt]],TrafficData[[#This Row],[disposedCourt]]&lt;=TrafficData[[#This Row],[totalCourt]])</f>
        <v>1</v>
      </c>
    </row>
    <row r="566" spans="1:16">
      <c r="A566" s="1">
        <v>42569</v>
      </c>
      <c r="B566">
        <v>983</v>
      </c>
      <c r="C566">
        <v>75</v>
      </c>
      <c r="D566">
        <v>908</v>
      </c>
      <c r="E566">
        <v>1213150</v>
      </c>
      <c r="F566">
        <v>451849</v>
      </c>
      <c r="G566">
        <v>1664999</v>
      </c>
      <c r="H566">
        <v>673</v>
      </c>
      <c r="I566">
        <v>4</v>
      </c>
      <c r="J566">
        <v>677</v>
      </c>
      <c r="K566" t="b">
        <f>TrafficData[[#This Row],[disposedChallan]]+TrafficData[[#This Row],[pendingChallan]]=TrafficData[[#This Row],[totalChallan]]</f>
        <v>1</v>
      </c>
      <c r="L566" t="b">
        <f>TrafficData[[#This Row],[pendingAmount]]+TrafficData[[#This Row],[disposedAmount]]=TrafficData[[#This Row],[totalAmount]]</f>
        <v>1</v>
      </c>
      <c r="M566" t="b">
        <f>TrafficData[[#This Row],[pendingCourt]]+TrafficData[[#This Row],[disposedCourt]]=TrafficData[[#This Row],[totalCourt]]</f>
        <v>1</v>
      </c>
      <c r="N566" s="8" t="b">
        <f>AND(TrafficData[[#This Row],[disposedChallan]]&lt;=TrafficData[[#This Row],[totalChallan]],TrafficData[[#This Row],[pendingChallan]]&lt;=TrafficData[[#This Row],[totalChallan]])</f>
        <v>1</v>
      </c>
      <c r="O566" s="8" t="b">
        <f>AND(TrafficData[[#This Row],[pendingAmount]]&lt;=TrafficData[[#This Row],[totalAmount]],TrafficData[[#This Row],[disposedAmount]]&lt;=TrafficData[[#This Row],[totalAmount]])</f>
        <v>1</v>
      </c>
      <c r="P566" s="8" t="b">
        <f>AND(TrafficData[[#This Row],[pendingCourt]]&lt;=TrafficData[[#This Row],[totalCourt]],TrafficData[[#This Row],[disposedCourt]]&lt;=TrafficData[[#This Row],[totalCourt]])</f>
        <v>1</v>
      </c>
    </row>
    <row r="567" spans="1:16">
      <c r="A567" s="1">
        <v>42570</v>
      </c>
      <c r="B567">
        <v>1251</v>
      </c>
      <c r="C567">
        <v>96</v>
      </c>
      <c r="D567">
        <v>1155</v>
      </c>
      <c r="E567">
        <v>1086696</v>
      </c>
      <c r="F567">
        <v>216627</v>
      </c>
      <c r="G567">
        <v>1303323</v>
      </c>
      <c r="H567">
        <v>906</v>
      </c>
      <c r="I567">
        <v>31</v>
      </c>
      <c r="J567">
        <v>937</v>
      </c>
      <c r="K567" t="b">
        <f>TrafficData[[#This Row],[disposedChallan]]+TrafficData[[#This Row],[pendingChallan]]=TrafficData[[#This Row],[totalChallan]]</f>
        <v>1</v>
      </c>
      <c r="L567" t="b">
        <f>TrafficData[[#This Row],[pendingAmount]]+TrafficData[[#This Row],[disposedAmount]]=TrafficData[[#This Row],[totalAmount]]</f>
        <v>1</v>
      </c>
      <c r="M567" t="b">
        <f>TrafficData[[#This Row],[pendingCourt]]+TrafficData[[#This Row],[disposedCourt]]=TrafficData[[#This Row],[totalCourt]]</f>
        <v>1</v>
      </c>
      <c r="N567" s="8" t="b">
        <f>AND(TrafficData[[#This Row],[disposedChallan]]&lt;=TrafficData[[#This Row],[totalChallan]],TrafficData[[#This Row],[pendingChallan]]&lt;=TrafficData[[#This Row],[totalChallan]])</f>
        <v>1</v>
      </c>
      <c r="O567" s="8" t="b">
        <f>AND(TrafficData[[#This Row],[pendingAmount]]&lt;=TrafficData[[#This Row],[totalAmount]],TrafficData[[#This Row],[disposedAmount]]&lt;=TrafficData[[#This Row],[totalAmount]])</f>
        <v>1</v>
      </c>
      <c r="P567" s="8" t="b">
        <f>AND(TrafficData[[#This Row],[pendingCourt]]&lt;=TrafficData[[#This Row],[totalCourt]],TrafficData[[#This Row],[disposedCourt]]&lt;=TrafficData[[#This Row],[totalCourt]])</f>
        <v>1</v>
      </c>
    </row>
    <row r="568" spans="1:16">
      <c r="A568" s="1">
        <v>42571</v>
      </c>
      <c r="B568">
        <v>1211</v>
      </c>
      <c r="C568">
        <v>124</v>
      </c>
      <c r="D568">
        <v>1087</v>
      </c>
      <c r="E568">
        <v>1178040</v>
      </c>
      <c r="F568">
        <v>307575</v>
      </c>
      <c r="G568">
        <v>1485615</v>
      </c>
      <c r="H568">
        <v>796</v>
      </c>
      <c r="I568">
        <v>12</v>
      </c>
      <c r="J568">
        <v>808</v>
      </c>
      <c r="K568" t="b">
        <f>TrafficData[[#This Row],[disposedChallan]]+TrafficData[[#This Row],[pendingChallan]]=TrafficData[[#This Row],[totalChallan]]</f>
        <v>1</v>
      </c>
      <c r="L568" t="b">
        <f>TrafficData[[#This Row],[pendingAmount]]+TrafficData[[#This Row],[disposedAmount]]=TrafficData[[#This Row],[totalAmount]]</f>
        <v>1</v>
      </c>
      <c r="M568" t="b">
        <f>TrafficData[[#This Row],[pendingCourt]]+TrafficData[[#This Row],[disposedCourt]]=TrafficData[[#This Row],[totalCourt]]</f>
        <v>1</v>
      </c>
      <c r="N568" s="8" t="b">
        <f>AND(TrafficData[[#This Row],[disposedChallan]]&lt;=TrafficData[[#This Row],[totalChallan]],TrafficData[[#This Row],[pendingChallan]]&lt;=TrafficData[[#This Row],[totalChallan]])</f>
        <v>1</v>
      </c>
      <c r="O568" s="8" t="b">
        <f>AND(TrafficData[[#This Row],[pendingAmount]]&lt;=TrafficData[[#This Row],[totalAmount]],TrafficData[[#This Row],[disposedAmount]]&lt;=TrafficData[[#This Row],[totalAmount]])</f>
        <v>1</v>
      </c>
      <c r="P568" s="8" t="b">
        <f>AND(TrafficData[[#This Row],[pendingCourt]]&lt;=TrafficData[[#This Row],[totalCourt]],TrafficData[[#This Row],[disposedCourt]]&lt;=TrafficData[[#This Row],[totalCourt]])</f>
        <v>1</v>
      </c>
    </row>
    <row r="569" spans="1:16">
      <c r="A569" s="1">
        <v>42572</v>
      </c>
      <c r="B569">
        <v>1363</v>
      </c>
      <c r="C569">
        <v>91</v>
      </c>
      <c r="D569">
        <v>1272</v>
      </c>
      <c r="E569">
        <v>1185610</v>
      </c>
      <c r="F569">
        <v>375800</v>
      </c>
      <c r="G569">
        <v>1561410</v>
      </c>
      <c r="H569">
        <v>871</v>
      </c>
      <c r="I569">
        <v>19</v>
      </c>
      <c r="J569">
        <v>890</v>
      </c>
      <c r="K569" t="b">
        <f>TrafficData[[#This Row],[disposedChallan]]+TrafficData[[#This Row],[pendingChallan]]=TrafficData[[#This Row],[totalChallan]]</f>
        <v>1</v>
      </c>
      <c r="L569" t="b">
        <f>TrafficData[[#This Row],[pendingAmount]]+TrafficData[[#This Row],[disposedAmount]]=TrafficData[[#This Row],[totalAmount]]</f>
        <v>1</v>
      </c>
      <c r="M569" t="b">
        <f>TrafficData[[#This Row],[pendingCourt]]+TrafficData[[#This Row],[disposedCourt]]=TrafficData[[#This Row],[totalCourt]]</f>
        <v>1</v>
      </c>
      <c r="N569" s="8" t="b">
        <f>AND(TrafficData[[#This Row],[disposedChallan]]&lt;=TrafficData[[#This Row],[totalChallan]],TrafficData[[#This Row],[pendingChallan]]&lt;=TrafficData[[#This Row],[totalChallan]])</f>
        <v>1</v>
      </c>
      <c r="O569" s="8" t="b">
        <f>AND(TrafficData[[#This Row],[pendingAmount]]&lt;=TrafficData[[#This Row],[totalAmount]],TrafficData[[#This Row],[disposedAmount]]&lt;=TrafficData[[#This Row],[totalAmount]])</f>
        <v>1</v>
      </c>
      <c r="P569" s="8" t="b">
        <f>AND(TrafficData[[#This Row],[pendingCourt]]&lt;=TrafficData[[#This Row],[totalCourt]],TrafficData[[#This Row],[disposedCourt]]&lt;=TrafficData[[#This Row],[totalCourt]])</f>
        <v>1</v>
      </c>
    </row>
    <row r="570" spans="1:16">
      <c r="A570" s="1">
        <v>42573</v>
      </c>
      <c r="B570">
        <v>1263</v>
      </c>
      <c r="C570">
        <v>99</v>
      </c>
      <c r="D570">
        <v>1164</v>
      </c>
      <c r="E570">
        <v>999150</v>
      </c>
      <c r="F570">
        <v>347550</v>
      </c>
      <c r="G570">
        <v>1346700</v>
      </c>
      <c r="H570">
        <v>880</v>
      </c>
      <c r="I570">
        <v>5</v>
      </c>
      <c r="J570">
        <v>885</v>
      </c>
      <c r="K570" t="b">
        <f>TrafficData[[#This Row],[disposedChallan]]+TrafficData[[#This Row],[pendingChallan]]=TrafficData[[#This Row],[totalChallan]]</f>
        <v>1</v>
      </c>
      <c r="L570" t="b">
        <f>TrafficData[[#This Row],[pendingAmount]]+TrafficData[[#This Row],[disposedAmount]]=TrafficData[[#This Row],[totalAmount]]</f>
        <v>1</v>
      </c>
      <c r="M570" t="b">
        <f>TrafficData[[#This Row],[pendingCourt]]+TrafficData[[#This Row],[disposedCourt]]=TrafficData[[#This Row],[totalCourt]]</f>
        <v>1</v>
      </c>
      <c r="N570" s="8" t="b">
        <f>AND(TrafficData[[#This Row],[disposedChallan]]&lt;=TrafficData[[#This Row],[totalChallan]],TrafficData[[#This Row],[pendingChallan]]&lt;=TrafficData[[#This Row],[totalChallan]])</f>
        <v>1</v>
      </c>
      <c r="O570" s="8" t="b">
        <f>AND(TrafficData[[#This Row],[pendingAmount]]&lt;=TrafficData[[#This Row],[totalAmount]],TrafficData[[#This Row],[disposedAmount]]&lt;=TrafficData[[#This Row],[totalAmount]])</f>
        <v>1</v>
      </c>
      <c r="P570" s="8" t="b">
        <f>AND(TrafficData[[#This Row],[pendingCourt]]&lt;=TrafficData[[#This Row],[totalCourt]],TrafficData[[#This Row],[disposedCourt]]&lt;=TrafficData[[#This Row],[totalCourt]])</f>
        <v>1</v>
      </c>
    </row>
    <row r="571" spans="1:16">
      <c r="A571" s="1">
        <v>42574</v>
      </c>
      <c r="B571">
        <v>1005</v>
      </c>
      <c r="C571">
        <v>63</v>
      </c>
      <c r="D571">
        <v>942</v>
      </c>
      <c r="E571">
        <v>827250</v>
      </c>
      <c r="F571">
        <v>389825</v>
      </c>
      <c r="G571">
        <v>1217075</v>
      </c>
      <c r="H571">
        <v>722</v>
      </c>
      <c r="I571">
        <v>8</v>
      </c>
      <c r="J571">
        <v>730</v>
      </c>
      <c r="K571" t="b">
        <f>TrafficData[[#This Row],[disposedChallan]]+TrafficData[[#This Row],[pendingChallan]]=TrafficData[[#This Row],[totalChallan]]</f>
        <v>1</v>
      </c>
      <c r="L571" t="b">
        <f>TrafficData[[#This Row],[pendingAmount]]+TrafficData[[#This Row],[disposedAmount]]=TrafficData[[#This Row],[totalAmount]]</f>
        <v>1</v>
      </c>
      <c r="M571" t="b">
        <f>TrafficData[[#This Row],[pendingCourt]]+TrafficData[[#This Row],[disposedCourt]]=TrafficData[[#This Row],[totalCourt]]</f>
        <v>1</v>
      </c>
      <c r="N571" s="8" t="b">
        <f>AND(TrafficData[[#This Row],[disposedChallan]]&lt;=TrafficData[[#This Row],[totalChallan]],TrafficData[[#This Row],[pendingChallan]]&lt;=TrafficData[[#This Row],[totalChallan]])</f>
        <v>1</v>
      </c>
      <c r="O571" s="8" t="b">
        <f>AND(TrafficData[[#This Row],[pendingAmount]]&lt;=TrafficData[[#This Row],[totalAmount]],TrafficData[[#This Row],[disposedAmount]]&lt;=TrafficData[[#This Row],[totalAmount]])</f>
        <v>1</v>
      </c>
      <c r="P571" s="8" t="b">
        <f>AND(TrafficData[[#This Row],[pendingCourt]]&lt;=TrafficData[[#This Row],[totalCourt]],TrafficData[[#This Row],[disposedCourt]]&lt;=TrafficData[[#This Row],[totalCourt]])</f>
        <v>1</v>
      </c>
    </row>
    <row r="572" spans="1:16">
      <c r="A572" s="1">
        <v>42575</v>
      </c>
      <c r="B572">
        <v>753</v>
      </c>
      <c r="C572">
        <v>43</v>
      </c>
      <c r="D572">
        <v>710</v>
      </c>
      <c r="E572">
        <v>559810</v>
      </c>
      <c r="F572">
        <v>226659</v>
      </c>
      <c r="G572">
        <v>786469</v>
      </c>
      <c r="H572">
        <v>580</v>
      </c>
      <c r="I572">
        <v>6</v>
      </c>
      <c r="J572">
        <v>586</v>
      </c>
      <c r="K572" t="b">
        <f>TrafficData[[#This Row],[disposedChallan]]+TrafficData[[#This Row],[pendingChallan]]=TrafficData[[#This Row],[totalChallan]]</f>
        <v>1</v>
      </c>
      <c r="L572" t="b">
        <f>TrafficData[[#This Row],[pendingAmount]]+TrafficData[[#This Row],[disposedAmount]]=TrafficData[[#This Row],[totalAmount]]</f>
        <v>1</v>
      </c>
      <c r="M572" t="b">
        <f>TrafficData[[#This Row],[pendingCourt]]+TrafficData[[#This Row],[disposedCourt]]=TrafficData[[#This Row],[totalCourt]]</f>
        <v>1</v>
      </c>
      <c r="N572" s="8" t="b">
        <f>AND(TrafficData[[#This Row],[disposedChallan]]&lt;=TrafficData[[#This Row],[totalChallan]],TrafficData[[#This Row],[pendingChallan]]&lt;=TrafficData[[#This Row],[totalChallan]])</f>
        <v>1</v>
      </c>
      <c r="O572" s="8" t="b">
        <f>AND(TrafficData[[#This Row],[pendingAmount]]&lt;=TrafficData[[#This Row],[totalAmount]],TrafficData[[#This Row],[disposedAmount]]&lt;=TrafficData[[#This Row],[totalAmount]])</f>
        <v>1</v>
      </c>
      <c r="P572" s="8" t="b">
        <f>AND(TrafficData[[#This Row],[pendingCourt]]&lt;=TrafficData[[#This Row],[totalCourt]],TrafficData[[#This Row],[disposedCourt]]&lt;=TrafficData[[#This Row],[totalCourt]])</f>
        <v>1</v>
      </c>
    </row>
    <row r="573" spans="1:16">
      <c r="A573" s="1">
        <v>42576</v>
      </c>
      <c r="B573">
        <v>1049</v>
      </c>
      <c r="C573">
        <v>67</v>
      </c>
      <c r="D573">
        <v>982</v>
      </c>
      <c r="E573">
        <v>1112700</v>
      </c>
      <c r="F573">
        <v>260300</v>
      </c>
      <c r="G573">
        <v>1373000</v>
      </c>
      <c r="H573">
        <v>727</v>
      </c>
      <c r="I573">
        <v>13</v>
      </c>
      <c r="J573">
        <v>740</v>
      </c>
      <c r="K573" t="b">
        <f>TrafficData[[#This Row],[disposedChallan]]+TrafficData[[#This Row],[pendingChallan]]=TrafficData[[#This Row],[totalChallan]]</f>
        <v>1</v>
      </c>
      <c r="L573" t="b">
        <f>TrafficData[[#This Row],[pendingAmount]]+TrafficData[[#This Row],[disposedAmount]]=TrafficData[[#This Row],[totalAmount]]</f>
        <v>1</v>
      </c>
      <c r="M573" t="b">
        <f>TrafficData[[#This Row],[pendingCourt]]+TrafficData[[#This Row],[disposedCourt]]=TrafficData[[#This Row],[totalCourt]]</f>
        <v>1</v>
      </c>
      <c r="N573" s="8" t="b">
        <f>AND(TrafficData[[#This Row],[disposedChallan]]&lt;=TrafficData[[#This Row],[totalChallan]],TrafficData[[#This Row],[pendingChallan]]&lt;=TrafficData[[#This Row],[totalChallan]])</f>
        <v>1</v>
      </c>
      <c r="O573" s="8" t="b">
        <f>AND(TrafficData[[#This Row],[pendingAmount]]&lt;=TrafficData[[#This Row],[totalAmount]],TrafficData[[#This Row],[disposedAmount]]&lt;=TrafficData[[#This Row],[totalAmount]])</f>
        <v>1</v>
      </c>
      <c r="P573" s="8" t="b">
        <f>AND(TrafficData[[#This Row],[pendingCourt]]&lt;=TrafficData[[#This Row],[totalCourt]],TrafficData[[#This Row],[disposedCourt]]&lt;=TrafficData[[#This Row],[totalCourt]])</f>
        <v>1</v>
      </c>
    </row>
    <row r="574" spans="1:16">
      <c r="A574" s="1">
        <v>42577</v>
      </c>
      <c r="B574">
        <v>1557</v>
      </c>
      <c r="C574">
        <v>99</v>
      </c>
      <c r="D574">
        <v>1458</v>
      </c>
      <c r="E574">
        <v>812845</v>
      </c>
      <c r="F574">
        <v>255450</v>
      </c>
      <c r="G574">
        <v>1068295</v>
      </c>
      <c r="H574">
        <v>1175</v>
      </c>
      <c r="I574">
        <v>5</v>
      </c>
      <c r="J574">
        <v>1180</v>
      </c>
      <c r="K574" t="b">
        <f>TrafficData[[#This Row],[disposedChallan]]+TrafficData[[#This Row],[pendingChallan]]=TrafficData[[#This Row],[totalChallan]]</f>
        <v>1</v>
      </c>
      <c r="L574" t="b">
        <f>TrafficData[[#This Row],[pendingAmount]]+TrafficData[[#This Row],[disposedAmount]]=TrafficData[[#This Row],[totalAmount]]</f>
        <v>1</v>
      </c>
      <c r="M574" t="b">
        <f>TrafficData[[#This Row],[pendingCourt]]+TrafficData[[#This Row],[disposedCourt]]=TrafficData[[#This Row],[totalCourt]]</f>
        <v>1</v>
      </c>
      <c r="N574" s="8" t="b">
        <f>AND(TrafficData[[#This Row],[disposedChallan]]&lt;=TrafficData[[#This Row],[totalChallan]],TrafficData[[#This Row],[pendingChallan]]&lt;=TrafficData[[#This Row],[totalChallan]])</f>
        <v>1</v>
      </c>
      <c r="O574" s="8" t="b">
        <f>AND(TrafficData[[#This Row],[pendingAmount]]&lt;=TrafficData[[#This Row],[totalAmount]],TrafficData[[#This Row],[disposedAmount]]&lt;=TrafficData[[#This Row],[totalAmount]])</f>
        <v>1</v>
      </c>
      <c r="P574" s="8" t="b">
        <f>AND(TrafficData[[#This Row],[pendingCourt]]&lt;=TrafficData[[#This Row],[totalCourt]],TrafficData[[#This Row],[disposedCourt]]&lt;=TrafficData[[#This Row],[totalCourt]])</f>
        <v>1</v>
      </c>
    </row>
    <row r="575" spans="1:16">
      <c r="A575" s="1">
        <v>42578</v>
      </c>
      <c r="B575">
        <v>1477</v>
      </c>
      <c r="C575">
        <v>116</v>
      </c>
      <c r="D575">
        <v>1361</v>
      </c>
      <c r="E575">
        <v>1178000</v>
      </c>
      <c r="F575">
        <v>469290</v>
      </c>
      <c r="G575">
        <v>1647290</v>
      </c>
      <c r="H575">
        <v>1053</v>
      </c>
      <c r="I575">
        <v>8</v>
      </c>
      <c r="J575">
        <v>1061</v>
      </c>
      <c r="K575" t="b">
        <f>TrafficData[[#This Row],[disposedChallan]]+TrafficData[[#This Row],[pendingChallan]]=TrafficData[[#This Row],[totalChallan]]</f>
        <v>1</v>
      </c>
      <c r="L575" t="b">
        <f>TrafficData[[#This Row],[pendingAmount]]+TrafficData[[#This Row],[disposedAmount]]=TrafficData[[#This Row],[totalAmount]]</f>
        <v>1</v>
      </c>
      <c r="M575" t="b">
        <f>TrafficData[[#This Row],[pendingCourt]]+TrafficData[[#This Row],[disposedCourt]]=TrafficData[[#This Row],[totalCourt]]</f>
        <v>1</v>
      </c>
      <c r="N575" s="8" t="b">
        <f>AND(TrafficData[[#This Row],[disposedChallan]]&lt;=TrafficData[[#This Row],[totalChallan]],TrafficData[[#This Row],[pendingChallan]]&lt;=TrafficData[[#This Row],[totalChallan]])</f>
        <v>1</v>
      </c>
      <c r="O575" s="8" t="b">
        <f>AND(TrafficData[[#This Row],[pendingAmount]]&lt;=TrafficData[[#This Row],[totalAmount]],TrafficData[[#This Row],[disposedAmount]]&lt;=TrafficData[[#This Row],[totalAmount]])</f>
        <v>1</v>
      </c>
      <c r="P575" s="8" t="b">
        <f>AND(TrafficData[[#This Row],[pendingCourt]]&lt;=TrafficData[[#This Row],[totalCourt]],TrafficData[[#This Row],[disposedCourt]]&lt;=TrafficData[[#This Row],[totalCourt]])</f>
        <v>1</v>
      </c>
    </row>
    <row r="576" spans="1:16">
      <c r="A576" s="1">
        <v>42579</v>
      </c>
      <c r="B576">
        <v>1135</v>
      </c>
      <c r="C576">
        <v>76</v>
      </c>
      <c r="D576">
        <v>1059</v>
      </c>
      <c r="E576">
        <v>903700</v>
      </c>
      <c r="F576">
        <v>305400</v>
      </c>
      <c r="G576">
        <v>1209100</v>
      </c>
      <c r="H576">
        <v>762</v>
      </c>
      <c r="I576">
        <v>16</v>
      </c>
      <c r="J576">
        <v>778</v>
      </c>
      <c r="K576" t="b">
        <f>TrafficData[[#This Row],[disposedChallan]]+TrafficData[[#This Row],[pendingChallan]]=TrafficData[[#This Row],[totalChallan]]</f>
        <v>1</v>
      </c>
      <c r="L576" t="b">
        <f>TrafficData[[#This Row],[pendingAmount]]+TrafficData[[#This Row],[disposedAmount]]=TrafficData[[#This Row],[totalAmount]]</f>
        <v>1</v>
      </c>
      <c r="M576" t="b">
        <f>TrafficData[[#This Row],[pendingCourt]]+TrafficData[[#This Row],[disposedCourt]]=TrafficData[[#This Row],[totalCourt]]</f>
        <v>1</v>
      </c>
      <c r="N576" s="8" t="b">
        <f>AND(TrafficData[[#This Row],[disposedChallan]]&lt;=TrafficData[[#This Row],[totalChallan]],TrafficData[[#This Row],[pendingChallan]]&lt;=TrafficData[[#This Row],[totalChallan]])</f>
        <v>1</v>
      </c>
      <c r="O576" s="8" t="b">
        <f>AND(TrafficData[[#This Row],[pendingAmount]]&lt;=TrafficData[[#This Row],[totalAmount]],TrafficData[[#This Row],[disposedAmount]]&lt;=TrafficData[[#This Row],[totalAmount]])</f>
        <v>1</v>
      </c>
      <c r="P576" s="8" t="b">
        <f>AND(TrafficData[[#This Row],[pendingCourt]]&lt;=TrafficData[[#This Row],[totalCourt]],TrafficData[[#This Row],[disposedCourt]]&lt;=TrafficData[[#This Row],[totalCourt]])</f>
        <v>1</v>
      </c>
    </row>
    <row r="577" spans="1:16">
      <c r="A577" s="1">
        <v>42580</v>
      </c>
      <c r="B577">
        <v>1109</v>
      </c>
      <c r="C577">
        <v>80</v>
      </c>
      <c r="D577">
        <v>1029</v>
      </c>
      <c r="E577">
        <v>1097335</v>
      </c>
      <c r="F577">
        <v>319150</v>
      </c>
      <c r="G577">
        <v>1416485</v>
      </c>
      <c r="H577">
        <v>720</v>
      </c>
      <c r="I577">
        <v>7</v>
      </c>
      <c r="J577">
        <v>727</v>
      </c>
      <c r="K577" t="b">
        <f>TrafficData[[#This Row],[disposedChallan]]+TrafficData[[#This Row],[pendingChallan]]=TrafficData[[#This Row],[totalChallan]]</f>
        <v>1</v>
      </c>
      <c r="L577" t="b">
        <f>TrafficData[[#This Row],[pendingAmount]]+TrafficData[[#This Row],[disposedAmount]]=TrafficData[[#This Row],[totalAmount]]</f>
        <v>1</v>
      </c>
      <c r="M577" t="b">
        <f>TrafficData[[#This Row],[pendingCourt]]+TrafficData[[#This Row],[disposedCourt]]=TrafficData[[#This Row],[totalCourt]]</f>
        <v>1</v>
      </c>
      <c r="N577" s="8" t="b">
        <f>AND(TrafficData[[#This Row],[disposedChallan]]&lt;=TrafficData[[#This Row],[totalChallan]],TrafficData[[#This Row],[pendingChallan]]&lt;=TrafficData[[#This Row],[totalChallan]])</f>
        <v>1</v>
      </c>
      <c r="O577" s="8" t="b">
        <f>AND(TrafficData[[#This Row],[pendingAmount]]&lt;=TrafficData[[#This Row],[totalAmount]],TrafficData[[#This Row],[disposedAmount]]&lt;=TrafficData[[#This Row],[totalAmount]])</f>
        <v>1</v>
      </c>
      <c r="P577" s="8" t="b">
        <f>AND(TrafficData[[#This Row],[pendingCourt]]&lt;=TrafficData[[#This Row],[totalCourt]],TrafficData[[#This Row],[disposedCourt]]&lt;=TrafficData[[#This Row],[totalCourt]])</f>
        <v>1</v>
      </c>
    </row>
    <row r="578" spans="1:16">
      <c r="A578" s="1">
        <v>42581</v>
      </c>
      <c r="B578">
        <v>1379</v>
      </c>
      <c r="C578">
        <v>72</v>
      </c>
      <c r="D578">
        <v>1307</v>
      </c>
      <c r="E578">
        <v>836371</v>
      </c>
      <c r="F578">
        <v>181940</v>
      </c>
      <c r="G578">
        <v>1018311</v>
      </c>
      <c r="H578">
        <v>1080</v>
      </c>
      <c r="I578">
        <v>8</v>
      </c>
      <c r="J578">
        <v>1088</v>
      </c>
      <c r="K578" t="b">
        <f>TrafficData[[#This Row],[disposedChallan]]+TrafficData[[#This Row],[pendingChallan]]=TrafficData[[#This Row],[totalChallan]]</f>
        <v>1</v>
      </c>
      <c r="L578" t="b">
        <f>TrafficData[[#This Row],[pendingAmount]]+TrafficData[[#This Row],[disposedAmount]]=TrafficData[[#This Row],[totalAmount]]</f>
        <v>1</v>
      </c>
      <c r="M578" t="b">
        <f>TrafficData[[#This Row],[pendingCourt]]+TrafficData[[#This Row],[disposedCourt]]=TrafficData[[#This Row],[totalCourt]]</f>
        <v>1</v>
      </c>
      <c r="N578" s="8" t="b">
        <f>AND(TrafficData[[#This Row],[disposedChallan]]&lt;=TrafficData[[#This Row],[totalChallan]],TrafficData[[#This Row],[pendingChallan]]&lt;=TrafficData[[#This Row],[totalChallan]])</f>
        <v>1</v>
      </c>
      <c r="O578" s="8" t="b">
        <f>AND(TrafficData[[#This Row],[pendingAmount]]&lt;=TrafficData[[#This Row],[totalAmount]],TrafficData[[#This Row],[disposedAmount]]&lt;=TrafficData[[#This Row],[totalAmount]])</f>
        <v>1</v>
      </c>
      <c r="P578" s="8" t="b">
        <f>AND(TrafficData[[#This Row],[pendingCourt]]&lt;=TrafficData[[#This Row],[totalCourt]],TrafficData[[#This Row],[disposedCourt]]&lt;=TrafficData[[#This Row],[totalCourt]])</f>
        <v>1</v>
      </c>
    </row>
    <row r="579" spans="1:16">
      <c r="A579" s="1">
        <v>42582</v>
      </c>
      <c r="B579">
        <v>1098</v>
      </c>
      <c r="C579">
        <v>30</v>
      </c>
      <c r="D579">
        <v>1068</v>
      </c>
      <c r="E579">
        <v>505410</v>
      </c>
      <c r="F579">
        <v>77900</v>
      </c>
      <c r="G579">
        <v>583310</v>
      </c>
      <c r="H579">
        <v>865</v>
      </c>
      <c r="I579">
        <v>5</v>
      </c>
      <c r="J579">
        <v>870</v>
      </c>
      <c r="K579" t="b">
        <f>TrafficData[[#This Row],[disposedChallan]]+TrafficData[[#This Row],[pendingChallan]]=TrafficData[[#This Row],[totalChallan]]</f>
        <v>1</v>
      </c>
      <c r="L579" t="b">
        <f>TrafficData[[#This Row],[pendingAmount]]+TrafficData[[#This Row],[disposedAmount]]=TrafficData[[#This Row],[totalAmount]]</f>
        <v>1</v>
      </c>
      <c r="M579" t="b">
        <f>TrafficData[[#This Row],[pendingCourt]]+TrafficData[[#This Row],[disposedCourt]]=TrafficData[[#This Row],[totalCourt]]</f>
        <v>1</v>
      </c>
      <c r="N579" s="8" t="b">
        <f>AND(TrafficData[[#This Row],[disposedChallan]]&lt;=TrafficData[[#This Row],[totalChallan]],TrafficData[[#This Row],[pendingChallan]]&lt;=TrafficData[[#This Row],[totalChallan]])</f>
        <v>1</v>
      </c>
      <c r="O579" s="8" t="b">
        <f>AND(TrafficData[[#This Row],[pendingAmount]]&lt;=TrafficData[[#This Row],[totalAmount]],TrafficData[[#This Row],[disposedAmount]]&lt;=TrafficData[[#This Row],[totalAmount]])</f>
        <v>1</v>
      </c>
      <c r="P579" s="8" t="b">
        <f>AND(TrafficData[[#This Row],[pendingCourt]]&lt;=TrafficData[[#This Row],[totalCourt]],TrafficData[[#This Row],[disposedCourt]]&lt;=TrafficData[[#This Row],[totalCourt]])</f>
        <v>1</v>
      </c>
    </row>
    <row r="580" spans="1:16">
      <c r="A580" s="1">
        <v>42583</v>
      </c>
      <c r="B580">
        <v>884</v>
      </c>
      <c r="C580">
        <v>92</v>
      </c>
      <c r="D580">
        <v>792</v>
      </c>
      <c r="E580">
        <v>870400</v>
      </c>
      <c r="F580">
        <v>281550</v>
      </c>
      <c r="G580">
        <v>1151950</v>
      </c>
      <c r="H580">
        <v>556</v>
      </c>
      <c r="I580">
        <v>15</v>
      </c>
      <c r="J580">
        <v>571</v>
      </c>
      <c r="K580" t="b">
        <f>TrafficData[[#This Row],[disposedChallan]]+TrafficData[[#This Row],[pendingChallan]]=TrafficData[[#This Row],[totalChallan]]</f>
        <v>1</v>
      </c>
      <c r="L580" t="b">
        <f>TrafficData[[#This Row],[pendingAmount]]+TrafficData[[#This Row],[disposedAmount]]=TrafficData[[#This Row],[totalAmount]]</f>
        <v>1</v>
      </c>
      <c r="M580" t="b">
        <f>TrafficData[[#This Row],[pendingCourt]]+TrafficData[[#This Row],[disposedCourt]]=TrafficData[[#This Row],[totalCourt]]</f>
        <v>1</v>
      </c>
      <c r="N580" s="8" t="b">
        <f>AND(TrafficData[[#This Row],[disposedChallan]]&lt;=TrafficData[[#This Row],[totalChallan]],TrafficData[[#This Row],[pendingChallan]]&lt;=TrafficData[[#This Row],[totalChallan]])</f>
        <v>1</v>
      </c>
      <c r="O580" s="8" t="b">
        <f>AND(TrafficData[[#This Row],[pendingAmount]]&lt;=TrafficData[[#This Row],[totalAmount]],TrafficData[[#This Row],[disposedAmount]]&lt;=TrafficData[[#This Row],[totalAmount]])</f>
        <v>1</v>
      </c>
      <c r="P580" s="8" t="b">
        <f>AND(TrafficData[[#This Row],[pendingCourt]]&lt;=TrafficData[[#This Row],[totalCourt]],TrafficData[[#This Row],[disposedCourt]]&lt;=TrafficData[[#This Row],[totalCourt]])</f>
        <v>1</v>
      </c>
    </row>
    <row r="581" spans="1:16">
      <c r="A581" s="1">
        <v>42584</v>
      </c>
      <c r="B581">
        <v>1365</v>
      </c>
      <c r="C581">
        <v>124</v>
      </c>
      <c r="D581">
        <v>1241</v>
      </c>
      <c r="E581">
        <v>1180650</v>
      </c>
      <c r="F581">
        <v>390810</v>
      </c>
      <c r="G581">
        <v>1571460</v>
      </c>
      <c r="H581">
        <v>949</v>
      </c>
      <c r="I581">
        <v>6</v>
      </c>
      <c r="J581">
        <v>955</v>
      </c>
      <c r="K581" t="b">
        <f>TrafficData[[#This Row],[disposedChallan]]+TrafficData[[#This Row],[pendingChallan]]=TrafficData[[#This Row],[totalChallan]]</f>
        <v>1</v>
      </c>
      <c r="L581" t="b">
        <f>TrafficData[[#This Row],[pendingAmount]]+TrafficData[[#This Row],[disposedAmount]]=TrafficData[[#This Row],[totalAmount]]</f>
        <v>1</v>
      </c>
      <c r="M581" t="b">
        <f>TrafficData[[#This Row],[pendingCourt]]+TrafficData[[#This Row],[disposedCourt]]=TrafficData[[#This Row],[totalCourt]]</f>
        <v>1</v>
      </c>
      <c r="N581" s="8" t="b">
        <f>AND(TrafficData[[#This Row],[disposedChallan]]&lt;=TrafficData[[#This Row],[totalChallan]],TrafficData[[#This Row],[pendingChallan]]&lt;=TrafficData[[#This Row],[totalChallan]])</f>
        <v>1</v>
      </c>
      <c r="O581" s="8" t="b">
        <f>AND(TrafficData[[#This Row],[pendingAmount]]&lt;=TrafficData[[#This Row],[totalAmount]],TrafficData[[#This Row],[disposedAmount]]&lt;=TrafficData[[#This Row],[totalAmount]])</f>
        <v>1</v>
      </c>
      <c r="P581" s="8" t="b">
        <f>AND(TrafficData[[#This Row],[pendingCourt]]&lt;=TrafficData[[#This Row],[totalCourt]],TrafficData[[#This Row],[disposedCourt]]&lt;=TrafficData[[#This Row],[totalCourt]])</f>
        <v>1</v>
      </c>
    </row>
    <row r="582" spans="1:16">
      <c r="A582" s="1">
        <v>42585</v>
      </c>
      <c r="B582">
        <v>1674</v>
      </c>
      <c r="C582">
        <v>84</v>
      </c>
      <c r="D582">
        <v>1590</v>
      </c>
      <c r="E582">
        <v>830425</v>
      </c>
      <c r="F582">
        <v>259500</v>
      </c>
      <c r="G582">
        <v>1089925</v>
      </c>
      <c r="H582">
        <v>1308</v>
      </c>
      <c r="I582">
        <v>25</v>
      </c>
      <c r="J582">
        <v>1333</v>
      </c>
      <c r="K582" t="b">
        <f>TrafficData[[#This Row],[disposedChallan]]+TrafficData[[#This Row],[pendingChallan]]=TrafficData[[#This Row],[totalChallan]]</f>
        <v>1</v>
      </c>
      <c r="L582" t="b">
        <f>TrafficData[[#This Row],[pendingAmount]]+TrafficData[[#This Row],[disposedAmount]]=TrafficData[[#This Row],[totalAmount]]</f>
        <v>1</v>
      </c>
      <c r="M582" t="b">
        <f>TrafficData[[#This Row],[pendingCourt]]+TrafficData[[#This Row],[disposedCourt]]=TrafficData[[#This Row],[totalCourt]]</f>
        <v>1</v>
      </c>
      <c r="N582" s="8" t="b">
        <f>AND(TrafficData[[#This Row],[disposedChallan]]&lt;=TrafficData[[#This Row],[totalChallan]],TrafficData[[#This Row],[pendingChallan]]&lt;=TrafficData[[#This Row],[totalChallan]])</f>
        <v>1</v>
      </c>
      <c r="O582" s="8" t="b">
        <f>AND(TrafficData[[#This Row],[pendingAmount]]&lt;=TrafficData[[#This Row],[totalAmount]],TrafficData[[#This Row],[disposedAmount]]&lt;=TrafficData[[#This Row],[totalAmount]])</f>
        <v>1</v>
      </c>
      <c r="P582" s="8" t="b">
        <f>AND(TrafficData[[#This Row],[pendingCourt]]&lt;=TrafficData[[#This Row],[totalCourt]],TrafficData[[#This Row],[disposedCourt]]&lt;=TrafficData[[#This Row],[totalCourt]])</f>
        <v>1</v>
      </c>
    </row>
    <row r="583" spans="1:16">
      <c r="A583" s="1">
        <v>42586</v>
      </c>
      <c r="B583">
        <v>1775</v>
      </c>
      <c r="C583">
        <v>97</v>
      </c>
      <c r="D583">
        <v>1678</v>
      </c>
      <c r="E583">
        <v>979310</v>
      </c>
      <c r="F583">
        <v>398070</v>
      </c>
      <c r="G583">
        <v>1377380</v>
      </c>
      <c r="H583">
        <v>1381</v>
      </c>
      <c r="I583">
        <v>5</v>
      </c>
      <c r="J583">
        <v>1386</v>
      </c>
      <c r="K583" t="b">
        <f>TrafficData[[#This Row],[disposedChallan]]+TrafficData[[#This Row],[pendingChallan]]=TrafficData[[#This Row],[totalChallan]]</f>
        <v>1</v>
      </c>
      <c r="L583" t="b">
        <f>TrafficData[[#This Row],[pendingAmount]]+TrafficData[[#This Row],[disposedAmount]]=TrafficData[[#This Row],[totalAmount]]</f>
        <v>1</v>
      </c>
      <c r="M583" t="b">
        <f>TrafficData[[#This Row],[pendingCourt]]+TrafficData[[#This Row],[disposedCourt]]=TrafficData[[#This Row],[totalCourt]]</f>
        <v>1</v>
      </c>
      <c r="N583" s="8" t="b">
        <f>AND(TrafficData[[#This Row],[disposedChallan]]&lt;=TrafficData[[#This Row],[totalChallan]],TrafficData[[#This Row],[pendingChallan]]&lt;=TrafficData[[#This Row],[totalChallan]])</f>
        <v>1</v>
      </c>
      <c r="O583" s="8" t="b">
        <f>AND(TrafficData[[#This Row],[pendingAmount]]&lt;=TrafficData[[#This Row],[totalAmount]],TrafficData[[#This Row],[disposedAmount]]&lt;=TrafficData[[#This Row],[totalAmount]])</f>
        <v>1</v>
      </c>
      <c r="P583" s="8" t="b">
        <f>AND(TrafficData[[#This Row],[pendingCourt]]&lt;=TrafficData[[#This Row],[totalCourt]],TrafficData[[#This Row],[disposedCourt]]&lt;=TrafficData[[#This Row],[totalCourt]])</f>
        <v>1</v>
      </c>
    </row>
    <row r="584" spans="1:16">
      <c r="A584" s="1">
        <v>42587</v>
      </c>
      <c r="B584">
        <v>1501</v>
      </c>
      <c r="C584">
        <v>75</v>
      </c>
      <c r="D584">
        <v>1426</v>
      </c>
      <c r="E584">
        <v>1115852</v>
      </c>
      <c r="F584">
        <v>264150</v>
      </c>
      <c r="G584">
        <v>1380002</v>
      </c>
      <c r="H584">
        <v>1167</v>
      </c>
      <c r="I584">
        <v>4</v>
      </c>
      <c r="J584">
        <v>1171</v>
      </c>
      <c r="K584" t="b">
        <f>TrafficData[[#This Row],[disposedChallan]]+TrafficData[[#This Row],[pendingChallan]]=TrafficData[[#This Row],[totalChallan]]</f>
        <v>1</v>
      </c>
      <c r="L584" t="b">
        <f>TrafficData[[#This Row],[pendingAmount]]+TrafficData[[#This Row],[disposedAmount]]=TrafficData[[#This Row],[totalAmount]]</f>
        <v>1</v>
      </c>
      <c r="M584" t="b">
        <f>TrafficData[[#This Row],[pendingCourt]]+TrafficData[[#This Row],[disposedCourt]]=TrafficData[[#This Row],[totalCourt]]</f>
        <v>1</v>
      </c>
      <c r="N584" s="8" t="b">
        <f>AND(TrafficData[[#This Row],[disposedChallan]]&lt;=TrafficData[[#This Row],[totalChallan]],TrafficData[[#This Row],[pendingChallan]]&lt;=TrafficData[[#This Row],[totalChallan]])</f>
        <v>1</v>
      </c>
      <c r="O584" s="8" t="b">
        <f>AND(TrafficData[[#This Row],[pendingAmount]]&lt;=TrafficData[[#This Row],[totalAmount]],TrafficData[[#This Row],[disposedAmount]]&lt;=TrafficData[[#This Row],[totalAmount]])</f>
        <v>1</v>
      </c>
      <c r="P584" s="8" t="b">
        <f>AND(TrafficData[[#This Row],[pendingCourt]]&lt;=TrafficData[[#This Row],[totalCourt]],TrafficData[[#This Row],[disposedCourt]]&lt;=TrafficData[[#This Row],[totalCourt]])</f>
        <v>1</v>
      </c>
    </row>
    <row r="585" spans="1:16">
      <c r="A585" s="1">
        <v>42588</v>
      </c>
      <c r="B585">
        <v>1447</v>
      </c>
      <c r="C585">
        <v>91</v>
      </c>
      <c r="D585">
        <v>1356</v>
      </c>
      <c r="E585">
        <v>732100</v>
      </c>
      <c r="F585">
        <v>215550</v>
      </c>
      <c r="G585">
        <v>947650</v>
      </c>
      <c r="H585">
        <v>1091</v>
      </c>
      <c r="I585">
        <v>5</v>
      </c>
      <c r="J585">
        <v>1096</v>
      </c>
      <c r="K585" t="b">
        <f>TrafficData[[#This Row],[disposedChallan]]+TrafficData[[#This Row],[pendingChallan]]=TrafficData[[#This Row],[totalChallan]]</f>
        <v>1</v>
      </c>
      <c r="L585" t="b">
        <f>TrafficData[[#This Row],[pendingAmount]]+TrafficData[[#This Row],[disposedAmount]]=TrafficData[[#This Row],[totalAmount]]</f>
        <v>1</v>
      </c>
      <c r="M585" t="b">
        <f>TrafficData[[#This Row],[pendingCourt]]+TrafficData[[#This Row],[disposedCourt]]=TrafficData[[#This Row],[totalCourt]]</f>
        <v>1</v>
      </c>
      <c r="N585" s="8" t="b">
        <f>AND(TrafficData[[#This Row],[disposedChallan]]&lt;=TrafficData[[#This Row],[totalChallan]],TrafficData[[#This Row],[pendingChallan]]&lt;=TrafficData[[#This Row],[totalChallan]])</f>
        <v>1</v>
      </c>
      <c r="O585" s="8" t="b">
        <f>AND(TrafficData[[#This Row],[pendingAmount]]&lt;=TrafficData[[#This Row],[totalAmount]],TrafficData[[#This Row],[disposedAmount]]&lt;=TrafficData[[#This Row],[totalAmount]])</f>
        <v>1</v>
      </c>
      <c r="P585" s="8" t="b">
        <f>AND(TrafficData[[#This Row],[pendingCourt]]&lt;=TrafficData[[#This Row],[totalCourt]],TrafficData[[#This Row],[disposedCourt]]&lt;=TrafficData[[#This Row],[totalCourt]])</f>
        <v>1</v>
      </c>
    </row>
    <row r="586" spans="1:16">
      <c r="A586" s="1">
        <v>42589</v>
      </c>
      <c r="B586">
        <v>937</v>
      </c>
      <c r="C586">
        <v>73</v>
      </c>
      <c r="D586">
        <v>864</v>
      </c>
      <c r="E586">
        <v>790300</v>
      </c>
      <c r="F586">
        <v>205550</v>
      </c>
      <c r="G586">
        <v>995850</v>
      </c>
      <c r="H586">
        <v>669</v>
      </c>
      <c r="I586">
        <v>7</v>
      </c>
      <c r="J586">
        <v>676</v>
      </c>
      <c r="K586" t="b">
        <f>TrafficData[[#This Row],[disposedChallan]]+TrafficData[[#This Row],[pendingChallan]]=TrafficData[[#This Row],[totalChallan]]</f>
        <v>1</v>
      </c>
      <c r="L586" t="b">
        <f>TrafficData[[#This Row],[pendingAmount]]+TrafficData[[#This Row],[disposedAmount]]=TrafficData[[#This Row],[totalAmount]]</f>
        <v>1</v>
      </c>
      <c r="M586" t="b">
        <f>TrafficData[[#This Row],[pendingCourt]]+TrafficData[[#This Row],[disposedCourt]]=TrafficData[[#This Row],[totalCourt]]</f>
        <v>1</v>
      </c>
      <c r="N586" s="8" t="b">
        <f>AND(TrafficData[[#This Row],[disposedChallan]]&lt;=TrafficData[[#This Row],[totalChallan]],TrafficData[[#This Row],[pendingChallan]]&lt;=TrafficData[[#This Row],[totalChallan]])</f>
        <v>1</v>
      </c>
      <c r="O586" s="8" t="b">
        <f>AND(TrafficData[[#This Row],[pendingAmount]]&lt;=TrafficData[[#This Row],[totalAmount]],TrafficData[[#This Row],[disposedAmount]]&lt;=TrafficData[[#This Row],[totalAmount]])</f>
        <v>1</v>
      </c>
      <c r="P586" s="8" t="b">
        <f>AND(TrafficData[[#This Row],[pendingCourt]]&lt;=TrafficData[[#This Row],[totalCourt]],TrafficData[[#This Row],[disposedCourt]]&lt;=TrafficData[[#This Row],[totalCourt]])</f>
        <v>1</v>
      </c>
    </row>
    <row r="587" spans="1:16">
      <c r="A587" s="1">
        <v>42590</v>
      </c>
      <c r="B587">
        <v>1543</v>
      </c>
      <c r="C587">
        <v>96</v>
      </c>
      <c r="D587">
        <v>1447</v>
      </c>
      <c r="E587">
        <v>852660</v>
      </c>
      <c r="F587">
        <v>137850</v>
      </c>
      <c r="G587">
        <v>990510</v>
      </c>
      <c r="H587">
        <v>1140</v>
      </c>
      <c r="I587">
        <v>7</v>
      </c>
      <c r="J587">
        <v>1147</v>
      </c>
      <c r="K587" t="b">
        <f>TrafficData[[#This Row],[disposedChallan]]+TrafficData[[#This Row],[pendingChallan]]=TrafficData[[#This Row],[totalChallan]]</f>
        <v>1</v>
      </c>
      <c r="L587" t="b">
        <f>TrafficData[[#This Row],[pendingAmount]]+TrafficData[[#This Row],[disposedAmount]]=TrafficData[[#This Row],[totalAmount]]</f>
        <v>1</v>
      </c>
      <c r="M587" t="b">
        <f>TrafficData[[#This Row],[pendingCourt]]+TrafficData[[#This Row],[disposedCourt]]=TrafficData[[#This Row],[totalCourt]]</f>
        <v>1</v>
      </c>
      <c r="N587" s="8" t="b">
        <f>AND(TrafficData[[#This Row],[disposedChallan]]&lt;=TrafficData[[#This Row],[totalChallan]],TrafficData[[#This Row],[pendingChallan]]&lt;=TrafficData[[#This Row],[totalChallan]])</f>
        <v>1</v>
      </c>
      <c r="O587" s="8" t="b">
        <f>AND(TrafficData[[#This Row],[pendingAmount]]&lt;=TrafficData[[#This Row],[totalAmount]],TrafficData[[#This Row],[disposedAmount]]&lt;=TrafficData[[#This Row],[totalAmount]])</f>
        <v>1</v>
      </c>
      <c r="P587" s="8" t="b">
        <f>AND(TrafficData[[#This Row],[pendingCourt]]&lt;=TrafficData[[#This Row],[totalCourt]],TrafficData[[#This Row],[disposedCourt]]&lt;=TrafficData[[#This Row],[totalCourt]])</f>
        <v>1</v>
      </c>
    </row>
    <row r="588" spans="1:16">
      <c r="A588" s="1">
        <v>42591</v>
      </c>
      <c r="B588">
        <v>1603</v>
      </c>
      <c r="C588">
        <v>111</v>
      </c>
      <c r="D588">
        <v>1492</v>
      </c>
      <c r="E588">
        <v>987450</v>
      </c>
      <c r="F588">
        <v>426750</v>
      </c>
      <c r="G588">
        <v>1414200</v>
      </c>
      <c r="H588">
        <v>1218</v>
      </c>
      <c r="I588">
        <v>3</v>
      </c>
      <c r="J588">
        <v>1221</v>
      </c>
      <c r="K588" t="b">
        <f>TrafficData[[#This Row],[disposedChallan]]+TrafficData[[#This Row],[pendingChallan]]=TrafficData[[#This Row],[totalChallan]]</f>
        <v>1</v>
      </c>
      <c r="L588" t="b">
        <f>TrafficData[[#This Row],[pendingAmount]]+TrafficData[[#This Row],[disposedAmount]]=TrafficData[[#This Row],[totalAmount]]</f>
        <v>1</v>
      </c>
      <c r="M588" t="b">
        <f>TrafficData[[#This Row],[pendingCourt]]+TrafficData[[#This Row],[disposedCourt]]=TrafficData[[#This Row],[totalCourt]]</f>
        <v>1</v>
      </c>
      <c r="N588" s="8" t="b">
        <f>AND(TrafficData[[#This Row],[disposedChallan]]&lt;=TrafficData[[#This Row],[totalChallan]],TrafficData[[#This Row],[pendingChallan]]&lt;=TrafficData[[#This Row],[totalChallan]])</f>
        <v>1</v>
      </c>
      <c r="O588" s="8" t="b">
        <f>AND(TrafficData[[#This Row],[pendingAmount]]&lt;=TrafficData[[#This Row],[totalAmount]],TrafficData[[#This Row],[disposedAmount]]&lt;=TrafficData[[#This Row],[totalAmount]])</f>
        <v>1</v>
      </c>
      <c r="P588" s="8" t="b">
        <f>AND(TrafficData[[#This Row],[pendingCourt]]&lt;=TrafficData[[#This Row],[totalCourt]],TrafficData[[#This Row],[disposedCourt]]&lt;=TrafficData[[#This Row],[totalCourt]])</f>
        <v>1</v>
      </c>
    </row>
    <row r="589" spans="1:16">
      <c r="A589" s="1">
        <v>42592</v>
      </c>
      <c r="B589">
        <v>1684</v>
      </c>
      <c r="C589">
        <v>112</v>
      </c>
      <c r="D589">
        <v>1572</v>
      </c>
      <c r="E589">
        <v>1175475</v>
      </c>
      <c r="F589">
        <v>356500</v>
      </c>
      <c r="G589">
        <v>1531975</v>
      </c>
      <c r="H589">
        <v>1238</v>
      </c>
      <c r="I589">
        <v>5</v>
      </c>
      <c r="J589">
        <v>1243</v>
      </c>
      <c r="K589" t="b">
        <f>TrafficData[[#This Row],[disposedChallan]]+TrafficData[[#This Row],[pendingChallan]]=TrafficData[[#This Row],[totalChallan]]</f>
        <v>1</v>
      </c>
      <c r="L589" t="b">
        <f>TrafficData[[#This Row],[pendingAmount]]+TrafficData[[#This Row],[disposedAmount]]=TrafficData[[#This Row],[totalAmount]]</f>
        <v>1</v>
      </c>
      <c r="M589" t="b">
        <f>TrafficData[[#This Row],[pendingCourt]]+TrafficData[[#This Row],[disposedCourt]]=TrafficData[[#This Row],[totalCourt]]</f>
        <v>1</v>
      </c>
      <c r="N589" s="8" t="b">
        <f>AND(TrafficData[[#This Row],[disposedChallan]]&lt;=TrafficData[[#This Row],[totalChallan]],TrafficData[[#This Row],[pendingChallan]]&lt;=TrafficData[[#This Row],[totalChallan]])</f>
        <v>1</v>
      </c>
      <c r="O589" s="8" t="b">
        <f>AND(TrafficData[[#This Row],[pendingAmount]]&lt;=TrafficData[[#This Row],[totalAmount]],TrafficData[[#This Row],[disposedAmount]]&lt;=TrafficData[[#This Row],[totalAmount]])</f>
        <v>1</v>
      </c>
      <c r="P589" s="8" t="b">
        <f>AND(TrafficData[[#This Row],[pendingCourt]]&lt;=TrafficData[[#This Row],[totalCourt]],TrafficData[[#This Row],[disposedCourt]]&lt;=TrafficData[[#This Row],[totalCourt]])</f>
        <v>1</v>
      </c>
    </row>
    <row r="590" spans="1:16">
      <c r="A590" s="1">
        <v>42593</v>
      </c>
      <c r="B590">
        <v>1017</v>
      </c>
      <c r="C590">
        <v>100</v>
      </c>
      <c r="D590">
        <v>917</v>
      </c>
      <c r="E590">
        <v>848310</v>
      </c>
      <c r="F590">
        <v>313076</v>
      </c>
      <c r="G590">
        <v>1161386</v>
      </c>
      <c r="H590">
        <v>661</v>
      </c>
      <c r="I590">
        <v>11</v>
      </c>
      <c r="J590">
        <v>672</v>
      </c>
      <c r="K590" t="b">
        <f>TrafficData[[#This Row],[disposedChallan]]+TrafficData[[#This Row],[pendingChallan]]=TrafficData[[#This Row],[totalChallan]]</f>
        <v>1</v>
      </c>
      <c r="L590" t="b">
        <f>TrafficData[[#This Row],[pendingAmount]]+TrafficData[[#This Row],[disposedAmount]]=TrafficData[[#This Row],[totalAmount]]</f>
        <v>1</v>
      </c>
      <c r="M590" t="b">
        <f>TrafficData[[#This Row],[pendingCourt]]+TrafficData[[#This Row],[disposedCourt]]=TrafficData[[#This Row],[totalCourt]]</f>
        <v>1</v>
      </c>
      <c r="N590" s="8" t="b">
        <f>AND(TrafficData[[#This Row],[disposedChallan]]&lt;=TrafficData[[#This Row],[totalChallan]],TrafficData[[#This Row],[pendingChallan]]&lt;=TrafficData[[#This Row],[totalChallan]])</f>
        <v>1</v>
      </c>
      <c r="O590" s="8" t="b">
        <f>AND(TrafficData[[#This Row],[pendingAmount]]&lt;=TrafficData[[#This Row],[totalAmount]],TrafficData[[#This Row],[disposedAmount]]&lt;=TrafficData[[#This Row],[totalAmount]])</f>
        <v>1</v>
      </c>
      <c r="P590" s="8" t="b">
        <f>AND(TrafficData[[#This Row],[pendingCourt]]&lt;=TrafficData[[#This Row],[totalCourt]],TrafficData[[#This Row],[disposedCourt]]&lt;=TrafficData[[#This Row],[totalCourt]])</f>
        <v>1</v>
      </c>
    </row>
    <row r="591" spans="1:16">
      <c r="A591" s="1">
        <v>42594</v>
      </c>
      <c r="B591">
        <v>1399</v>
      </c>
      <c r="C591">
        <v>130</v>
      </c>
      <c r="D591">
        <v>1269</v>
      </c>
      <c r="E591">
        <v>746952</v>
      </c>
      <c r="F591">
        <v>416900</v>
      </c>
      <c r="G591">
        <v>1163852</v>
      </c>
      <c r="H591">
        <v>880</v>
      </c>
      <c r="I591">
        <v>31</v>
      </c>
      <c r="J591">
        <v>911</v>
      </c>
      <c r="K591" t="b">
        <f>TrafficData[[#This Row],[disposedChallan]]+TrafficData[[#This Row],[pendingChallan]]=TrafficData[[#This Row],[totalChallan]]</f>
        <v>1</v>
      </c>
      <c r="L591" t="b">
        <f>TrafficData[[#This Row],[pendingAmount]]+TrafficData[[#This Row],[disposedAmount]]=TrafficData[[#This Row],[totalAmount]]</f>
        <v>1</v>
      </c>
      <c r="M591" t="b">
        <f>TrafficData[[#This Row],[pendingCourt]]+TrafficData[[#This Row],[disposedCourt]]=TrafficData[[#This Row],[totalCourt]]</f>
        <v>1</v>
      </c>
      <c r="N591" s="8" t="b">
        <f>AND(TrafficData[[#This Row],[disposedChallan]]&lt;=TrafficData[[#This Row],[totalChallan]],TrafficData[[#This Row],[pendingChallan]]&lt;=TrafficData[[#This Row],[totalChallan]])</f>
        <v>1</v>
      </c>
      <c r="O591" s="8" t="b">
        <f>AND(TrafficData[[#This Row],[pendingAmount]]&lt;=TrafficData[[#This Row],[totalAmount]],TrafficData[[#This Row],[disposedAmount]]&lt;=TrafficData[[#This Row],[totalAmount]])</f>
        <v>1</v>
      </c>
      <c r="P591" s="8" t="b">
        <f>AND(TrafficData[[#This Row],[pendingCourt]]&lt;=TrafficData[[#This Row],[totalCourt]],TrafficData[[#This Row],[disposedCourt]]&lt;=TrafficData[[#This Row],[totalCourt]])</f>
        <v>1</v>
      </c>
    </row>
    <row r="592" spans="1:16">
      <c r="A592" s="1">
        <v>42595</v>
      </c>
      <c r="B592">
        <v>700</v>
      </c>
      <c r="C592">
        <v>64</v>
      </c>
      <c r="D592">
        <v>636</v>
      </c>
      <c r="E592">
        <v>453100</v>
      </c>
      <c r="F592">
        <v>177800</v>
      </c>
      <c r="G592">
        <v>630900</v>
      </c>
      <c r="H592">
        <v>475</v>
      </c>
      <c r="I592">
        <v>7</v>
      </c>
      <c r="J592">
        <v>482</v>
      </c>
      <c r="K592" t="b">
        <f>TrafficData[[#This Row],[disposedChallan]]+TrafficData[[#This Row],[pendingChallan]]=TrafficData[[#This Row],[totalChallan]]</f>
        <v>1</v>
      </c>
      <c r="L592" t="b">
        <f>TrafficData[[#This Row],[pendingAmount]]+TrafficData[[#This Row],[disposedAmount]]=TrafficData[[#This Row],[totalAmount]]</f>
        <v>1</v>
      </c>
      <c r="M592" t="b">
        <f>TrafficData[[#This Row],[pendingCourt]]+TrafficData[[#This Row],[disposedCourt]]=TrafficData[[#This Row],[totalCourt]]</f>
        <v>1</v>
      </c>
      <c r="N592" s="8" t="b">
        <f>AND(TrafficData[[#This Row],[disposedChallan]]&lt;=TrafficData[[#This Row],[totalChallan]],TrafficData[[#This Row],[pendingChallan]]&lt;=TrafficData[[#This Row],[totalChallan]])</f>
        <v>1</v>
      </c>
      <c r="O592" s="8" t="b">
        <f>AND(TrafficData[[#This Row],[pendingAmount]]&lt;=TrafficData[[#This Row],[totalAmount]],TrafficData[[#This Row],[disposedAmount]]&lt;=TrafficData[[#This Row],[totalAmount]])</f>
        <v>1</v>
      </c>
      <c r="P592" s="8" t="b">
        <f>AND(TrafficData[[#This Row],[pendingCourt]]&lt;=TrafficData[[#This Row],[totalCourt]],TrafficData[[#This Row],[disposedCourt]]&lt;=TrafficData[[#This Row],[totalCourt]])</f>
        <v>1</v>
      </c>
    </row>
    <row r="593" spans="1:16">
      <c r="A593" s="1">
        <v>42596</v>
      </c>
      <c r="B593">
        <v>525</v>
      </c>
      <c r="C593">
        <v>41</v>
      </c>
      <c r="D593">
        <v>484</v>
      </c>
      <c r="E593">
        <v>286400</v>
      </c>
      <c r="F593">
        <v>90640</v>
      </c>
      <c r="G593">
        <v>377040</v>
      </c>
      <c r="H593">
        <v>346</v>
      </c>
      <c r="I593">
        <v>10</v>
      </c>
      <c r="J593">
        <v>356</v>
      </c>
      <c r="K593" t="b">
        <f>TrafficData[[#This Row],[disposedChallan]]+TrafficData[[#This Row],[pendingChallan]]=TrafficData[[#This Row],[totalChallan]]</f>
        <v>1</v>
      </c>
      <c r="L593" t="b">
        <f>TrafficData[[#This Row],[pendingAmount]]+TrafficData[[#This Row],[disposedAmount]]=TrafficData[[#This Row],[totalAmount]]</f>
        <v>1</v>
      </c>
      <c r="M593" t="b">
        <f>TrafficData[[#This Row],[pendingCourt]]+TrafficData[[#This Row],[disposedCourt]]=TrafficData[[#This Row],[totalCourt]]</f>
        <v>1</v>
      </c>
      <c r="N593" s="8" t="b">
        <f>AND(TrafficData[[#This Row],[disposedChallan]]&lt;=TrafficData[[#This Row],[totalChallan]],TrafficData[[#This Row],[pendingChallan]]&lt;=TrafficData[[#This Row],[totalChallan]])</f>
        <v>1</v>
      </c>
      <c r="O593" s="8" t="b">
        <f>AND(TrafficData[[#This Row],[pendingAmount]]&lt;=TrafficData[[#This Row],[totalAmount]],TrafficData[[#This Row],[disposedAmount]]&lt;=TrafficData[[#This Row],[totalAmount]])</f>
        <v>1</v>
      </c>
      <c r="P593" s="8" t="b">
        <f>AND(TrafficData[[#This Row],[pendingCourt]]&lt;=TrafficData[[#This Row],[totalCourt]],TrafficData[[#This Row],[disposedCourt]]&lt;=TrafficData[[#This Row],[totalCourt]])</f>
        <v>1</v>
      </c>
    </row>
    <row r="594" spans="1:16">
      <c r="A594" s="1">
        <v>42597</v>
      </c>
      <c r="B594">
        <v>153</v>
      </c>
      <c r="C594">
        <v>34</v>
      </c>
      <c r="D594">
        <v>119</v>
      </c>
      <c r="E594">
        <v>121100</v>
      </c>
      <c r="F594">
        <v>202800</v>
      </c>
      <c r="G594">
        <v>323900</v>
      </c>
      <c r="H594">
        <v>50</v>
      </c>
      <c r="I594">
        <v>7</v>
      </c>
      <c r="J594">
        <v>57</v>
      </c>
      <c r="K594" t="b">
        <f>TrafficData[[#This Row],[disposedChallan]]+TrafficData[[#This Row],[pendingChallan]]=TrafficData[[#This Row],[totalChallan]]</f>
        <v>1</v>
      </c>
      <c r="L594" t="b">
        <f>TrafficData[[#This Row],[pendingAmount]]+TrafficData[[#This Row],[disposedAmount]]=TrafficData[[#This Row],[totalAmount]]</f>
        <v>1</v>
      </c>
      <c r="M594" t="b">
        <f>TrafficData[[#This Row],[pendingCourt]]+TrafficData[[#This Row],[disposedCourt]]=TrafficData[[#This Row],[totalCourt]]</f>
        <v>1</v>
      </c>
      <c r="N594" s="8" t="b">
        <f>AND(TrafficData[[#This Row],[disposedChallan]]&lt;=TrafficData[[#This Row],[totalChallan]],TrafficData[[#This Row],[pendingChallan]]&lt;=TrafficData[[#This Row],[totalChallan]])</f>
        <v>1</v>
      </c>
      <c r="O594" s="8" t="b">
        <f>AND(TrafficData[[#This Row],[pendingAmount]]&lt;=TrafficData[[#This Row],[totalAmount]],TrafficData[[#This Row],[disposedAmount]]&lt;=TrafficData[[#This Row],[totalAmount]])</f>
        <v>1</v>
      </c>
      <c r="P594" s="8" t="b">
        <f>AND(TrafficData[[#This Row],[pendingCourt]]&lt;=TrafficData[[#This Row],[totalCourt]],TrafficData[[#This Row],[disposedCourt]]&lt;=TrafficData[[#This Row],[totalCourt]])</f>
        <v>1</v>
      </c>
    </row>
    <row r="595" spans="1:16">
      <c r="A595" s="1">
        <v>42598</v>
      </c>
      <c r="B595">
        <v>1324</v>
      </c>
      <c r="C595">
        <v>112</v>
      </c>
      <c r="D595">
        <v>1212</v>
      </c>
      <c r="E595">
        <v>995100</v>
      </c>
      <c r="F595">
        <v>160524</v>
      </c>
      <c r="G595">
        <v>1155624</v>
      </c>
      <c r="H595">
        <v>1019</v>
      </c>
      <c r="I595">
        <v>5</v>
      </c>
      <c r="J595">
        <v>1024</v>
      </c>
      <c r="K595" t="b">
        <f>TrafficData[[#This Row],[disposedChallan]]+TrafficData[[#This Row],[pendingChallan]]=TrafficData[[#This Row],[totalChallan]]</f>
        <v>1</v>
      </c>
      <c r="L595" t="b">
        <f>TrafficData[[#This Row],[pendingAmount]]+TrafficData[[#This Row],[disposedAmount]]=TrafficData[[#This Row],[totalAmount]]</f>
        <v>1</v>
      </c>
      <c r="M595" t="b">
        <f>TrafficData[[#This Row],[pendingCourt]]+TrafficData[[#This Row],[disposedCourt]]=TrafficData[[#This Row],[totalCourt]]</f>
        <v>1</v>
      </c>
      <c r="N595" s="8" t="b">
        <f>AND(TrafficData[[#This Row],[disposedChallan]]&lt;=TrafficData[[#This Row],[totalChallan]],TrafficData[[#This Row],[pendingChallan]]&lt;=TrafficData[[#This Row],[totalChallan]])</f>
        <v>1</v>
      </c>
      <c r="O595" s="8" t="b">
        <f>AND(TrafficData[[#This Row],[pendingAmount]]&lt;=TrafficData[[#This Row],[totalAmount]],TrafficData[[#This Row],[disposedAmount]]&lt;=TrafficData[[#This Row],[totalAmount]])</f>
        <v>1</v>
      </c>
      <c r="P595" s="8" t="b">
        <f>AND(TrafficData[[#This Row],[pendingCourt]]&lt;=TrafficData[[#This Row],[totalCourt]],TrafficData[[#This Row],[disposedCourt]]&lt;=TrafficData[[#This Row],[totalCourt]])</f>
        <v>1</v>
      </c>
    </row>
    <row r="596" spans="1:16">
      <c r="A596" s="1">
        <v>42599</v>
      </c>
      <c r="B596">
        <v>1462</v>
      </c>
      <c r="C596">
        <v>129</v>
      </c>
      <c r="D596">
        <v>1333</v>
      </c>
      <c r="E596">
        <v>920000</v>
      </c>
      <c r="F596">
        <v>224204</v>
      </c>
      <c r="G596">
        <v>1144204</v>
      </c>
      <c r="H596">
        <v>1141</v>
      </c>
      <c r="I596">
        <v>11</v>
      </c>
      <c r="J596">
        <v>1152</v>
      </c>
      <c r="K596" t="b">
        <f>TrafficData[[#This Row],[disposedChallan]]+TrafficData[[#This Row],[pendingChallan]]=TrafficData[[#This Row],[totalChallan]]</f>
        <v>1</v>
      </c>
      <c r="L596" t="b">
        <f>TrafficData[[#This Row],[pendingAmount]]+TrafficData[[#This Row],[disposedAmount]]=TrafficData[[#This Row],[totalAmount]]</f>
        <v>1</v>
      </c>
      <c r="M596" t="b">
        <f>TrafficData[[#This Row],[pendingCourt]]+TrafficData[[#This Row],[disposedCourt]]=TrafficData[[#This Row],[totalCourt]]</f>
        <v>1</v>
      </c>
      <c r="N596" s="8" t="b">
        <f>AND(TrafficData[[#This Row],[disposedChallan]]&lt;=TrafficData[[#This Row],[totalChallan]],TrafficData[[#This Row],[pendingChallan]]&lt;=TrafficData[[#This Row],[totalChallan]])</f>
        <v>1</v>
      </c>
      <c r="O596" s="8" t="b">
        <f>AND(TrafficData[[#This Row],[pendingAmount]]&lt;=TrafficData[[#This Row],[totalAmount]],TrafficData[[#This Row],[disposedAmount]]&lt;=TrafficData[[#This Row],[totalAmount]])</f>
        <v>1</v>
      </c>
      <c r="P596" s="8" t="b">
        <f>AND(TrafficData[[#This Row],[pendingCourt]]&lt;=TrafficData[[#This Row],[totalCourt]],TrafficData[[#This Row],[disposedCourt]]&lt;=TrafficData[[#This Row],[totalCourt]])</f>
        <v>1</v>
      </c>
    </row>
    <row r="597" spans="1:16">
      <c r="A597" s="1">
        <v>42600</v>
      </c>
      <c r="B597">
        <v>671</v>
      </c>
      <c r="C597">
        <v>35</v>
      </c>
      <c r="D597">
        <v>636</v>
      </c>
      <c r="E597">
        <v>527350</v>
      </c>
      <c r="F597">
        <v>43850</v>
      </c>
      <c r="G597">
        <v>571200</v>
      </c>
      <c r="H597">
        <v>476</v>
      </c>
      <c r="I597">
        <v>1</v>
      </c>
      <c r="J597">
        <v>477</v>
      </c>
      <c r="K597" t="b">
        <f>TrafficData[[#This Row],[disposedChallan]]+TrafficData[[#This Row],[pendingChallan]]=TrafficData[[#This Row],[totalChallan]]</f>
        <v>1</v>
      </c>
      <c r="L597" t="b">
        <f>TrafficData[[#This Row],[pendingAmount]]+TrafficData[[#This Row],[disposedAmount]]=TrafficData[[#This Row],[totalAmount]]</f>
        <v>1</v>
      </c>
      <c r="M597" t="b">
        <f>TrafficData[[#This Row],[pendingCourt]]+TrafficData[[#This Row],[disposedCourt]]=TrafficData[[#This Row],[totalCourt]]</f>
        <v>1</v>
      </c>
      <c r="N597" s="8" t="b">
        <f>AND(TrafficData[[#This Row],[disposedChallan]]&lt;=TrafficData[[#This Row],[totalChallan]],TrafficData[[#This Row],[pendingChallan]]&lt;=TrafficData[[#This Row],[totalChallan]])</f>
        <v>1</v>
      </c>
      <c r="O597" s="8" t="b">
        <f>AND(TrafficData[[#This Row],[pendingAmount]]&lt;=TrafficData[[#This Row],[totalAmount]],TrafficData[[#This Row],[disposedAmount]]&lt;=TrafficData[[#This Row],[totalAmount]])</f>
        <v>1</v>
      </c>
      <c r="P597" s="8" t="b">
        <f>AND(TrafficData[[#This Row],[pendingCourt]]&lt;=TrafficData[[#This Row],[totalCourt]],TrafficData[[#This Row],[disposedCourt]]&lt;=TrafficData[[#This Row],[totalCourt]])</f>
        <v>1</v>
      </c>
    </row>
    <row r="598" spans="1:16">
      <c r="A598" s="1">
        <v>42601</v>
      </c>
      <c r="B598">
        <v>1649</v>
      </c>
      <c r="C598">
        <v>125</v>
      </c>
      <c r="D598">
        <v>1524</v>
      </c>
      <c r="E598">
        <v>812050</v>
      </c>
      <c r="F598">
        <v>261275</v>
      </c>
      <c r="G598">
        <v>1073325</v>
      </c>
      <c r="H598">
        <v>1309</v>
      </c>
      <c r="I598">
        <v>7</v>
      </c>
      <c r="J598">
        <v>1316</v>
      </c>
      <c r="K598" t="b">
        <f>TrafficData[[#This Row],[disposedChallan]]+TrafficData[[#This Row],[pendingChallan]]=TrafficData[[#This Row],[totalChallan]]</f>
        <v>1</v>
      </c>
      <c r="L598" t="b">
        <f>TrafficData[[#This Row],[pendingAmount]]+TrafficData[[#This Row],[disposedAmount]]=TrafficData[[#This Row],[totalAmount]]</f>
        <v>1</v>
      </c>
      <c r="M598" t="b">
        <f>TrafficData[[#This Row],[pendingCourt]]+TrafficData[[#This Row],[disposedCourt]]=TrafficData[[#This Row],[totalCourt]]</f>
        <v>1</v>
      </c>
      <c r="N598" s="8" t="b">
        <f>AND(TrafficData[[#This Row],[disposedChallan]]&lt;=TrafficData[[#This Row],[totalChallan]],TrafficData[[#This Row],[pendingChallan]]&lt;=TrafficData[[#This Row],[totalChallan]])</f>
        <v>1</v>
      </c>
      <c r="O598" s="8" t="b">
        <f>AND(TrafficData[[#This Row],[pendingAmount]]&lt;=TrafficData[[#This Row],[totalAmount]],TrafficData[[#This Row],[disposedAmount]]&lt;=TrafficData[[#This Row],[totalAmount]])</f>
        <v>1</v>
      </c>
      <c r="P598" s="8" t="b">
        <f>AND(TrafficData[[#This Row],[pendingCourt]]&lt;=TrafficData[[#This Row],[totalCourt]],TrafficData[[#This Row],[disposedCourt]]&lt;=TrafficData[[#This Row],[totalCourt]])</f>
        <v>1</v>
      </c>
    </row>
    <row r="599" spans="1:16">
      <c r="A599" s="1">
        <v>42602</v>
      </c>
      <c r="B599">
        <v>1221</v>
      </c>
      <c r="C599">
        <v>87</v>
      </c>
      <c r="D599">
        <v>1134</v>
      </c>
      <c r="E599">
        <v>1173670</v>
      </c>
      <c r="F599">
        <v>254750</v>
      </c>
      <c r="G599">
        <v>1428420</v>
      </c>
      <c r="H599">
        <v>916</v>
      </c>
      <c r="I599">
        <v>4</v>
      </c>
      <c r="J599">
        <v>920</v>
      </c>
      <c r="K599" t="b">
        <f>TrafficData[[#This Row],[disposedChallan]]+TrafficData[[#This Row],[pendingChallan]]=TrafficData[[#This Row],[totalChallan]]</f>
        <v>1</v>
      </c>
      <c r="L599" t="b">
        <f>TrafficData[[#This Row],[pendingAmount]]+TrafficData[[#This Row],[disposedAmount]]=TrafficData[[#This Row],[totalAmount]]</f>
        <v>1</v>
      </c>
      <c r="M599" t="b">
        <f>TrafficData[[#This Row],[pendingCourt]]+TrafficData[[#This Row],[disposedCourt]]=TrafficData[[#This Row],[totalCourt]]</f>
        <v>1</v>
      </c>
      <c r="N599" s="8" t="b">
        <f>AND(TrafficData[[#This Row],[disposedChallan]]&lt;=TrafficData[[#This Row],[totalChallan]],TrafficData[[#This Row],[pendingChallan]]&lt;=TrafficData[[#This Row],[totalChallan]])</f>
        <v>1</v>
      </c>
      <c r="O599" s="8" t="b">
        <f>AND(TrafficData[[#This Row],[pendingAmount]]&lt;=TrafficData[[#This Row],[totalAmount]],TrafficData[[#This Row],[disposedAmount]]&lt;=TrafficData[[#This Row],[totalAmount]])</f>
        <v>1</v>
      </c>
      <c r="P599" s="8" t="b">
        <f>AND(TrafficData[[#This Row],[pendingCourt]]&lt;=TrafficData[[#This Row],[totalCourt]],TrafficData[[#This Row],[disposedCourt]]&lt;=TrafficData[[#This Row],[totalCourt]])</f>
        <v>1</v>
      </c>
    </row>
    <row r="600" spans="1:16">
      <c r="A600" s="1">
        <v>42603</v>
      </c>
      <c r="B600">
        <v>643</v>
      </c>
      <c r="C600">
        <v>57</v>
      </c>
      <c r="D600">
        <v>586</v>
      </c>
      <c r="E600">
        <v>449600</v>
      </c>
      <c r="F600">
        <v>114570</v>
      </c>
      <c r="G600">
        <v>564170</v>
      </c>
      <c r="H600">
        <v>480</v>
      </c>
      <c r="I600">
        <v>10</v>
      </c>
      <c r="J600">
        <v>490</v>
      </c>
      <c r="K600" t="b">
        <f>TrafficData[[#This Row],[disposedChallan]]+TrafficData[[#This Row],[pendingChallan]]=TrafficData[[#This Row],[totalChallan]]</f>
        <v>1</v>
      </c>
      <c r="L600" t="b">
        <f>TrafficData[[#This Row],[pendingAmount]]+TrafficData[[#This Row],[disposedAmount]]=TrafficData[[#This Row],[totalAmount]]</f>
        <v>1</v>
      </c>
      <c r="M600" t="b">
        <f>TrafficData[[#This Row],[pendingCourt]]+TrafficData[[#This Row],[disposedCourt]]=TrafficData[[#This Row],[totalCourt]]</f>
        <v>1</v>
      </c>
      <c r="N600" s="8" t="b">
        <f>AND(TrafficData[[#This Row],[disposedChallan]]&lt;=TrafficData[[#This Row],[totalChallan]],TrafficData[[#This Row],[pendingChallan]]&lt;=TrafficData[[#This Row],[totalChallan]])</f>
        <v>1</v>
      </c>
      <c r="O600" s="8" t="b">
        <f>AND(TrafficData[[#This Row],[pendingAmount]]&lt;=TrafficData[[#This Row],[totalAmount]],TrafficData[[#This Row],[disposedAmount]]&lt;=TrafficData[[#This Row],[totalAmount]])</f>
        <v>1</v>
      </c>
      <c r="P600" s="8" t="b">
        <f>AND(TrafficData[[#This Row],[pendingCourt]]&lt;=TrafficData[[#This Row],[totalCourt]],TrafficData[[#This Row],[disposedCourt]]&lt;=TrafficData[[#This Row],[totalCourt]])</f>
        <v>1</v>
      </c>
    </row>
    <row r="601" spans="1:16">
      <c r="A601" s="1">
        <v>42604</v>
      </c>
      <c r="B601">
        <v>1499</v>
      </c>
      <c r="C601">
        <v>109</v>
      </c>
      <c r="D601">
        <v>1390</v>
      </c>
      <c r="E601">
        <v>1222050</v>
      </c>
      <c r="F601">
        <v>383850</v>
      </c>
      <c r="G601">
        <v>1605900</v>
      </c>
      <c r="H601">
        <v>1170</v>
      </c>
      <c r="I601">
        <v>9</v>
      </c>
      <c r="J601">
        <v>1179</v>
      </c>
      <c r="K601" t="b">
        <f>TrafficData[[#This Row],[disposedChallan]]+TrafficData[[#This Row],[pendingChallan]]=TrafficData[[#This Row],[totalChallan]]</f>
        <v>1</v>
      </c>
      <c r="L601" t="b">
        <f>TrafficData[[#This Row],[pendingAmount]]+TrafficData[[#This Row],[disposedAmount]]=TrafficData[[#This Row],[totalAmount]]</f>
        <v>1</v>
      </c>
      <c r="M601" t="b">
        <f>TrafficData[[#This Row],[pendingCourt]]+TrafficData[[#This Row],[disposedCourt]]=TrafficData[[#This Row],[totalCourt]]</f>
        <v>1</v>
      </c>
      <c r="N601" s="8" t="b">
        <f>AND(TrafficData[[#This Row],[disposedChallan]]&lt;=TrafficData[[#This Row],[totalChallan]],TrafficData[[#This Row],[pendingChallan]]&lt;=TrafficData[[#This Row],[totalChallan]])</f>
        <v>1</v>
      </c>
      <c r="O601" s="8" t="b">
        <f>AND(TrafficData[[#This Row],[pendingAmount]]&lt;=TrafficData[[#This Row],[totalAmount]],TrafficData[[#This Row],[disposedAmount]]&lt;=TrafficData[[#This Row],[totalAmount]])</f>
        <v>1</v>
      </c>
      <c r="P601" s="8" t="b">
        <f>AND(TrafficData[[#This Row],[pendingCourt]]&lt;=TrafficData[[#This Row],[totalCourt]],TrafficData[[#This Row],[disposedCourt]]&lt;=TrafficData[[#This Row],[totalCourt]])</f>
        <v>1</v>
      </c>
    </row>
    <row r="602" spans="1:16">
      <c r="A602" s="1">
        <v>42605</v>
      </c>
      <c r="B602">
        <v>1812</v>
      </c>
      <c r="C602">
        <v>116</v>
      </c>
      <c r="D602">
        <v>1696</v>
      </c>
      <c r="E602">
        <v>916579</v>
      </c>
      <c r="F602">
        <v>413940</v>
      </c>
      <c r="G602">
        <v>1330519</v>
      </c>
      <c r="H602">
        <v>1446</v>
      </c>
      <c r="I602">
        <v>12</v>
      </c>
      <c r="J602">
        <v>1458</v>
      </c>
      <c r="K602" t="b">
        <f>TrafficData[[#This Row],[disposedChallan]]+TrafficData[[#This Row],[pendingChallan]]=TrafficData[[#This Row],[totalChallan]]</f>
        <v>1</v>
      </c>
      <c r="L602" t="b">
        <f>TrafficData[[#This Row],[pendingAmount]]+TrafficData[[#This Row],[disposedAmount]]=TrafficData[[#This Row],[totalAmount]]</f>
        <v>1</v>
      </c>
      <c r="M602" t="b">
        <f>TrafficData[[#This Row],[pendingCourt]]+TrafficData[[#This Row],[disposedCourt]]=TrafficData[[#This Row],[totalCourt]]</f>
        <v>1</v>
      </c>
      <c r="N602" s="8" t="b">
        <f>AND(TrafficData[[#This Row],[disposedChallan]]&lt;=TrafficData[[#This Row],[totalChallan]],TrafficData[[#This Row],[pendingChallan]]&lt;=TrafficData[[#This Row],[totalChallan]])</f>
        <v>1</v>
      </c>
      <c r="O602" s="8" t="b">
        <f>AND(TrafficData[[#This Row],[pendingAmount]]&lt;=TrafficData[[#This Row],[totalAmount]],TrafficData[[#This Row],[disposedAmount]]&lt;=TrafficData[[#This Row],[totalAmount]])</f>
        <v>1</v>
      </c>
      <c r="P602" s="8" t="b">
        <f>AND(TrafficData[[#This Row],[pendingCourt]]&lt;=TrafficData[[#This Row],[totalCourt]],TrafficData[[#This Row],[disposedCourt]]&lt;=TrafficData[[#This Row],[totalCourt]])</f>
        <v>1</v>
      </c>
    </row>
    <row r="603" spans="1:16">
      <c r="A603" s="1">
        <v>42606</v>
      </c>
      <c r="B603">
        <v>1521</v>
      </c>
      <c r="C603">
        <v>88</v>
      </c>
      <c r="D603">
        <v>1433</v>
      </c>
      <c r="E603">
        <v>965000</v>
      </c>
      <c r="F603">
        <v>381380</v>
      </c>
      <c r="G603">
        <v>1346380</v>
      </c>
      <c r="H603">
        <v>1151</v>
      </c>
      <c r="I603">
        <v>9</v>
      </c>
      <c r="J603">
        <v>1160</v>
      </c>
      <c r="K603" t="b">
        <f>TrafficData[[#This Row],[disposedChallan]]+TrafficData[[#This Row],[pendingChallan]]=TrafficData[[#This Row],[totalChallan]]</f>
        <v>1</v>
      </c>
      <c r="L603" t="b">
        <f>TrafficData[[#This Row],[pendingAmount]]+TrafficData[[#This Row],[disposedAmount]]=TrafficData[[#This Row],[totalAmount]]</f>
        <v>1</v>
      </c>
      <c r="M603" t="b">
        <f>TrafficData[[#This Row],[pendingCourt]]+TrafficData[[#This Row],[disposedCourt]]=TrafficData[[#This Row],[totalCourt]]</f>
        <v>1</v>
      </c>
      <c r="N603" s="8" t="b">
        <f>AND(TrafficData[[#This Row],[disposedChallan]]&lt;=TrafficData[[#This Row],[totalChallan]],TrafficData[[#This Row],[pendingChallan]]&lt;=TrafficData[[#This Row],[totalChallan]])</f>
        <v>1</v>
      </c>
      <c r="O603" s="8" t="b">
        <f>AND(TrafficData[[#This Row],[pendingAmount]]&lt;=TrafficData[[#This Row],[totalAmount]],TrafficData[[#This Row],[disposedAmount]]&lt;=TrafficData[[#This Row],[totalAmount]])</f>
        <v>1</v>
      </c>
      <c r="P603" s="8" t="b">
        <f>AND(TrafficData[[#This Row],[pendingCourt]]&lt;=TrafficData[[#This Row],[totalCourt]],TrafficData[[#This Row],[disposedCourt]]&lt;=TrafficData[[#This Row],[totalCourt]])</f>
        <v>1</v>
      </c>
    </row>
    <row r="604" spans="1:16">
      <c r="A604" s="1">
        <v>42607</v>
      </c>
      <c r="B604">
        <v>1131</v>
      </c>
      <c r="C604">
        <v>49</v>
      </c>
      <c r="D604">
        <v>1082</v>
      </c>
      <c r="E604">
        <v>659750</v>
      </c>
      <c r="F604">
        <v>170700</v>
      </c>
      <c r="G604">
        <v>830450</v>
      </c>
      <c r="H604">
        <v>928</v>
      </c>
      <c r="I604">
        <v>19</v>
      </c>
      <c r="J604">
        <v>947</v>
      </c>
      <c r="K604" t="b">
        <f>TrafficData[[#This Row],[disposedChallan]]+TrafficData[[#This Row],[pendingChallan]]=TrafficData[[#This Row],[totalChallan]]</f>
        <v>1</v>
      </c>
      <c r="L604" t="b">
        <f>TrafficData[[#This Row],[pendingAmount]]+TrafficData[[#This Row],[disposedAmount]]=TrafficData[[#This Row],[totalAmount]]</f>
        <v>1</v>
      </c>
      <c r="M604" t="b">
        <f>TrafficData[[#This Row],[pendingCourt]]+TrafficData[[#This Row],[disposedCourt]]=TrafficData[[#This Row],[totalCourt]]</f>
        <v>1</v>
      </c>
      <c r="N604" s="8" t="b">
        <f>AND(TrafficData[[#This Row],[disposedChallan]]&lt;=TrafficData[[#This Row],[totalChallan]],TrafficData[[#This Row],[pendingChallan]]&lt;=TrafficData[[#This Row],[totalChallan]])</f>
        <v>1</v>
      </c>
      <c r="O604" s="8" t="b">
        <f>AND(TrafficData[[#This Row],[pendingAmount]]&lt;=TrafficData[[#This Row],[totalAmount]],TrafficData[[#This Row],[disposedAmount]]&lt;=TrafficData[[#This Row],[totalAmount]])</f>
        <v>1</v>
      </c>
      <c r="P604" s="8" t="b">
        <f>AND(TrafficData[[#This Row],[pendingCourt]]&lt;=TrafficData[[#This Row],[totalCourt]],TrafficData[[#This Row],[disposedCourt]]&lt;=TrafficData[[#This Row],[totalCourt]])</f>
        <v>1</v>
      </c>
    </row>
    <row r="605" spans="1:16">
      <c r="A605" s="1">
        <v>42608</v>
      </c>
      <c r="B605">
        <v>1322</v>
      </c>
      <c r="C605">
        <v>80</v>
      </c>
      <c r="D605">
        <v>1242</v>
      </c>
      <c r="E605">
        <v>821650</v>
      </c>
      <c r="F605">
        <v>196300</v>
      </c>
      <c r="G605">
        <v>1017950</v>
      </c>
      <c r="H605">
        <v>1033</v>
      </c>
      <c r="I605">
        <v>28</v>
      </c>
      <c r="J605">
        <v>1061</v>
      </c>
      <c r="K605" t="b">
        <f>TrafficData[[#This Row],[disposedChallan]]+TrafficData[[#This Row],[pendingChallan]]=TrafficData[[#This Row],[totalChallan]]</f>
        <v>1</v>
      </c>
      <c r="L605" t="b">
        <f>TrafficData[[#This Row],[pendingAmount]]+TrafficData[[#This Row],[disposedAmount]]=TrafficData[[#This Row],[totalAmount]]</f>
        <v>1</v>
      </c>
      <c r="M605" t="b">
        <f>TrafficData[[#This Row],[pendingCourt]]+TrafficData[[#This Row],[disposedCourt]]=TrafficData[[#This Row],[totalCourt]]</f>
        <v>1</v>
      </c>
      <c r="N605" s="8" t="b">
        <f>AND(TrafficData[[#This Row],[disposedChallan]]&lt;=TrafficData[[#This Row],[totalChallan]],TrafficData[[#This Row],[pendingChallan]]&lt;=TrafficData[[#This Row],[totalChallan]])</f>
        <v>1</v>
      </c>
      <c r="O605" s="8" t="b">
        <f>AND(TrafficData[[#This Row],[pendingAmount]]&lt;=TrafficData[[#This Row],[totalAmount]],TrafficData[[#This Row],[disposedAmount]]&lt;=TrafficData[[#This Row],[totalAmount]])</f>
        <v>1</v>
      </c>
      <c r="P605" s="8" t="b">
        <f>AND(TrafficData[[#This Row],[pendingCourt]]&lt;=TrafficData[[#This Row],[totalCourt]],TrafficData[[#This Row],[disposedCourt]]&lt;=TrafficData[[#This Row],[totalCourt]])</f>
        <v>1</v>
      </c>
    </row>
    <row r="606" spans="1:16">
      <c r="A606" s="1">
        <v>42609</v>
      </c>
      <c r="B606">
        <v>1478</v>
      </c>
      <c r="C606">
        <v>88</v>
      </c>
      <c r="D606">
        <v>1390</v>
      </c>
      <c r="E606">
        <v>983384</v>
      </c>
      <c r="F606">
        <v>224765</v>
      </c>
      <c r="G606">
        <v>1208149</v>
      </c>
      <c r="H606">
        <v>1071</v>
      </c>
      <c r="I606">
        <v>7</v>
      </c>
      <c r="J606">
        <v>1078</v>
      </c>
      <c r="K606" t="b">
        <f>TrafficData[[#This Row],[disposedChallan]]+TrafficData[[#This Row],[pendingChallan]]=TrafficData[[#This Row],[totalChallan]]</f>
        <v>1</v>
      </c>
      <c r="L606" t="b">
        <f>TrafficData[[#This Row],[pendingAmount]]+TrafficData[[#This Row],[disposedAmount]]=TrafficData[[#This Row],[totalAmount]]</f>
        <v>1</v>
      </c>
      <c r="M606" t="b">
        <f>TrafficData[[#This Row],[pendingCourt]]+TrafficData[[#This Row],[disposedCourt]]=TrafficData[[#This Row],[totalCourt]]</f>
        <v>1</v>
      </c>
      <c r="N606" s="8" t="b">
        <f>AND(TrafficData[[#This Row],[disposedChallan]]&lt;=TrafficData[[#This Row],[totalChallan]],TrafficData[[#This Row],[pendingChallan]]&lt;=TrafficData[[#This Row],[totalChallan]])</f>
        <v>1</v>
      </c>
      <c r="O606" s="8" t="b">
        <f>AND(TrafficData[[#This Row],[pendingAmount]]&lt;=TrafficData[[#This Row],[totalAmount]],TrafficData[[#This Row],[disposedAmount]]&lt;=TrafficData[[#This Row],[totalAmount]])</f>
        <v>1</v>
      </c>
      <c r="P606" s="8" t="b">
        <f>AND(TrafficData[[#This Row],[pendingCourt]]&lt;=TrafficData[[#This Row],[totalCourt]],TrafficData[[#This Row],[disposedCourt]]&lt;=TrafficData[[#This Row],[totalCourt]])</f>
        <v>1</v>
      </c>
    </row>
    <row r="607" spans="1:16">
      <c r="A607" s="1">
        <v>42610</v>
      </c>
      <c r="B607">
        <v>821</v>
      </c>
      <c r="C607">
        <v>69</v>
      </c>
      <c r="D607">
        <v>752</v>
      </c>
      <c r="E607">
        <v>448350</v>
      </c>
      <c r="F607">
        <v>221430</v>
      </c>
      <c r="G607">
        <v>669780</v>
      </c>
      <c r="H607">
        <v>591</v>
      </c>
      <c r="I607">
        <v>7</v>
      </c>
      <c r="J607">
        <v>598</v>
      </c>
      <c r="K607" t="b">
        <f>TrafficData[[#This Row],[disposedChallan]]+TrafficData[[#This Row],[pendingChallan]]=TrafficData[[#This Row],[totalChallan]]</f>
        <v>1</v>
      </c>
      <c r="L607" t="b">
        <f>TrafficData[[#This Row],[pendingAmount]]+TrafficData[[#This Row],[disposedAmount]]=TrafficData[[#This Row],[totalAmount]]</f>
        <v>1</v>
      </c>
      <c r="M607" t="b">
        <f>TrafficData[[#This Row],[pendingCourt]]+TrafficData[[#This Row],[disposedCourt]]=TrafficData[[#This Row],[totalCourt]]</f>
        <v>1</v>
      </c>
      <c r="N607" s="8" t="b">
        <f>AND(TrafficData[[#This Row],[disposedChallan]]&lt;=TrafficData[[#This Row],[totalChallan]],TrafficData[[#This Row],[pendingChallan]]&lt;=TrafficData[[#This Row],[totalChallan]])</f>
        <v>1</v>
      </c>
      <c r="O607" s="8" t="b">
        <f>AND(TrafficData[[#This Row],[pendingAmount]]&lt;=TrafficData[[#This Row],[totalAmount]],TrafficData[[#This Row],[disposedAmount]]&lt;=TrafficData[[#This Row],[totalAmount]])</f>
        <v>1</v>
      </c>
      <c r="P607" s="8" t="b">
        <f>AND(TrafficData[[#This Row],[pendingCourt]]&lt;=TrafficData[[#This Row],[totalCourt]],TrafficData[[#This Row],[disposedCourt]]&lt;=TrafficData[[#This Row],[totalCourt]])</f>
        <v>1</v>
      </c>
    </row>
    <row r="608" spans="1:16">
      <c r="A608" s="1">
        <v>42611</v>
      </c>
      <c r="B608">
        <v>1160</v>
      </c>
      <c r="C608">
        <v>88</v>
      </c>
      <c r="D608">
        <v>1072</v>
      </c>
      <c r="E608">
        <v>977200</v>
      </c>
      <c r="F608">
        <v>334597</v>
      </c>
      <c r="G608">
        <v>1311797</v>
      </c>
      <c r="H608">
        <v>793</v>
      </c>
      <c r="I608">
        <v>2</v>
      </c>
      <c r="J608">
        <v>795</v>
      </c>
      <c r="K608" t="b">
        <f>TrafficData[[#This Row],[disposedChallan]]+TrafficData[[#This Row],[pendingChallan]]=TrafficData[[#This Row],[totalChallan]]</f>
        <v>1</v>
      </c>
      <c r="L608" t="b">
        <f>TrafficData[[#This Row],[pendingAmount]]+TrafficData[[#This Row],[disposedAmount]]=TrafficData[[#This Row],[totalAmount]]</f>
        <v>1</v>
      </c>
      <c r="M608" t="b">
        <f>TrafficData[[#This Row],[pendingCourt]]+TrafficData[[#This Row],[disposedCourt]]=TrafficData[[#This Row],[totalCourt]]</f>
        <v>1</v>
      </c>
      <c r="N608" s="8" t="b">
        <f>AND(TrafficData[[#This Row],[disposedChallan]]&lt;=TrafficData[[#This Row],[totalChallan]],TrafficData[[#This Row],[pendingChallan]]&lt;=TrafficData[[#This Row],[totalChallan]])</f>
        <v>1</v>
      </c>
      <c r="O608" s="8" t="b">
        <f>AND(TrafficData[[#This Row],[pendingAmount]]&lt;=TrafficData[[#This Row],[totalAmount]],TrafficData[[#This Row],[disposedAmount]]&lt;=TrafficData[[#This Row],[totalAmount]])</f>
        <v>1</v>
      </c>
      <c r="P608" s="8" t="b">
        <f>AND(TrafficData[[#This Row],[pendingCourt]]&lt;=TrafficData[[#This Row],[totalCourt]],TrafficData[[#This Row],[disposedCourt]]&lt;=TrafficData[[#This Row],[totalCourt]])</f>
        <v>1</v>
      </c>
    </row>
    <row r="609" spans="1:16">
      <c r="A609" s="1">
        <v>42612</v>
      </c>
      <c r="B609">
        <v>1515</v>
      </c>
      <c r="C609">
        <v>115</v>
      </c>
      <c r="D609">
        <v>1400</v>
      </c>
      <c r="E609">
        <v>898550</v>
      </c>
      <c r="F609">
        <v>433404</v>
      </c>
      <c r="G609">
        <v>1331954</v>
      </c>
      <c r="H609">
        <v>1063</v>
      </c>
      <c r="I609">
        <v>8</v>
      </c>
      <c r="J609">
        <v>1071</v>
      </c>
      <c r="K609" t="b">
        <f>TrafficData[[#This Row],[disposedChallan]]+TrafficData[[#This Row],[pendingChallan]]=TrafficData[[#This Row],[totalChallan]]</f>
        <v>1</v>
      </c>
      <c r="L609" t="b">
        <f>TrafficData[[#This Row],[pendingAmount]]+TrafficData[[#This Row],[disposedAmount]]=TrafficData[[#This Row],[totalAmount]]</f>
        <v>1</v>
      </c>
      <c r="M609" t="b">
        <f>TrafficData[[#This Row],[pendingCourt]]+TrafficData[[#This Row],[disposedCourt]]=TrafficData[[#This Row],[totalCourt]]</f>
        <v>1</v>
      </c>
      <c r="N609" s="8" t="b">
        <f>AND(TrafficData[[#This Row],[disposedChallan]]&lt;=TrafficData[[#This Row],[totalChallan]],TrafficData[[#This Row],[pendingChallan]]&lt;=TrafficData[[#This Row],[totalChallan]])</f>
        <v>1</v>
      </c>
      <c r="O609" s="8" t="b">
        <f>AND(TrafficData[[#This Row],[pendingAmount]]&lt;=TrafficData[[#This Row],[totalAmount]],TrafficData[[#This Row],[disposedAmount]]&lt;=TrafficData[[#This Row],[totalAmount]])</f>
        <v>1</v>
      </c>
      <c r="P609" s="8" t="b">
        <f>AND(TrafficData[[#This Row],[pendingCourt]]&lt;=TrafficData[[#This Row],[totalCourt]],TrafficData[[#This Row],[disposedCourt]]&lt;=TrafficData[[#This Row],[totalCourt]])</f>
        <v>1</v>
      </c>
    </row>
    <row r="610" spans="1:16">
      <c r="A610" s="1">
        <v>42613</v>
      </c>
      <c r="B610">
        <v>914</v>
      </c>
      <c r="C610">
        <v>78</v>
      </c>
      <c r="D610">
        <v>836</v>
      </c>
      <c r="E610">
        <v>727900</v>
      </c>
      <c r="F610">
        <v>300350</v>
      </c>
      <c r="G610">
        <v>1028250</v>
      </c>
      <c r="H610">
        <v>637</v>
      </c>
      <c r="I610">
        <v>13</v>
      </c>
      <c r="J610">
        <v>650</v>
      </c>
      <c r="K610" t="b">
        <f>TrafficData[[#This Row],[disposedChallan]]+TrafficData[[#This Row],[pendingChallan]]=TrafficData[[#This Row],[totalChallan]]</f>
        <v>1</v>
      </c>
      <c r="L610" t="b">
        <f>TrafficData[[#This Row],[pendingAmount]]+TrafficData[[#This Row],[disposedAmount]]=TrafficData[[#This Row],[totalAmount]]</f>
        <v>1</v>
      </c>
      <c r="M610" t="b">
        <f>TrafficData[[#This Row],[pendingCourt]]+TrafficData[[#This Row],[disposedCourt]]=TrafficData[[#This Row],[totalCourt]]</f>
        <v>1</v>
      </c>
      <c r="N610" s="8" t="b">
        <f>AND(TrafficData[[#This Row],[disposedChallan]]&lt;=TrafficData[[#This Row],[totalChallan]],TrafficData[[#This Row],[pendingChallan]]&lt;=TrafficData[[#This Row],[totalChallan]])</f>
        <v>1</v>
      </c>
      <c r="O610" s="8" t="b">
        <f>AND(TrafficData[[#This Row],[pendingAmount]]&lt;=TrafficData[[#This Row],[totalAmount]],TrafficData[[#This Row],[disposedAmount]]&lt;=TrafficData[[#This Row],[totalAmount]])</f>
        <v>1</v>
      </c>
      <c r="P610" s="8" t="b">
        <f>AND(TrafficData[[#This Row],[pendingCourt]]&lt;=TrafficData[[#This Row],[totalCourt]],TrafficData[[#This Row],[disposedCourt]]&lt;=TrafficData[[#This Row],[totalCourt]])</f>
        <v>1</v>
      </c>
    </row>
    <row r="611" spans="1:16">
      <c r="A611" s="1">
        <v>42614</v>
      </c>
      <c r="B611">
        <v>1231</v>
      </c>
      <c r="C611">
        <v>96</v>
      </c>
      <c r="D611">
        <v>1135</v>
      </c>
      <c r="E611">
        <v>1045400</v>
      </c>
      <c r="F611">
        <v>273760</v>
      </c>
      <c r="G611">
        <v>1319160</v>
      </c>
      <c r="H611">
        <v>899</v>
      </c>
      <c r="I611">
        <v>2</v>
      </c>
      <c r="J611">
        <v>901</v>
      </c>
      <c r="K611" t="b">
        <f>TrafficData[[#This Row],[disposedChallan]]+TrafficData[[#This Row],[pendingChallan]]=TrafficData[[#This Row],[totalChallan]]</f>
        <v>1</v>
      </c>
      <c r="L611" t="b">
        <f>TrafficData[[#This Row],[pendingAmount]]+TrafficData[[#This Row],[disposedAmount]]=TrafficData[[#This Row],[totalAmount]]</f>
        <v>1</v>
      </c>
      <c r="M611" t="b">
        <f>TrafficData[[#This Row],[pendingCourt]]+TrafficData[[#This Row],[disposedCourt]]=TrafficData[[#This Row],[totalCourt]]</f>
        <v>1</v>
      </c>
      <c r="N611" s="8" t="b">
        <f>AND(TrafficData[[#This Row],[disposedChallan]]&lt;=TrafficData[[#This Row],[totalChallan]],TrafficData[[#This Row],[pendingChallan]]&lt;=TrafficData[[#This Row],[totalChallan]])</f>
        <v>1</v>
      </c>
      <c r="O611" s="8" t="b">
        <f>AND(TrafficData[[#This Row],[pendingAmount]]&lt;=TrafficData[[#This Row],[totalAmount]],TrafficData[[#This Row],[disposedAmount]]&lt;=TrafficData[[#This Row],[totalAmount]])</f>
        <v>1</v>
      </c>
      <c r="P611" s="8" t="b">
        <f>AND(TrafficData[[#This Row],[pendingCourt]]&lt;=TrafficData[[#This Row],[totalCourt]],TrafficData[[#This Row],[disposedCourt]]&lt;=TrafficData[[#This Row],[totalCourt]])</f>
        <v>1</v>
      </c>
    </row>
    <row r="612" spans="1:16">
      <c r="A612" s="1">
        <v>42615</v>
      </c>
      <c r="B612">
        <v>947</v>
      </c>
      <c r="C612">
        <v>79</v>
      </c>
      <c r="D612">
        <v>868</v>
      </c>
      <c r="E612">
        <v>813300</v>
      </c>
      <c r="F612">
        <v>400326</v>
      </c>
      <c r="G612">
        <v>1213626</v>
      </c>
      <c r="H612">
        <v>704</v>
      </c>
      <c r="I612">
        <v>22</v>
      </c>
      <c r="J612">
        <v>726</v>
      </c>
      <c r="K612" t="b">
        <f>TrafficData[[#This Row],[disposedChallan]]+TrafficData[[#This Row],[pendingChallan]]=TrafficData[[#This Row],[totalChallan]]</f>
        <v>1</v>
      </c>
      <c r="L612" t="b">
        <f>TrafficData[[#This Row],[pendingAmount]]+TrafficData[[#This Row],[disposedAmount]]=TrafficData[[#This Row],[totalAmount]]</f>
        <v>1</v>
      </c>
      <c r="M612" t="b">
        <f>TrafficData[[#This Row],[pendingCourt]]+TrafficData[[#This Row],[disposedCourt]]=TrafficData[[#This Row],[totalCourt]]</f>
        <v>1</v>
      </c>
      <c r="N612" s="8" t="b">
        <f>AND(TrafficData[[#This Row],[disposedChallan]]&lt;=TrafficData[[#This Row],[totalChallan]],TrafficData[[#This Row],[pendingChallan]]&lt;=TrafficData[[#This Row],[totalChallan]])</f>
        <v>1</v>
      </c>
      <c r="O612" s="8" t="b">
        <f>AND(TrafficData[[#This Row],[pendingAmount]]&lt;=TrafficData[[#This Row],[totalAmount]],TrafficData[[#This Row],[disposedAmount]]&lt;=TrafficData[[#This Row],[totalAmount]])</f>
        <v>1</v>
      </c>
      <c r="P612" s="8" t="b">
        <f>AND(TrafficData[[#This Row],[pendingCourt]]&lt;=TrafficData[[#This Row],[totalCourt]],TrafficData[[#This Row],[disposedCourt]]&lt;=TrafficData[[#This Row],[totalCourt]])</f>
        <v>1</v>
      </c>
    </row>
    <row r="613" spans="1:16">
      <c r="A613" s="1">
        <v>42616</v>
      </c>
      <c r="B613">
        <v>1087</v>
      </c>
      <c r="C613">
        <v>60</v>
      </c>
      <c r="D613">
        <v>1027</v>
      </c>
      <c r="E613">
        <v>1164400</v>
      </c>
      <c r="F613">
        <v>238880</v>
      </c>
      <c r="G613">
        <v>1403280</v>
      </c>
      <c r="H613">
        <v>813</v>
      </c>
      <c r="I613">
        <v>9</v>
      </c>
      <c r="J613">
        <v>822</v>
      </c>
      <c r="K613" t="b">
        <f>TrafficData[[#This Row],[disposedChallan]]+TrafficData[[#This Row],[pendingChallan]]=TrafficData[[#This Row],[totalChallan]]</f>
        <v>1</v>
      </c>
      <c r="L613" t="b">
        <f>TrafficData[[#This Row],[pendingAmount]]+TrafficData[[#This Row],[disposedAmount]]=TrafficData[[#This Row],[totalAmount]]</f>
        <v>1</v>
      </c>
      <c r="M613" t="b">
        <f>TrafficData[[#This Row],[pendingCourt]]+TrafficData[[#This Row],[disposedCourt]]=TrafficData[[#This Row],[totalCourt]]</f>
        <v>1</v>
      </c>
      <c r="N613" s="8" t="b">
        <f>AND(TrafficData[[#This Row],[disposedChallan]]&lt;=TrafficData[[#This Row],[totalChallan]],TrafficData[[#This Row],[pendingChallan]]&lt;=TrafficData[[#This Row],[totalChallan]])</f>
        <v>1</v>
      </c>
      <c r="O613" s="8" t="b">
        <f>AND(TrafficData[[#This Row],[pendingAmount]]&lt;=TrafficData[[#This Row],[totalAmount]],TrafficData[[#This Row],[disposedAmount]]&lt;=TrafficData[[#This Row],[totalAmount]])</f>
        <v>1</v>
      </c>
      <c r="P613" s="8" t="b">
        <f>AND(TrafficData[[#This Row],[pendingCourt]]&lt;=TrafficData[[#This Row],[totalCourt]],TrafficData[[#This Row],[disposedCourt]]&lt;=TrafficData[[#This Row],[totalCourt]])</f>
        <v>1</v>
      </c>
    </row>
    <row r="614" spans="1:16">
      <c r="A614" s="1">
        <v>42617</v>
      </c>
      <c r="B614">
        <v>859</v>
      </c>
      <c r="C614">
        <v>53</v>
      </c>
      <c r="D614">
        <v>806</v>
      </c>
      <c r="E614">
        <v>572385</v>
      </c>
      <c r="F614">
        <v>49385</v>
      </c>
      <c r="G614">
        <v>621770</v>
      </c>
      <c r="H614">
        <v>622</v>
      </c>
      <c r="I614">
        <v>1</v>
      </c>
      <c r="J614">
        <v>623</v>
      </c>
      <c r="K614" t="b">
        <f>TrafficData[[#This Row],[disposedChallan]]+TrafficData[[#This Row],[pendingChallan]]=TrafficData[[#This Row],[totalChallan]]</f>
        <v>1</v>
      </c>
      <c r="L614" t="b">
        <f>TrafficData[[#This Row],[pendingAmount]]+TrafficData[[#This Row],[disposedAmount]]=TrafficData[[#This Row],[totalAmount]]</f>
        <v>1</v>
      </c>
      <c r="M614" t="b">
        <f>TrafficData[[#This Row],[pendingCourt]]+TrafficData[[#This Row],[disposedCourt]]=TrafficData[[#This Row],[totalCourt]]</f>
        <v>1</v>
      </c>
      <c r="N614" s="8" t="b">
        <f>AND(TrafficData[[#This Row],[disposedChallan]]&lt;=TrafficData[[#This Row],[totalChallan]],TrafficData[[#This Row],[pendingChallan]]&lt;=TrafficData[[#This Row],[totalChallan]])</f>
        <v>1</v>
      </c>
      <c r="O614" s="8" t="b">
        <f>AND(TrafficData[[#This Row],[pendingAmount]]&lt;=TrafficData[[#This Row],[totalAmount]],TrafficData[[#This Row],[disposedAmount]]&lt;=TrafficData[[#This Row],[totalAmount]])</f>
        <v>1</v>
      </c>
      <c r="P614" s="8" t="b">
        <f>AND(TrafficData[[#This Row],[pendingCourt]]&lt;=TrafficData[[#This Row],[totalCourt]],TrafficData[[#This Row],[disposedCourt]]&lt;=TrafficData[[#This Row],[totalCourt]])</f>
        <v>1</v>
      </c>
    </row>
    <row r="615" spans="1:16">
      <c r="A615" s="1">
        <v>42618</v>
      </c>
      <c r="B615">
        <v>721</v>
      </c>
      <c r="C615">
        <v>64</v>
      </c>
      <c r="D615">
        <v>657</v>
      </c>
      <c r="E615">
        <v>595200</v>
      </c>
      <c r="F615">
        <v>130100</v>
      </c>
      <c r="G615">
        <v>725300</v>
      </c>
      <c r="H615">
        <v>483</v>
      </c>
      <c r="I615">
        <v>17</v>
      </c>
      <c r="J615">
        <v>500</v>
      </c>
      <c r="K615" t="b">
        <f>TrafficData[[#This Row],[disposedChallan]]+TrafficData[[#This Row],[pendingChallan]]=TrafficData[[#This Row],[totalChallan]]</f>
        <v>1</v>
      </c>
      <c r="L615" t="b">
        <f>TrafficData[[#This Row],[pendingAmount]]+TrafficData[[#This Row],[disposedAmount]]=TrafficData[[#This Row],[totalAmount]]</f>
        <v>1</v>
      </c>
      <c r="M615" t="b">
        <f>TrafficData[[#This Row],[pendingCourt]]+TrafficData[[#This Row],[disposedCourt]]=TrafficData[[#This Row],[totalCourt]]</f>
        <v>1</v>
      </c>
      <c r="N615" s="8" t="b">
        <f>AND(TrafficData[[#This Row],[disposedChallan]]&lt;=TrafficData[[#This Row],[totalChallan]],TrafficData[[#This Row],[pendingChallan]]&lt;=TrafficData[[#This Row],[totalChallan]])</f>
        <v>1</v>
      </c>
      <c r="O615" s="8" t="b">
        <f>AND(TrafficData[[#This Row],[pendingAmount]]&lt;=TrafficData[[#This Row],[totalAmount]],TrafficData[[#This Row],[disposedAmount]]&lt;=TrafficData[[#This Row],[totalAmount]])</f>
        <v>1</v>
      </c>
      <c r="P615" s="8" t="b">
        <f>AND(TrafficData[[#This Row],[pendingCourt]]&lt;=TrafficData[[#This Row],[totalCourt]],TrafficData[[#This Row],[disposedCourt]]&lt;=TrafficData[[#This Row],[totalCourt]])</f>
        <v>1</v>
      </c>
    </row>
    <row r="616" spans="1:16">
      <c r="A616" s="1">
        <v>42619</v>
      </c>
      <c r="B616">
        <v>1056</v>
      </c>
      <c r="C616">
        <v>92</v>
      </c>
      <c r="D616">
        <v>964</v>
      </c>
      <c r="E616">
        <v>1264200</v>
      </c>
      <c r="F616">
        <v>253275</v>
      </c>
      <c r="G616">
        <v>1517475</v>
      </c>
      <c r="H616">
        <v>711</v>
      </c>
      <c r="I616">
        <v>21</v>
      </c>
      <c r="J616">
        <v>732</v>
      </c>
      <c r="K616" t="b">
        <f>TrafficData[[#This Row],[disposedChallan]]+TrafficData[[#This Row],[pendingChallan]]=TrafficData[[#This Row],[totalChallan]]</f>
        <v>1</v>
      </c>
      <c r="L616" t="b">
        <f>TrafficData[[#This Row],[pendingAmount]]+TrafficData[[#This Row],[disposedAmount]]=TrafficData[[#This Row],[totalAmount]]</f>
        <v>1</v>
      </c>
      <c r="M616" t="b">
        <f>TrafficData[[#This Row],[pendingCourt]]+TrafficData[[#This Row],[disposedCourt]]=TrafficData[[#This Row],[totalCourt]]</f>
        <v>1</v>
      </c>
      <c r="N616" s="8" t="b">
        <f>AND(TrafficData[[#This Row],[disposedChallan]]&lt;=TrafficData[[#This Row],[totalChallan]],TrafficData[[#This Row],[pendingChallan]]&lt;=TrafficData[[#This Row],[totalChallan]])</f>
        <v>1</v>
      </c>
      <c r="O616" s="8" t="b">
        <f>AND(TrafficData[[#This Row],[pendingAmount]]&lt;=TrafficData[[#This Row],[totalAmount]],TrafficData[[#This Row],[disposedAmount]]&lt;=TrafficData[[#This Row],[totalAmount]])</f>
        <v>1</v>
      </c>
      <c r="P616" s="8" t="b">
        <f>AND(TrafficData[[#This Row],[pendingCourt]]&lt;=TrafficData[[#This Row],[totalCourt]],TrafficData[[#This Row],[disposedCourt]]&lt;=TrafficData[[#This Row],[totalCourt]])</f>
        <v>1</v>
      </c>
    </row>
    <row r="617" spans="1:16">
      <c r="A617" s="1">
        <v>42620</v>
      </c>
      <c r="B617">
        <v>1187</v>
      </c>
      <c r="C617">
        <v>118</v>
      </c>
      <c r="D617">
        <v>1069</v>
      </c>
      <c r="E617">
        <v>1295845</v>
      </c>
      <c r="F617">
        <v>494939</v>
      </c>
      <c r="G617">
        <v>1790784</v>
      </c>
      <c r="H617">
        <v>832</v>
      </c>
      <c r="I617">
        <v>8</v>
      </c>
      <c r="J617">
        <v>840</v>
      </c>
      <c r="K617" t="b">
        <f>TrafficData[[#This Row],[disposedChallan]]+TrafficData[[#This Row],[pendingChallan]]=TrafficData[[#This Row],[totalChallan]]</f>
        <v>1</v>
      </c>
      <c r="L617" t="b">
        <f>TrafficData[[#This Row],[pendingAmount]]+TrafficData[[#This Row],[disposedAmount]]=TrafficData[[#This Row],[totalAmount]]</f>
        <v>1</v>
      </c>
      <c r="M617" t="b">
        <f>TrafficData[[#This Row],[pendingCourt]]+TrafficData[[#This Row],[disposedCourt]]=TrafficData[[#This Row],[totalCourt]]</f>
        <v>1</v>
      </c>
      <c r="N617" s="8" t="b">
        <f>AND(TrafficData[[#This Row],[disposedChallan]]&lt;=TrafficData[[#This Row],[totalChallan]],TrafficData[[#This Row],[pendingChallan]]&lt;=TrafficData[[#This Row],[totalChallan]])</f>
        <v>1</v>
      </c>
      <c r="O617" s="8" t="b">
        <f>AND(TrafficData[[#This Row],[pendingAmount]]&lt;=TrafficData[[#This Row],[totalAmount]],TrafficData[[#This Row],[disposedAmount]]&lt;=TrafficData[[#This Row],[totalAmount]])</f>
        <v>1</v>
      </c>
      <c r="P617" s="8" t="b">
        <f>AND(TrafficData[[#This Row],[pendingCourt]]&lt;=TrafficData[[#This Row],[totalCourt]],TrafficData[[#This Row],[disposedCourt]]&lt;=TrafficData[[#This Row],[totalCourt]])</f>
        <v>1</v>
      </c>
    </row>
    <row r="618" spans="1:16">
      <c r="A618" s="1">
        <v>42621</v>
      </c>
      <c r="B618">
        <v>1143</v>
      </c>
      <c r="C618">
        <v>72</v>
      </c>
      <c r="D618">
        <v>1071</v>
      </c>
      <c r="E618">
        <v>1125500</v>
      </c>
      <c r="F618">
        <v>179200</v>
      </c>
      <c r="G618">
        <v>1304700</v>
      </c>
      <c r="H618">
        <v>829</v>
      </c>
      <c r="I618">
        <v>8</v>
      </c>
      <c r="J618">
        <v>837</v>
      </c>
      <c r="K618" t="b">
        <f>TrafficData[[#This Row],[disposedChallan]]+TrafficData[[#This Row],[pendingChallan]]=TrafficData[[#This Row],[totalChallan]]</f>
        <v>1</v>
      </c>
      <c r="L618" t="b">
        <f>TrafficData[[#This Row],[pendingAmount]]+TrafficData[[#This Row],[disposedAmount]]=TrafficData[[#This Row],[totalAmount]]</f>
        <v>1</v>
      </c>
      <c r="M618" t="b">
        <f>TrafficData[[#This Row],[pendingCourt]]+TrafficData[[#This Row],[disposedCourt]]=TrafficData[[#This Row],[totalCourt]]</f>
        <v>1</v>
      </c>
      <c r="N618" s="8" t="b">
        <f>AND(TrafficData[[#This Row],[disposedChallan]]&lt;=TrafficData[[#This Row],[totalChallan]],TrafficData[[#This Row],[pendingChallan]]&lt;=TrafficData[[#This Row],[totalChallan]])</f>
        <v>1</v>
      </c>
      <c r="O618" s="8" t="b">
        <f>AND(TrafficData[[#This Row],[pendingAmount]]&lt;=TrafficData[[#This Row],[totalAmount]],TrafficData[[#This Row],[disposedAmount]]&lt;=TrafficData[[#This Row],[totalAmount]])</f>
        <v>1</v>
      </c>
      <c r="P618" s="8" t="b">
        <f>AND(TrafficData[[#This Row],[pendingCourt]]&lt;=TrafficData[[#This Row],[totalCourt]],TrafficData[[#This Row],[disposedCourt]]&lt;=TrafficData[[#This Row],[totalCourt]])</f>
        <v>1</v>
      </c>
    </row>
    <row r="619" spans="1:16">
      <c r="A619" s="1">
        <v>42622</v>
      </c>
      <c r="B619">
        <v>1191</v>
      </c>
      <c r="C619">
        <v>115</v>
      </c>
      <c r="D619">
        <v>1076</v>
      </c>
      <c r="E619">
        <v>888350</v>
      </c>
      <c r="F619">
        <v>461175</v>
      </c>
      <c r="G619">
        <v>1349525</v>
      </c>
      <c r="H619">
        <v>826</v>
      </c>
      <c r="I619">
        <v>5</v>
      </c>
      <c r="J619">
        <v>831</v>
      </c>
      <c r="K619" t="b">
        <f>TrafficData[[#This Row],[disposedChallan]]+TrafficData[[#This Row],[pendingChallan]]=TrafficData[[#This Row],[totalChallan]]</f>
        <v>1</v>
      </c>
      <c r="L619" t="b">
        <f>TrafficData[[#This Row],[pendingAmount]]+TrafficData[[#This Row],[disposedAmount]]=TrafficData[[#This Row],[totalAmount]]</f>
        <v>1</v>
      </c>
      <c r="M619" t="b">
        <f>TrafficData[[#This Row],[pendingCourt]]+TrafficData[[#This Row],[disposedCourt]]=TrafficData[[#This Row],[totalCourt]]</f>
        <v>1</v>
      </c>
      <c r="N619" s="8" t="b">
        <f>AND(TrafficData[[#This Row],[disposedChallan]]&lt;=TrafficData[[#This Row],[totalChallan]],TrafficData[[#This Row],[pendingChallan]]&lt;=TrafficData[[#This Row],[totalChallan]])</f>
        <v>1</v>
      </c>
      <c r="O619" s="8" t="b">
        <f>AND(TrafficData[[#This Row],[pendingAmount]]&lt;=TrafficData[[#This Row],[totalAmount]],TrafficData[[#This Row],[disposedAmount]]&lt;=TrafficData[[#This Row],[totalAmount]])</f>
        <v>1</v>
      </c>
      <c r="P619" s="8" t="b">
        <f>AND(TrafficData[[#This Row],[pendingCourt]]&lt;=TrafficData[[#This Row],[totalCourt]],TrafficData[[#This Row],[disposedCourt]]&lt;=TrafficData[[#This Row],[totalCourt]])</f>
        <v>1</v>
      </c>
    </row>
    <row r="620" spans="1:16">
      <c r="A620" s="1">
        <v>42623</v>
      </c>
      <c r="B620">
        <v>900</v>
      </c>
      <c r="C620">
        <v>119</v>
      </c>
      <c r="D620">
        <v>781</v>
      </c>
      <c r="E620">
        <v>900330</v>
      </c>
      <c r="F620">
        <v>450900</v>
      </c>
      <c r="G620">
        <v>1351230</v>
      </c>
      <c r="H620">
        <v>611</v>
      </c>
      <c r="I620">
        <v>12</v>
      </c>
      <c r="J620">
        <v>623</v>
      </c>
      <c r="K620" t="b">
        <f>TrafficData[[#This Row],[disposedChallan]]+TrafficData[[#This Row],[pendingChallan]]=TrafficData[[#This Row],[totalChallan]]</f>
        <v>1</v>
      </c>
      <c r="L620" t="b">
        <f>TrafficData[[#This Row],[pendingAmount]]+TrafficData[[#This Row],[disposedAmount]]=TrafficData[[#This Row],[totalAmount]]</f>
        <v>1</v>
      </c>
      <c r="M620" t="b">
        <f>TrafficData[[#This Row],[pendingCourt]]+TrafficData[[#This Row],[disposedCourt]]=TrafficData[[#This Row],[totalCourt]]</f>
        <v>1</v>
      </c>
      <c r="N620" s="8" t="b">
        <f>AND(TrafficData[[#This Row],[disposedChallan]]&lt;=TrafficData[[#This Row],[totalChallan]],TrafficData[[#This Row],[pendingChallan]]&lt;=TrafficData[[#This Row],[totalChallan]])</f>
        <v>1</v>
      </c>
      <c r="O620" s="8" t="b">
        <f>AND(TrafficData[[#This Row],[pendingAmount]]&lt;=TrafficData[[#This Row],[totalAmount]],TrafficData[[#This Row],[disposedAmount]]&lt;=TrafficData[[#This Row],[totalAmount]])</f>
        <v>1</v>
      </c>
      <c r="P620" s="8" t="b">
        <f>AND(TrafficData[[#This Row],[pendingCourt]]&lt;=TrafficData[[#This Row],[totalCourt]],TrafficData[[#This Row],[disposedCourt]]&lt;=TrafficData[[#This Row],[totalCourt]])</f>
        <v>1</v>
      </c>
    </row>
    <row r="621" spans="1:16">
      <c r="A621" s="1">
        <v>42624</v>
      </c>
      <c r="B621">
        <v>561</v>
      </c>
      <c r="C621">
        <v>50</v>
      </c>
      <c r="D621">
        <v>511</v>
      </c>
      <c r="E621">
        <v>514150</v>
      </c>
      <c r="F621">
        <v>100100</v>
      </c>
      <c r="G621">
        <v>614250</v>
      </c>
      <c r="H621">
        <v>426</v>
      </c>
      <c r="I621">
        <v>16</v>
      </c>
      <c r="J621">
        <v>442</v>
      </c>
      <c r="K621" t="b">
        <f>TrafficData[[#This Row],[disposedChallan]]+TrafficData[[#This Row],[pendingChallan]]=TrafficData[[#This Row],[totalChallan]]</f>
        <v>1</v>
      </c>
      <c r="L621" t="b">
        <f>TrafficData[[#This Row],[pendingAmount]]+TrafficData[[#This Row],[disposedAmount]]=TrafficData[[#This Row],[totalAmount]]</f>
        <v>1</v>
      </c>
      <c r="M621" t="b">
        <f>TrafficData[[#This Row],[pendingCourt]]+TrafficData[[#This Row],[disposedCourt]]=TrafficData[[#This Row],[totalCourt]]</f>
        <v>1</v>
      </c>
      <c r="N621" s="8" t="b">
        <f>AND(TrafficData[[#This Row],[disposedChallan]]&lt;=TrafficData[[#This Row],[totalChallan]],TrafficData[[#This Row],[pendingChallan]]&lt;=TrafficData[[#This Row],[totalChallan]])</f>
        <v>1</v>
      </c>
      <c r="O621" s="8" t="b">
        <f>AND(TrafficData[[#This Row],[pendingAmount]]&lt;=TrafficData[[#This Row],[totalAmount]],TrafficData[[#This Row],[disposedAmount]]&lt;=TrafficData[[#This Row],[totalAmount]])</f>
        <v>1</v>
      </c>
      <c r="P621" s="8" t="b">
        <f>AND(TrafficData[[#This Row],[pendingCourt]]&lt;=TrafficData[[#This Row],[totalCourt]],TrafficData[[#This Row],[disposedCourt]]&lt;=TrafficData[[#This Row],[totalCourt]])</f>
        <v>1</v>
      </c>
    </row>
    <row r="622" spans="1:16">
      <c r="A622" s="1">
        <v>42625</v>
      </c>
      <c r="B622">
        <v>730</v>
      </c>
      <c r="C622">
        <v>47</v>
      </c>
      <c r="D622">
        <v>683</v>
      </c>
      <c r="E622">
        <v>513400</v>
      </c>
      <c r="F622">
        <v>87650</v>
      </c>
      <c r="G622">
        <v>601050</v>
      </c>
      <c r="H622">
        <v>526</v>
      </c>
      <c r="I622">
        <v>13</v>
      </c>
      <c r="J622">
        <v>539</v>
      </c>
      <c r="K622" t="b">
        <f>TrafficData[[#This Row],[disposedChallan]]+TrafficData[[#This Row],[pendingChallan]]=TrafficData[[#This Row],[totalChallan]]</f>
        <v>1</v>
      </c>
      <c r="L622" t="b">
        <f>TrafficData[[#This Row],[pendingAmount]]+TrafficData[[#This Row],[disposedAmount]]=TrafficData[[#This Row],[totalAmount]]</f>
        <v>1</v>
      </c>
      <c r="M622" t="b">
        <f>TrafficData[[#This Row],[pendingCourt]]+TrafficData[[#This Row],[disposedCourt]]=TrafficData[[#This Row],[totalCourt]]</f>
        <v>1</v>
      </c>
      <c r="N622" s="8" t="b">
        <f>AND(TrafficData[[#This Row],[disposedChallan]]&lt;=TrafficData[[#This Row],[totalChallan]],TrafficData[[#This Row],[pendingChallan]]&lt;=TrafficData[[#This Row],[totalChallan]])</f>
        <v>1</v>
      </c>
      <c r="O622" s="8" t="b">
        <f>AND(TrafficData[[#This Row],[pendingAmount]]&lt;=TrafficData[[#This Row],[totalAmount]],TrafficData[[#This Row],[disposedAmount]]&lt;=TrafficData[[#This Row],[totalAmount]])</f>
        <v>1</v>
      </c>
      <c r="P622" s="8" t="b">
        <f>AND(TrafficData[[#This Row],[pendingCourt]]&lt;=TrafficData[[#This Row],[totalCourt]],TrafficData[[#This Row],[disposedCourt]]&lt;=TrafficData[[#This Row],[totalCourt]])</f>
        <v>1</v>
      </c>
    </row>
    <row r="623" spans="1:16">
      <c r="A623" s="1">
        <v>42626</v>
      </c>
      <c r="B623">
        <v>713</v>
      </c>
      <c r="C623">
        <v>35</v>
      </c>
      <c r="D623">
        <v>678</v>
      </c>
      <c r="E623">
        <v>450500</v>
      </c>
      <c r="F623">
        <v>104725</v>
      </c>
      <c r="G623">
        <v>555225</v>
      </c>
      <c r="H623">
        <v>518</v>
      </c>
      <c r="I623">
        <v>9</v>
      </c>
      <c r="J623">
        <v>527</v>
      </c>
      <c r="K623" t="b">
        <f>TrafficData[[#This Row],[disposedChallan]]+TrafficData[[#This Row],[pendingChallan]]=TrafficData[[#This Row],[totalChallan]]</f>
        <v>1</v>
      </c>
      <c r="L623" t="b">
        <f>TrafficData[[#This Row],[pendingAmount]]+TrafficData[[#This Row],[disposedAmount]]=TrafficData[[#This Row],[totalAmount]]</f>
        <v>1</v>
      </c>
      <c r="M623" t="b">
        <f>TrafficData[[#This Row],[pendingCourt]]+TrafficData[[#This Row],[disposedCourt]]=TrafficData[[#This Row],[totalCourt]]</f>
        <v>1</v>
      </c>
      <c r="N623" s="8" t="b">
        <f>AND(TrafficData[[#This Row],[disposedChallan]]&lt;=TrafficData[[#This Row],[totalChallan]],TrafficData[[#This Row],[pendingChallan]]&lt;=TrafficData[[#This Row],[totalChallan]])</f>
        <v>1</v>
      </c>
      <c r="O623" s="8" t="b">
        <f>AND(TrafficData[[#This Row],[pendingAmount]]&lt;=TrafficData[[#This Row],[totalAmount]],TrafficData[[#This Row],[disposedAmount]]&lt;=TrafficData[[#This Row],[totalAmount]])</f>
        <v>1</v>
      </c>
      <c r="P623" s="8" t="b">
        <f>AND(TrafficData[[#This Row],[pendingCourt]]&lt;=TrafficData[[#This Row],[totalCourt]],TrafficData[[#This Row],[disposedCourt]]&lt;=TrafficData[[#This Row],[totalCourt]])</f>
        <v>1</v>
      </c>
    </row>
    <row r="624" spans="1:16">
      <c r="A624" s="1">
        <v>42627</v>
      </c>
      <c r="B624">
        <v>851</v>
      </c>
      <c r="C624">
        <v>72</v>
      </c>
      <c r="D624">
        <v>779</v>
      </c>
      <c r="E624">
        <v>687750</v>
      </c>
      <c r="F624">
        <v>213369</v>
      </c>
      <c r="G624">
        <v>901119</v>
      </c>
      <c r="H624">
        <v>551</v>
      </c>
      <c r="I624">
        <v>22</v>
      </c>
      <c r="J624">
        <v>573</v>
      </c>
      <c r="K624" t="b">
        <f>TrafficData[[#This Row],[disposedChallan]]+TrafficData[[#This Row],[pendingChallan]]=TrafficData[[#This Row],[totalChallan]]</f>
        <v>1</v>
      </c>
      <c r="L624" t="b">
        <f>TrafficData[[#This Row],[pendingAmount]]+TrafficData[[#This Row],[disposedAmount]]=TrafficData[[#This Row],[totalAmount]]</f>
        <v>1</v>
      </c>
      <c r="M624" t="b">
        <f>TrafficData[[#This Row],[pendingCourt]]+TrafficData[[#This Row],[disposedCourt]]=TrafficData[[#This Row],[totalCourt]]</f>
        <v>1</v>
      </c>
      <c r="N624" s="8" t="b">
        <f>AND(TrafficData[[#This Row],[disposedChallan]]&lt;=TrafficData[[#This Row],[totalChallan]],TrafficData[[#This Row],[pendingChallan]]&lt;=TrafficData[[#This Row],[totalChallan]])</f>
        <v>1</v>
      </c>
      <c r="O624" s="8" t="b">
        <f>AND(TrafficData[[#This Row],[pendingAmount]]&lt;=TrafficData[[#This Row],[totalAmount]],TrafficData[[#This Row],[disposedAmount]]&lt;=TrafficData[[#This Row],[totalAmount]])</f>
        <v>1</v>
      </c>
      <c r="P624" s="8" t="b">
        <f>AND(TrafficData[[#This Row],[pendingCourt]]&lt;=TrafficData[[#This Row],[totalCourt]],TrafficData[[#This Row],[disposedCourt]]&lt;=TrafficData[[#This Row],[totalCourt]])</f>
        <v>1</v>
      </c>
    </row>
    <row r="625" spans="1:16">
      <c r="A625" s="1">
        <v>42628</v>
      </c>
      <c r="B625">
        <v>1149</v>
      </c>
      <c r="C625">
        <v>80</v>
      </c>
      <c r="D625">
        <v>1069</v>
      </c>
      <c r="E625">
        <v>775698</v>
      </c>
      <c r="F625">
        <v>279310</v>
      </c>
      <c r="G625">
        <v>1055008</v>
      </c>
      <c r="H625">
        <v>865</v>
      </c>
      <c r="I625">
        <v>15</v>
      </c>
      <c r="J625">
        <v>880</v>
      </c>
      <c r="K625" t="b">
        <f>TrafficData[[#This Row],[disposedChallan]]+TrafficData[[#This Row],[pendingChallan]]=TrafficData[[#This Row],[totalChallan]]</f>
        <v>1</v>
      </c>
      <c r="L625" t="b">
        <f>TrafficData[[#This Row],[pendingAmount]]+TrafficData[[#This Row],[disposedAmount]]=TrafficData[[#This Row],[totalAmount]]</f>
        <v>1</v>
      </c>
      <c r="M625" t="b">
        <f>TrafficData[[#This Row],[pendingCourt]]+TrafficData[[#This Row],[disposedCourt]]=TrafficData[[#This Row],[totalCourt]]</f>
        <v>1</v>
      </c>
      <c r="N625" s="8" t="b">
        <f>AND(TrafficData[[#This Row],[disposedChallan]]&lt;=TrafficData[[#This Row],[totalChallan]],TrafficData[[#This Row],[pendingChallan]]&lt;=TrafficData[[#This Row],[totalChallan]])</f>
        <v>1</v>
      </c>
      <c r="O625" s="8" t="b">
        <f>AND(TrafficData[[#This Row],[pendingAmount]]&lt;=TrafficData[[#This Row],[totalAmount]],TrafficData[[#This Row],[disposedAmount]]&lt;=TrafficData[[#This Row],[totalAmount]])</f>
        <v>1</v>
      </c>
      <c r="P625" s="8" t="b">
        <f>AND(TrafficData[[#This Row],[pendingCourt]]&lt;=TrafficData[[#This Row],[totalCourt]],TrafficData[[#This Row],[disposedCourt]]&lt;=TrafficData[[#This Row],[totalCourt]])</f>
        <v>1</v>
      </c>
    </row>
    <row r="626" spans="1:16">
      <c r="A626" s="1">
        <v>42629</v>
      </c>
      <c r="B626">
        <v>1007</v>
      </c>
      <c r="C626">
        <v>56</v>
      </c>
      <c r="D626">
        <v>951</v>
      </c>
      <c r="E626">
        <v>921250</v>
      </c>
      <c r="F626">
        <v>179050</v>
      </c>
      <c r="G626">
        <v>1100300</v>
      </c>
      <c r="H626">
        <v>762</v>
      </c>
      <c r="I626">
        <v>3</v>
      </c>
      <c r="J626">
        <v>765</v>
      </c>
      <c r="K626" t="b">
        <f>TrafficData[[#This Row],[disposedChallan]]+TrafficData[[#This Row],[pendingChallan]]=TrafficData[[#This Row],[totalChallan]]</f>
        <v>1</v>
      </c>
      <c r="L626" t="b">
        <f>TrafficData[[#This Row],[pendingAmount]]+TrafficData[[#This Row],[disposedAmount]]=TrafficData[[#This Row],[totalAmount]]</f>
        <v>1</v>
      </c>
      <c r="M626" t="b">
        <f>TrafficData[[#This Row],[pendingCourt]]+TrafficData[[#This Row],[disposedCourt]]=TrafficData[[#This Row],[totalCourt]]</f>
        <v>1</v>
      </c>
      <c r="N626" s="8" t="b">
        <f>AND(TrafficData[[#This Row],[disposedChallan]]&lt;=TrafficData[[#This Row],[totalChallan]],TrafficData[[#This Row],[pendingChallan]]&lt;=TrafficData[[#This Row],[totalChallan]])</f>
        <v>1</v>
      </c>
      <c r="O626" s="8" t="b">
        <f>AND(TrafficData[[#This Row],[pendingAmount]]&lt;=TrafficData[[#This Row],[totalAmount]],TrafficData[[#This Row],[disposedAmount]]&lt;=TrafficData[[#This Row],[totalAmount]])</f>
        <v>1</v>
      </c>
      <c r="P626" s="8" t="b">
        <f>AND(TrafficData[[#This Row],[pendingCourt]]&lt;=TrafficData[[#This Row],[totalCourt]],TrafficData[[#This Row],[disposedCourt]]&lt;=TrafficData[[#This Row],[totalCourt]])</f>
        <v>1</v>
      </c>
    </row>
    <row r="627" spans="1:16">
      <c r="A627" s="1">
        <v>42630</v>
      </c>
      <c r="B627">
        <v>1043</v>
      </c>
      <c r="C627">
        <v>78</v>
      </c>
      <c r="D627">
        <v>965</v>
      </c>
      <c r="E627">
        <v>737499</v>
      </c>
      <c r="F627">
        <v>382700</v>
      </c>
      <c r="G627">
        <v>1120199</v>
      </c>
      <c r="H627">
        <v>790</v>
      </c>
      <c r="I627">
        <v>27</v>
      </c>
      <c r="J627">
        <v>817</v>
      </c>
      <c r="K627" t="b">
        <f>TrafficData[[#This Row],[disposedChallan]]+TrafficData[[#This Row],[pendingChallan]]=TrafficData[[#This Row],[totalChallan]]</f>
        <v>1</v>
      </c>
      <c r="L627" t="b">
        <f>TrafficData[[#This Row],[pendingAmount]]+TrafficData[[#This Row],[disposedAmount]]=TrafficData[[#This Row],[totalAmount]]</f>
        <v>1</v>
      </c>
      <c r="M627" t="b">
        <f>TrafficData[[#This Row],[pendingCourt]]+TrafficData[[#This Row],[disposedCourt]]=TrafficData[[#This Row],[totalCourt]]</f>
        <v>1</v>
      </c>
      <c r="N627" s="8" t="b">
        <f>AND(TrafficData[[#This Row],[disposedChallan]]&lt;=TrafficData[[#This Row],[totalChallan]],TrafficData[[#This Row],[pendingChallan]]&lt;=TrafficData[[#This Row],[totalChallan]])</f>
        <v>1</v>
      </c>
      <c r="O627" s="8" t="b">
        <f>AND(TrafficData[[#This Row],[pendingAmount]]&lt;=TrafficData[[#This Row],[totalAmount]],TrafficData[[#This Row],[disposedAmount]]&lt;=TrafficData[[#This Row],[totalAmount]])</f>
        <v>1</v>
      </c>
      <c r="P627" s="8" t="b">
        <f>AND(TrafficData[[#This Row],[pendingCourt]]&lt;=TrafficData[[#This Row],[totalCourt]],TrafficData[[#This Row],[disposedCourt]]&lt;=TrafficData[[#This Row],[totalCourt]])</f>
        <v>1</v>
      </c>
    </row>
    <row r="628" spans="1:16">
      <c r="A628" s="1">
        <v>42631</v>
      </c>
      <c r="B628">
        <v>422</v>
      </c>
      <c r="C628">
        <v>50</v>
      </c>
      <c r="D628">
        <v>372</v>
      </c>
      <c r="E628">
        <v>294200</v>
      </c>
      <c r="F628">
        <v>102400</v>
      </c>
      <c r="G628">
        <v>396600</v>
      </c>
      <c r="H628">
        <v>227</v>
      </c>
      <c r="I628">
        <v>10</v>
      </c>
      <c r="J628">
        <v>237</v>
      </c>
      <c r="K628" t="b">
        <f>TrafficData[[#This Row],[disposedChallan]]+TrafficData[[#This Row],[pendingChallan]]=TrafficData[[#This Row],[totalChallan]]</f>
        <v>1</v>
      </c>
      <c r="L628" t="b">
        <f>TrafficData[[#This Row],[pendingAmount]]+TrafficData[[#This Row],[disposedAmount]]=TrafficData[[#This Row],[totalAmount]]</f>
        <v>1</v>
      </c>
      <c r="M628" t="b">
        <f>TrafficData[[#This Row],[pendingCourt]]+TrafficData[[#This Row],[disposedCourt]]=TrafficData[[#This Row],[totalCourt]]</f>
        <v>1</v>
      </c>
      <c r="N628" s="8" t="b">
        <f>AND(TrafficData[[#This Row],[disposedChallan]]&lt;=TrafficData[[#This Row],[totalChallan]],TrafficData[[#This Row],[pendingChallan]]&lt;=TrafficData[[#This Row],[totalChallan]])</f>
        <v>1</v>
      </c>
      <c r="O628" s="8" t="b">
        <f>AND(TrafficData[[#This Row],[pendingAmount]]&lt;=TrafficData[[#This Row],[totalAmount]],TrafficData[[#This Row],[disposedAmount]]&lt;=TrafficData[[#This Row],[totalAmount]])</f>
        <v>1</v>
      </c>
      <c r="P628" s="8" t="b">
        <f>AND(TrafficData[[#This Row],[pendingCourt]]&lt;=TrafficData[[#This Row],[totalCourt]],TrafficData[[#This Row],[disposedCourt]]&lt;=TrafficData[[#This Row],[totalCourt]])</f>
        <v>1</v>
      </c>
    </row>
    <row r="629" spans="1:16">
      <c r="A629" s="1">
        <v>42632</v>
      </c>
      <c r="B629">
        <v>980</v>
      </c>
      <c r="C629">
        <v>72</v>
      </c>
      <c r="D629">
        <v>908</v>
      </c>
      <c r="E629">
        <v>875100</v>
      </c>
      <c r="F629">
        <v>209350</v>
      </c>
      <c r="G629">
        <v>1084450</v>
      </c>
      <c r="H629">
        <v>642</v>
      </c>
      <c r="I629">
        <v>24</v>
      </c>
      <c r="J629">
        <v>666</v>
      </c>
      <c r="K629" t="b">
        <f>TrafficData[[#This Row],[disposedChallan]]+TrafficData[[#This Row],[pendingChallan]]=TrafficData[[#This Row],[totalChallan]]</f>
        <v>1</v>
      </c>
      <c r="L629" t="b">
        <f>TrafficData[[#This Row],[pendingAmount]]+TrafficData[[#This Row],[disposedAmount]]=TrafficData[[#This Row],[totalAmount]]</f>
        <v>1</v>
      </c>
      <c r="M629" t="b">
        <f>TrafficData[[#This Row],[pendingCourt]]+TrafficData[[#This Row],[disposedCourt]]=TrafficData[[#This Row],[totalCourt]]</f>
        <v>1</v>
      </c>
      <c r="N629" s="8" t="b">
        <f>AND(TrafficData[[#This Row],[disposedChallan]]&lt;=TrafficData[[#This Row],[totalChallan]],TrafficData[[#This Row],[pendingChallan]]&lt;=TrafficData[[#This Row],[totalChallan]])</f>
        <v>1</v>
      </c>
      <c r="O629" s="8" t="b">
        <f>AND(TrafficData[[#This Row],[pendingAmount]]&lt;=TrafficData[[#This Row],[totalAmount]],TrafficData[[#This Row],[disposedAmount]]&lt;=TrafficData[[#This Row],[totalAmount]])</f>
        <v>1</v>
      </c>
      <c r="P629" s="8" t="b">
        <f>AND(TrafficData[[#This Row],[pendingCourt]]&lt;=TrafficData[[#This Row],[totalCourt]],TrafficData[[#This Row],[disposedCourt]]&lt;=TrafficData[[#This Row],[totalCourt]])</f>
        <v>1</v>
      </c>
    </row>
    <row r="630" spans="1:16">
      <c r="A630" s="1">
        <v>42633</v>
      </c>
      <c r="B630">
        <v>1293</v>
      </c>
      <c r="C630">
        <v>107</v>
      </c>
      <c r="D630">
        <v>1186</v>
      </c>
      <c r="E630">
        <v>1022501</v>
      </c>
      <c r="F630">
        <v>264152</v>
      </c>
      <c r="G630">
        <v>1286653</v>
      </c>
      <c r="H630">
        <v>894</v>
      </c>
      <c r="I630">
        <v>11</v>
      </c>
      <c r="J630">
        <v>905</v>
      </c>
      <c r="K630" t="b">
        <f>TrafficData[[#This Row],[disposedChallan]]+TrafficData[[#This Row],[pendingChallan]]=TrafficData[[#This Row],[totalChallan]]</f>
        <v>1</v>
      </c>
      <c r="L630" t="b">
        <f>TrafficData[[#This Row],[pendingAmount]]+TrafficData[[#This Row],[disposedAmount]]=TrafficData[[#This Row],[totalAmount]]</f>
        <v>1</v>
      </c>
      <c r="M630" t="b">
        <f>TrafficData[[#This Row],[pendingCourt]]+TrafficData[[#This Row],[disposedCourt]]=TrafficData[[#This Row],[totalCourt]]</f>
        <v>1</v>
      </c>
      <c r="N630" s="8" t="b">
        <f>AND(TrafficData[[#This Row],[disposedChallan]]&lt;=TrafficData[[#This Row],[totalChallan]],TrafficData[[#This Row],[pendingChallan]]&lt;=TrafficData[[#This Row],[totalChallan]])</f>
        <v>1</v>
      </c>
      <c r="O630" s="8" t="b">
        <f>AND(TrafficData[[#This Row],[pendingAmount]]&lt;=TrafficData[[#This Row],[totalAmount]],TrafficData[[#This Row],[disposedAmount]]&lt;=TrafficData[[#This Row],[totalAmount]])</f>
        <v>1</v>
      </c>
      <c r="P630" s="8" t="b">
        <f>AND(TrafficData[[#This Row],[pendingCourt]]&lt;=TrafficData[[#This Row],[totalCourt]],TrafficData[[#This Row],[disposedCourt]]&lt;=TrafficData[[#This Row],[totalCourt]])</f>
        <v>1</v>
      </c>
    </row>
    <row r="631" spans="1:16">
      <c r="A631" s="1">
        <v>42634</v>
      </c>
      <c r="B631">
        <v>1196</v>
      </c>
      <c r="C631">
        <v>93</v>
      </c>
      <c r="D631">
        <v>1103</v>
      </c>
      <c r="E631">
        <v>1084400</v>
      </c>
      <c r="F631">
        <v>303400</v>
      </c>
      <c r="G631">
        <v>1387800</v>
      </c>
      <c r="H631">
        <v>837</v>
      </c>
      <c r="I631">
        <v>8</v>
      </c>
      <c r="J631">
        <v>845</v>
      </c>
      <c r="K631" t="b">
        <f>TrafficData[[#This Row],[disposedChallan]]+TrafficData[[#This Row],[pendingChallan]]=TrafficData[[#This Row],[totalChallan]]</f>
        <v>1</v>
      </c>
      <c r="L631" t="b">
        <f>TrafficData[[#This Row],[pendingAmount]]+TrafficData[[#This Row],[disposedAmount]]=TrafficData[[#This Row],[totalAmount]]</f>
        <v>1</v>
      </c>
      <c r="M631" t="b">
        <f>TrafficData[[#This Row],[pendingCourt]]+TrafficData[[#This Row],[disposedCourt]]=TrafficData[[#This Row],[totalCourt]]</f>
        <v>1</v>
      </c>
      <c r="N631" s="8" t="b">
        <f>AND(TrafficData[[#This Row],[disposedChallan]]&lt;=TrafficData[[#This Row],[totalChallan]],TrafficData[[#This Row],[pendingChallan]]&lt;=TrafficData[[#This Row],[totalChallan]])</f>
        <v>1</v>
      </c>
      <c r="O631" s="8" t="b">
        <f>AND(TrafficData[[#This Row],[pendingAmount]]&lt;=TrafficData[[#This Row],[totalAmount]],TrafficData[[#This Row],[disposedAmount]]&lt;=TrafficData[[#This Row],[totalAmount]])</f>
        <v>1</v>
      </c>
      <c r="P631" s="8" t="b">
        <f>AND(TrafficData[[#This Row],[pendingCourt]]&lt;=TrafficData[[#This Row],[totalCourt]],TrafficData[[#This Row],[disposedCourt]]&lt;=TrafficData[[#This Row],[totalCourt]])</f>
        <v>1</v>
      </c>
    </row>
    <row r="632" spans="1:16">
      <c r="A632" s="1">
        <v>42635</v>
      </c>
      <c r="B632">
        <v>1253</v>
      </c>
      <c r="C632">
        <v>87</v>
      </c>
      <c r="D632">
        <v>1166</v>
      </c>
      <c r="E632">
        <v>1050549</v>
      </c>
      <c r="F632">
        <v>358590</v>
      </c>
      <c r="G632">
        <v>1409139</v>
      </c>
      <c r="H632">
        <v>914</v>
      </c>
      <c r="I632">
        <v>25</v>
      </c>
      <c r="J632">
        <v>939</v>
      </c>
      <c r="K632" t="b">
        <f>TrafficData[[#This Row],[disposedChallan]]+TrafficData[[#This Row],[pendingChallan]]=TrafficData[[#This Row],[totalChallan]]</f>
        <v>1</v>
      </c>
      <c r="L632" t="b">
        <f>TrafficData[[#This Row],[pendingAmount]]+TrafficData[[#This Row],[disposedAmount]]=TrafficData[[#This Row],[totalAmount]]</f>
        <v>1</v>
      </c>
      <c r="M632" t="b">
        <f>TrafficData[[#This Row],[pendingCourt]]+TrafficData[[#This Row],[disposedCourt]]=TrafficData[[#This Row],[totalCourt]]</f>
        <v>1</v>
      </c>
      <c r="N632" s="8" t="b">
        <f>AND(TrafficData[[#This Row],[disposedChallan]]&lt;=TrafficData[[#This Row],[totalChallan]],TrafficData[[#This Row],[pendingChallan]]&lt;=TrafficData[[#This Row],[totalChallan]])</f>
        <v>1</v>
      </c>
      <c r="O632" s="8" t="b">
        <f>AND(TrafficData[[#This Row],[pendingAmount]]&lt;=TrafficData[[#This Row],[totalAmount]],TrafficData[[#This Row],[disposedAmount]]&lt;=TrafficData[[#This Row],[totalAmount]])</f>
        <v>1</v>
      </c>
      <c r="P632" s="8" t="b">
        <f>AND(TrafficData[[#This Row],[pendingCourt]]&lt;=TrafficData[[#This Row],[totalCourt]],TrafficData[[#This Row],[disposedCourt]]&lt;=TrafficData[[#This Row],[totalCourt]])</f>
        <v>1</v>
      </c>
    </row>
    <row r="633" spans="1:16">
      <c r="A633" s="1">
        <v>42636</v>
      </c>
      <c r="B633">
        <v>1055</v>
      </c>
      <c r="C633">
        <v>117</v>
      </c>
      <c r="D633">
        <v>938</v>
      </c>
      <c r="E633">
        <v>852400</v>
      </c>
      <c r="F633">
        <v>531250</v>
      </c>
      <c r="G633">
        <v>1383650</v>
      </c>
      <c r="H633">
        <v>659</v>
      </c>
      <c r="I633">
        <v>6</v>
      </c>
      <c r="J633">
        <v>665</v>
      </c>
      <c r="K633" t="b">
        <f>TrafficData[[#This Row],[disposedChallan]]+TrafficData[[#This Row],[pendingChallan]]=TrafficData[[#This Row],[totalChallan]]</f>
        <v>1</v>
      </c>
      <c r="L633" t="b">
        <f>TrafficData[[#This Row],[pendingAmount]]+TrafficData[[#This Row],[disposedAmount]]=TrafficData[[#This Row],[totalAmount]]</f>
        <v>1</v>
      </c>
      <c r="M633" t="b">
        <f>TrafficData[[#This Row],[pendingCourt]]+TrafficData[[#This Row],[disposedCourt]]=TrafficData[[#This Row],[totalCourt]]</f>
        <v>1</v>
      </c>
      <c r="N633" s="8" t="b">
        <f>AND(TrafficData[[#This Row],[disposedChallan]]&lt;=TrafficData[[#This Row],[totalChallan]],TrafficData[[#This Row],[pendingChallan]]&lt;=TrafficData[[#This Row],[totalChallan]])</f>
        <v>1</v>
      </c>
      <c r="O633" s="8" t="b">
        <f>AND(TrafficData[[#This Row],[pendingAmount]]&lt;=TrafficData[[#This Row],[totalAmount]],TrafficData[[#This Row],[disposedAmount]]&lt;=TrafficData[[#This Row],[totalAmount]])</f>
        <v>1</v>
      </c>
      <c r="P633" s="8" t="b">
        <f>AND(TrafficData[[#This Row],[pendingCourt]]&lt;=TrafficData[[#This Row],[totalCourt]],TrafficData[[#This Row],[disposedCourt]]&lt;=TrafficData[[#This Row],[totalCourt]])</f>
        <v>1</v>
      </c>
    </row>
    <row r="634" spans="1:16">
      <c r="A634" s="1">
        <v>42637</v>
      </c>
      <c r="B634">
        <v>940</v>
      </c>
      <c r="C634">
        <v>85</v>
      </c>
      <c r="D634">
        <v>855</v>
      </c>
      <c r="E634">
        <v>735442</v>
      </c>
      <c r="F634">
        <v>260650</v>
      </c>
      <c r="G634">
        <v>996092</v>
      </c>
      <c r="H634">
        <v>621</v>
      </c>
      <c r="I634">
        <v>4</v>
      </c>
      <c r="J634">
        <v>625</v>
      </c>
      <c r="K634" t="b">
        <f>TrafficData[[#This Row],[disposedChallan]]+TrafficData[[#This Row],[pendingChallan]]=TrafficData[[#This Row],[totalChallan]]</f>
        <v>1</v>
      </c>
      <c r="L634" t="b">
        <f>TrafficData[[#This Row],[pendingAmount]]+TrafficData[[#This Row],[disposedAmount]]=TrafficData[[#This Row],[totalAmount]]</f>
        <v>1</v>
      </c>
      <c r="M634" t="b">
        <f>TrafficData[[#This Row],[pendingCourt]]+TrafficData[[#This Row],[disposedCourt]]=TrafficData[[#This Row],[totalCourt]]</f>
        <v>1</v>
      </c>
      <c r="N634" s="8" t="b">
        <f>AND(TrafficData[[#This Row],[disposedChallan]]&lt;=TrafficData[[#This Row],[totalChallan]],TrafficData[[#This Row],[pendingChallan]]&lt;=TrafficData[[#This Row],[totalChallan]])</f>
        <v>1</v>
      </c>
      <c r="O634" s="8" t="b">
        <f>AND(TrafficData[[#This Row],[pendingAmount]]&lt;=TrafficData[[#This Row],[totalAmount]],TrafficData[[#This Row],[disposedAmount]]&lt;=TrafficData[[#This Row],[totalAmount]])</f>
        <v>1</v>
      </c>
      <c r="P634" s="8" t="b">
        <f>AND(TrafficData[[#This Row],[pendingCourt]]&lt;=TrafficData[[#This Row],[totalCourt]],TrafficData[[#This Row],[disposedCourt]]&lt;=TrafficData[[#This Row],[totalCourt]])</f>
        <v>1</v>
      </c>
    </row>
    <row r="635" spans="1:16">
      <c r="A635" s="1">
        <v>42638</v>
      </c>
      <c r="B635">
        <v>804</v>
      </c>
      <c r="C635">
        <v>48</v>
      </c>
      <c r="D635">
        <v>756</v>
      </c>
      <c r="E635">
        <v>759900</v>
      </c>
      <c r="F635">
        <v>110500</v>
      </c>
      <c r="G635">
        <v>870400</v>
      </c>
      <c r="H635">
        <v>567</v>
      </c>
      <c r="I635">
        <v>1</v>
      </c>
      <c r="J635">
        <v>568</v>
      </c>
      <c r="K635" t="b">
        <f>TrafficData[[#This Row],[disposedChallan]]+TrafficData[[#This Row],[pendingChallan]]=TrafficData[[#This Row],[totalChallan]]</f>
        <v>1</v>
      </c>
      <c r="L635" t="b">
        <f>TrafficData[[#This Row],[pendingAmount]]+TrafficData[[#This Row],[disposedAmount]]=TrafficData[[#This Row],[totalAmount]]</f>
        <v>1</v>
      </c>
      <c r="M635" t="b">
        <f>TrafficData[[#This Row],[pendingCourt]]+TrafficData[[#This Row],[disposedCourt]]=TrafficData[[#This Row],[totalCourt]]</f>
        <v>1</v>
      </c>
      <c r="N635" s="8" t="b">
        <f>AND(TrafficData[[#This Row],[disposedChallan]]&lt;=TrafficData[[#This Row],[totalChallan]],TrafficData[[#This Row],[pendingChallan]]&lt;=TrafficData[[#This Row],[totalChallan]])</f>
        <v>1</v>
      </c>
      <c r="O635" s="8" t="b">
        <f>AND(TrafficData[[#This Row],[pendingAmount]]&lt;=TrafficData[[#This Row],[totalAmount]],TrafficData[[#This Row],[disposedAmount]]&lt;=TrafficData[[#This Row],[totalAmount]])</f>
        <v>1</v>
      </c>
      <c r="P635" s="8" t="b">
        <f>AND(TrafficData[[#This Row],[pendingCourt]]&lt;=TrafficData[[#This Row],[totalCourt]],TrafficData[[#This Row],[disposedCourt]]&lt;=TrafficData[[#This Row],[totalCourt]])</f>
        <v>1</v>
      </c>
    </row>
    <row r="636" spans="1:16">
      <c r="A636" s="1">
        <v>42639</v>
      </c>
      <c r="B636">
        <v>918</v>
      </c>
      <c r="C636">
        <v>58</v>
      </c>
      <c r="D636">
        <v>860</v>
      </c>
      <c r="E636">
        <v>706320</v>
      </c>
      <c r="F636">
        <v>145150</v>
      </c>
      <c r="G636">
        <v>851470</v>
      </c>
      <c r="H636">
        <v>613</v>
      </c>
      <c r="I636">
        <v>5</v>
      </c>
      <c r="J636">
        <v>618</v>
      </c>
      <c r="K636" t="b">
        <f>TrafficData[[#This Row],[disposedChallan]]+TrafficData[[#This Row],[pendingChallan]]=TrafficData[[#This Row],[totalChallan]]</f>
        <v>1</v>
      </c>
      <c r="L636" t="b">
        <f>TrafficData[[#This Row],[pendingAmount]]+TrafficData[[#This Row],[disposedAmount]]=TrafficData[[#This Row],[totalAmount]]</f>
        <v>1</v>
      </c>
      <c r="M636" t="b">
        <f>TrafficData[[#This Row],[pendingCourt]]+TrafficData[[#This Row],[disposedCourt]]=TrafficData[[#This Row],[totalCourt]]</f>
        <v>1</v>
      </c>
      <c r="N636" s="8" t="b">
        <f>AND(TrafficData[[#This Row],[disposedChallan]]&lt;=TrafficData[[#This Row],[totalChallan]],TrafficData[[#This Row],[pendingChallan]]&lt;=TrafficData[[#This Row],[totalChallan]])</f>
        <v>1</v>
      </c>
      <c r="O636" s="8" t="b">
        <f>AND(TrafficData[[#This Row],[pendingAmount]]&lt;=TrafficData[[#This Row],[totalAmount]],TrafficData[[#This Row],[disposedAmount]]&lt;=TrafficData[[#This Row],[totalAmount]])</f>
        <v>1</v>
      </c>
      <c r="P636" s="8" t="b">
        <f>AND(TrafficData[[#This Row],[pendingCourt]]&lt;=TrafficData[[#This Row],[totalCourt]],TrafficData[[#This Row],[disposedCourt]]&lt;=TrafficData[[#This Row],[totalCourt]])</f>
        <v>1</v>
      </c>
    </row>
    <row r="637" spans="1:16">
      <c r="A637" s="1">
        <v>42640</v>
      </c>
      <c r="B637">
        <v>1088</v>
      </c>
      <c r="C637">
        <v>83</v>
      </c>
      <c r="D637">
        <v>1005</v>
      </c>
      <c r="E637">
        <v>1054754</v>
      </c>
      <c r="F637">
        <v>334701</v>
      </c>
      <c r="G637">
        <v>1389455</v>
      </c>
      <c r="H637">
        <v>760</v>
      </c>
      <c r="I637">
        <v>15</v>
      </c>
      <c r="J637">
        <v>775</v>
      </c>
      <c r="K637" t="b">
        <f>TrafficData[[#This Row],[disposedChallan]]+TrafficData[[#This Row],[pendingChallan]]=TrafficData[[#This Row],[totalChallan]]</f>
        <v>1</v>
      </c>
      <c r="L637" t="b">
        <f>TrafficData[[#This Row],[pendingAmount]]+TrafficData[[#This Row],[disposedAmount]]=TrafficData[[#This Row],[totalAmount]]</f>
        <v>1</v>
      </c>
      <c r="M637" t="b">
        <f>TrafficData[[#This Row],[pendingCourt]]+TrafficData[[#This Row],[disposedCourt]]=TrafficData[[#This Row],[totalCourt]]</f>
        <v>1</v>
      </c>
      <c r="N637" s="8" t="b">
        <f>AND(TrafficData[[#This Row],[disposedChallan]]&lt;=TrafficData[[#This Row],[totalChallan]],TrafficData[[#This Row],[pendingChallan]]&lt;=TrafficData[[#This Row],[totalChallan]])</f>
        <v>1</v>
      </c>
      <c r="O637" s="8" t="b">
        <f>AND(TrafficData[[#This Row],[pendingAmount]]&lt;=TrafficData[[#This Row],[totalAmount]],TrafficData[[#This Row],[disposedAmount]]&lt;=TrafficData[[#This Row],[totalAmount]])</f>
        <v>1</v>
      </c>
      <c r="P637" s="8" t="b">
        <f>AND(TrafficData[[#This Row],[pendingCourt]]&lt;=TrafficData[[#This Row],[totalCourt]],TrafficData[[#This Row],[disposedCourt]]&lt;=TrafficData[[#This Row],[totalCourt]])</f>
        <v>1</v>
      </c>
    </row>
    <row r="638" spans="1:16">
      <c r="A638" s="1">
        <v>42641</v>
      </c>
      <c r="B638">
        <v>1170</v>
      </c>
      <c r="C638">
        <v>96</v>
      </c>
      <c r="D638">
        <v>1074</v>
      </c>
      <c r="E638">
        <v>1065850</v>
      </c>
      <c r="F638">
        <v>1090851</v>
      </c>
      <c r="G638">
        <v>2156701</v>
      </c>
      <c r="H638">
        <v>849</v>
      </c>
      <c r="I638">
        <v>18</v>
      </c>
      <c r="J638">
        <v>867</v>
      </c>
      <c r="K638" t="b">
        <f>TrafficData[[#This Row],[disposedChallan]]+TrafficData[[#This Row],[pendingChallan]]=TrafficData[[#This Row],[totalChallan]]</f>
        <v>1</v>
      </c>
      <c r="L638" t="b">
        <f>TrafficData[[#This Row],[pendingAmount]]+TrafficData[[#This Row],[disposedAmount]]=TrafficData[[#This Row],[totalAmount]]</f>
        <v>1</v>
      </c>
      <c r="M638" t="b">
        <f>TrafficData[[#This Row],[pendingCourt]]+TrafficData[[#This Row],[disposedCourt]]=TrafficData[[#This Row],[totalCourt]]</f>
        <v>1</v>
      </c>
      <c r="N638" s="8" t="b">
        <f>AND(TrafficData[[#This Row],[disposedChallan]]&lt;=TrafficData[[#This Row],[totalChallan]],TrafficData[[#This Row],[pendingChallan]]&lt;=TrafficData[[#This Row],[totalChallan]])</f>
        <v>1</v>
      </c>
      <c r="O638" s="8" t="b">
        <f>AND(TrafficData[[#This Row],[pendingAmount]]&lt;=TrafficData[[#This Row],[totalAmount]],TrafficData[[#This Row],[disposedAmount]]&lt;=TrafficData[[#This Row],[totalAmount]])</f>
        <v>1</v>
      </c>
      <c r="P638" s="8" t="b">
        <f>AND(TrafficData[[#This Row],[pendingCourt]]&lt;=TrafficData[[#This Row],[totalCourt]],TrafficData[[#This Row],[disposedCourt]]&lt;=TrafficData[[#This Row],[totalCourt]])</f>
        <v>1</v>
      </c>
    </row>
    <row r="639" spans="1:16">
      <c r="A639" s="1">
        <v>42642</v>
      </c>
      <c r="B639">
        <v>1079</v>
      </c>
      <c r="C639">
        <v>112</v>
      </c>
      <c r="D639">
        <v>967</v>
      </c>
      <c r="E639">
        <v>1278735</v>
      </c>
      <c r="F639">
        <v>337310</v>
      </c>
      <c r="G639">
        <v>1616045</v>
      </c>
      <c r="H639">
        <v>721</v>
      </c>
      <c r="I639">
        <v>7</v>
      </c>
      <c r="J639">
        <v>728</v>
      </c>
      <c r="K639" t="b">
        <f>TrafficData[[#This Row],[disposedChallan]]+TrafficData[[#This Row],[pendingChallan]]=TrafficData[[#This Row],[totalChallan]]</f>
        <v>1</v>
      </c>
      <c r="L639" t="b">
        <f>TrafficData[[#This Row],[pendingAmount]]+TrafficData[[#This Row],[disposedAmount]]=TrafficData[[#This Row],[totalAmount]]</f>
        <v>1</v>
      </c>
      <c r="M639" t="b">
        <f>TrafficData[[#This Row],[pendingCourt]]+TrafficData[[#This Row],[disposedCourt]]=TrafficData[[#This Row],[totalCourt]]</f>
        <v>1</v>
      </c>
      <c r="N639" s="8" t="b">
        <f>AND(TrafficData[[#This Row],[disposedChallan]]&lt;=TrafficData[[#This Row],[totalChallan]],TrafficData[[#This Row],[pendingChallan]]&lt;=TrafficData[[#This Row],[totalChallan]])</f>
        <v>1</v>
      </c>
      <c r="O639" s="8" t="b">
        <f>AND(TrafficData[[#This Row],[pendingAmount]]&lt;=TrafficData[[#This Row],[totalAmount]],TrafficData[[#This Row],[disposedAmount]]&lt;=TrafficData[[#This Row],[totalAmount]])</f>
        <v>1</v>
      </c>
      <c r="P639" s="8" t="b">
        <f>AND(TrafficData[[#This Row],[pendingCourt]]&lt;=TrafficData[[#This Row],[totalCourt]],TrafficData[[#This Row],[disposedCourt]]&lt;=TrafficData[[#This Row],[totalCourt]])</f>
        <v>1</v>
      </c>
    </row>
    <row r="640" spans="1:16">
      <c r="A640" s="1">
        <v>42643</v>
      </c>
      <c r="B640">
        <v>907</v>
      </c>
      <c r="C640">
        <v>50</v>
      </c>
      <c r="D640">
        <v>857</v>
      </c>
      <c r="E640">
        <v>392200</v>
      </c>
      <c r="F640">
        <v>88100</v>
      </c>
      <c r="G640">
        <v>480300</v>
      </c>
      <c r="H640">
        <v>676</v>
      </c>
      <c r="I640">
        <v>10</v>
      </c>
      <c r="J640">
        <v>686</v>
      </c>
      <c r="K640" t="b">
        <f>TrafficData[[#This Row],[disposedChallan]]+TrafficData[[#This Row],[pendingChallan]]=TrafficData[[#This Row],[totalChallan]]</f>
        <v>1</v>
      </c>
      <c r="L640" t="b">
        <f>TrafficData[[#This Row],[pendingAmount]]+TrafficData[[#This Row],[disposedAmount]]=TrafficData[[#This Row],[totalAmount]]</f>
        <v>1</v>
      </c>
      <c r="M640" t="b">
        <f>TrafficData[[#This Row],[pendingCourt]]+TrafficData[[#This Row],[disposedCourt]]=TrafficData[[#This Row],[totalCourt]]</f>
        <v>1</v>
      </c>
      <c r="N640" s="8" t="b">
        <f>AND(TrafficData[[#This Row],[disposedChallan]]&lt;=TrafficData[[#This Row],[totalChallan]],TrafficData[[#This Row],[pendingChallan]]&lt;=TrafficData[[#This Row],[totalChallan]])</f>
        <v>1</v>
      </c>
      <c r="O640" s="8" t="b">
        <f>AND(TrafficData[[#This Row],[pendingAmount]]&lt;=TrafficData[[#This Row],[totalAmount]],TrafficData[[#This Row],[disposedAmount]]&lt;=TrafficData[[#This Row],[totalAmount]])</f>
        <v>1</v>
      </c>
      <c r="P640" s="8" t="b">
        <f>AND(TrafficData[[#This Row],[pendingCourt]]&lt;=TrafficData[[#This Row],[totalCourt]],TrafficData[[#This Row],[disposedCourt]]&lt;=TrafficData[[#This Row],[totalCourt]])</f>
        <v>1</v>
      </c>
    </row>
    <row r="641" spans="1:16">
      <c r="A641" s="1">
        <v>42644</v>
      </c>
      <c r="B641">
        <v>1181</v>
      </c>
      <c r="C641">
        <v>72</v>
      </c>
      <c r="D641">
        <v>1109</v>
      </c>
      <c r="E641">
        <v>1283700</v>
      </c>
      <c r="F641">
        <v>166950</v>
      </c>
      <c r="G641">
        <v>1450650</v>
      </c>
      <c r="H641">
        <v>906</v>
      </c>
      <c r="I641">
        <v>8</v>
      </c>
      <c r="J641">
        <v>914</v>
      </c>
      <c r="K641" t="b">
        <f>TrafficData[[#This Row],[disposedChallan]]+TrafficData[[#This Row],[pendingChallan]]=TrafficData[[#This Row],[totalChallan]]</f>
        <v>1</v>
      </c>
      <c r="L641" t="b">
        <f>TrafficData[[#This Row],[pendingAmount]]+TrafficData[[#This Row],[disposedAmount]]=TrafficData[[#This Row],[totalAmount]]</f>
        <v>1</v>
      </c>
      <c r="M641" t="b">
        <f>TrafficData[[#This Row],[pendingCourt]]+TrafficData[[#This Row],[disposedCourt]]=TrafficData[[#This Row],[totalCourt]]</f>
        <v>1</v>
      </c>
      <c r="N641" s="8" t="b">
        <f>AND(TrafficData[[#This Row],[disposedChallan]]&lt;=TrafficData[[#This Row],[totalChallan]],TrafficData[[#This Row],[pendingChallan]]&lt;=TrafficData[[#This Row],[totalChallan]])</f>
        <v>1</v>
      </c>
      <c r="O641" s="8" t="b">
        <f>AND(TrafficData[[#This Row],[pendingAmount]]&lt;=TrafficData[[#This Row],[totalAmount]],TrafficData[[#This Row],[disposedAmount]]&lt;=TrafficData[[#This Row],[totalAmount]])</f>
        <v>1</v>
      </c>
      <c r="P641" s="8" t="b">
        <f>AND(TrafficData[[#This Row],[pendingCourt]]&lt;=TrafficData[[#This Row],[totalCourt]],TrafficData[[#This Row],[disposedCourt]]&lt;=TrafficData[[#This Row],[totalCourt]])</f>
        <v>1</v>
      </c>
    </row>
    <row r="642" spans="1:16">
      <c r="A642" s="1">
        <v>42645</v>
      </c>
      <c r="B642">
        <v>427</v>
      </c>
      <c r="C642">
        <v>39</v>
      </c>
      <c r="D642">
        <v>388</v>
      </c>
      <c r="E642">
        <v>670340</v>
      </c>
      <c r="F642">
        <v>99100</v>
      </c>
      <c r="G642">
        <v>769440</v>
      </c>
      <c r="H642">
        <v>258</v>
      </c>
      <c r="I642">
        <v>1</v>
      </c>
      <c r="J642">
        <v>259</v>
      </c>
      <c r="K642" t="b">
        <f>TrafficData[[#This Row],[disposedChallan]]+TrafficData[[#This Row],[pendingChallan]]=TrafficData[[#This Row],[totalChallan]]</f>
        <v>1</v>
      </c>
      <c r="L642" t="b">
        <f>TrafficData[[#This Row],[pendingAmount]]+TrafficData[[#This Row],[disposedAmount]]=TrafficData[[#This Row],[totalAmount]]</f>
        <v>1</v>
      </c>
      <c r="M642" t="b">
        <f>TrafficData[[#This Row],[pendingCourt]]+TrafficData[[#This Row],[disposedCourt]]=TrafficData[[#This Row],[totalCourt]]</f>
        <v>1</v>
      </c>
      <c r="N642" s="8" t="b">
        <f>AND(TrafficData[[#This Row],[disposedChallan]]&lt;=TrafficData[[#This Row],[totalChallan]],TrafficData[[#This Row],[pendingChallan]]&lt;=TrafficData[[#This Row],[totalChallan]])</f>
        <v>1</v>
      </c>
      <c r="O642" s="8" t="b">
        <f>AND(TrafficData[[#This Row],[pendingAmount]]&lt;=TrafficData[[#This Row],[totalAmount]],TrafficData[[#This Row],[disposedAmount]]&lt;=TrafficData[[#This Row],[totalAmount]])</f>
        <v>1</v>
      </c>
      <c r="P642" s="8" t="b">
        <f>AND(TrafficData[[#This Row],[pendingCourt]]&lt;=TrafficData[[#This Row],[totalCourt]],TrafficData[[#This Row],[disposedCourt]]&lt;=TrafficData[[#This Row],[totalCourt]])</f>
        <v>1</v>
      </c>
    </row>
    <row r="643" spans="1:16">
      <c r="A643" s="1">
        <v>42646</v>
      </c>
      <c r="B643">
        <v>1031</v>
      </c>
      <c r="C643">
        <v>86</v>
      </c>
      <c r="D643">
        <v>945</v>
      </c>
      <c r="E643">
        <v>704300</v>
      </c>
      <c r="F643">
        <v>188150</v>
      </c>
      <c r="G643">
        <v>892450</v>
      </c>
      <c r="H643">
        <v>782</v>
      </c>
      <c r="I643">
        <v>20</v>
      </c>
      <c r="J643">
        <v>802</v>
      </c>
      <c r="K643" t="b">
        <f>TrafficData[[#This Row],[disposedChallan]]+TrafficData[[#This Row],[pendingChallan]]=TrafficData[[#This Row],[totalChallan]]</f>
        <v>1</v>
      </c>
      <c r="L643" t="b">
        <f>TrafficData[[#This Row],[pendingAmount]]+TrafficData[[#This Row],[disposedAmount]]=TrafficData[[#This Row],[totalAmount]]</f>
        <v>1</v>
      </c>
      <c r="M643" t="b">
        <f>TrafficData[[#This Row],[pendingCourt]]+TrafficData[[#This Row],[disposedCourt]]=TrafficData[[#This Row],[totalCourt]]</f>
        <v>1</v>
      </c>
      <c r="N643" s="8" t="b">
        <f>AND(TrafficData[[#This Row],[disposedChallan]]&lt;=TrafficData[[#This Row],[totalChallan]],TrafficData[[#This Row],[pendingChallan]]&lt;=TrafficData[[#This Row],[totalChallan]])</f>
        <v>1</v>
      </c>
      <c r="O643" s="8" t="b">
        <f>AND(TrafficData[[#This Row],[pendingAmount]]&lt;=TrafficData[[#This Row],[totalAmount]],TrafficData[[#This Row],[disposedAmount]]&lt;=TrafficData[[#This Row],[totalAmount]])</f>
        <v>1</v>
      </c>
      <c r="P643" s="8" t="b">
        <f>AND(TrafficData[[#This Row],[pendingCourt]]&lt;=TrafficData[[#This Row],[totalCourt]],TrafficData[[#This Row],[disposedCourt]]&lt;=TrafficData[[#This Row],[totalCourt]])</f>
        <v>1</v>
      </c>
    </row>
    <row r="644" spans="1:16">
      <c r="A644" s="1">
        <v>42647</v>
      </c>
      <c r="B644">
        <v>819</v>
      </c>
      <c r="C644">
        <v>60</v>
      </c>
      <c r="D644">
        <v>759</v>
      </c>
      <c r="E644">
        <v>801101</v>
      </c>
      <c r="F644">
        <v>117400</v>
      </c>
      <c r="G644">
        <v>918501</v>
      </c>
      <c r="H644">
        <v>585</v>
      </c>
      <c r="I644">
        <v>20</v>
      </c>
      <c r="J644">
        <v>605</v>
      </c>
      <c r="K644" t="b">
        <f>TrafficData[[#This Row],[disposedChallan]]+TrafficData[[#This Row],[pendingChallan]]=TrafficData[[#This Row],[totalChallan]]</f>
        <v>1</v>
      </c>
      <c r="L644" t="b">
        <f>TrafficData[[#This Row],[pendingAmount]]+TrafficData[[#This Row],[disposedAmount]]=TrafficData[[#This Row],[totalAmount]]</f>
        <v>1</v>
      </c>
      <c r="M644" t="b">
        <f>TrafficData[[#This Row],[pendingCourt]]+TrafficData[[#This Row],[disposedCourt]]=TrafficData[[#This Row],[totalCourt]]</f>
        <v>1</v>
      </c>
      <c r="N644" s="8" t="b">
        <f>AND(TrafficData[[#This Row],[disposedChallan]]&lt;=TrafficData[[#This Row],[totalChallan]],TrafficData[[#This Row],[pendingChallan]]&lt;=TrafficData[[#This Row],[totalChallan]])</f>
        <v>1</v>
      </c>
      <c r="O644" s="8" t="b">
        <f>AND(TrafficData[[#This Row],[pendingAmount]]&lt;=TrafficData[[#This Row],[totalAmount]],TrafficData[[#This Row],[disposedAmount]]&lt;=TrafficData[[#This Row],[totalAmount]])</f>
        <v>1</v>
      </c>
      <c r="P644" s="8" t="b">
        <f>AND(TrafficData[[#This Row],[pendingCourt]]&lt;=TrafficData[[#This Row],[totalCourt]],TrafficData[[#This Row],[disposedCourt]]&lt;=TrafficData[[#This Row],[totalCourt]])</f>
        <v>1</v>
      </c>
    </row>
    <row r="645" spans="1:16">
      <c r="A645" s="1">
        <v>42648</v>
      </c>
      <c r="B645">
        <v>1158</v>
      </c>
      <c r="C645">
        <v>96</v>
      </c>
      <c r="D645">
        <v>1062</v>
      </c>
      <c r="E645">
        <v>1059460</v>
      </c>
      <c r="F645">
        <v>271750</v>
      </c>
      <c r="G645">
        <v>1331210</v>
      </c>
      <c r="H645">
        <v>822</v>
      </c>
      <c r="I645">
        <v>5</v>
      </c>
      <c r="J645">
        <v>827</v>
      </c>
      <c r="K645" t="b">
        <f>TrafficData[[#This Row],[disposedChallan]]+TrafficData[[#This Row],[pendingChallan]]=TrafficData[[#This Row],[totalChallan]]</f>
        <v>1</v>
      </c>
      <c r="L645" t="b">
        <f>TrafficData[[#This Row],[pendingAmount]]+TrafficData[[#This Row],[disposedAmount]]=TrafficData[[#This Row],[totalAmount]]</f>
        <v>1</v>
      </c>
      <c r="M645" t="b">
        <f>TrafficData[[#This Row],[pendingCourt]]+TrafficData[[#This Row],[disposedCourt]]=TrafficData[[#This Row],[totalCourt]]</f>
        <v>1</v>
      </c>
      <c r="N645" s="8" t="b">
        <f>AND(TrafficData[[#This Row],[disposedChallan]]&lt;=TrafficData[[#This Row],[totalChallan]],TrafficData[[#This Row],[pendingChallan]]&lt;=TrafficData[[#This Row],[totalChallan]])</f>
        <v>1</v>
      </c>
      <c r="O645" s="8" t="b">
        <f>AND(TrafficData[[#This Row],[pendingAmount]]&lt;=TrafficData[[#This Row],[totalAmount]],TrafficData[[#This Row],[disposedAmount]]&lt;=TrafficData[[#This Row],[totalAmount]])</f>
        <v>1</v>
      </c>
      <c r="P645" s="8" t="b">
        <f>AND(TrafficData[[#This Row],[pendingCourt]]&lt;=TrafficData[[#This Row],[totalCourt]],TrafficData[[#This Row],[disposedCourt]]&lt;=TrafficData[[#This Row],[totalCourt]])</f>
        <v>1</v>
      </c>
    </row>
    <row r="646" spans="1:16">
      <c r="A646" s="1">
        <v>42649</v>
      </c>
      <c r="B646">
        <v>958</v>
      </c>
      <c r="C646">
        <v>76</v>
      </c>
      <c r="D646">
        <v>882</v>
      </c>
      <c r="E646">
        <v>1037650</v>
      </c>
      <c r="F646">
        <v>227850</v>
      </c>
      <c r="G646">
        <v>1265500</v>
      </c>
      <c r="H646">
        <v>676</v>
      </c>
      <c r="I646">
        <v>15</v>
      </c>
      <c r="J646">
        <v>691</v>
      </c>
      <c r="K646" t="b">
        <f>TrafficData[[#This Row],[disposedChallan]]+TrafficData[[#This Row],[pendingChallan]]=TrafficData[[#This Row],[totalChallan]]</f>
        <v>1</v>
      </c>
      <c r="L646" t="b">
        <f>TrafficData[[#This Row],[pendingAmount]]+TrafficData[[#This Row],[disposedAmount]]=TrafficData[[#This Row],[totalAmount]]</f>
        <v>1</v>
      </c>
      <c r="M646" t="b">
        <f>TrafficData[[#This Row],[pendingCourt]]+TrafficData[[#This Row],[disposedCourt]]=TrafficData[[#This Row],[totalCourt]]</f>
        <v>1</v>
      </c>
      <c r="N646" s="8" t="b">
        <f>AND(TrafficData[[#This Row],[disposedChallan]]&lt;=TrafficData[[#This Row],[totalChallan]],TrafficData[[#This Row],[pendingChallan]]&lt;=TrafficData[[#This Row],[totalChallan]])</f>
        <v>1</v>
      </c>
      <c r="O646" s="8" t="b">
        <f>AND(TrafficData[[#This Row],[pendingAmount]]&lt;=TrafficData[[#This Row],[totalAmount]],TrafficData[[#This Row],[disposedAmount]]&lt;=TrafficData[[#This Row],[totalAmount]])</f>
        <v>1</v>
      </c>
      <c r="P646" s="8" t="b">
        <f>AND(TrafficData[[#This Row],[pendingCourt]]&lt;=TrafficData[[#This Row],[totalCourt]],TrafficData[[#This Row],[disposedCourt]]&lt;=TrafficData[[#This Row],[totalCourt]])</f>
        <v>1</v>
      </c>
    </row>
    <row r="647" spans="1:16">
      <c r="A647" s="1">
        <v>42650</v>
      </c>
      <c r="B647">
        <v>1210</v>
      </c>
      <c r="C647">
        <v>74</v>
      </c>
      <c r="D647">
        <v>1136</v>
      </c>
      <c r="E647">
        <v>1269651</v>
      </c>
      <c r="F647">
        <v>225495</v>
      </c>
      <c r="G647">
        <v>1495146</v>
      </c>
      <c r="H647">
        <v>893</v>
      </c>
      <c r="I647">
        <v>8</v>
      </c>
      <c r="J647">
        <v>901</v>
      </c>
      <c r="K647" t="b">
        <f>TrafficData[[#This Row],[disposedChallan]]+TrafficData[[#This Row],[pendingChallan]]=TrafficData[[#This Row],[totalChallan]]</f>
        <v>1</v>
      </c>
      <c r="L647" t="b">
        <f>TrafficData[[#This Row],[pendingAmount]]+TrafficData[[#This Row],[disposedAmount]]=TrafficData[[#This Row],[totalAmount]]</f>
        <v>1</v>
      </c>
      <c r="M647" t="b">
        <f>TrafficData[[#This Row],[pendingCourt]]+TrafficData[[#This Row],[disposedCourt]]=TrafficData[[#This Row],[totalCourt]]</f>
        <v>1</v>
      </c>
      <c r="N647" s="8" t="b">
        <f>AND(TrafficData[[#This Row],[disposedChallan]]&lt;=TrafficData[[#This Row],[totalChallan]],TrafficData[[#This Row],[pendingChallan]]&lt;=TrafficData[[#This Row],[totalChallan]])</f>
        <v>1</v>
      </c>
      <c r="O647" s="8" t="b">
        <f>AND(TrafficData[[#This Row],[pendingAmount]]&lt;=TrafficData[[#This Row],[totalAmount]],TrafficData[[#This Row],[disposedAmount]]&lt;=TrafficData[[#This Row],[totalAmount]])</f>
        <v>1</v>
      </c>
      <c r="P647" s="8" t="b">
        <f>AND(TrafficData[[#This Row],[pendingCourt]]&lt;=TrafficData[[#This Row],[totalCourt]],TrafficData[[#This Row],[disposedCourt]]&lt;=TrafficData[[#This Row],[totalCourt]])</f>
        <v>1</v>
      </c>
    </row>
    <row r="648" spans="1:16">
      <c r="A648" s="1">
        <v>42651</v>
      </c>
      <c r="B648">
        <v>1018</v>
      </c>
      <c r="C648">
        <v>61</v>
      </c>
      <c r="D648">
        <v>957</v>
      </c>
      <c r="E648">
        <v>836150</v>
      </c>
      <c r="F648">
        <v>192750</v>
      </c>
      <c r="G648">
        <v>1028900</v>
      </c>
      <c r="H648">
        <v>778</v>
      </c>
      <c r="I648">
        <v>3</v>
      </c>
      <c r="J648">
        <v>781</v>
      </c>
      <c r="K648" t="b">
        <f>TrafficData[[#This Row],[disposedChallan]]+TrafficData[[#This Row],[pendingChallan]]=TrafficData[[#This Row],[totalChallan]]</f>
        <v>1</v>
      </c>
      <c r="L648" t="b">
        <f>TrafficData[[#This Row],[pendingAmount]]+TrafficData[[#This Row],[disposedAmount]]=TrafficData[[#This Row],[totalAmount]]</f>
        <v>1</v>
      </c>
      <c r="M648" t="b">
        <f>TrafficData[[#This Row],[pendingCourt]]+TrafficData[[#This Row],[disposedCourt]]=TrafficData[[#This Row],[totalCourt]]</f>
        <v>1</v>
      </c>
      <c r="N648" s="8" t="b">
        <f>AND(TrafficData[[#This Row],[disposedChallan]]&lt;=TrafficData[[#This Row],[totalChallan]],TrafficData[[#This Row],[pendingChallan]]&lt;=TrafficData[[#This Row],[totalChallan]])</f>
        <v>1</v>
      </c>
      <c r="O648" s="8" t="b">
        <f>AND(TrafficData[[#This Row],[pendingAmount]]&lt;=TrafficData[[#This Row],[totalAmount]],TrafficData[[#This Row],[disposedAmount]]&lt;=TrafficData[[#This Row],[totalAmount]])</f>
        <v>1</v>
      </c>
      <c r="P648" s="8" t="b">
        <f>AND(TrafficData[[#This Row],[pendingCourt]]&lt;=TrafficData[[#This Row],[totalCourt]],TrafficData[[#This Row],[disposedCourt]]&lt;=TrafficData[[#This Row],[totalCourt]])</f>
        <v>1</v>
      </c>
    </row>
    <row r="649" spans="1:16">
      <c r="A649" s="1">
        <v>42652</v>
      </c>
      <c r="B649">
        <v>523</v>
      </c>
      <c r="C649">
        <v>52</v>
      </c>
      <c r="D649">
        <v>471</v>
      </c>
      <c r="E649">
        <v>666650</v>
      </c>
      <c r="F649">
        <v>300300</v>
      </c>
      <c r="G649">
        <v>966950</v>
      </c>
      <c r="H649">
        <v>331</v>
      </c>
      <c r="I649">
        <v>7</v>
      </c>
      <c r="J649">
        <v>338</v>
      </c>
      <c r="K649" t="b">
        <f>TrafficData[[#This Row],[disposedChallan]]+TrafficData[[#This Row],[pendingChallan]]=TrafficData[[#This Row],[totalChallan]]</f>
        <v>1</v>
      </c>
      <c r="L649" t="b">
        <f>TrafficData[[#This Row],[pendingAmount]]+TrafficData[[#This Row],[disposedAmount]]=TrafficData[[#This Row],[totalAmount]]</f>
        <v>1</v>
      </c>
      <c r="M649" t="b">
        <f>TrafficData[[#This Row],[pendingCourt]]+TrafficData[[#This Row],[disposedCourt]]=TrafficData[[#This Row],[totalCourt]]</f>
        <v>1</v>
      </c>
      <c r="N649" s="8" t="b">
        <f>AND(TrafficData[[#This Row],[disposedChallan]]&lt;=TrafficData[[#This Row],[totalChallan]],TrafficData[[#This Row],[pendingChallan]]&lt;=TrafficData[[#This Row],[totalChallan]])</f>
        <v>1</v>
      </c>
      <c r="O649" s="8" t="b">
        <f>AND(TrafficData[[#This Row],[pendingAmount]]&lt;=TrafficData[[#This Row],[totalAmount]],TrafficData[[#This Row],[disposedAmount]]&lt;=TrafficData[[#This Row],[totalAmount]])</f>
        <v>1</v>
      </c>
      <c r="P649" s="8" t="b">
        <f>AND(TrafficData[[#This Row],[pendingCourt]]&lt;=TrafficData[[#This Row],[totalCourt]],TrafficData[[#This Row],[disposedCourt]]&lt;=TrafficData[[#This Row],[totalCourt]])</f>
        <v>1</v>
      </c>
    </row>
    <row r="650" spans="1:16">
      <c r="A650" s="1">
        <v>42653</v>
      </c>
      <c r="B650">
        <v>959</v>
      </c>
      <c r="C650">
        <v>88</v>
      </c>
      <c r="D650">
        <v>871</v>
      </c>
      <c r="E650">
        <v>768050</v>
      </c>
      <c r="F650">
        <v>122725</v>
      </c>
      <c r="G650">
        <v>890775</v>
      </c>
      <c r="H650">
        <v>711</v>
      </c>
      <c r="I650">
        <v>7</v>
      </c>
      <c r="J650">
        <v>718</v>
      </c>
      <c r="K650" t="b">
        <f>TrafficData[[#This Row],[disposedChallan]]+TrafficData[[#This Row],[pendingChallan]]=TrafficData[[#This Row],[totalChallan]]</f>
        <v>1</v>
      </c>
      <c r="L650" t="b">
        <f>TrafficData[[#This Row],[pendingAmount]]+TrafficData[[#This Row],[disposedAmount]]=TrafficData[[#This Row],[totalAmount]]</f>
        <v>1</v>
      </c>
      <c r="M650" t="b">
        <f>TrafficData[[#This Row],[pendingCourt]]+TrafficData[[#This Row],[disposedCourt]]=TrafficData[[#This Row],[totalCourt]]</f>
        <v>1</v>
      </c>
      <c r="N650" s="8" t="b">
        <f>AND(TrafficData[[#This Row],[disposedChallan]]&lt;=TrafficData[[#This Row],[totalChallan]],TrafficData[[#This Row],[pendingChallan]]&lt;=TrafficData[[#This Row],[totalChallan]])</f>
        <v>1</v>
      </c>
      <c r="O650" s="8" t="b">
        <f>AND(TrafficData[[#This Row],[pendingAmount]]&lt;=TrafficData[[#This Row],[totalAmount]],TrafficData[[#This Row],[disposedAmount]]&lt;=TrafficData[[#This Row],[totalAmount]])</f>
        <v>1</v>
      </c>
      <c r="P650" s="8" t="b">
        <f>AND(TrafficData[[#This Row],[pendingCourt]]&lt;=TrafficData[[#This Row],[totalCourt]],TrafficData[[#This Row],[disposedCourt]]&lt;=TrafficData[[#This Row],[totalCourt]])</f>
        <v>1</v>
      </c>
    </row>
    <row r="651" spans="1:16">
      <c r="A651" s="1">
        <v>42654</v>
      </c>
      <c r="B651">
        <v>760</v>
      </c>
      <c r="C651">
        <v>27</v>
      </c>
      <c r="D651">
        <v>733</v>
      </c>
      <c r="E651">
        <v>422820</v>
      </c>
      <c r="F651">
        <v>71700</v>
      </c>
      <c r="G651">
        <v>494520</v>
      </c>
      <c r="H651">
        <v>658</v>
      </c>
      <c r="I651">
        <v>3</v>
      </c>
      <c r="J651">
        <v>661</v>
      </c>
      <c r="K651" t="b">
        <f>TrafficData[[#This Row],[disposedChallan]]+TrafficData[[#This Row],[pendingChallan]]=TrafficData[[#This Row],[totalChallan]]</f>
        <v>1</v>
      </c>
      <c r="L651" t="b">
        <f>TrafficData[[#This Row],[pendingAmount]]+TrafficData[[#This Row],[disposedAmount]]=TrafficData[[#This Row],[totalAmount]]</f>
        <v>1</v>
      </c>
      <c r="M651" t="b">
        <f>TrafficData[[#This Row],[pendingCourt]]+TrafficData[[#This Row],[disposedCourt]]=TrafficData[[#This Row],[totalCourt]]</f>
        <v>1</v>
      </c>
      <c r="N651" s="8" t="b">
        <f>AND(TrafficData[[#This Row],[disposedChallan]]&lt;=TrafficData[[#This Row],[totalChallan]],TrafficData[[#This Row],[pendingChallan]]&lt;=TrafficData[[#This Row],[totalChallan]])</f>
        <v>1</v>
      </c>
      <c r="O651" s="8" t="b">
        <f>AND(TrafficData[[#This Row],[pendingAmount]]&lt;=TrafficData[[#This Row],[totalAmount]],TrafficData[[#This Row],[disposedAmount]]&lt;=TrafficData[[#This Row],[totalAmount]])</f>
        <v>1</v>
      </c>
      <c r="P651" s="8" t="b">
        <f>AND(TrafficData[[#This Row],[pendingCourt]]&lt;=TrafficData[[#This Row],[totalCourt]],TrafficData[[#This Row],[disposedCourt]]&lt;=TrafficData[[#This Row],[totalCourt]])</f>
        <v>1</v>
      </c>
    </row>
    <row r="652" spans="1:16">
      <c r="A652" s="1">
        <v>42655</v>
      </c>
      <c r="B652">
        <v>843</v>
      </c>
      <c r="C652">
        <v>40</v>
      </c>
      <c r="D652">
        <v>803</v>
      </c>
      <c r="E652">
        <v>806800</v>
      </c>
      <c r="F652">
        <v>69650</v>
      </c>
      <c r="G652">
        <v>876450</v>
      </c>
      <c r="H652">
        <v>692</v>
      </c>
      <c r="I652">
        <v>1</v>
      </c>
      <c r="J652">
        <v>693</v>
      </c>
      <c r="K652" t="b">
        <f>TrafficData[[#This Row],[disposedChallan]]+TrafficData[[#This Row],[pendingChallan]]=TrafficData[[#This Row],[totalChallan]]</f>
        <v>1</v>
      </c>
      <c r="L652" t="b">
        <f>TrafficData[[#This Row],[pendingAmount]]+TrafficData[[#This Row],[disposedAmount]]=TrafficData[[#This Row],[totalAmount]]</f>
        <v>1</v>
      </c>
      <c r="M652" t="b">
        <f>TrafficData[[#This Row],[pendingCourt]]+TrafficData[[#This Row],[disposedCourt]]=TrafficData[[#This Row],[totalCourt]]</f>
        <v>1</v>
      </c>
      <c r="N652" s="8" t="b">
        <f>AND(TrafficData[[#This Row],[disposedChallan]]&lt;=TrafficData[[#This Row],[totalChallan]],TrafficData[[#This Row],[pendingChallan]]&lt;=TrafficData[[#This Row],[totalChallan]])</f>
        <v>1</v>
      </c>
      <c r="O652" s="8" t="b">
        <f>AND(TrafficData[[#This Row],[pendingAmount]]&lt;=TrafficData[[#This Row],[totalAmount]],TrafficData[[#This Row],[disposedAmount]]&lt;=TrafficData[[#This Row],[totalAmount]])</f>
        <v>1</v>
      </c>
      <c r="P652" s="8" t="b">
        <f>AND(TrafficData[[#This Row],[pendingCourt]]&lt;=TrafficData[[#This Row],[totalCourt]],TrafficData[[#This Row],[disposedCourt]]&lt;=TrafficData[[#This Row],[totalCourt]])</f>
        <v>1</v>
      </c>
    </row>
    <row r="653" spans="1:16">
      <c r="A653" s="1">
        <v>42656</v>
      </c>
      <c r="B653">
        <v>1284</v>
      </c>
      <c r="C653">
        <v>87</v>
      </c>
      <c r="D653">
        <v>1197</v>
      </c>
      <c r="E653">
        <v>1035501</v>
      </c>
      <c r="F653">
        <v>171850</v>
      </c>
      <c r="G653">
        <v>1207351</v>
      </c>
      <c r="H653">
        <v>1042</v>
      </c>
      <c r="I653">
        <v>24</v>
      </c>
      <c r="J653">
        <v>1066</v>
      </c>
      <c r="K653" t="b">
        <f>TrafficData[[#This Row],[disposedChallan]]+TrafficData[[#This Row],[pendingChallan]]=TrafficData[[#This Row],[totalChallan]]</f>
        <v>1</v>
      </c>
      <c r="L653" t="b">
        <f>TrafficData[[#This Row],[pendingAmount]]+TrafficData[[#This Row],[disposedAmount]]=TrafficData[[#This Row],[totalAmount]]</f>
        <v>1</v>
      </c>
      <c r="M653" t="b">
        <f>TrafficData[[#This Row],[pendingCourt]]+TrafficData[[#This Row],[disposedCourt]]=TrafficData[[#This Row],[totalCourt]]</f>
        <v>1</v>
      </c>
      <c r="N653" s="8" t="b">
        <f>AND(TrafficData[[#This Row],[disposedChallan]]&lt;=TrafficData[[#This Row],[totalChallan]],TrafficData[[#This Row],[pendingChallan]]&lt;=TrafficData[[#This Row],[totalChallan]])</f>
        <v>1</v>
      </c>
      <c r="O653" s="8" t="b">
        <f>AND(TrafficData[[#This Row],[pendingAmount]]&lt;=TrafficData[[#This Row],[totalAmount]],TrafficData[[#This Row],[disposedAmount]]&lt;=TrafficData[[#This Row],[totalAmount]])</f>
        <v>1</v>
      </c>
      <c r="P653" s="8" t="b">
        <f>AND(TrafficData[[#This Row],[pendingCourt]]&lt;=TrafficData[[#This Row],[totalCourt]],TrafficData[[#This Row],[disposedCourt]]&lt;=TrafficData[[#This Row],[totalCourt]])</f>
        <v>1</v>
      </c>
    </row>
    <row r="654" spans="1:16">
      <c r="A654" s="1">
        <v>42657</v>
      </c>
      <c r="B654">
        <v>853</v>
      </c>
      <c r="C654">
        <v>101</v>
      </c>
      <c r="D654">
        <v>752</v>
      </c>
      <c r="E654">
        <v>1054610</v>
      </c>
      <c r="F654">
        <v>175300</v>
      </c>
      <c r="G654">
        <v>1229910</v>
      </c>
      <c r="H654">
        <v>570</v>
      </c>
      <c r="I654">
        <v>4</v>
      </c>
      <c r="J654">
        <v>574</v>
      </c>
      <c r="K654" t="b">
        <f>TrafficData[[#This Row],[disposedChallan]]+TrafficData[[#This Row],[pendingChallan]]=TrafficData[[#This Row],[totalChallan]]</f>
        <v>1</v>
      </c>
      <c r="L654" t="b">
        <f>TrafficData[[#This Row],[pendingAmount]]+TrafficData[[#This Row],[disposedAmount]]=TrafficData[[#This Row],[totalAmount]]</f>
        <v>1</v>
      </c>
      <c r="M654" t="b">
        <f>TrafficData[[#This Row],[pendingCourt]]+TrafficData[[#This Row],[disposedCourt]]=TrafficData[[#This Row],[totalCourt]]</f>
        <v>1</v>
      </c>
      <c r="N654" s="8" t="b">
        <f>AND(TrafficData[[#This Row],[disposedChallan]]&lt;=TrafficData[[#This Row],[totalChallan]],TrafficData[[#This Row],[pendingChallan]]&lt;=TrafficData[[#This Row],[totalChallan]])</f>
        <v>1</v>
      </c>
      <c r="O654" s="8" t="b">
        <f>AND(TrafficData[[#This Row],[pendingAmount]]&lt;=TrafficData[[#This Row],[totalAmount]],TrafficData[[#This Row],[disposedAmount]]&lt;=TrafficData[[#This Row],[totalAmount]])</f>
        <v>1</v>
      </c>
      <c r="P654" s="8" t="b">
        <f>AND(TrafficData[[#This Row],[pendingCourt]]&lt;=TrafficData[[#This Row],[totalCourt]],TrafficData[[#This Row],[disposedCourt]]&lt;=TrafficData[[#This Row],[totalCourt]])</f>
        <v>1</v>
      </c>
    </row>
    <row r="655" spans="1:16">
      <c r="A655" s="1">
        <v>42658</v>
      </c>
      <c r="B655">
        <v>994</v>
      </c>
      <c r="C655">
        <v>139</v>
      </c>
      <c r="D655">
        <v>855</v>
      </c>
      <c r="E655">
        <v>1034340</v>
      </c>
      <c r="F655">
        <v>466950</v>
      </c>
      <c r="G655">
        <v>1501290</v>
      </c>
      <c r="H655">
        <v>736</v>
      </c>
      <c r="I655">
        <v>28</v>
      </c>
      <c r="J655">
        <v>764</v>
      </c>
      <c r="K655" t="b">
        <f>TrafficData[[#This Row],[disposedChallan]]+TrafficData[[#This Row],[pendingChallan]]=TrafficData[[#This Row],[totalChallan]]</f>
        <v>1</v>
      </c>
      <c r="L655" t="b">
        <f>TrafficData[[#This Row],[pendingAmount]]+TrafficData[[#This Row],[disposedAmount]]=TrafficData[[#This Row],[totalAmount]]</f>
        <v>1</v>
      </c>
      <c r="M655" t="b">
        <f>TrafficData[[#This Row],[pendingCourt]]+TrafficData[[#This Row],[disposedCourt]]=TrafficData[[#This Row],[totalCourt]]</f>
        <v>1</v>
      </c>
      <c r="N655" s="8" t="b">
        <f>AND(TrafficData[[#This Row],[disposedChallan]]&lt;=TrafficData[[#This Row],[totalChallan]],TrafficData[[#This Row],[pendingChallan]]&lt;=TrafficData[[#This Row],[totalChallan]])</f>
        <v>1</v>
      </c>
      <c r="O655" s="8" t="b">
        <f>AND(TrafficData[[#This Row],[pendingAmount]]&lt;=TrafficData[[#This Row],[totalAmount]],TrafficData[[#This Row],[disposedAmount]]&lt;=TrafficData[[#This Row],[totalAmount]])</f>
        <v>1</v>
      </c>
      <c r="P655" s="8" t="b">
        <f>AND(TrafficData[[#This Row],[pendingCourt]]&lt;=TrafficData[[#This Row],[totalCourt]],TrafficData[[#This Row],[disposedCourt]]&lt;=TrafficData[[#This Row],[totalCourt]])</f>
        <v>1</v>
      </c>
    </row>
    <row r="656" spans="1:16">
      <c r="A656" s="1">
        <v>42659</v>
      </c>
      <c r="B656">
        <v>723</v>
      </c>
      <c r="C656">
        <v>98</v>
      </c>
      <c r="D656">
        <v>625</v>
      </c>
      <c r="E656">
        <v>569450</v>
      </c>
      <c r="F656">
        <v>365260</v>
      </c>
      <c r="G656">
        <v>934710</v>
      </c>
      <c r="H656">
        <v>540</v>
      </c>
      <c r="I656">
        <v>18</v>
      </c>
      <c r="J656">
        <v>558</v>
      </c>
      <c r="K656" t="b">
        <f>TrafficData[[#This Row],[disposedChallan]]+TrafficData[[#This Row],[pendingChallan]]=TrafficData[[#This Row],[totalChallan]]</f>
        <v>1</v>
      </c>
      <c r="L656" t="b">
        <f>TrafficData[[#This Row],[pendingAmount]]+TrafficData[[#This Row],[disposedAmount]]=TrafficData[[#This Row],[totalAmount]]</f>
        <v>1</v>
      </c>
      <c r="M656" t="b">
        <f>TrafficData[[#This Row],[pendingCourt]]+TrafficData[[#This Row],[disposedCourt]]=TrafficData[[#This Row],[totalCourt]]</f>
        <v>1</v>
      </c>
      <c r="N656" s="8" t="b">
        <f>AND(TrafficData[[#This Row],[disposedChallan]]&lt;=TrafficData[[#This Row],[totalChallan]],TrafficData[[#This Row],[pendingChallan]]&lt;=TrafficData[[#This Row],[totalChallan]])</f>
        <v>1</v>
      </c>
      <c r="O656" s="8" t="b">
        <f>AND(TrafficData[[#This Row],[pendingAmount]]&lt;=TrafficData[[#This Row],[totalAmount]],TrafficData[[#This Row],[disposedAmount]]&lt;=TrafficData[[#This Row],[totalAmount]])</f>
        <v>1</v>
      </c>
      <c r="P656" s="8" t="b">
        <f>AND(TrafficData[[#This Row],[pendingCourt]]&lt;=TrafficData[[#This Row],[totalCourt]],TrafficData[[#This Row],[disposedCourt]]&lt;=TrafficData[[#This Row],[totalCourt]])</f>
        <v>1</v>
      </c>
    </row>
    <row r="657" spans="1:16">
      <c r="A657" s="1">
        <v>42660</v>
      </c>
      <c r="B657">
        <v>1037</v>
      </c>
      <c r="C657">
        <v>116</v>
      </c>
      <c r="D657">
        <v>921</v>
      </c>
      <c r="E657">
        <v>1143280</v>
      </c>
      <c r="F657">
        <v>384850</v>
      </c>
      <c r="G657">
        <v>1528130</v>
      </c>
      <c r="H657">
        <v>769</v>
      </c>
      <c r="I657">
        <v>17</v>
      </c>
      <c r="J657">
        <v>786</v>
      </c>
      <c r="K657" t="b">
        <f>TrafficData[[#This Row],[disposedChallan]]+TrafficData[[#This Row],[pendingChallan]]=TrafficData[[#This Row],[totalChallan]]</f>
        <v>1</v>
      </c>
      <c r="L657" t="b">
        <f>TrafficData[[#This Row],[pendingAmount]]+TrafficData[[#This Row],[disposedAmount]]=TrafficData[[#This Row],[totalAmount]]</f>
        <v>1</v>
      </c>
      <c r="M657" t="b">
        <f>TrafficData[[#This Row],[pendingCourt]]+TrafficData[[#This Row],[disposedCourt]]=TrafficData[[#This Row],[totalCourt]]</f>
        <v>1</v>
      </c>
      <c r="N657" s="8" t="b">
        <f>AND(TrafficData[[#This Row],[disposedChallan]]&lt;=TrafficData[[#This Row],[totalChallan]],TrafficData[[#This Row],[pendingChallan]]&lt;=TrafficData[[#This Row],[totalChallan]])</f>
        <v>1</v>
      </c>
      <c r="O657" s="8" t="b">
        <f>AND(TrafficData[[#This Row],[pendingAmount]]&lt;=TrafficData[[#This Row],[totalAmount]],TrafficData[[#This Row],[disposedAmount]]&lt;=TrafficData[[#This Row],[totalAmount]])</f>
        <v>1</v>
      </c>
      <c r="P657" s="8" t="b">
        <f>AND(TrafficData[[#This Row],[pendingCourt]]&lt;=TrafficData[[#This Row],[totalCourt]],TrafficData[[#This Row],[disposedCourt]]&lt;=TrafficData[[#This Row],[totalCourt]])</f>
        <v>1</v>
      </c>
    </row>
    <row r="658" spans="1:16">
      <c r="A658" s="1">
        <v>42661</v>
      </c>
      <c r="B658">
        <v>1054</v>
      </c>
      <c r="C658">
        <v>107</v>
      </c>
      <c r="D658">
        <v>947</v>
      </c>
      <c r="E658">
        <v>910502</v>
      </c>
      <c r="F658">
        <v>414650</v>
      </c>
      <c r="G658">
        <v>1325152</v>
      </c>
      <c r="H658">
        <v>806</v>
      </c>
      <c r="I658">
        <v>19</v>
      </c>
      <c r="J658">
        <v>825</v>
      </c>
      <c r="K658" t="b">
        <f>TrafficData[[#This Row],[disposedChallan]]+TrafficData[[#This Row],[pendingChallan]]=TrafficData[[#This Row],[totalChallan]]</f>
        <v>1</v>
      </c>
      <c r="L658" t="b">
        <f>TrafficData[[#This Row],[pendingAmount]]+TrafficData[[#This Row],[disposedAmount]]=TrafficData[[#This Row],[totalAmount]]</f>
        <v>1</v>
      </c>
      <c r="M658" t="b">
        <f>TrafficData[[#This Row],[pendingCourt]]+TrafficData[[#This Row],[disposedCourt]]=TrafficData[[#This Row],[totalCourt]]</f>
        <v>1</v>
      </c>
      <c r="N658" s="8" t="b">
        <f>AND(TrafficData[[#This Row],[disposedChallan]]&lt;=TrafficData[[#This Row],[totalChallan]],TrafficData[[#This Row],[pendingChallan]]&lt;=TrafficData[[#This Row],[totalChallan]])</f>
        <v>1</v>
      </c>
      <c r="O658" s="8" t="b">
        <f>AND(TrafficData[[#This Row],[pendingAmount]]&lt;=TrafficData[[#This Row],[totalAmount]],TrafficData[[#This Row],[disposedAmount]]&lt;=TrafficData[[#This Row],[totalAmount]])</f>
        <v>1</v>
      </c>
      <c r="P658" s="8" t="b">
        <f>AND(TrafficData[[#This Row],[pendingCourt]]&lt;=TrafficData[[#This Row],[totalCourt]],TrafficData[[#This Row],[disposedCourt]]&lt;=TrafficData[[#This Row],[totalCourt]])</f>
        <v>1</v>
      </c>
    </row>
    <row r="659" spans="1:16">
      <c r="A659" s="1">
        <v>42662</v>
      </c>
      <c r="B659">
        <v>934</v>
      </c>
      <c r="C659">
        <v>92</v>
      </c>
      <c r="D659">
        <v>842</v>
      </c>
      <c r="E659">
        <v>1214250</v>
      </c>
      <c r="F659">
        <v>324250</v>
      </c>
      <c r="G659">
        <v>1538500</v>
      </c>
      <c r="H659">
        <v>695</v>
      </c>
      <c r="I659">
        <v>12</v>
      </c>
      <c r="J659">
        <v>707</v>
      </c>
      <c r="K659" t="b">
        <f>TrafficData[[#This Row],[disposedChallan]]+TrafficData[[#This Row],[pendingChallan]]=TrafficData[[#This Row],[totalChallan]]</f>
        <v>1</v>
      </c>
      <c r="L659" t="b">
        <f>TrafficData[[#This Row],[pendingAmount]]+TrafficData[[#This Row],[disposedAmount]]=TrafficData[[#This Row],[totalAmount]]</f>
        <v>1</v>
      </c>
      <c r="M659" t="b">
        <f>TrafficData[[#This Row],[pendingCourt]]+TrafficData[[#This Row],[disposedCourt]]=TrafficData[[#This Row],[totalCourt]]</f>
        <v>1</v>
      </c>
      <c r="N659" s="8" t="b">
        <f>AND(TrafficData[[#This Row],[disposedChallan]]&lt;=TrafficData[[#This Row],[totalChallan]],TrafficData[[#This Row],[pendingChallan]]&lt;=TrafficData[[#This Row],[totalChallan]])</f>
        <v>1</v>
      </c>
      <c r="O659" s="8" t="b">
        <f>AND(TrafficData[[#This Row],[pendingAmount]]&lt;=TrafficData[[#This Row],[totalAmount]],TrafficData[[#This Row],[disposedAmount]]&lt;=TrafficData[[#This Row],[totalAmount]])</f>
        <v>1</v>
      </c>
      <c r="P659" s="8" t="b">
        <f>AND(TrafficData[[#This Row],[pendingCourt]]&lt;=TrafficData[[#This Row],[totalCourt]],TrafficData[[#This Row],[disposedCourt]]&lt;=TrafficData[[#This Row],[totalCourt]])</f>
        <v>1</v>
      </c>
    </row>
    <row r="660" spans="1:16">
      <c r="A660" s="1">
        <v>42663</v>
      </c>
      <c r="B660">
        <v>1242</v>
      </c>
      <c r="C660">
        <v>89</v>
      </c>
      <c r="D660">
        <v>1153</v>
      </c>
      <c r="E660">
        <v>838152</v>
      </c>
      <c r="F660">
        <v>234950</v>
      </c>
      <c r="G660">
        <v>1073102</v>
      </c>
      <c r="H660">
        <v>1018</v>
      </c>
      <c r="I660">
        <v>25</v>
      </c>
      <c r="J660">
        <v>1043</v>
      </c>
      <c r="K660" t="b">
        <f>TrafficData[[#This Row],[disposedChallan]]+TrafficData[[#This Row],[pendingChallan]]=TrafficData[[#This Row],[totalChallan]]</f>
        <v>1</v>
      </c>
      <c r="L660" t="b">
        <f>TrafficData[[#This Row],[pendingAmount]]+TrafficData[[#This Row],[disposedAmount]]=TrafficData[[#This Row],[totalAmount]]</f>
        <v>1</v>
      </c>
      <c r="M660" t="b">
        <f>TrafficData[[#This Row],[pendingCourt]]+TrafficData[[#This Row],[disposedCourt]]=TrafficData[[#This Row],[totalCourt]]</f>
        <v>1</v>
      </c>
      <c r="N660" s="8" t="b">
        <f>AND(TrafficData[[#This Row],[disposedChallan]]&lt;=TrafficData[[#This Row],[totalChallan]],TrafficData[[#This Row],[pendingChallan]]&lt;=TrafficData[[#This Row],[totalChallan]])</f>
        <v>1</v>
      </c>
      <c r="O660" s="8" t="b">
        <f>AND(TrafficData[[#This Row],[pendingAmount]]&lt;=TrafficData[[#This Row],[totalAmount]],TrafficData[[#This Row],[disposedAmount]]&lt;=TrafficData[[#This Row],[totalAmount]])</f>
        <v>1</v>
      </c>
      <c r="P660" s="8" t="b">
        <f>AND(TrafficData[[#This Row],[pendingCourt]]&lt;=TrafficData[[#This Row],[totalCourt]],TrafficData[[#This Row],[disposedCourt]]&lt;=TrafficData[[#This Row],[totalCourt]])</f>
        <v>1</v>
      </c>
    </row>
    <row r="661" spans="1:16">
      <c r="A661" s="1">
        <v>42664</v>
      </c>
      <c r="B661">
        <v>1095</v>
      </c>
      <c r="C661">
        <v>109</v>
      </c>
      <c r="D661">
        <v>986</v>
      </c>
      <c r="E661">
        <v>1008050</v>
      </c>
      <c r="F661">
        <v>221325</v>
      </c>
      <c r="G661">
        <v>1229375</v>
      </c>
      <c r="H661">
        <v>818</v>
      </c>
      <c r="I661">
        <v>16</v>
      </c>
      <c r="J661">
        <v>834</v>
      </c>
      <c r="K661" t="b">
        <f>TrafficData[[#This Row],[disposedChallan]]+TrafficData[[#This Row],[pendingChallan]]=TrafficData[[#This Row],[totalChallan]]</f>
        <v>1</v>
      </c>
      <c r="L661" t="b">
        <f>TrafficData[[#This Row],[pendingAmount]]+TrafficData[[#This Row],[disposedAmount]]=TrafficData[[#This Row],[totalAmount]]</f>
        <v>1</v>
      </c>
      <c r="M661" t="b">
        <f>TrafficData[[#This Row],[pendingCourt]]+TrafficData[[#This Row],[disposedCourt]]=TrafficData[[#This Row],[totalCourt]]</f>
        <v>1</v>
      </c>
      <c r="N661" s="8" t="b">
        <f>AND(TrafficData[[#This Row],[disposedChallan]]&lt;=TrafficData[[#This Row],[totalChallan]],TrafficData[[#This Row],[pendingChallan]]&lt;=TrafficData[[#This Row],[totalChallan]])</f>
        <v>1</v>
      </c>
      <c r="O661" s="8" t="b">
        <f>AND(TrafficData[[#This Row],[pendingAmount]]&lt;=TrafficData[[#This Row],[totalAmount]],TrafficData[[#This Row],[disposedAmount]]&lt;=TrafficData[[#This Row],[totalAmount]])</f>
        <v>1</v>
      </c>
      <c r="P661" s="8" t="b">
        <f>AND(TrafficData[[#This Row],[pendingCourt]]&lt;=TrafficData[[#This Row],[totalCourt]],TrafficData[[#This Row],[disposedCourt]]&lt;=TrafficData[[#This Row],[totalCourt]])</f>
        <v>1</v>
      </c>
    </row>
    <row r="662" spans="1:16">
      <c r="A662" s="1">
        <v>42665</v>
      </c>
      <c r="B662">
        <v>1132</v>
      </c>
      <c r="C662">
        <v>111</v>
      </c>
      <c r="D662">
        <v>1021</v>
      </c>
      <c r="E662">
        <v>762650</v>
      </c>
      <c r="F662">
        <v>250940</v>
      </c>
      <c r="G662">
        <v>1013590</v>
      </c>
      <c r="H662">
        <v>901</v>
      </c>
      <c r="I662">
        <v>28</v>
      </c>
      <c r="J662">
        <v>929</v>
      </c>
      <c r="K662" t="b">
        <f>TrafficData[[#This Row],[disposedChallan]]+TrafficData[[#This Row],[pendingChallan]]=TrafficData[[#This Row],[totalChallan]]</f>
        <v>1</v>
      </c>
      <c r="L662" t="b">
        <f>TrafficData[[#This Row],[pendingAmount]]+TrafficData[[#This Row],[disposedAmount]]=TrafficData[[#This Row],[totalAmount]]</f>
        <v>1</v>
      </c>
      <c r="M662" t="b">
        <f>TrafficData[[#This Row],[pendingCourt]]+TrafficData[[#This Row],[disposedCourt]]=TrafficData[[#This Row],[totalCourt]]</f>
        <v>1</v>
      </c>
      <c r="N662" s="8" t="b">
        <f>AND(TrafficData[[#This Row],[disposedChallan]]&lt;=TrafficData[[#This Row],[totalChallan]],TrafficData[[#This Row],[pendingChallan]]&lt;=TrafficData[[#This Row],[totalChallan]])</f>
        <v>1</v>
      </c>
      <c r="O662" s="8" t="b">
        <f>AND(TrafficData[[#This Row],[pendingAmount]]&lt;=TrafficData[[#This Row],[totalAmount]],TrafficData[[#This Row],[disposedAmount]]&lt;=TrafficData[[#This Row],[totalAmount]])</f>
        <v>1</v>
      </c>
      <c r="P662" s="8" t="b">
        <f>AND(TrafficData[[#This Row],[pendingCourt]]&lt;=TrafficData[[#This Row],[totalCourt]],TrafficData[[#This Row],[disposedCourt]]&lt;=TrafficData[[#This Row],[totalCourt]])</f>
        <v>1</v>
      </c>
    </row>
    <row r="663" spans="1:16">
      <c r="A663" s="1">
        <v>42666</v>
      </c>
      <c r="B663">
        <v>829</v>
      </c>
      <c r="C663">
        <v>59</v>
      </c>
      <c r="D663">
        <v>770</v>
      </c>
      <c r="E663">
        <v>261300</v>
      </c>
      <c r="F663">
        <v>190170</v>
      </c>
      <c r="G663">
        <v>451470</v>
      </c>
      <c r="H663">
        <v>636</v>
      </c>
      <c r="I663">
        <v>1</v>
      </c>
      <c r="J663">
        <v>637</v>
      </c>
      <c r="K663" t="b">
        <f>TrafficData[[#This Row],[disposedChallan]]+TrafficData[[#This Row],[pendingChallan]]=TrafficData[[#This Row],[totalChallan]]</f>
        <v>1</v>
      </c>
      <c r="L663" t="b">
        <f>TrafficData[[#This Row],[pendingAmount]]+TrafficData[[#This Row],[disposedAmount]]=TrafficData[[#This Row],[totalAmount]]</f>
        <v>1</v>
      </c>
      <c r="M663" t="b">
        <f>TrafficData[[#This Row],[pendingCourt]]+TrafficData[[#This Row],[disposedCourt]]=TrafficData[[#This Row],[totalCourt]]</f>
        <v>1</v>
      </c>
      <c r="N663" s="8" t="b">
        <f>AND(TrafficData[[#This Row],[disposedChallan]]&lt;=TrafficData[[#This Row],[totalChallan]],TrafficData[[#This Row],[pendingChallan]]&lt;=TrafficData[[#This Row],[totalChallan]])</f>
        <v>1</v>
      </c>
      <c r="O663" s="8" t="b">
        <f>AND(TrafficData[[#This Row],[pendingAmount]]&lt;=TrafficData[[#This Row],[totalAmount]],TrafficData[[#This Row],[disposedAmount]]&lt;=TrafficData[[#This Row],[totalAmount]])</f>
        <v>1</v>
      </c>
      <c r="P663" s="8" t="b">
        <f>AND(TrafficData[[#This Row],[pendingCourt]]&lt;=TrafficData[[#This Row],[totalCourt]],TrafficData[[#This Row],[disposedCourt]]&lt;=TrafficData[[#This Row],[totalCourt]])</f>
        <v>1</v>
      </c>
    </row>
    <row r="664" spans="1:16">
      <c r="A664" s="1">
        <v>42667</v>
      </c>
      <c r="B664">
        <v>883</v>
      </c>
      <c r="C664">
        <v>58</v>
      </c>
      <c r="D664">
        <v>825</v>
      </c>
      <c r="E664">
        <v>796600</v>
      </c>
      <c r="F664">
        <v>227650</v>
      </c>
      <c r="G664">
        <v>1024250</v>
      </c>
      <c r="H664">
        <v>693</v>
      </c>
      <c r="I664">
        <v>3</v>
      </c>
      <c r="J664">
        <v>696</v>
      </c>
      <c r="K664" t="b">
        <f>TrafficData[[#This Row],[disposedChallan]]+TrafficData[[#This Row],[pendingChallan]]=TrafficData[[#This Row],[totalChallan]]</f>
        <v>1</v>
      </c>
      <c r="L664" t="b">
        <f>TrafficData[[#This Row],[pendingAmount]]+TrafficData[[#This Row],[disposedAmount]]=TrafficData[[#This Row],[totalAmount]]</f>
        <v>1</v>
      </c>
      <c r="M664" t="b">
        <f>TrafficData[[#This Row],[pendingCourt]]+TrafficData[[#This Row],[disposedCourt]]=TrafficData[[#This Row],[totalCourt]]</f>
        <v>1</v>
      </c>
      <c r="N664" s="8" t="b">
        <f>AND(TrafficData[[#This Row],[disposedChallan]]&lt;=TrafficData[[#This Row],[totalChallan]],TrafficData[[#This Row],[pendingChallan]]&lt;=TrafficData[[#This Row],[totalChallan]])</f>
        <v>1</v>
      </c>
      <c r="O664" s="8" t="b">
        <f>AND(TrafficData[[#This Row],[pendingAmount]]&lt;=TrafficData[[#This Row],[totalAmount]],TrafficData[[#This Row],[disposedAmount]]&lt;=TrafficData[[#This Row],[totalAmount]])</f>
        <v>1</v>
      </c>
      <c r="P664" s="8" t="b">
        <f>AND(TrafficData[[#This Row],[pendingCourt]]&lt;=TrafficData[[#This Row],[totalCourt]],TrafficData[[#This Row],[disposedCourt]]&lt;=TrafficData[[#This Row],[totalCourt]])</f>
        <v>1</v>
      </c>
    </row>
    <row r="665" spans="1:16">
      <c r="A665" s="1">
        <v>42668</v>
      </c>
      <c r="B665">
        <v>1122</v>
      </c>
      <c r="C665">
        <v>97</v>
      </c>
      <c r="D665">
        <v>1025</v>
      </c>
      <c r="E665">
        <v>1236449</v>
      </c>
      <c r="F665">
        <v>242150</v>
      </c>
      <c r="G665">
        <v>1478599</v>
      </c>
      <c r="H665">
        <v>38</v>
      </c>
      <c r="I665">
        <v>29</v>
      </c>
      <c r="J665">
        <v>67</v>
      </c>
      <c r="K665" t="b">
        <f>TrafficData[[#This Row],[disposedChallan]]+TrafficData[[#This Row],[pendingChallan]]=TrafficData[[#This Row],[totalChallan]]</f>
        <v>1</v>
      </c>
      <c r="L665" t="b">
        <f>TrafficData[[#This Row],[pendingAmount]]+TrafficData[[#This Row],[disposedAmount]]=TrafficData[[#This Row],[totalAmount]]</f>
        <v>1</v>
      </c>
      <c r="M665" t="b">
        <f>TrafficData[[#This Row],[pendingCourt]]+TrafficData[[#This Row],[disposedCourt]]=TrafficData[[#This Row],[totalCourt]]</f>
        <v>1</v>
      </c>
      <c r="N665" s="8" t="b">
        <f>AND(TrafficData[[#This Row],[disposedChallan]]&lt;=TrafficData[[#This Row],[totalChallan]],TrafficData[[#This Row],[pendingChallan]]&lt;=TrafficData[[#This Row],[totalChallan]])</f>
        <v>1</v>
      </c>
      <c r="O665" s="8" t="b">
        <f>AND(TrafficData[[#This Row],[pendingAmount]]&lt;=TrafficData[[#This Row],[totalAmount]],TrafficData[[#This Row],[disposedAmount]]&lt;=TrafficData[[#This Row],[totalAmount]])</f>
        <v>1</v>
      </c>
      <c r="P665" s="8" t="b">
        <f>AND(TrafficData[[#This Row],[pendingCourt]]&lt;=TrafficData[[#This Row],[totalCourt]],TrafficData[[#This Row],[disposedCourt]]&lt;=TrafficData[[#This Row],[totalCourt]])</f>
        <v>1</v>
      </c>
    </row>
    <row r="666" spans="1:16">
      <c r="A666" s="1">
        <v>42669</v>
      </c>
      <c r="B666">
        <v>1109</v>
      </c>
      <c r="C666">
        <v>98</v>
      </c>
      <c r="D666">
        <v>1011</v>
      </c>
      <c r="E666">
        <v>1458200</v>
      </c>
      <c r="F666">
        <v>543600</v>
      </c>
      <c r="G666">
        <v>2001800</v>
      </c>
      <c r="H666">
        <v>856</v>
      </c>
      <c r="I666">
        <v>3</v>
      </c>
      <c r="J666">
        <v>859</v>
      </c>
      <c r="K666" t="b">
        <f>TrafficData[[#This Row],[disposedChallan]]+TrafficData[[#This Row],[pendingChallan]]=TrafficData[[#This Row],[totalChallan]]</f>
        <v>1</v>
      </c>
      <c r="L666" t="b">
        <f>TrafficData[[#This Row],[pendingAmount]]+TrafficData[[#This Row],[disposedAmount]]=TrafficData[[#This Row],[totalAmount]]</f>
        <v>1</v>
      </c>
      <c r="M666" t="b">
        <f>TrafficData[[#This Row],[pendingCourt]]+TrafficData[[#This Row],[disposedCourt]]=TrafficData[[#This Row],[totalCourt]]</f>
        <v>1</v>
      </c>
      <c r="N666" s="8" t="b">
        <f>AND(TrafficData[[#This Row],[disposedChallan]]&lt;=TrafficData[[#This Row],[totalChallan]],TrafficData[[#This Row],[pendingChallan]]&lt;=TrafficData[[#This Row],[totalChallan]])</f>
        <v>1</v>
      </c>
      <c r="O666" s="8" t="b">
        <f>AND(TrafficData[[#This Row],[pendingAmount]]&lt;=TrafficData[[#This Row],[totalAmount]],TrafficData[[#This Row],[disposedAmount]]&lt;=TrafficData[[#This Row],[totalAmount]])</f>
        <v>1</v>
      </c>
      <c r="P666" s="8" t="b">
        <f>AND(TrafficData[[#This Row],[pendingCourt]]&lt;=TrafficData[[#This Row],[totalCourt]],TrafficData[[#This Row],[disposedCourt]]&lt;=TrafficData[[#This Row],[totalCourt]])</f>
        <v>1</v>
      </c>
    </row>
    <row r="667" spans="1:16">
      <c r="A667" s="1">
        <v>42670</v>
      </c>
      <c r="B667">
        <v>959</v>
      </c>
      <c r="C667">
        <v>53</v>
      </c>
      <c r="D667">
        <v>906</v>
      </c>
      <c r="E667">
        <v>766350</v>
      </c>
      <c r="F667">
        <v>149450</v>
      </c>
      <c r="G667">
        <v>915800</v>
      </c>
      <c r="H667">
        <v>808</v>
      </c>
      <c r="I667">
        <v>8</v>
      </c>
      <c r="J667">
        <v>816</v>
      </c>
      <c r="K667" t="b">
        <f>TrafficData[[#This Row],[disposedChallan]]+TrafficData[[#This Row],[pendingChallan]]=TrafficData[[#This Row],[totalChallan]]</f>
        <v>1</v>
      </c>
      <c r="L667" t="b">
        <f>TrafficData[[#This Row],[pendingAmount]]+TrafficData[[#This Row],[disposedAmount]]=TrafficData[[#This Row],[totalAmount]]</f>
        <v>1</v>
      </c>
      <c r="M667" t="b">
        <f>TrafficData[[#This Row],[pendingCourt]]+TrafficData[[#This Row],[disposedCourt]]=TrafficData[[#This Row],[totalCourt]]</f>
        <v>1</v>
      </c>
      <c r="N667" s="8" t="b">
        <f>AND(TrafficData[[#This Row],[disposedChallan]]&lt;=TrafficData[[#This Row],[totalChallan]],TrafficData[[#This Row],[pendingChallan]]&lt;=TrafficData[[#This Row],[totalChallan]])</f>
        <v>1</v>
      </c>
      <c r="O667" s="8" t="b">
        <f>AND(TrafficData[[#This Row],[pendingAmount]]&lt;=TrafficData[[#This Row],[totalAmount]],TrafficData[[#This Row],[disposedAmount]]&lt;=TrafficData[[#This Row],[totalAmount]])</f>
        <v>1</v>
      </c>
      <c r="P667" s="8" t="b">
        <f>AND(TrafficData[[#This Row],[pendingCourt]]&lt;=TrafficData[[#This Row],[totalCourt]],TrafficData[[#This Row],[disposedCourt]]&lt;=TrafficData[[#This Row],[totalCourt]])</f>
        <v>1</v>
      </c>
    </row>
    <row r="668" spans="1:16">
      <c r="A668" s="1">
        <v>42671</v>
      </c>
      <c r="B668">
        <v>1023</v>
      </c>
      <c r="C668">
        <v>87</v>
      </c>
      <c r="D668">
        <v>936</v>
      </c>
      <c r="E668">
        <v>535000</v>
      </c>
      <c r="F668">
        <v>192404</v>
      </c>
      <c r="G668">
        <v>727404</v>
      </c>
      <c r="H668">
        <v>828</v>
      </c>
      <c r="I668">
        <v>34</v>
      </c>
      <c r="J668">
        <v>862</v>
      </c>
      <c r="K668" t="b">
        <f>TrafficData[[#This Row],[disposedChallan]]+TrafficData[[#This Row],[pendingChallan]]=TrafficData[[#This Row],[totalChallan]]</f>
        <v>1</v>
      </c>
      <c r="L668" t="b">
        <f>TrafficData[[#This Row],[pendingAmount]]+TrafficData[[#This Row],[disposedAmount]]=TrafficData[[#This Row],[totalAmount]]</f>
        <v>1</v>
      </c>
      <c r="M668" t="b">
        <f>TrafficData[[#This Row],[pendingCourt]]+TrafficData[[#This Row],[disposedCourt]]=TrafficData[[#This Row],[totalCourt]]</f>
        <v>1</v>
      </c>
      <c r="N668" s="8" t="b">
        <f>AND(TrafficData[[#This Row],[disposedChallan]]&lt;=TrafficData[[#This Row],[totalChallan]],TrafficData[[#This Row],[pendingChallan]]&lt;=TrafficData[[#This Row],[totalChallan]])</f>
        <v>1</v>
      </c>
      <c r="O668" s="8" t="b">
        <f>AND(TrafficData[[#This Row],[pendingAmount]]&lt;=TrafficData[[#This Row],[totalAmount]],TrafficData[[#This Row],[disposedAmount]]&lt;=TrafficData[[#This Row],[totalAmount]])</f>
        <v>1</v>
      </c>
      <c r="P668" s="8" t="b">
        <f>AND(TrafficData[[#This Row],[pendingCourt]]&lt;=TrafficData[[#This Row],[totalCourt]],TrafficData[[#This Row],[disposedCourt]]&lt;=TrafficData[[#This Row],[totalCourt]])</f>
        <v>1</v>
      </c>
    </row>
    <row r="669" spans="1:16">
      <c r="A669" s="1">
        <v>42672</v>
      </c>
      <c r="B669">
        <v>563</v>
      </c>
      <c r="C669">
        <v>28</v>
      </c>
      <c r="D669">
        <v>535</v>
      </c>
      <c r="E669">
        <v>375050</v>
      </c>
      <c r="F669">
        <v>57750</v>
      </c>
      <c r="G669">
        <v>432800</v>
      </c>
      <c r="H669">
        <v>443</v>
      </c>
      <c r="I669">
        <v>0</v>
      </c>
      <c r="J669">
        <v>443</v>
      </c>
      <c r="K669" t="b">
        <f>TrafficData[[#This Row],[disposedChallan]]+TrafficData[[#This Row],[pendingChallan]]=TrafficData[[#This Row],[totalChallan]]</f>
        <v>1</v>
      </c>
      <c r="L669" t="b">
        <f>TrafficData[[#This Row],[pendingAmount]]+TrafficData[[#This Row],[disposedAmount]]=TrafficData[[#This Row],[totalAmount]]</f>
        <v>1</v>
      </c>
      <c r="M669" t="b">
        <f>TrafficData[[#This Row],[pendingCourt]]+TrafficData[[#This Row],[disposedCourt]]=TrafficData[[#This Row],[totalCourt]]</f>
        <v>1</v>
      </c>
      <c r="N669" s="8" t="b">
        <f>AND(TrafficData[[#This Row],[disposedChallan]]&lt;=TrafficData[[#This Row],[totalChallan]],TrafficData[[#This Row],[pendingChallan]]&lt;=TrafficData[[#This Row],[totalChallan]])</f>
        <v>1</v>
      </c>
      <c r="O669" s="8" t="b">
        <f>AND(TrafficData[[#This Row],[pendingAmount]]&lt;=TrafficData[[#This Row],[totalAmount]],TrafficData[[#This Row],[disposedAmount]]&lt;=TrafficData[[#This Row],[totalAmount]])</f>
        <v>1</v>
      </c>
      <c r="P669" s="8" t="b">
        <f>AND(TrafficData[[#This Row],[pendingCourt]]&lt;=TrafficData[[#This Row],[totalCourt]],TrafficData[[#This Row],[disposedCourt]]&lt;=TrafficData[[#This Row],[totalCourt]])</f>
        <v>1</v>
      </c>
    </row>
    <row r="670" spans="1:16">
      <c r="A670" s="1">
        <v>42673</v>
      </c>
      <c r="B670">
        <v>215</v>
      </c>
      <c r="C670">
        <v>11</v>
      </c>
      <c r="D670">
        <v>204</v>
      </c>
      <c r="E670">
        <v>159500</v>
      </c>
      <c r="F670">
        <v>18400</v>
      </c>
      <c r="G670">
        <v>177900</v>
      </c>
      <c r="H670">
        <v>139</v>
      </c>
      <c r="I670">
        <v>2</v>
      </c>
      <c r="J670">
        <v>141</v>
      </c>
      <c r="K670" t="b">
        <f>TrafficData[[#This Row],[disposedChallan]]+TrafficData[[#This Row],[pendingChallan]]=TrafficData[[#This Row],[totalChallan]]</f>
        <v>1</v>
      </c>
      <c r="L670" t="b">
        <f>TrafficData[[#This Row],[pendingAmount]]+TrafficData[[#This Row],[disposedAmount]]=TrafficData[[#This Row],[totalAmount]]</f>
        <v>1</v>
      </c>
      <c r="M670" t="b">
        <f>TrafficData[[#This Row],[pendingCourt]]+TrafficData[[#This Row],[disposedCourt]]=TrafficData[[#This Row],[totalCourt]]</f>
        <v>1</v>
      </c>
      <c r="N670" s="8" t="b">
        <f>AND(TrafficData[[#This Row],[disposedChallan]]&lt;=TrafficData[[#This Row],[totalChallan]],TrafficData[[#This Row],[pendingChallan]]&lt;=TrafficData[[#This Row],[totalChallan]])</f>
        <v>1</v>
      </c>
      <c r="O670" s="8" t="b">
        <f>AND(TrafficData[[#This Row],[pendingAmount]]&lt;=TrafficData[[#This Row],[totalAmount]],TrafficData[[#This Row],[disposedAmount]]&lt;=TrafficData[[#This Row],[totalAmount]])</f>
        <v>1</v>
      </c>
      <c r="P670" s="8" t="b">
        <f>AND(TrafficData[[#This Row],[pendingCourt]]&lt;=TrafficData[[#This Row],[totalCourt]],TrafficData[[#This Row],[disposedCourt]]&lt;=TrafficData[[#This Row],[totalCourt]])</f>
        <v>1</v>
      </c>
    </row>
    <row r="671" spans="1:16">
      <c r="A671" s="1">
        <v>42674</v>
      </c>
      <c r="B671">
        <v>278</v>
      </c>
      <c r="C671">
        <v>22</v>
      </c>
      <c r="D671">
        <v>256</v>
      </c>
      <c r="E671">
        <v>111350</v>
      </c>
      <c r="F671">
        <v>6700</v>
      </c>
      <c r="G671">
        <v>118050</v>
      </c>
      <c r="H671">
        <v>204</v>
      </c>
      <c r="I671">
        <v>8</v>
      </c>
      <c r="J671">
        <v>212</v>
      </c>
      <c r="K671" t="b">
        <f>TrafficData[[#This Row],[disposedChallan]]+TrafficData[[#This Row],[pendingChallan]]=TrafficData[[#This Row],[totalChallan]]</f>
        <v>1</v>
      </c>
      <c r="L671" t="b">
        <f>TrafficData[[#This Row],[pendingAmount]]+TrafficData[[#This Row],[disposedAmount]]=TrafficData[[#This Row],[totalAmount]]</f>
        <v>1</v>
      </c>
      <c r="M671" t="b">
        <f>TrafficData[[#This Row],[pendingCourt]]+TrafficData[[#This Row],[disposedCourt]]=TrafficData[[#This Row],[totalCourt]]</f>
        <v>1</v>
      </c>
      <c r="N671" s="8" t="b">
        <f>AND(TrafficData[[#This Row],[disposedChallan]]&lt;=TrafficData[[#This Row],[totalChallan]],TrafficData[[#This Row],[pendingChallan]]&lt;=TrafficData[[#This Row],[totalChallan]])</f>
        <v>1</v>
      </c>
      <c r="O671" s="8" t="b">
        <f>AND(TrafficData[[#This Row],[pendingAmount]]&lt;=TrafficData[[#This Row],[totalAmount]],TrafficData[[#This Row],[disposedAmount]]&lt;=TrafficData[[#This Row],[totalAmount]])</f>
        <v>1</v>
      </c>
      <c r="P671" s="8" t="b">
        <f>AND(TrafficData[[#This Row],[pendingCourt]]&lt;=TrafficData[[#This Row],[totalCourt]],TrafficData[[#This Row],[disposedCourt]]&lt;=TrafficData[[#This Row],[totalCourt]])</f>
        <v>1</v>
      </c>
    </row>
    <row r="672" spans="1:16">
      <c r="A672" s="1">
        <v>42675</v>
      </c>
      <c r="B672">
        <v>584</v>
      </c>
      <c r="C672">
        <v>34</v>
      </c>
      <c r="D672">
        <v>550</v>
      </c>
      <c r="E672">
        <v>314000</v>
      </c>
      <c r="F672">
        <v>35400</v>
      </c>
      <c r="G672">
        <v>349400</v>
      </c>
      <c r="H672">
        <v>503</v>
      </c>
      <c r="I672">
        <v>15</v>
      </c>
      <c r="J672">
        <v>518</v>
      </c>
      <c r="K672" t="b">
        <f>TrafficData[[#This Row],[disposedChallan]]+TrafficData[[#This Row],[pendingChallan]]=TrafficData[[#This Row],[totalChallan]]</f>
        <v>1</v>
      </c>
      <c r="L672" t="b">
        <f>TrafficData[[#This Row],[pendingAmount]]+TrafficData[[#This Row],[disposedAmount]]=TrafficData[[#This Row],[totalAmount]]</f>
        <v>1</v>
      </c>
      <c r="M672" t="b">
        <f>TrafficData[[#This Row],[pendingCourt]]+TrafficData[[#This Row],[disposedCourt]]=TrafficData[[#This Row],[totalCourt]]</f>
        <v>1</v>
      </c>
      <c r="N672" s="8" t="b">
        <f>AND(TrafficData[[#This Row],[disposedChallan]]&lt;=TrafficData[[#This Row],[totalChallan]],TrafficData[[#This Row],[pendingChallan]]&lt;=TrafficData[[#This Row],[totalChallan]])</f>
        <v>1</v>
      </c>
      <c r="O672" s="8" t="b">
        <f>AND(TrafficData[[#This Row],[pendingAmount]]&lt;=TrafficData[[#This Row],[totalAmount]],TrafficData[[#This Row],[disposedAmount]]&lt;=TrafficData[[#This Row],[totalAmount]])</f>
        <v>1</v>
      </c>
      <c r="P672" s="8" t="b">
        <f>AND(TrafficData[[#This Row],[pendingCourt]]&lt;=TrafficData[[#This Row],[totalCourt]],TrafficData[[#This Row],[disposedCourt]]&lt;=TrafficData[[#This Row],[totalCourt]])</f>
        <v>1</v>
      </c>
    </row>
    <row r="673" spans="1:16">
      <c r="A673" s="1">
        <v>42676</v>
      </c>
      <c r="B673">
        <v>696</v>
      </c>
      <c r="C673">
        <v>50</v>
      </c>
      <c r="D673">
        <v>646</v>
      </c>
      <c r="E673">
        <v>652500</v>
      </c>
      <c r="F673">
        <v>64500</v>
      </c>
      <c r="G673">
        <v>717000</v>
      </c>
      <c r="H673">
        <v>563</v>
      </c>
      <c r="I673">
        <v>19</v>
      </c>
      <c r="J673">
        <v>582</v>
      </c>
      <c r="K673" t="b">
        <f>TrafficData[[#This Row],[disposedChallan]]+TrafficData[[#This Row],[pendingChallan]]=TrafficData[[#This Row],[totalChallan]]</f>
        <v>1</v>
      </c>
      <c r="L673" t="b">
        <f>TrafficData[[#This Row],[pendingAmount]]+TrafficData[[#This Row],[disposedAmount]]=TrafficData[[#This Row],[totalAmount]]</f>
        <v>1</v>
      </c>
      <c r="M673" t="b">
        <f>TrafficData[[#This Row],[pendingCourt]]+TrafficData[[#This Row],[disposedCourt]]=TrafficData[[#This Row],[totalCourt]]</f>
        <v>1</v>
      </c>
      <c r="N673" s="8" t="b">
        <f>AND(TrafficData[[#This Row],[disposedChallan]]&lt;=TrafficData[[#This Row],[totalChallan]],TrafficData[[#This Row],[pendingChallan]]&lt;=TrafficData[[#This Row],[totalChallan]])</f>
        <v>1</v>
      </c>
      <c r="O673" s="8" t="b">
        <f>AND(TrafficData[[#This Row],[pendingAmount]]&lt;=TrafficData[[#This Row],[totalAmount]],TrafficData[[#This Row],[disposedAmount]]&lt;=TrafficData[[#This Row],[totalAmount]])</f>
        <v>1</v>
      </c>
      <c r="P673" s="8" t="b">
        <f>AND(TrafficData[[#This Row],[pendingCourt]]&lt;=TrafficData[[#This Row],[totalCourt]],TrafficData[[#This Row],[disposedCourt]]&lt;=TrafficData[[#This Row],[totalCourt]])</f>
        <v>1</v>
      </c>
    </row>
    <row r="674" spans="1:16">
      <c r="A674" s="1">
        <v>42677</v>
      </c>
      <c r="B674">
        <v>643</v>
      </c>
      <c r="C674">
        <v>56</v>
      </c>
      <c r="D674">
        <v>587</v>
      </c>
      <c r="E674">
        <v>703500</v>
      </c>
      <c r="F674">
        <v>189546</v>
      </c>
      <c r="G674">
        <v>893046</v>
      </c>
      <c r="H674">
        <v>486</v>
      </c>
      <c r="I674">
        <v>4</v>
      </c>
      <c r="J674">
        <v>490</v>
      </c>
      <c r="K674" t="b">
        <f>TrafficData[[#This Row],[disposedChallan]]+TrafficData[[#This Row],[pendingChallan]]=TrafficData[[#This Row],[totalChallan]]</f>
        <v>1</v>
      </c>
      <c r="L674" t="b">
        <f>TrafficData[[#This Row],[pendingAmount]]+TrafficData[[#This Row],[disposedAmount]]=TrafficData[[#This Row],[totalAmount]]</f>
        <v>1</v>
      </c>
      <c r="M674" t="b">
        <f>TrafficData[[#This Row],[pendingCourt]]+TrafficData[[#This Row],[disposedCourt]]=TrafficData[[#This Row],[totalCourt]]</f>
        <v>1</v>
      </c>
      <c r="N674" s="8" t="b">
        <f>AND(TrafficData[[#This Row],[disposedChallan]]&lt;=TrafficData[[#This Row],[totalChallan]],TrafficData[[#This Row],[pendingChallan]]&lt;=TrafficData[[#This Row],[totalChallan]])</f>
        <v>1</v>
      </c>
      <c r="O674" s="8" t="b">
        <f>AND(TrafficData[[#This Row],[pendingAmount]]&lt;=TrafficData[[#This Row],[totalAmount]],TrafficData[[#This Row],[disposedAmount]]&lt;=TrafficData[[#This Row],[totalAmount]])</f>
        <v>1</v>
      </c>
      <c r="P674" s="8" t="b">
        <f>AND(TrafficData[[#This Row],[pendingCourt]]&lt;=TrafficData[[#This Row],[totalCourt]],TrafficData[[#This Row],[disposedCourt]]&lt;=TrafficData[[#This Row],[totalCourt]])</f>
        <v>1</v>
      </c>
    </row>
    <row r="675" spans="1:16">
      <c r="A675" s="1">
        <v>42678</v>
      </c>
      <c r="B675">
        <v>704</v>
      </c>
      <c r="C675">
        <v>53</v>
      </c>
      <c r="D675">
        <v>651</v>
      </c>
      <c r="E675">
        <v>479950</v>
      </c>
      <c r="F675">
        <v>189510</v>
      </c>
      <c r="G675">
        <v>669460</v>
      </c>
      <c r="H675">
        <v>548</v>
      </c>
      <c r="I675">
        <v>10</v>
      </c>
      <c r="J675">
        <v>558</v>
      </c>
      <c r="K675" t="b">
        <f>TrafficData[[#This Row],[disposedChallan]]+TrafficData[[#This Row],[pendingChallan]]=TrafficData[[#This Row],[totalChallan]]</f>
        <v>1</v>
      </c>
      <c r="L675" t="b">
        <f>TrafficData[[#This Row],[pendingAmount]]+TrafficData[[#This Row],[disposedAmount]]=TrafficData[[#This Row],[totalAmount]]</f>
        <v>1</v>
      </c>
      <c r="M675" t="b">
        <f>TrafficData[[#This Row],[pendingCourt]]+TrafficData[[#This Row],[disposedCourt]]=TrafficData[[#This Row],[totalCourt]]</f>
        <v>1</v>
      </c>
      <c r="N675" s="8" t="b">
        <f>AND(TrafficData[[#This Row],[disposedChallan]]&lt;=TrafficData[[#This Row],[totalChallan]],TrafficData[[#This Row],[pendingChallan]]&lt;=TrafficData[[#This Row],[totalChallan]])</f>
        <v>1</v>
      </c>
      <c r="O675" s="8" t="b">
        <f>AND(TrafficData[[#This Row],[pendingAmount]]&lt;=TrafficData[[#This Row],[totalAmount]],TrafficData[[#This Row],[disposedAmount]]&lt;=TrafficData[[#This Row],[totalAmount]])</f>
        <v>1</v>
      </c>
      <c r="P675" s="8" t="b">
        <f>AND(TrafficData[[#This Row],[pendingCourt]]&lt;=TrafficData[[#This Row],[totalCourt]],TrafficData[[#This Row],[disposedCourt]]&lt;=TrafficData[[#This Row],[totalCourt]])</f>
        <v>1</v>
      </c>
    </row>
    <row r="676" spans="1:16">
      <c r="A676" s="1">
        <v>42679</v>
      </c>
      <c r="B676">
        <v>760</v>
      </c>
      <c r="C676">
        <v>71</v>
      </c>
      <c r="D676">
        <v>689</v>
      </c>
      <c r="E676">
        <v>756629</v>
      </c>
      <c r="F676">
        <v>232100</v>
      </c>
      <c r="G676">
        <v>988729</v>
      </c>
      <c r="H676">
        <v>566</v>
      </c>
      <c r="I676">
        <v>11</v>
      </c>
      <c r="J676">
        <v>577</v>
      </c>
      <c r="K676" t="b">
        <f>TrafficData[[#This Row],[disposedChallan]]+TrafficData[[#This Row],[pendingChallan]]=TrafficData[[#This Row],[totalChallan]]</f>
        <v>1</v>
      </c>
      <c r="L676" t="b">
        <f>TrafficData[[#This Row],[pendingAmount]]+TrafficData[[#This Row],[disposedAmount]]=TrafficData[[#This Row],[totalAmount]]</f>
        <v>1</v>
      </c>
      <c r="M676" t="b">
        <f>TrafficData[[#This Row],[pendingCourt]]+TrafficData[[#This Row],[disposedCourt]]=TrafficData[[#This Row],[totalCourt]]</f>
        <v>1</v>
      </c>
      <c r="N676" s="8" t="b">
        <f>AND(TrafficData[[#This Row],[disposedChallan]]&lt;=TrafficData[[#This Row],[totalChallan]],TrafficData[[#This Row],[pendingChallan]]&lt;=TrafficData[[#This Row],[totalChallan]])</f>
        <v>1</v>
      </c>
      <c r="O676" s="8" t="b">
        <f>AND(TrafficData[[#This Row],[pendingAmount]]&lt;=TrafficData[[#This Row],[totalAmount]],TrafficData[[#This Row],[disposedAmount]]&lt;=TrafficData[[#This Row],[totalAmount]])</f>
        <v>1</v>
      </c>
      <c r="P676" s="8" t="b">
        <f>AND(TrafficData[[#This Row],[pendingCourt]]&lt;=TrafficData[[#This Row],[totalCourt]],TrafficData[[#This Row],[disposedCourt]]&lt;=TrafficData[[#This Row],[totalCourt]])</f>
        <v>1</v>
      </c>
    </row>
    <row r="677" spans="1:16">
      <c r="A677" s="1">
        <v>42680</v>
      </c>
      <c r="B677">
        <v>449</v>
      </c>
      <c r="C677">
        <v>31</v>
      </c>
      <c r="D677">
        <v>418</v>
      </c>
      <c r="E677">
        <v>475750</v>
      </c>
      <c r="F677">
        <v>91201</v>
      </c>
      <c r="G677">
        <v>566951</v>
      </c>
      <c r="H677">
        <v>323</v>
      </c>
      <c r="I677">
        <v>3</v>
      </c>
      <c r="J677">
        <v>326</v>
      </c>
      <c r="K677" t="b">
        <f>TrafficData[[#This Row],[disposedChallan]]+TrafficData[[#This Row],[pendingChallan]]=TrafficData[[#This Row],[totalChallan]]</f>
        <v>1</v>
      </c>
      <c r="L677" t="b">
        <f>TrafficData[[#This Row],[pendingAmount]]+TrafficData[[#This Row],[disposedAmount]]=TrafficData[[#This Row],[totalAmount]]</f>
        <v>1</v>
      </c>
      <c r="M677" t="b">
        <f>TrafficData[[#This Row],[pendingCourt]]+TrafficData[[#This Row],[disposedCourt]]=TrafficData[[#This Row],[totalCourt]]</f>
        <v>1</v>
      </c>
      <c r="N677" s="8" t="b">
        <f>AND(TrafficData[[#This Row],[disposedChallan]]&lt;=TrafficData[[#This Row],[totalChallan]],TrafficData[[#This Row],[pendingChallan]]&lt;=TrafficData[[#This Row],[totalChallan]])</f>
        <v>1</v>
      </c>
      <c r="O677" s="8" t="b">
        <f>AND(TrafficData[[#This Row],[pendingAmount]]&lt;=TrafficData[[#This Row],[totalAmount]],TrafficData[[#This Row],[disposedAmount]]&lt;=TrafficData[[#This Row],[totalAmount]])</f>
        <v>1</v>
      </c>
      <c r="P677" s="8" t="b">
        <f>AND(TrafficData[[#This Row],[pendingCourt]]&lt;=TrafficData[[#This Row],[totalCourt]],TrafficData[[#This Row],[disposedCourt]]&lt;=TrafficData[[#This Row],[totalCourt]])</f>
        <v>1</v>
      </c>
    </row>
    <row r="678" spans="1:16">
      <c r="A678" s="1">
        <v>42681</v>
      </c>
      <c r="B678">
        <v>941</v>
      </c>
      <c r="C678">
        <v>81</v>
      </c>
      <c r="D678">
        <v>860</v>
      </c>
      <c r="E678">
        <v>828450</v>
      </c>
      <c r="F678">
        <v>154154</v>
      </c>
      <c r="G678">
        <v>982604</v>
      </c>
      <c r="H678">
        <v>644</v>
      </c>
      <c r="I678">
        <v>8</v>
      </c>
      <c r="J678">
        <v>652</v>
      </c>
      <c r="K678" t="b">
        <f>TrafficData[[#This Row],[disposedChallan]]+TrafficData[[#This Row],[pendingChallan]]=TrafficData[[#This Row],[totalChallan]]</f>
        <v>1</v>
      </c>
      <c r="L678" t="b">
        <f>TrafficData[[#This Row],[pendingAmount]]+TrafficData[[#This Row],[disposedAmount]]=TrafficData[[#This Row],[totalAmount]]</f>
        <v>1</v>
      </c>
      <c r="M678" t="b">
        <f>TrafficData[[#This Row],[pendingCourt]]+TrafficData[[#This Row],[disposedCourt]]=TrafficData[[#This Row],[totalCourt]]</f>
        <v>1</v>
      </c>
      <c r="N678" s="8" t="b">
        <f>AND(TrafficData[[#This Row],[disposedChallan]]&lt;=TrafficData[[#This Row],[totalChallan]],TrafficData[[#This Row],[pendingChallan]]&lt;=TrafficData[[#This Row],[totalChallan]])</f>
        <v>1</v>
      </c>
      <c r="O678" s="8" t="b">
        <f>AND(TrafficData[[#This Row],[pendingAmount]]&lt;=TrafficData[[#This Row],[totalAmount]],TrafficData[[#This Row],[disposedAmount]]&lt;=TrafficData[[#This Row],[totalAmount]])</f>
        <v>1</v>
      </c>
      <c r="P678" s="8" t="b">
        <f>AND(TrafficData[[#This Row],[pendingCourt]]&lt;=TrafficData[[#This Row],[totalCourt]],TrafficData[[#This Row],[disposedCourt]]&lt;=TrafficData[[#This Row],[totalCourt]])</f>
        <v>1</v>
      </c>
    </row>
    <row r="679" spans="1:16">
      <c r="A679" s="1">
        <v>42682</v>
      </c>
      <c r="B679">
        <v>903</v>
      </c>
      <c r="C679">
        <v>119</v>
      </c>
      <c r="D679">
        <v>784</v>
      </c>
      <c r="E679">
        <v>1117433</v>
      </c>
      <c r="F679">
        <v>359902</v>
      </c>
      <c r="G679">
        <v>1477335</v>
      </c>
      <c r="H679">
        <v>616</v>
      </c>
      <c r="I679">
        <v>11</v>
      </c>
      <c r="J679">
        <v>627</v>
      </c>
      <c r="K679" t="b">
        <f>TrafficData[[#This Row],[disposedChallan]]+TrafficData[[#This Row],[pendingChallan]]=TrafficData[[#This Row],[totalChallan]]</f>
        <v>1</v>
      </c>
      <c r="L679" t="b">
        <f>TrafficData[[#This Row],[pendingAmount]]+TrafficData[[#This Row],[disposedAmount]]=TrafficData[[#This Row],[totalAmount]]</f>
        <v>1</v>
      </c>
      <c r="M679" t="b">
        <f>TrafficData[[#This Row],[pendingCourt]]+TrafficData[[#This Row],[disposedCourt]]=TrafficData[[#This Row],[totalCourt]]</f>
        <v>1</v>
      </c>
      <c r="N679" s="8" t="b">
        <f>AND(TrafficData[[#This Row],[disposedChallan]]&lt;=TrafficData[[#This Row],[totalChallan]],TrafficData[[#This Row],[pendingChallan]]&lt;=TrafficData[[#This Row],[totalChallan]])</f>
        <v>1</v>
      </c>
      <c r="O679" s="8" t="b">
        <f>AND(TrafficData[[#This Row],[pendingAmount]]&lt;=TrafficData[[#This Row],[totalAmount]],TrafficData[[#This Row],[disposedAmount]]&lt;=TrafficData[[#This Row],[totalAmount]])</f>
        <v>1</v>
      </c>
      <c r="P679" s="8" t="b">
        <f>AND(TrafficData[[#This Row],[pendingCourt]]&lt;=TrafficData[[#This Row],[totalCourt]],TrafficData[[#This Row],[disposedCourt]]&lt;=TrafficData[[#This Row],[totalCourt]])</f>
        <v>1</v>
      </c>
    </row>
    <row r="680" spans="1:16">
      <c r="A680" s="1">
        <v>42683</v>
      </c>
      <c r="B680">
        <v>935</v>
      </c>
      <c r="C680">
        <v>113</v>
      </c>
      <c r="D680">
        <v>822</v>
      </c>
      <c r="E680">
        <v>623348</v>
      </c>
      <c r="F680">
        <v>404500</v>
      </c>
      <c r="G680">
        <v>1027848</v>
      </c>
      <c r="H680">
        <v>688</v>
      </c>
      <c r="I680">
        <v>22</v>
      </c>
      <c r="J680">
        <v>710</v>
      </c>
      <c r="K680" t="b">
        <f>TrafficData[[#This Row],[disposedChallan]]+TrafficData[[#This Row],[pendingChallan]]=TrafficData[[#This Row],[totalChallan]]</f>
        <v>1</v>
      </c>
      <c r="L680" t="b">
        <f>TrafficData[[#This Row],[pendingAmount]]+TrafficData[[#This Row],[disposedAmount]]=TrafficData[[#This Row],[totalAmount]]</f>
        <v>1</v>
      </c>
      <c r="M680" t="b">
        <f>TrafficData[[#This Row],[pendingCourt]]+TrafficData[[#This Row],[disposedCourt]]=TrafficData[[#This Row],[totalCourt]]</f>
        <v>1</v>
      </c>
      <c r="N680" s="8" t="b">
        <f>AND(TrafficData[[#This Row],[disposedChallan]]&lt;=TrafficData[[#This Row],[totalChallan]],TrafficData[[#This Row],[pendingChallan]]&lt;=TrafficData[[#This Row],[totalChallan]])</f>
        <v>1</v>
      </c>
      <c r="O680" s="8" t="b">
        <f>AND(TrafficData[[#This Row],[pendingAmount]]&lt;=TrafficData[[#This Row],[totalAmount]],TrafficData[[#This Row],[disposedAmount]]&lt;=TrafficData[[#This Row],[totalAmount]])</f>
        <v>1</v>
      </c>
      <c r="P680" s="8" t="b">
        <f>AND(TrafficData[[#This Row],[pendingCourt]]&lt;=TrafficData[[#This Row],[totalCourt]],TrafficData[[#This Row],[disposedCourt]]&lt;=TrafficData[[#This Row],[totalCourt]])</f>
        <v>1</v>
      </c>
    </row>
    <row r="681" spans="1:16">
      <c r="A681" s="1">
        <v>42684</v>
      </c>
      <c r="B681">
        <v>644</v>
      </c>
      <c r="C681">
        <v>75</v>
      </c>
      <c r="D681">
        <v>569</v>
      </c>
      <c r="E681">
        <v>662800</v>
      </c>
      <c r="F681">
        <v>275899</v>
      </c>
      <c r="G681">
        <v>938699</v>
      </c>
      <c r="H681">
        <v>434</v>
      </c>
      <c r="I681">
        <v>7</v>
      </c>
      <c r="J681">
        <v>441</v>
      </c>
      <c r="K681" t="b">
        <f>TrafficData[[#This Row],[disposedChallan]]+TrafficData[[#This Row],[pendingChallan]]=TrafficData[[#This Row],[totalChallan]]</f>
        <v>1</v>
      </c>
      <c r="L681" t="b">
        <f>TrafficData[[#This Row],[pendingAmount]]+TrafficData[[#This Row],[disposedAmount]]=TrafficData[[#This Row],[totalAmount]]</f>
        <v>1</v>
      </c>
      <c r="M681" t="b">
        <f>TrafficData[[#This Row],[pendingCourt]]+TrafficData[[#This Row],[disposedCourt]]=TrafficData[[#This Row],[totalCourt]]</f>
        <v>1</v>
      </c>
      <c r="N681" s="8" t="b">
        <f>AND(TrafficData[[#This Row],[disposedChallan]]&lt;=TrafficData[[#This Row],[totalChallan]],TrafficData[[#This Row],[pendingChallan]]&lt;=TrafficData[[#This Row],[totalChallan]])</f>
        <v>1</v>
      </c>
      <c r="O681" s="8" t="b">
        <f>AND(TrafficData[[#This Row],[pendingAmount]]&lt;=TrafficData[[#This Row],[totalAmount]],TrafficData[[#This Row],[disposedAmount]]&lt;=TrafficData[[#This Row],[totalAmount]])</f>
        <v>1</v>
      </c>
      <c r="P681" s="8" t="b">
        <f>AND(TrafficData[[#This Row],[pendingCourt]]&lt;=TrafficData[[#This Row],[totalCourt]],TrafficData[[#This Row],[disposedCourt]]&lt;=TrafficData[[#This Row],[totalCourt]])</f>
        <v>1</v>
      </c>
    </row>
    <row r="682" spans="1:16">
      <c r="A682" s="1">
        <v>42685</v>
      </c>
      <c r="B682">
        <v>645</v>
      </c>
      <c r="C682">
        <v>116</v>
      </c>
      <c r="D682">
        <v>529</v>
      </c>
      <c r="E682">
        <v>602700</v>
      </c>
      <c r="F682">
        <v>542919</v>
      </c>
      <c r="G682">
        <v>1145619</v>
      </c>
      <c r="H682">
        <v>379</v>
      </c>
      <c r="I682">
        <v>13</v>
      </c>
      <c r="J682">
        <v>392</v>
      </c>
      <c r="K682" t="b">
        <f>TrafficData[[#This Row],[disposedChallan]]+TrafficData[[#This Row],[pendingChallan]]=TrafficData[[#This Row],[totalChallan]]</f>
        <v>1</v>
      </c>
      <c r="L682" t="b">
        <f>TrafficData[[#This Row],[pendingAmount]]+TrafficData[[#This Row],[disposedAmount]]=TrafficData[[#This Row],[totalAmount]]</f>
        <v>1</v>
      </c>
      <c r="M682" t="b">
        <f>TrafficData[[#This Row],[pendingCourt]]+TrafficData[[#This Row],[disposedCourt]]=TrafficData[[#This Row],[totalCourt]]</f>
        <v>1</v>
      </c>
      <c r="N682" s="8" t="b">
        <f>AND(TrafficData[[#This Row],[disposedChallan]]&lt;=TrafficData[[#This Row],[totalChallan]],TrafficData[[#This Row],[pendingChallan]]&lt;=TrafficData[[#This Row],[totalChallan]])</f>
        <v>1</v>
      </c>
      <c r="O682" s="8" t="b">
        <f>AND(TrafficData[[#This Row],[pendingAmount]]&lt;=TrafficData[[#This Row],[totalAmount]],TrafficData[[#This Row],[disposedAmount]]&lt;=TrafficData[[#This Row],[totalAmount]])</f>
        <v>1</v>
      </c>
      <c r="P682" s="8" t="b">
        <f>AND(TrafficData[[#This Row],[pendingCourt]]&lt;=TrafficData[[#This Row],[totalCourt]],TrafficData[[#This Row],[disposedCourt]]&lt;=TrafficData[[#This Row],[totalCourt]])</f>
        <v>1</v>
      </c>
    </row>
    <row r="683" spans="1:16">
      <c r="A683" s="1">
        <v>42686</v>
      </c>
      <c r="B683">
        <v>628</v>
      </c>
      <c r="C683">
        <v>86</v>
      </c>
      <c r="D683">
        <v>542</v>
      </c>
      <c r="E683">
        <v>461948</v>
      </c>
      <c r="F683">
        <v>320750</v>
      </c>
      <c r="G683">
        <v>782698</v>
      </c>
      <c r="H683">
        <v>432</v>
      </c>
      <c r="I683">
        <v>19</v>
      </c>
      <c r="J683">
        <v>451</v>
      </c>
      <c r="K683" t="b">
        <f>TrafficData[[#This Row],[disposedChallan]]+TrafficData[[#This Row],[pendingChallan]]=TrafficData[[#This Row],[totalChallan]]</f>
        <v>1</v>
      </c>
      <c r="L683" t="b">
        <f>TrafficData[[#This Row],[pendingAmount]]+TrafficData[[#This Row],[disposedAmount]]=TrafficData[[#This Row],[totalAmount]]</f>
        <v>1</v>
      </c>
      <c r="M683" t="b">
        <f>TrafficData[[#This Row],[pendingCourt]]+TrafficData[[#This Row],[disposedCourt]]=TrafficData[[#This Row],[totalCourt]]</f>
        <v>1</v>
      </c>
      <c r="N683" s="8" t="b">
        <f>AND(TrafficData[[#This Row],[disposedChallan]]&lt;=TrafficData[[#This Row],[totalChallan]],TrafficData[[#This Row],[pendingChallan]]&lt;=TrafficData[[#This Row],[totalChallan]])</f>
        <v>1</v>
      </c>
      <c r="O683" s="8" t="b">
        <f>AND(TrafficData[[#This Row],[pendingAmount]]&lt;=TrafficData[[#This Row],[totalAmount]],TrafficData[[#This Row],[disposedAmount]]&lt;=TrafficData[[#This Row],[totalAmount]])</f>
        <v>1</v>
      </c>
      <c r="P683" s="8" t="b">
        <f>AND(TrafficData[[#This Row],[pendingCourt]]&lt;=TrafficData[[#This Row],[totalCourt]],TrafficData[[#This Row],[disposedCourt]]&lt;=TrafficData[[#This Row],[totalCourt]])</f>
        <v>1</v>
      </c>
    </row>
    <row r="684" spans="1:16">
      <c r="A684" s="1">
        <v>42687</v>
      </c>
      <c r="B684">
        <v>554</v>
      </c>
      <c r="C684">
        <v>101</v>
      </c>
      <c r="D684">
        <v>453</v>
      </c>
      <c r="E684">
        <v>280950</v>
      </c>
      <c r="F684">
        <v>471450</v>
      </c>
      <c r="G684">
        <v>752400</v>
      </c>
      <c r="H684">
        <v>317</v>
      </c>
      <c r="I684">
        <v>18</v>
      </c>
      <c r="J684">
        <v>335</v>
      </c>
      <c r="K684" t="b">
        <f>TrafficData[[#This Row],[disposedChallan]]+TrafficData[[#This Row],[pendingChallan]]=TrafficData[[#This Row],[totalChallan]]</f>
        <v>1</v>
      </c>
      <c r="L684" t="b">
        <f>TrafficData[[#This Row],[pendingAmount]]+TrafficData[[#This Row],[disposedAmount]]=TrafficData[[#This Row],[totalAmount]]</f>
        <v>1</v>
      </c>
      <c r="M684" t="b">
        <f>TrafficData[[#This Row],[pendingCourt]]+TrafficData[[#This Row],[disposedCourt]]=TrafficData[[#This Row],[totalCourt]]</f>
        <v>1</v>
      </c>
      <c r="N684" s="8" t="b">
        <f>AND(TrafficData[[#This Row],[disposedChallan]]&lt;=TrafficData[[#This Row],[totalChallan]],TrafficData[[#This Row],[pendingChallan]]&lt;=TrafficData[[#This Row],[totalChallan]])</f>
        <v>1</v>
      </c>
      <c r="O684" s="8" t="b">
        <f>AND(TrafficData[[#This Row],[pendingAmount]]&lt;=TrafficData[[#This Row],[totalAmount]],TrafficData[[#This Row],[disposedAmount]]&lt;=TrafficData[[#This Row],[totalAmount]])</f>
        <v>1</v>
      </c>
      <c r="P684" s="8" t="b">
        <f>AND(TrafficData[[#This Row],[pendingCourt]]&lt;=TrafficData[[#This Row],[totalCourt]],TrafficData[[#This Row],[disposedCourt]]&lt;=TrafficData[[#This Row],[totalCourt]])</f>
        <v>1</v>
      </c>
    </row>
    <row r="685" spans="1:16">
      <c r="A685" s="1">
        <v>42688</v>
      </c>
      <c r="B685">
        <v>482</v>
      </c>
      <c r="C685">
        <v>79</v>
      </c>
      <c r="D685">
        <v>403</v>
      </c>
      <c r="E685">
        <v>370850</v>
      </c>
      <c r="F685">
        <v>330250</v>
      </c>
      <c r="G685">
        <v>701100</v>
      </c>
      <c r="H685">
        <v>275</v>
      </c>
      <c r="I685">
        <v>11</v>
      </c>
      <c r="J685">
        <v>286</v>
      </c>
      <c r="K685" t="b">
        <f>TrafficData[[#This Row],[disposedChallan]]+TrafficData[[#This Row],[pendingChallan]]=TrafficData[[#This Row],[totalChallan]]</f>
        <v>1</v>
      </c>
      <c r="L685" t="b">
        <f>TrafficData[[#This Row],[pendingAmount]]+TrafficData[[#This Row],[disposedAmount]]=TrafficData[[#This Row],[totalAmount]]</f>
        <v>1</v>
      </c>
      <c r="M685" t="b">
        <f>TrafficData[[#This Row],[pendingCourt]]+TrafficData[[#This Row],[disposedCourt]]=TrafficData[[#This Row],[totalCourt]]</f>
        <v>1</v>
      </c>
      <c r="N685" s="8" t="b">
        <f>AND(TrafficData[[#This Row],[disposedChallan]]&lt;=TrafficData[[#This Row],[totalChallan]],TrafficData[[#This Row],[pendingChallan]]&lt;=TrafficData[[#This Row],[totalChallan]])</f>
        <v>1</v>
      </c>
      <c r="O685" s="8" t="b">
        <f>AND(TrafficData[[#This Row],[pendingAmount]]&lt;=TrafficData[[#This Row],[totalAmount]],TrafficData[[#This Row],[disposedAmount]]&lt;=TrafficData[[#This Row],[totalAmount]])</f>
        <v>1</v>
      </c>
      <c r="P685" s="8" t="b">
        <f>AND(TrafficData[[#This Row],[pendingCourt]]&lt;=TrafficData[[#This Row],[totalCourt]],TrafficData[[#This Row],[disposedCourt]]&lt;=TrafficData[[#This Row],[totalCourt]])</f>
        <v>1</v>
      </c>
    </row>
    <row r="686" spans="1:16">
      <c r="A686" s="1">
        <v>42689</v>
      </c>
      <c r="B686">
        <v>829</v>
      </c>
      <c r="C686">
        <v>87</v>
      </c>
      <c r="D686">
        <v>742</v>
      </c>
      <c r="E686">
        <v>629349</v>
      </c>
      <c r="F686">
        <v>138050</v>
      </c>
      <c r="G686">
        <v>767399</v>
      </c>
      <c r="H686">
        <v>527</v>
      </c>
      <c r="I686">
        <v>13</v>
      </c>
      <c r="J686">
        <v>540</v>
      </c>
      <c r="K686" t="b">
        <f>TrafficData[[#This Row],[disposedChallan]]+TrafficData[[#This Row],[pendingChallan]]=TrafficData[[#This Row],[totalChallan]]</f>
        <v>1</v>
      </c>
      <c r="L686" t="b">
        <f>TrafficData[[#This Row],[pendingAmount]]+TrafficData[[#This Row],[disposedAmount]]=TrafficData[[#This Row],[totalAmount]]</f>
        <v>1</v>
      </c>
      <c r="M686" t="b">
        <f>TrafficData[[#This Row],[pendingCourt]]+TrafficData[[#This Row],[disposedCourt]]=TrafficData[[#This Row],[totalCourt]]</f>
        <v>1</v>
      </c>
      <c r="N686" s="8" t="b">
        <f>AND(TrafficData[[#This Row],[disposedChallan]]&lt;=TrafficData[[#This Row],[totalChallan]],TrafficData[[#This Row],[pendingChallan]]&lt;=TrafficData[[#This Row],[totalChallan]])</f>
        <v>1</v>
      </c>
      <c r="O686" s="8" t="b">
        <f>AND(TrafficData[[#This Row],[pendingAmount]]&lt;=TrafficData[[#This Row],[totalAmount]],TrafficData[[#This Row],[disposedAmount]]&lt;=TrafficData[[#This Row],[totalAmount]])</f>
        <v>1</v>
      </c>
      <c r="P686" s="8" t="b">
        <f>AND(TrafficData[[#This Row],[pendingCourt]]&lt;=TrafficData[[#This Row],[totalCourt]],TrafficData[[#This Row],[disposedCourt]]&lt;=TrafficData[[#This Row],[totalCourt]])</f>
        <v>1</v>
      </c>
    </row>
    <row r="687" spans="1:16">
      <c r="A687" s="1">
        <v>42690</v>
      </c>
      <c r="B687">
        <v>874</v>
      </c>
      <c r="C687">
        <v>107</v>
      </c>
      <c r="D687">
        <v>767</v>
      </c>
      <c r="E687">
        <v>670600</v>
      </c>
      <c r="F687">
        <v>286250</v>
      </c>
      <c r="G687">
        <v>956850</v>
      </c>
      <c r="H687">
        <v>567</v>
      </c>
      <c r="I687">
        <v>37</v>
      </c>
      <c r="J687">
        <v>604</v>
      </c>
      <c r="K687" t="b">
        <f>TrafficData[[#This Row],[disposedChallan]]+TrafficData[[#This Row],[pendingChallan]]=TrafficData[[#This Row],[totalChallan]]</f>
        <v>1</v>
      </c>
      <c r="L687" t="b">
        <f>TrafficData[[#This Row],[pendingAmount]]+TrafficData[[#This Row],[disposedAmount]]=TrafficData[[#This Row],[totalAmount]]</f>
        <v>1</v>
      </c>
      <c r="M687" t="b">
        <f>TrafficData[[#This Row],[pendingCourt]]+TrafficData[[#This Row],[disposedCourt]]=TrafficData[[#This Row],[totalCourt]]</f>
        <v>1</v>
      </c>
      <c r="N687" s="8" t="b">
        <f>AND(TrafficData[[#This Row],[disposedChallan]]&lt;=TrafficData[[#This Row],[totalChallan]],TrafficData[[#This Row],[pendingChallan]]&lt;=TrafficData[[#This Row],[totalChallan]])</f>
        <v>1</v>
      </c>
      <c r="O687" s="8" t="b">
        <f>AND(TrafficData[[#This Row],[pendingAmount]]&lt;=TrafficData[[#This Row],[totalAmount]],TrafficData[[#This Row],[disposedAmount]]&lt;=TrafficData[[#This Row],[totalAmount]])</f>
        <v>1</v>
      </c>
      <c r="P687" s="8" t="b">
        <f>AND(TrafficData[[#This Row],[pendingCourt]]&lt;=TrafficData[[#This Row],[totalCourt]],TrafficData[[#This Row],[disposedCourt]]&lt;=TrafficData[[#This Row],[totalCourt]])</f>
        <v>1</v>
      </c>
    </row>
    <row r="688" spans="1:16">
      <c r="A688" s="1">
        <v>42691</v>
      </c>
      <c r="B688">
        <v>662</v>
      </c>
      <c r="C688">
        <v>100</v>
      </c>
      <c r="D688">
        <v>562</v>
      </c>
      <c r="E688">
        <v>710350</v>
      </c>
      <c r="F688">
        <v>266210</v>
      </c>
      <c r="G688">
        <v>976560</v>
      </c>
      <c r="H688">
        <v>385</v>
      </c>
      <c r="I688">
        <v>22</v>
      </c>
      <c r="J688">
        <v>407</v>
      </c>
      <c r="K688" t="b">
        <f>TrafficData[[#This Row],[disposedChallan]]+TrafficData[[#This Row],[pendingChallan]]=TrafficData[[#This Row],[totalChallan]]</f>
        <v>1</v>
      </c>
      <c r="L688" t="b">
        <f>TrafficData[[#This Row],[pendingAmount]]+TrafficData[[#This Row],[disposedAmount]]=TrafficData[[#This Row],[totalAmount]]</f>
        <v>1</v>
      </c>
      <c r="M688" t="b">
        <f>TrafficData[[#This Row],[pendingCourt]]+TrafficData[[#This Row],[disposedCourt]]=TrafficData[[#This Row],[totalCourt]]</f>
        <v>1</v>
      </c>
      <c r="N688" s="8" t="b">
        <f>AND(TrafficData[[#This Row],[disposedChallan]]&lt;=TrafficData[[#This Row],[totalChallan]],TrafficData[[#This Row],[pendingChallan]]&lt;=TrafficData[[#This Row],[totalChallan]])</f>
        <v>1</v>
      </c>
      <c r="O688" s="8" t="b">
        <f>AND(TrafficData[[#This Row],[pendingAmount]]&lt;=TrafficData[[#This Row],[totalAmount]],TrafficData[[#This Row],[disposedAmount]]&lt;=TrafficData[[#This Row],[totalAmount]])</f>
        <v>1</v>
      </c>
      <c r="P688" s="8" t="b">
        <f>AND(TrafficData[[#This Row],[pendingCourt]]&lt;=TrafficData[[#This Row],[totalCourt]],TrafficData[[#This Row],[disposedCourt]]&lt;=TrafficData[[#This Row],[totalCourt]])</f>
        <v>1</v>
      </c>
    </row>
    <row r="689" spans="1:16">
      <c r="A689" s="1">
        <v>42692</v>
      </c>
      <c r="B689">
        <v>668</v>
      </c>
      <c r="C689">
        <v>106</v>
      </c>
      <c r="D689">
        <v>562</v>
      </c>
      <c r="E689">
        <v>665400</v>
      </c>
      <c r="F689">
        <v>359810</v>
      </c>
      <c r="G689">
        <v>1025210</v>
      </c>
      <c r="H689">
        <v>395</v>
      </c>
      <c r="I689">
        <v>17</v>
      </c>
      <c r="J689">
        <v>412</v>
      </c>
      <c r="K689" t="b">
        <f>TrafficData[[#This Row],[disposedChallan]]+TrafficData[[#This Row],[pendingChallan]]=TrafficData[[#This Row],[totalChallan]]</f>
        <v>1</v>
      </c>
      <c r="L689" t="b">
        <f>TrafficData[[#This Row],[pendingAmount]]+TrafficData[[#This Row],[disposedAmount]]=TrafficData[[#This Row],[totalAmount]]</f>
        <v>1</v>
      </c>
      <c r="M689" t="b">
        <f>TrafficData[[#This Row],[pendingCourt]]+TrafficData[[#This Row],[disposedCourt]]=TrafficData[[#This Row],[totalCourt]]</f>
        <v>1</v>
      </c>
      <c r="N689" s="8" t="b">
        <f>AND(TrafficData[[#This Row],[disposedChallan]]&lt;=TrafficData[[#This Row],[totalChallan]],TrafficData[[#This Row],[pendingChallan]]&lt;=TrafficData[[#This Row],[totalChallan]])</f>
        <v>1</v>
      </c>
      <c r="O689" s="8" t="b">
        <f>AND(TrafficData[[#This Row],[pendingAmount]]&lt;=TrafficData[[#This Row],[totalAmount]],TrafficData[[#This Row],[disposedAmount]]&lt;=TrafficData[[#This Row],[totalAmount]])</f>
        <v>1</v>
      </c>
      <c r="P689" s="8" t="b">
        <f>AND(TrafficData[[#This Row],[pendingCourt]]&lt;=TrafficData[[#This Row],[totalCourt]],TrafficData[[#This Row],[disposedCourt]]&lt;=TrafficData[[#This Row],[totalCourt]])</f>
        <v>1</v>
      </c>
    </row>
    <row r="690" spans="1:16">
      <c r="A690" s="1">
        <v>42693</v>
      </c>
      <c r="B690">
        <v>804</v>
      </c>
      <c r="C690">
        <v>114</v>
      </c>
      <c r="D690">
        <v>690</v>
      </c>
      <c r="E690">
        <v>556900</v>
      </c>
      <c r="F690">
        <v>192900</v>
      </c>
      <c r="G690">
        <v>749800</v>
      </c>
      <c r="H690">
        <v>521</v>
      </c>
      <c r="I690">
        <v>35</v>
      </c>
      <c r="J690">
        <v>556</v>
      </c>
      <c r="K690" t="b">
        <f>TrafficData[[#This Row],[disposedChallan]]+TrafficData[[#This Row],[pendingChallan]]=TrafficData[[#This Row],[totalChallan]]</f>
        <v>1</v>
      </c>
      <c r="L690" t="b">
        <f>TrafficData[[#This Row],[pendingAmount]]+TrafficData[[#This Row],[disposedAmount]]=TrafficData[[#This Row],[totalAmount]]</f>
        <v>1</v>
      </c>
      <c r="M690" t="b">
        <f>TrafficData[[#This Row],[pendingCourt]]+TrafficData[[#This Row],[disposedCourt]]=TrafficData[[#This Row],[totalCourt]]</f>
        <v>1</v>
      </c>
      <c r="N690" s="8" t="b">
        <f>AND(TrafficData[[#This Row],[disposedChallan]]&lt;=TrafficData[[#This Row],[totalChallan]],TrafficData[[#This Row],[pendingChallan]]&lt;=TrafficData[[#This Row],[totalChallan]])</f>
        <v>1</v>
      </c>
      <c r="O690" s="8" t="b">
        <f>AND(TrafficData[[#This Row],[pendingAmount]]&lt;=TrafficData[[#This Row],[totalAmount]],TrafficData[[#This Row],[disposedAmount]]&lt;=TrafficData[[#This Row],[totalAmount]])</f>
        <v>1</v>
      </c>
      <c r="P690" s="8" t="b">
        <f>AND(TrafficData[[#This Row],[pendingCourt]]&lt;=TrafficData[[#This Row],[totalCourt]],TrafficData[[#This Row],[disposedCourt]]&lt;=TrafficData[[#This Row],[totalCourt]])</f>
        <v>1</v>
      </c>
    </row>
    <row r="691" spans="1:16">
      <c r="A691" s="1">
        <v>42694</v>
      </c>
      <c r="B691">
        <v>474</v>
      </c>
      <c r="C691">
        <v>81</v>
      </c>
      <c r="D691">
        <v>393</v>
      </c>
      <c r="E691">
        <v>525450</v>
      </c>
      <c r="F691">
        <v>135015</v>
      </c>
      <c r="G691">
        <v>660465</v>
      </c>
      <c r="H691">
        <v>247</v>
      </c>
      <c r="I691">
        <v>16</v>
      </c>
      <c r="J691">
        <v>263</v>
      </c>
      <c r="K691" t="b">
        <f>TrafficData[[#This Row],[disposedChallan]]+TrafficData[[#This Row],[pendingChallan]]=TrafficData[[#This Row],[totalChallan]]</f>
        <v>1</v>
      </c>
      <c r="L691" t="b">
        <f>TrafficData[[#This Row],[pendingAmount]]+TrafficData[[#This Row],[disposedAmount]]=TrafficData[[#This Row],[totalAmount]]</f>
        <v>1</v>
      </c>
      <c r="M691" t="b">
        <f>TrafficData[[#This Row],[pendingCourt]]+TrafficData[[#This Row],[disposedCourt]]=TrafficData[[#This Row],[totalCourt]]</f>
        <v>1</v>
      </c>
      <c r="N691" s="8" t="b">
        <f>AND(TrafficData[[#This Row],[disposedChallan]]&lt;=TrafficData[[#This Row],[totalChallan]],TrafficData[[#This Row],[pendingChallan]]&lt;=TrafficData[[#This Row],[totalChallan]])</f>
        <v>1</v>
      </c>
      <c r="O691" s="8" t="b">
        <f>AND(TrafficData[[#This Row],[pendingAmount]]&lt;=TrafficData[[#This Row],[totalAmount]],TrafficData[[#This Row],[disposedAmount]]&lt;=TrafficData[[#This Row],[totalAmount]])</f>
        <v>1</v>
      </c>
      <c r="P691" s="8" t="b">
        <f>AND(TrafficData[[#This Row],[pendingCourt]]&lt;=TrafficData[[#This Row],[totalCourt]],TrafficData[[#This Row],[disposedCourt]]&lt;=TrafficData[[#This Row],[totalCourt]])</f>
        <v>1</v>
      </c>
    </row>
    <row r="692" spans="1:16">
      <c r="A692" s="1">
        <v>42695</v>
      </c>
      <c r="B692">
        <v>979</v>
      </c>
      <c r="C692">
        <v>114</v>
      </c>
      <c r="D692">
        <v>865</v>
      </c>
      <c r="E692">
        <v>753390</v>
      </c>
      <c r="F692">
        <v>159600</v>
      </c>
      <c r="G692">
        <v>912990</v>
      </c>
      <c r="H692">
        <v>670</v>
      </c>
      <c r="I692">
        <v>38</v>
      </c>
      <c r="J692">
        <v>708</v>
      </c>
      <c r="K692" t="b">
        <f>TrafficData[[#This Row],[disposedChallan]]+TrafficData[[#This Row],[pendingChallan]]=TrafficData[[#This Row],[totalChallan]]</f>
        <v>1</v>
      </c>
      <c r="L692" t="b">
        <f>TrafficData[[#This Row],[pendingAmount]]+TrafficData[[#This Row],[disposedAmount]]=TrafficData[[#This Row],[totalAmount]]</f>
        <v>1</v>
      </c>
      <c r="M692" t="b">
        <f>TrafficData[[#This Row],[pendingCourt]]+TrafficData[[#This Row],[disposedCourt]]=TrafficData[[#This Row],[totalCourt]]</f>
        <v>1</v>
      </c>
      <c r="N692" s="8" t="b">
        <f>AND(TrafficData[[#This Row],[disposedChallan]]&lt;=TrafficData[[#This Row],[totalChallan]],TrafficData[[#This Row],[pendingChallan]]&lt;=TrafficData[[#This Row],[totalChallan]])</f>
        <v>1</v>
      </c>
      <c r="O692" s="8" t="b">
        <f>AND(TrafficData[[#This Row],[pendingAmount]]&lt;=TrafficData[[#This Row],[totalAmount]],TrafficData[[#This Row],[disposedAmount]]&lt;=TrafficData[[#This Row],[totalAmount]])</f>
        <v>1</v>
      </c>
      <c r="P692" s="8" t="b">
        <f>AND(TrafficData[[#This Row],[pendingCourt]]&lt;=TrafficData[[#This Row],[totalCourt]],TrafficData[[#This Row],[disposedCourt]]&lt;=TrafficData[[#This Row],[totalCourt]])</f>
        <v>1</v>
      </c>
    </row>
    <row r="693" spans="1:16">
      <c r="A693" s="1">
        <v>42696</v>
      </c>
      <c r="B693">
        <v>672</v>
      </c>
      <c r="C693">
        <v>110</v>
      </c>
      <c r="D693">
        <v>562</v>
      </c>
      <c r="E693">
        <v>1054450</v>
      </c>
      <c r="F693">
        <v>285560</v>
      </c>
      <c r="G693">
        <v>1340010</v>
      </c>
      <c r="H693">
        <v>354</v>
      </c>
      <c r="I693">
        <v>21</v>
      </c>
      <c r="J693">
        <v>375</v>
      </c>
      <c r="K693" t="b">
        <f>TrafficData[[#This Row],[disposedChallan]]+TrafficData[[#This Row],[pendingChallan]]=TrafficData[[#This Row],[totalChallan]]</f>
        <v>1</v>
      </c>
      <c r="L693" t="b">
        <f>TrafficData[[#This Row],[pendingAmount]]+TrafficData[[#This Row],[disposedAmount]]=TrafficData[[#This Row],[totalAmount]]</f>
        <v>1</v>
      </c>
      <c r="M693" t="b">
        <f>TrafficData[[#This Row],[pendingCourt]]+TrafficData[[#This Row],[disposedCourt]]=TrafficData[[#This Row],[totalCourt]]</f>
        <v>1</v>
      </c>
      <c r="N693" s="8" t="b">
        <f>AND(TrafficData[[#This Row],[disposedChallan]]&lt;=TrafficData[[#This Row],[totalChallan]],TrafficData[[#This Row],[pendingChallan]]&lt;=TrafficData[[#This Row],[totalChallan]])</f>
        <v>1</v>
      </c>
      <c r="O693" s="8" t="b">
        <f>AND(TrafficData[[#This Row],[pendingAmount]]&lt;=TrafficData[[#This Row],[totalAmount]],TrafficData[[#This Row],[disposedAmount]]&lt;=TrafficData[[#This Row],[totalAmount]])</f>
        <v>1</v>
      </c>
      <c r="P693" s="8" t="b">
        <f>AND(TrafficData[[#This Row],[pendingCourt]]&lt;=TrafficData[[#This Row],[totalCourt]],TrafficData[[#This Row],[disposedCourt]]&lt;=TrafficData[[#This Row],[totalCourt]])</f>
        <v>1</v>
      </c>
    </row>
    <row r="694" spans="1:16">
      <c r="A694" s="1">
        <v>42697</v>
      </c>
      <c r="B694">
        <v>671</v>
      </c>
      <c r="C694">
        <v>129</v>
      </c>
      <c r="D694">
        <v>542</v>
      </c>
      <c r="E694">
        <v>816200</v>
      </c>
      <c r="F694">
        <v>295150</v>
      </c>
      <c r="G694">
        <v>1111350</v>
      </c>
      <c r="H694">
        <v>342</v>
      </c>
      <c r="I694">
        <v>32</v>
      </c>
      <c r="J694">
        <v>374</v>
      </c>
      <c r="K694" t="b">
        <f>TrafficData[[#This Row],[disposedChallan]]+TrafficData[[#This Row],[pendingChallan]]=TrafficData[[#This Row],[totalChallan]]</f>
        <v>1</v>
      </c>
      <c r="L694" t="b">
        <f>TrafficData[[#This Row],[pendingAmount]]+TrafficData[[#This Row],[disposedAmount]]=TrafficData[[#This Row],[totalAmount]]</f>
        <v>1</v>
      </c>
      <c r="M694" t="b">
        <f>TrafficData[[#This Row],[pendingCourt]]+TrafficData[[#This Row],[disposedCourt]]=TrafficData[[#This Row],[totalCourt]]</f>
        <v>1</v>
      </c>
      <c r="N694" s="8" t="b">
        <f>AND(TrafficData[[#This Row],[disposedChallan]]&lt;=TrafficData[[#This Row],[totalChallan]],TrafficData[[#This Row],[pendingChallan]]&lt;=TrafficData[[#This Row],[totalChallan]])</f>
        <v>1</v>
      </c>
      <c r="O694" s="8" t="b">
        <f>AND(TrafficData[[#This Row],[pendingAmount]]&lt;=TrafficData[[#This Row],[totalAmount]],TrafficData[[#This Row],[disposedAmount]]&lt;=TrafficData[[#This Row],[totalAmount]])</f>
        <v>1</v>
      </c>
      <c r="P694" s="8" t="b">
        <f>AND(TrafficData[[#This Row],[pendingCourt]]&lt;=TrafficData[[#This Row],[totalCourt]],TrafficData[[#This Row],[disposedCourt]]&lt;=TrafficData[[#This Row],[totalCourt]])</f>
        <v>1</v>
      </c>
    </row>
    <row r="695" spans="1:16">
      <c r="A695" s="1">
        <v>42698</v>
      </c>
      <c r="B695">
        <v>731</v>
      </c>
      <c r="C695">
        <v>109</v>
      </c>
      <c r="D695">
        <v>622</v>
      </c>
      <c r="E695">
        <v>751300</v>
      </c>
      <c r="F695">
        <v>233650</v>
      </c>
      <c r="G695">
        <v>984950</v>
      </c>
      <c r="H695">
        <v>458</v>
      </c>
      <c r="I695">
        <v>24</v>
      </c>
      <c r="J695">
        <v>482</v>
      </c>
      <c r="K695" t="b">
        <f>TrafficData[[#This Row],[disposedChallan]]+TrafficData[[#This Row],[pendingChallan]]=TrafficData[[#This Row],[totalChallan]]</f>
        <v>1</v>
      </c>
      <c r="L695" t="b">
        <f>TrafficData[[#This Row],[pendingAmount]]+TrafficData[[#This Row],[disposedAmount]]=TrafficData[[#This Row],[totalAmount]]</f>
        <v>1</v>
      </c>
      <c r="M695" t="b">
        <f>TrafficData[[#This Row],[pendingCourt]]+TrafficData[[#This Row],[disposedCourt]]=TrafficData[[#This Row],[totalCourt]]</f>
        <v>1</v>
      </c>
      <c r="N695" s="8" t="b">
        <f>AND(TrafficData[[#This Row],[disposedChallan]]&lt;=TrafficData[[#This Row],[totalChallan]],TrafficData[[#This Row],[pendingChallan]]&lt;=TrafficData[[#This Row],[totalChallan]])</f>
        <v>1</v>
      </c>
      <c r="O695" s="8" t="b">
        <f>AND(TrafficData[[#This Row],[pendingAmount]]&lt;=TrafficData[[#This Row],[totalAmount]],TrafficData[[#This Row],[disposedAmount]]&lt;=TrafficData[[#This Row],[totalAmount]])</f>
        <v>1</v>
      </c>
      <c r="P695" s="8" t="b">
        <f>AND(TrafficData[[#This Row],[pendingCourt]]&lt;=TrafficData[[#This Row],[totalCourt]],TrafficData[[#This Row],[disposedCourt]]&lt;=TrafficData[[#This Row],[totalCourt]])</f>
        <v>1</v>
      </c>
    </row>
    <row r="696" spans="1:16">
      <c r="A696" s="1">
        <v>42699</v>
      </c>
      <c r="B696">
        <v>534</v>
      </c>
      <c r="C696">
        <v>95</v>
      </c>
      <c r="D696">
        <v>439</v>
      </c>
      <c r="E696">
        <v>847650</v>
      </c>
      <c r="F696">
        <v>281650</v>
      </c>
      <c r="G696">
        <v>1129300</v>
      </c>
      <c r="H696">
        <v>260</v>
      </c>
      <c r="I696">
        <v>22</v>
      </c>
      <c r="J696">
        <v>282</v>
      </c>
      <c r="K696" t="b">
        <f>TrafficData[[#This Row],[disposedChallan]]+TrafficData[[#This Row],[pendingChallan]]=TrafficData[[#This Row],[totalChallan]]</f>
        <v>1</v>
      </c>
      <c r="L696" t="b">
        <f>TrafficData[[#This Row],[pendingAmount]]+TrafficData[[#This Row],[disposedAmount]]=TrafficData[[#This Row],[totalAmount]]</f>
        <v>1</v>
      </c>
      <c r="M696" t="b">
        <f>TrafficData[[#This Row],[pendingCourt]]+TrafficData[[#This Row],[disposedCourt]]=TrafficData[[#This Row],[totalCourt]]</f>
        <v>1</v>
      </c>
      <c r="N696" s="8" t="b">
        <f>AND(TrafficData[[#This Row],[disposedChallan]]&lt;=TrafficData[[#This Row],[totalChallan]],TrafficData[[#This Row],[pendingChallan]]&lt;=TrafficData[[#This Row],[totalChallan]])</f>
        <v>1</v>
      </c>
      <c r="O696" s="8" t="b">
        <f>AND(TrafficData[[#This Row],[pendingAmount]]&lt;=TrafficData[[#This Row],[totalAmount]],TrafficData[[#This Row],[disposedAmount]]&lt;=TrafficData[[#This Row],[totalAmount]])</f>
        <v>1</v>
      </c>
      <c r="P696" s="8" t="b">
        <f>AND(TrafficData[[#This Row],[pendingCourt]]&lt;=TrafficData[[#This Row],[totalCourt]],TrafficData[[#This Row],[disposedCourt]]&lt;=TrafficData[[#This Row],[totalCourt]])</f>
        <v>1</v>
      </c>
    </row>
    <row r="697" spans="1:16">
      <c r="A697" s="1">
        <v>42700</v>
      </c>
      <c r="B697">
        <v>714</v>
      </c>
      <c r="C697">
        <v>98</v>
      </c>
      <c r="D697">
        <v>616</v>
      </c>
      <c r="E697">
        <v>988250</v>
      </c>
      <c r="F697">
        <v>150550</v>
      </c>
      <c r="G697">
        <v>1138800</v>
      </c>
      <c r="H697">
        <v>424</v>
      </c>
      <c r="I697">
        <v>16</v>
      </c>
      <c r="J697">
        <v>440</v>
      </c>
      <c r="K697" t="b">
        <f>TrafficData[[#This Row],[disposedChallan]]+TrafficData[[#This Row],[pendingChallan]]=TrafficData[[#This Row],[totalChallan]]</f>
        <v>1</v>
      </c>
      <c r="L697" t="b">
        <f>TrafficData[[#This Row],[pendingAmount]]+TrafficData[[#This Row],[disposedAmount]]=TrafficData[[#This Row],[totalAmount]]</f>
        <v>1</v>
      </c>
      <c r="M697" t="b">
        <f>TrafficData[[#This Row],[pendingCourt]]+TrafficData[[#This Row],[disposedCourt]]=TrafficData[[#This Row],[totalCourt]]</f>
        <v>1</v>
      </c>
      <c r="N697" s="8" t="b">
        <f>AND(TrafficData[[#This Row],[disposedChallan]]&lt;=TrafficData[[#This Row],[totalChallan]],TrafficData[[#This Row],[pendingChallan]]&lt;=TrafficData[[#This Row],[totalChallan]])</f>
        <v>1</v>
      </c>
      <c r="O697" s="8" t="b">
        <f>AND(TrafficData[[#This Row],[pendingAmount]]&lt;=TrafficData[[#This Row],[totalAmount]],TrafficData[[#This Row],[disposedAmount]]&lt;=TrafficData[[#This Row],[totalAmount]])</f>
        <v>1</v>
      </c>
      <c r="P697" s="8" t="b">
        <f>AND(TrafficData[[#This Row],[pendingCourt]]&lt;=TrafficData[[#This Row],[totalCourt]],TrafficData[[#This Row],[disposedCourt]]&lt;=TrafficData[[#This Row],[totalCourt]])</f>
        <v>1</v>
      </c>
    </row>
    <row r="698" spans="1:16">
      <c r="A698" s="1">
        <v>42701</v>
      </c>
      <c r="B698">
        <v>391</v>
      </c>
      <c r="C698">
        <v>58</v>
      </c>
      <c r="D698">
        <v>333</v>
      </c>
      <c r="E698">
        <v>394750</v>
      </c>
      <c r="F698">
        <v>335700</v>
      </c>
      <c r="G698">
        <v>730450</v>
      </c>
      <c r="H698">
        <v>212</v>
      </c>
      <c r="I698">
        <v>14</v>
      </c>
      <c r="J698">
        <v>226</v>
      </c>
      <c r="K698" t="b">
        <f>TrafficData[[#This Row],[disposedChallan]]+TrafficData[[#This Row],[pendingChallan]]=TrafficData[[#This Row],[totalChallan]]</f>
        <v>1</v>
      </c>
      <c r="L698" t="b">
        <f>TrafficData[[#This Row],[pendingAmount]]+TrafficData[[#This Row],[disposedAmount]]=TrafficData[[#This Row],[totalAmount]]</f>
        <v>1</v>
      </c>
      <c r="M698" t="b">
        <f>TrafficData[[#This Row],[pendingCourt]]+TrafficData[[#This Row],[disposedCourt]]=TrafficData[[#This Row],[totalCourt]]</f>
        <v>1</v>
      </c>
      <c r="N698" s="8" t="b">
        <f>AND(TrafficData[[#This Row],[disposedChallan]]&lt;=TrafficData[[#This Row],[totalChallan]],TrafficData[[#This Row],[pendingChallan]]&lt;=TrafficData[[#This Row],[totalChallan]])</f>
        <v>1</v>
      </c>
      <c r="O698" s="8" t="b">
        <f>AND(TrafficData[[#This Row],[pendingAmount]]&lt;=TrafficData[[#This Row],[totalAmount]],TrafficData[[#This Row],[disposedAmount]]&lt;=TrafficData[[#This Row],[totalAmount]])</f>
        <v>1</v>
      </c>
      <c r="P698" s="8" t="b">
        <f>AND(TrafficData[[#This Row],[pendingCourt]]&lt;=TrafficData[[#This Row],[totalCourt]],TrafficData[[#This Row],[disposedCourt]]&lt;=TrafficData[[#This Row],[totalCourt]])</f>
        <v>1</v>
      </c>
    </row>
    <row r="699" spans="1:16">
      <c r="A699" s="1">
        <v>42702</v>
      </c>
      <c r="B699">
        <v>738</v>
      </c>
      <c r="C699">
        <v>161</v>
      </c>
      <c r="D699">
        <v>577</v>
      </c>
      <c r="E699">
        <v>875508</v>
      </c>
      <c r="F699">
        <v>295375</v>
      </c>
      <c r="G699">
        <v>1170883</v>
      </c>
      <c r="H699">
        <v>399</v>
      </c>
      <c r="I699">
        <v>15</v>
      </c>
      <c r="J699">
        <v>414</v>
      </c>
      <c r="K699" t="b">
        <f>TrafficData[[#This Row],[disposedChallan]]+TrafficData[[#This Row],[pendingChallan]]=TrafficData[[#This Row],[totalChallan]]</f>
        <v>1</v>
      </c>
      <c r="L699" t="b">
        <f>TrafficData[[#This Row],[pendingAmount]]+TrafficData[[#This Row],[disposedAmount]]=TrafficData[[#This Row],[totalAmount]]</f>
        <v>1</v>
      </c>
      <c r="M699" t="b">
        <f>TrafficData[[#This Row],[pendingCourt]]+TrafficData[[#This Row],[disposedCourt]]=TrafficData[[#This Row],[totalCourt]]</f>
        <v>1</v>
      </c>
      <c r="N699" s="8" t="b">
        <f>AND(TrafficData[[#This Row],[disposedChallan]]&lt;=TrafficData[[#This Row],[totalChallan]],TrafficData[[#This Row],[pendingChallan]]&lt;=TrafficData[[#This Row],[totalChallan]])</f>
        <v>1</v>
      </c>
      <c r="O699" s="8" t="b">
        <f>AND(TrafficData[[#This Row],[pendingAmount]]&lt;=TrafficData[[#This Row],[totalAmount]],TrafficData[[#This Row],[disposedAmount]]&lt;=TrafficData[[#This Row],[totalAmount]])</f>
        <v>1</v>
      </c>
      <c r="P699" s="8" t="b">
        <f>AND(TrafficData[[#This Row],[pendingCourt]]&lt;=TrafficData[[#This Row],[totalCourt]],TrafficData[[#This Row],[disposedCourt]]&lt;=TrafficData[[#This Row],[totalCourt]])</f>
        <v>1</v>
      </c>
    </row>
    <row r="700" spans="1:16">
      <c r="A700" s="1">
        <v>42703</v>
      </c>
      <c r="B700">
        <v>825</v>
      </c>
      <c r="C700">
        <v>186</v>
      </c>
      <c r="D700">
        <v>639</v>
      </c>
      <c r="E700">
        <v>812950</v>
      </c>
      <c r="F700">
        <v>397100</v>
      </c>
      <c r="G700">
        <v>1210050</v>
      </c>
      <c r="H700">
        <v>486</v>
      </c>
      <c r="I700">
        <v>36</v>
      </c>
      <c r="J700">
        <v>522</v>
      </c>
      <c r="K700" t="b">
        <f>TrafficData[[#This Row],[disposedChallan]]+TrafficData[[#This Row],[pendingChallan]]=TrafficData[[#This Row],[totalChallan]]</f>
        <v>1</v>
      </c>
      <c r="L700" t="b">
        <f>TrafficData[[#This Row],[pendingAmount]]+TrafficData[[#This Row],[disposedAmount]]=TrafficData[[#This Row],[totalAmount]]</f>
        <v>1</v>
      </c>
      <c r="M700" t="b">
        <f>TrafficData[[#This Row],[pendingCourt]]+TrafficData[[#This Row],[disposedCourt]]=TrafficData[[#This Row],[totalCourt]]</f>
        <v>1</v>
      </c>
      <c r="N700" s="8" t="b">
        <f>AND(TrafficData[[#This Row],[disposedChallan]]&lt;=TrafficData[[#This Row],[totalChallan]],TrafficData[[#This Row],[pendingChallan]]&lt;=TrafficData[[#This Row],[totalChallan]])</f>
        <v>1</v>
      </c>
      <c r="O700" s="8" t="b">
        <f>AND(TrafficData[[#This Row],[pendingAmount]]&lt;=TrafficData[[#This Row],[totalAmount]],TrafficData[[#This Row],[disposedAmount]]&lt;=TrafficData[[#This Row],[totalAmount]])</f>
        <v>1</v>
      </c>
      <c r="P700" s="8" t="b">
        <f>AND(TrafficData[[#This Row],[pendingCourt]]&lt;=TrafficData[[#This Row],[totalCourt]],TrafficData[[#This Row],[disposedCourt]]&lt;=TrafficData[[#This Row],[totalCourt]])</f>
        <v>1</v>
      </c>
    </row>
    <row r="701" spans="1:16">
      <c r="A701" s="1">
        <v>42704</v>
      </c>
      <c r="B701">
        <v>796</v>
      </c>
      <c r="C701">
        <v>144</v>
      </c>
      <c r="D701">
        <v>652</v>
      </c>
      <c r="E701">
        <v>946250</v>
      </c>
      <c r="F701">
        <v>205791</v>
      </c>
      <c r="G701">
        <v>1152041</v>
      </c>
      <c r="H701">
        <v>459</v>
      </c>
      <c r="I701">
        <v>34</v>
      </c>
      <c r="J701">
        <v>493</v>
      </c>
      <c r="K701" t="b">
        <f>TrafficData[[#This Row],[disposedChallan]]+TrafficData[[#This Row],[pendingChallan]]=TrafficData[[#This Row],[totalChallan]]</f>
        <v>1</v>
      </c>
      <c r="L701" t="b">
        <f>TrafficData[[#This Row],[pendingAmount]]+TrafficData[[#This Row],[disposedAmount]]=TrafficData[[#This Row],[totalAmount]]</f>
        <v>1</v>
      </c>
      <c r="M701" t="b">
        <f>TrafficData[[#This Row],[pendingCourt]]+TrafficData[[#This Row],[disposedCourt]]=TrafficData[[#This Row],[totalCourt]]</f>
        <v>1</v>
      </c>
      <c r="N701" s="8" t="b">
        <f>AND(TrafficData[[#This Row],[disposedChallan]]&lt;=TrafficData[[#This Row],[totalChallan]],TrafficData[[#This Row],[pendingChallan]]&lt;=TrafficData[[#This Row],[totalChallan]])</f>
        <v>1</v>
      </c>
      <c r="O701" s="8" t="b">
        <f>AND(TrafficData[[#This Row],[pendingAmount]]&lt;=TrafficData[[#This Row],[totalAmount]],TrafficData[[#This Row],[disposedAmount]]&lt;=TrafficData[[#This Row],[totalAmount]])</f>
        <v>1</v>
      </c>
      <c r="P701" s="8" t="b">
        <f>AND(TrafficData[[#This Row],[pendingCourt]]&lt;=TrafficData[[#This Row],[totalCourt]],TrafficData[[#This Row],[disposedCourt]]&lt;=TrafficData[[#This Row],[totalCourt]])</f>
        <v>1</v>
      </c>
    </row>
    <row r="702" spans="1:16">
      <c r="A702" s="1">
        <v>42705</v>
      </c>
      <c r="B702">
        <v>888</v>
      </c>
      <c r="C702">
        <v>141</v>
      </c>
      <c r="D702">
        <v>747</v>
      </c>
      <c r="E702">
        <v>1115650</v>
      </c>
      <c r="F702">
        <v>361881</v>
      </c>
      <c r="G702">
        <v>1477531</v>
      </c>
      <c r="H702">
        <v>528</v>
      </c>
      <c r="I702">
        <v>46</v>
      </c>
      <c r="J702">
        <v>574</v>
      </c>
      <c r="K702" t="b">
        <f>TrafficData[[#This Row],[disposedChallan]]+TrafficData[[#This Row],[pendingChallan]]=TrafficData[[#This Row],[totalChallan]]</f>
        <v>1</v>
      </c>
      <c r="L702" t="b">
        <f>TrafficData[[#This Row],[pendingAmount]]+TrafficData[[#This Row],[disposedAmount]]=TrafficData[[#This Row],[totalAmount]]</f>
        <v>1</v>
      </c>
      <c r="M702" t="b">
        <f>TrafficData[[#This Row],[pendingCourt]]+TrafficData[[#This Row],[disposedCourt]]=TrafficData[[#This Row],[totalCourt]]</f>
        <v>1</v>
      </c>
      <c r="N702" s="8" t="b">
        <f>AND(TrafficData[[#This Row],[disposedChallan]]&lt;=TrafficData[[#This Row],[totalChallan]],TrafficData[[#This Row],[pendingChallan]]&lt;=TrafficData[[#This Row],[totalChallan]])</f>
        <v>1</v>
      </c>
      <c r="O702" s="8" t="b">
        <f>AND(TrafficData[[#This Row],[pendingAmount]]&lt;=TrafficData[[#This Row],[totalAmount]],TrafficData[[#This Row],[disposedAmount]]&lt;=TrafficData[[#This Row],[totalAmount]])</f>
        <v>1</v>
      </c>
      <c r="P702" s="8" t="b">
        <f>AND(TrafficData[[#This Row],[pendingCourt]]&lt;=TrafficData[[#This Row],[totalCourt]],TrafficData[[#This Row],[disposedCourt]]&lt;=TrafficData[[#This Row],[totalCourt]])</f>
        <v>1</v>
      </c>
    </row>
    <row r="703" spans="1:16">
      <c r="A703" s="1">
        <v>42706</v>
      </c>
      <c r="B703">
        <v>851</v>
      </c>
      <c r="C703">
        <v>113</v>
      </c>
      <c r="D703">
        <v>738</v>
      </c>
      <c r="E703">
        <v>1025160</v>
      </c>
      <c r="F703">
        <v>282965</v>
      </c>
      <c r="G703">
        <v>1308125</v>
      </c>
      <c r="H703">
        <v>534</v>
      </c>
      <c r="I703">
        <v>32</v>
      </c>
      <c r="J703">
        <v>566</v>
      </c>
      <c r="K703" t="b">
        <f>TrafficData[[#This Row],[disposedChallan]]+TrafficData[[#This Row],[pendingChallan]]=TrafficData[[#This Row],[totalChallan]]</f>
        <v>1</v>
      </c>
      <c r="L703" t="b">
        <f>TrafficData[[#This Row],[pendingAmount]]+TrafficData[[#This Row],[disposedAmount]]=TrafficData[[#This Row],[totalAmount]]</f>
        <v>1</v>
      </c>
      <c r="M703" t="b">
        <f>TrafficData[[#This Row],[pendingCourt]]+TrafficData[[#This Row],[disposedCourt]]=TrafficData[[#This Row],[totalCourt]]</f>
        <v>1</v>
      </c>
      <c r="N703" s="8" t="b">
        <f>AND(TrafficData[[#This Row],[disposedChallan]]&lt;=TrafficData[[#This Row],[totalChallan]],TrafficData[[#This Row],[pendingChallan]]&lt;=TrafficData[[#This Row],[totalChallan]])</f>
        <v>1</v>
      </c>
      <c r="O703" s="8" t="b">
        <f>AND(TrafficData[[#This Row],[pendingAmount]]&lt;=TrafficData[[#This Row],[totalAmount]],TrafficData[[#This Row],[disposedAmount]]&lt;=TrafficData[[#This Row],[totalAmount]])</f>
        <v>1</v>
      </c>
      <c r="P703" s="8" t="b">
        <f>AND(TrafficData[[#This Row],[pendingCourt]]&lt;=TrafficData[[#This Row],[totalCourt]],TrafficData[[#This Row],[disposedCourt]]&lt;=TrafficData[[#This Row],[totalCourt]])</f>
        <v>1</v>
      </c>
    </row>
    <row r="704" spans="1:16">
      <c r="A704" s="1">
        <v>42707</v>
      </c>
      <c r="B704">
        <v>715</v>
      </c>
      <c r="C704">
        <v>111</v>
      </c>
      <c r="D704">
        <v>604</v>
      </c>
      <c r="E704">
        <v>1023800</v>
      </c>
      <c r="F704">
        <v>360545</v>
      </c>
      <c r="G704">
        <v>1384345</v>
      </c>
      <c r="H704">
        <v>422</v>
      </c>
      <c r="I704">
        <v>22</v>
      </c>
      <c r="J704">
        <v>444</v>
      </c>
      <c r="K704" t="b">
        <f>TrafficData[[#This Row],[disposedChallan]]+TrafficData[[#This Row],[pendingChallan]]=TrafficData[[#This Row],[totalChallan]]</f>
        <v>1</v>
      </c>
      <c r="L704" t="b">
        <f>TrafficData[[#This Row],[pendingAmount]]+TrafficData[[#This Row],[disposedAmount]]=TrafficData[[#This Row],[totalAmount]]</f>
        <v>1</v>
      </c>
      <c r="M704" t="b">
        <f>TrafficData[[#This Row],[pendingCourt]]+TrafficData[[#This Row],[disposedCourt]]=TrafficData[[#This Row],[totalCourt]]</f>
        <v>1</v>
      </c>
      <c r="N704" s="8" t="b">
        <f>AND(TrafficData[[#This Row],[disposedChallan]]&lt;=TrafficData[[#This Row],[totalChallan]],TrafficData[[#This Row],[pendingChallan]]&lt;=TrafficData[[#This Row],[totalChallan]])</f>
        <v>1</v>
      </c>
      <c r="O704" s="8" t="b">
        <f>AND(TrafficData[[#This Row],[pendingAmount]]&lt;=TrafficData[[#This Row],[totalAmount]],TrafficData[[#This Row],[disposedAmount]]&lt;=TrafficData[[#This Row],[totalAmount]])</f>
        <v>1</v>
      </c>
      <c r="P704" s="8" t="b">
        <f>AND(TrafficData[[#This Row],[pendingCourt]]&lt;=TrafficData[[#This Row],[totalCourt]],TrafficData[[#This Row],[disposedCourt]]&lt;=TrafficData[[#This Row],[totalCourt]])</f>
        <v>1</v>
      </c>
    </row>
    <row r="705" spans="1:16">
      <c r="A705" s="1">
        <v>42708</v>
      </c>
      <c r="B705">
        <v>621</v>
      </c>
      <c r="C705">
        <v>91</v>
      </c>
      <c r="D705">
        <v>530</v>
      </c>
      <c r="E705">
        <v>631400</v>
      </c>
      <c r="F705">
        <v>138938</v>
      </c>
      <c r="G705">
        <v>770338</v>
      </c>
      <c r="H705">
        <v>427</v>
      </c>
      <c r="I705">
        <v>28</v>
      </c>
      <c r="J705">
        <v>455</v>
      </c>
      <c r="K705" t="b">
        <f>TrafficData[[#This Row],[disposedChallan]]+TrafficData[[#This Row],[pendingChallan]]=TrafficData[[#This Row],[totalChallan]]</f>
        <v>1</v>
      </c>
      <c r="L705" t="b">
        <f>TrafficData[[#This Row],[pendingAmount]]+TrafficData[[#This Row],[disposedAmount]]=TrafficData[[#This Row],[totalAmount]]</f>
        <v>1</v>
      </c>
      <c r="M705" t="b">
        <f>TrafficData[[#This Row],[pendingCourt]]+TrafficData[[#This Row],[disposedCourt]]=TrafficData[[#This Row],[totalCourt]]</f>
        <v>1</v>
      </c>
      <c r="N705" s="8" t="b">
        <f>AND(TrafficData[[#This Row],[disposedChallan]]&lt;=TrafficData[[#This Row],[totalChallan]],TrafficData[[#This Row],[pendingChallan]]&lt;=TrafficData[[#This Row],[totalChallan]])</f>
        <v>1</v>
      </c>
      <c r="O705" s="8" t="b">
        <f>AND(TrafficData[[#This Row],[pendingAmount]]&lt;=TrafficData[[#This Row],[totalAmount]],TrafficData[[#This Row],[disposedAmount]]&lt;=TrafficData[[#This Row],[totalAmount]])</f>
        <v>1</v>
      </c>
      <c r="P705" s="8" t="b">
        <f>AND(TrafficData[[#This Row],[pendingCourt]]&lt;=TrafficData[[#This Row],[totalCourt]],TrafficData[[#This Row],[disposedCourt]]&lt;=TrafficData[[#This Row],[totalCourt]])</f>
        <v>1</v>
      </c>
    </row>
    <row r="706" spans="1:16">
      <c r="A706" s="1">
        <v>42709</v>
      </c>
      <c r="B706">
        <v>1030</v>
      </c>
      <c r="C706">
        <v>145</v>
      </c>
      <c r="D706">
        <v>885</v>
      </c>
      <c r="E706">
        <v>906548</v>
      </c>
      <c r="F706">
        <v>260651</v>
      </c>
      <c r="G706">
        <v>1167199</v>
      </c>
      <c r="H706">
        <v>642</v>
      </c>
      <c r="I706">
        <v>54</v>
      </c>
      <c r="J706">
        <v>696</v>
      </c>
      <c r="K706" t="b">
        <f>TrafficData[[#This Row],[disposedChallan]]+TrafficData[[#This Row],[pendingChallan]]=TrafficData[[#This Row],[totalChallan]]</f>
        <v>1</v>
      </c>
      <c r="L706" t="b">
        <f>TrafficData[[#This Row],[pendingAmount]]+TrafficData[[#This Row],[disposedAmount]]=TrafficData[[#This Row],[totalAmount]]</f>
        <v>1</v>
      </c>
      <c r="M706" t="b">
        <f>TrafficData[[#This Row],[pendingCourt]]+TrafficData[[#This Row],[disposedCourt]]=TrafficData[[#This Row],[totalCourt]]</f>
        <v>1</v>
      </c>
      <c r="N706" s="8" t="b">
        <f>AND(TrafficData[[#This Row],[disposedChallan]]&lt;=TrafficData[[#This Row],[totalChallan]],TrafficData[[#This Row],[pendingChallan]]&lt;=TrafficData[[#This Row],[totalChallan]])</f>
        <v>1</v>
      </c>
      <c r="O706" s="8" t="b">
        <f>AND(TrafficData[[#This Row],[pendingAmount]]&lt;=TrafficData[[#This Row],[totalAmount]],TrafficData[[#This Row],[disposedAmount]]&lt;=TrafficData[[#This Row],[totalAmount]])</f>
        <v>1</v>
      </c>
      <c r="P706" s="8" t="b">
        <f>AND(TrafficData[[#This Row],[pendingCourt]]&lt;=TrafficData[[#This Row],[totalCourt]],TrafficData[[#This Row],[disposedCourt]]&lt;=TrafficData[[#This Row],[totalCourt]])</f>
        <v>1</v>
      </c>
    </row>
    <row r="707" spans="1:16">
      <c r="A707" s="1">
        <v>42710</v>
      </c>
      <c r="B707">
        <v>1011</v>
      </c>
      <c r="C707">
        <v>120</v>
      </c>
      <c r="D707">
        <v>891</v>
      </c>
      <c r="E707">
        <v>871150</v>
      </c>
      <c r="F707">
        <v>187300</v>
      </c>
      <c r="G707">
        <v>1058450</v>
      </c>
      <c r="H707">
        <v>697</v>
      </c>
      <c r="I707">
        <v>19</v>
      </c>
      <c r="J707">
        <v>716</v>
      </c>
      <c r="K707" t="b">
        <f>TrafficData[[#This Row],[disposedChallan]]+TrafficData[[#This Row],[pendingChallan]]=TrafficData[[#This Row],[totalChallan]]</f>
        <v>1</v>
      </c>
      <c r="L707" t="b">
        <f>TrafficData[[#This Row],[pendingAmount]]+TrafficData[[#This Row],[disposedAmount]]=TrafficData[[#This Row],[totalAmount]]</f>
        <v>1</v>
      </c>
      <c r="M707" t="b">
        <f>TrafficData[[#This Row],[pendingCourt]]+TrafficData[[#This Row],[disposedCourt]]=TrafficData[[#This Row],[totalCourt]]</f>
        <v>1</v>
      </c>
      <c r="N707" s="8" t="b">
        <f>AND(TrafficData[[#This Row],[disposedChallan]]&lt;=TrafficData[[#This Row],[totalChallan]],TrafficData[[#This Row],[pendingChallan]]&lt;=TrafficData[[#This Row],[totalChallan]])</f>
        <v>1</v>
      </c>
      <c r="O707" s="8" t="b">
        <f>AND(TrafficData[[#This Row],[pendingAmount]]&lt;=TrafficData[[#This Row],[totalAmount]],TrafficData[[#This Row],[disposedAmount]]&lt;=TrafficData[[#This Row],[totalAmount]])</f>
        <v>1</v>
      </c>
      <c r="P707" s="8" t="b">
        <f>AND(TrafficData[[#This Row],[pendingCourt]]&lt;=TrafficData[[#This Row],[totalCourt]],TrafficData[[#This Row],[disposedCourt]]&lt;=TrafficData[[#This Row],[totalCourt]])</f>
        <v>1</v>
      </c>
    </row>
    <row r="708" spans="1:16">
      <c r="A708" s="1">
        <v>42711</v>
      </c>
      <c r="B708">
        <v>1160</v>
      </c>
      <c r="C708">
        <v>165</v>
      </c>
      <c r="D708">
        <v>995</v>
      </c>
      <c r="E708">
        <v>1073699</v>
      </c>
      <c r="F708">
        <v>268425</v>
      </c>
      <c r="G708">
        <v>1342124</v>
      </c>
      <c r="H708">
        <v>750</v>
      </c>
      <c r="I708">
        <v>44</v>
      </c>
      <c r="J708">
        <v>794</v>
      </c>
      <c r="K708" t="b">
        <f>TrafficData[[#This Row],[disposedChallan]]+TrafficData[[#This Row],[pendingChallan]]=TrafficData[[#This Row],[totalChallan]]</f>
        <v>1</v>
      </c>
      <c r="L708" t="b">
        <f>TrafficData[[#This Row],[pendingAmount]]+TrafficData[[#This Row],[disposedAmount]]=TrafficData[[#This Row],[totalAmount]]</f>
        <v>1</v>
      </c>
      <c r="M708" t="b">
        <f>TrafficData[[#This Row],[pendingCourt]]+TrafficData[[#This Row],[disposedCourt]]=TrafficData[[#This Row],[totalCourt]]</f>
        <v>1</v>
      </c>
      <c r="N708" s="8" t="b">
        <f>AND(TrafficData[[#This Row],[disposedChallan]]&lt;=TrafficData[[#This Row],[totalChallan]],TrafficData[[#This Row],[pendingChallan]]&lt;=TrafficData[[#This Row],[totalChallan]])</f>
        <v>1</v>
      </c>
      <c r="O708" s="8" t="b">
        <f>AND(TrafficData[[#This Row],[pendingAmount]]&lt;=TrafficData[[#This Row],[totalAmount]],TrafficData[[#This Row],[disposedAmount]]&lt;=TrafficData[[#This Row],[totalAmount]])</f>
        <v>1</v>
      </c>
      <c r="P708" s="8" t="b">
        <f>AND(TrafficData[[#This Row],[pendingCourt]]&lt;=TrafficData[[#This Row],[totalCourt]],TrafficData[[#This Row],[disposedCourt]]&lt;=TrafficData[[#This Row],[totalCourt]])</f>
        <v>1</v>
      </c>
    </row>
    <row r="709" spans="1:16">
      <c r="A709" s="1">
        <v>42712</v>
      </c>
      <c r="B709">
        <v>1096</v>
      </c>
      <c r="C709">
        <v>200</v>
      </c>
      <c r="D709">
        <v>896</v>
      </c>
      <c r="E709">
        <v>911801</v>
      </c>
      <c r="F709">
        <v>403610</v>
      </c>
      <c r="G709">
        <v>1315411</v>
      </c>
      <c r="H709">
        <v>700</v>
      </c>
      <c r="I709">
        <v>63</v>
      </c>
      <c r="J709">
        <v>763</v>
      </c>
      <c r="K709" t="b">
        <f>TrafficData[[#This Row],[disposedChallan]]+TrafficData[[#This Row],[pendingChallan]]=TrafficData[[#This Row],[totalChallan]]</f>
        <v>1</v>
      </c>
      <c r="L709" t="b">
        <f>TrafficData[[#This Row],[pendingAmount]]+TrafficData[[#This Row],[disposedAmount]]=TrafficData[[#This Row],[totalAmount]]</f>
        <v>1</v>
      </c>
      <c r="M709" t="b">
        <f>TrafficData[[#This Row],[pendingCourt]]+TrafficData[[#This Row],[disposedCourt]]=TrafficData[[#This Row],[totalCourt]]</f>
        <v>1</v>
      </c>
      <c r="N709" s="8" t="b">
        <f>AND(TrafficData[[#This Row],[disposedChallan]]&lt;=TrafficData[[#This Row],[totalChallan]],TrafficData[[#This Row],[pendingChallan]]&lt;=TrafficData[[#This Row],[totalChallan]])</f>
        <v>1</v>
      </c>
      <c r="O709" s="8" t="b">
        <f>AND(TrafficData[[#This Row],[pendingAmount]]&lt;=TrafficData[[#This Row],[totalAmount]],TrafficData[[#This Row],[disposedAmount]]&lt;=TrafficData[[#This Row],[totalAmount]])</f>
        <v>1</v>
      </c>
      <c r="P709" s="8" t="b">
        <f>AND(TrafficData[[#This Row],[pendingCourt]]&lt;=TrafficData[[#This Row],[totalCourt]],TrafficData[[#This Row],[disposedCourt]]&lt;=TrafficData[[#This Row],[totalCourt]])</f>
        <v>1</v>
      </c>
    </row>
    <row r="710" spans="1:16">
      <c r="A710" s="1">
        <v>42713</v>
      </c>
      <c r="B710">
        <v>1354</v>
      </c>
      <c r="C710">
        <v>200</v>
      </c>
      <c r="D710">
        <v>1154</v>
      </c>
      <c r="E710">
        <v>765670</v>
      </c>
      <c r="F710">
        <v>315950</v>
      </c>
      <c r="G710">
        <v>1081620</v>
      </c>
      <c r="H710">
        <v>1006</v>
      </c>
      <c r="I710">
        <v>71</v>
      </c>
      <c r="J710">
        <v>1077</v>
      </c>
      <c r="K710" t="b">
        <f>TrafficData[[#This Row],[disposedChallan]]+TrafficData[[#This Row],[pendingChallan]]=TrafficData[[#This Row],[totalChallan]]</f>
        <v>1</v>
      </c>
      <c r="L710" t="b">
        <f>TrafficData[[#This Row],[pendingAmount]]+TrafficData[[#This Row],[disposedAmount]]=TrafficData[[#This Row],[totalAmount]]</f>
        <v>1</v>
      </c>
      <c r="M710" t="b">
        <f>TrafficData[[#This Row],[pendingCourt]]+TrafficData[[#This Row],[disposedCourt]]=TrafficData[[#This Row],[totalCourt]]</f>
        <v>1</v>
      </c>
      <c r="N710" s="8" t="b">
        <f>AND(TrafficData[[#This Row],[disposedChallan]]&lt;=TrafficData[[#This Row],[totalChallan]],TrafficData[[#This Row],[pendingChallan]]&lt;=TrafficData[[#This Row],[totalChallan]])</f>
        <v>1</v>
      </c>
      <c r="O710" s="8" t="b">
        <f>AND(TrafficData[[#This Row],[pendingAmount]]&lt;=TrafficData[[#This Row],[totalAmount]],TrafficData[[#This Row],[disposedAmount]]&lt;=TrafficData[[#This Row],[totalAmount]])</f>
        <v>1</v>
      </c>
      <c r="P710" s="8" t="b">
        <f>AND(TrafficData[[#This Row],[pendingCourt]]&lt;=TrafficData[[#This Row],[totalCourt]],TrafficData[[#This Row],[disposedCourt]]&lt;=TrafficData[[#This Row],[totalCourt]])</f>
        <v>1</v>
      </c>
    </row>
    <row r="711" spans="1:16">
      <c r="A711" s="1">
        <v>42714</v>
      </c>
      <c r="B711">
        <v>804</v>
      </c>
      <c r="C711">
        <v>119</v>
      </c>
      <c r="D711">
        <v>685</v>
      </c>
      <c r="E711">
        <v>707704</v>
      </c>
      <c r="F711">
        <v>232595</v>
      </c>
      <c r="G711">
        <v>940299</v>
      </c>
      <c r="H711">
        <v>545</v>
      </c>
      <c r="I711">
        <v>33</v>
      </c>
      <c r="J711">
        <v>578</v>
      </c>
      <c r="K711" t="b">
        <f>TrafficData[[#This Row],[disposedChallan]]+TrafficData[[#This Row],[pendingChallan]]=TrafficData[[#This Row],[totalChallan]]</f>
        <v>1</v>
      </c>
      <c r="L711" t="b">
        <f>TrafficData[[#This Row],[pendingAmount]]+TrafficData[[#This Row],[disposedAmount]]=TrafficData[[#This Row],[totalAmount]]</f>
        <v>1</v>
      </c>
      <c r="M711" t="b">
        <f>TrafficData[[#This Row],[pendingCourt]]+TrafficData[[#This Row],[disposedCourt]]=TrafficData[[#This Row],[totalCourt]]</f>
        <v>1</v>
      </c>
      <c r="N711" s="8" t="b">
        <f>AND(TrafficData[[#This Row],[disposedChallan]]&lt;=TrafficData[[#This Row],[totalChallan]],TrafficData[[#This Row],[pendingChallan]]&lt;=TrafficData[[#This Row],[totalChallan]])</f>
        <v>1</v>
      </c>
      <c r="O711" s="8" t="b">
        <f>AND(TrafficData[[#This Row],[pendingAmount]]&lt;=TrafficData[[#This Row],[totalAmount]],TrafficData[[#This Row],[disposedAmount]]&lt;=TrafficData[[#This Row],[totalAmount]])</f>
        <v>1</v>
      </c>
      <c r="P711" s="8" t="b">
        <f>AND(TrafficData[[#This Row],[pendingCourt]]&lt;=TrafficData[[#This Row],[totalCourt]],TrafficData[[#This Row],[disposedCourt]]&lt;=TrafficData[[#This Row],[totalCourt]])</f>
        <v>1</v>
      </c>
    </row>
    <row r="712" spans="1:16">
      <c r="A712" s="1">
        <v>42715</v>
      </c>
      <c r="B712">
        <v>631</v>
      </c>
      <c r="C712">
        <v>93</v>
      </c>
      <c r="D712">
        <v>538</v>
      </c>
      <c r="E712">
        <v>521600</v>
      </c>
      <c r="F712">
        <v>145290</v>
      </c>
      <c r="G712">
        <v>666890</v>
      </c>
      <c r="H712">
        <v>412</v>
      </c>
      <c r="I712">
        <v>27</v>
      </c>
      <c r="J712">
        <v>439</v>
      </c>
      <c r="K712" t="b">
        <f>TrafficData[[#This Row],[disposedChallan]]+TrafficData[[#This Row],[pendingChallan]]=TrafficData[[#This Row],[totalChallan]]</f>
        <v>1</v>
      </c>
      <c r="L712" t="b">
        <f>TrafficData[[#This Row],[pendingAmount]]+TrafficData[[#This Row],[disposedAmount]]=TrafficData[[#This Row],[totalAmount]]</f>
        <v>1</v>
      </c>
      <c r="M712" t="b">
        <f>TrafficData[[#This Row],[pendingCourt]]+TrafficData[[#This Row],[disposedCourt]]=TrafficData[[#This Row],[totalCourt]]</f>
        <v>1</v>
      </c>
      <c r="N712" s="8" t="b">
        <f>AND(TrafficData[[#This Row],[disposedChallan]]&lt;=TrafficData[[#This Row],[totalChallan]],TrafficData[[#This Row],[pendingChallan]]&lt;=TrafficData[[#This Row],[totalChallan]])</f>
        <v>1</v>
      </c>
      <c r="O712" s="8" t="b">
        <f>AND(TrafficData[[#This Row],[pendingAmount]]&lt;=TrafficData[[#This Row],[totalAmount]],TrafficData[[#This Row],[disposedAmount]]&lt;=TrafficData[[#This Row],[totalAmount]])</f>
        <v>1</v>
      </c>
      <c r="P712" s="8" t="b">
        <f>AND(TrafficData[[#This Row],[pendingCourt]]&lt;=TrafficData[[#This Row],[totalCourt]],TrafficData[[#This Row],[disposedCourt]]&lt;=TrafficData[[#This Row],[totalCourt]])</f>
        <v>1</v>
      </c>
    </row>
    <row r="713" spans="1:16">
      <c r="A713" s="1">
        <v>42716</v>
      </c>
      <c r="B713">
        <v>818</v>
      </c>
      <c r="C713">
        <v>146</v>
      </c>
      <c r="D713">
        <v>672</v>
      </c>
      <c r="E713">
        <v>650850</v>
      </c>
      <c r="F713">
        <v>416300</v>
      </c>
      <c r="G713">
        <v>1067150</v>
      </c>
      <c r="H713">
        <v>529</v>
      </c>
      <c r="I713">
        <v>40</v>
      </c>
      <c r="J713">
        <v>569</v>
      </c>
      <c r="K713" t="b">
        <f>TrafficData[[#This Row],[disposedChallan]]+TrafficData[[#This Row],[pendingChallan]]=TrafficData[[#This Row],[totalChallan]]</f>
        <v>1</v>
      </c>
      <c r="L713" t="b">
        <f>TrafficData[[#This Row],[pendingAmount]]+TrafficData[[#This Row],[disposedAmount]]=TrafficData[[#This Row],[totalAmount]]</f>
        <v>1</v>
      </c>
      <c r="M713" t="b">
        <f>TrafficData[[#This Row],[pendingCourt]]+TrafficData[[#This Row],[disposedCourt]]=TrafficData[[#This Row],[totalCourt]]</f>
        <v>1</v>
      </c>
      <c r="N713" s="8" t="b">
        <f>AND(TrafficData[[#This Row],[disposedChallan]]&lt;=TrafficData[[#This Row],[totalChallan]],TrafficData[[#This Row],[pendingChallan]]&lt;=TrafficData[[#This Row],[totalChallan]])</f>
        <v>1</v>
      </c>
      <c r="O713" s="8" t="b">
        <f>AND(TrafficData[[#This Row],[pendingAmount]]&lt;=TrafficData[[#This Row],[totalAmount]],TrafficData[[#This Row],[disposedAmount]]&lt;=TrafficData[[#This Row],[totalAmount]])</f>
        <v>1</v>
      </c>
      <c r="P713" s="8" t="b">
        <f>AND(TrafficData[[#This Row],[pendingCourt]]&lt;=TrafficData[[#This Row],[totalCourt]],TrafficData[[#This Row],[disposedCourt]]&lt;=TrafficData[[#This Row],[totalCourt]])</f>
        <v>1</v>
      </c>
    </row>
    <row r="714" spans="1:16">
      <c r="A714" s="1">
        <v>42717</v>
      </c>
      <c r="B714">
        <v>965</v>
      </c>
      <c r="C714">
        <v>185</v>
      </c>
      <c r="D714">
        <v>780</v>
      </c>
      <c r="E714">
        <v>1082879</v>
      </c>
      <c r="F714">
        <v>408535</v>
      </c>
      <c r="G714">
        <v>1491414</v>
      </c>
      <c r="H714">
        <v>593</v>
      </c>
      <c r="I714">
        <v>52</v>
      </c>
      <c r="J714">
        <v>645</v>
      </c>
      <c r="K714" t="b">
        <f>TrafficData[[#This Row],[disposedChallan]]+TrafficData[[#This Row],[pendingChallan]]=TrafficData[[#This Row],[totalChallan]]</f>
        <v>1</v>
      </c>
      <c r="L714" t="b">
        <f>TrafficData[[#This Row],[pendingAmount]]+TrafficData[[#This Row],[disposedAmount]]=TrafficData[[#This Row],[totalAmount]]</f>
        <v>1</v>
      </c>
      <c r="M714" t="b">
        <f>TrafficData[[#This Row],[pendingCourt]]+TrafficData[[#This Row],[disposedCourt]]=TrafficData[[#This Row],[totalCourt]]</f>
        <v>1</v>
      </c>
      <c r="N714" s="8" t="b">
        <f>AND(TrafficData[[#This Row],[disposedChallan]]&lt;=TrafficData[[#This Row],[totalChallan]],TrafficData[[#This Row],[pendingChallan]]&lt;=TrafficData[[#This Row],[totalChallan]])</f>
        <v>1</v>
      </c>
      <c r="O714" s="8" t="b">
        <f>AND(TrafficData[[#This Row],[pendingAmount]]&lt;=TrafficData[[#This Row],[totalAmount]],TrafficData[[#This Row],[disposedAmount]]&lt;=TrafficData[[#This Row],[totalAmount]])</f>
        <v>1</v>
      </c>
      <c r="P714" s="8" t="b">
        <f>AND(TrafficData[[#This Row],[pendingCourt]]&lt;=TrafficData[[#This Row],[totalCourt]],TrafficData[[#This Row],[disposedCourt]]&lt;=TrafficData[[#This Row],[totalCourt]])</f>
        <v>1</v>
      </c>
    </row>
    <row r="715" spans="1:16">
      <c r="A715" s="1">
        <v>42718</v>
      </c>
      <c r="B715">
        <v>1092</v>
      </c>
      <c r="C715">
        <v>233</v>
      </c>
      <c r="D715">
        <v>859</v>
      </c>
      <c r="E715">
        <v>958200</v>
      </c>
      <c r="F715">
        <v>400090</v>
      </c>
      <c r="G715">
        <v>1358290</v>
      </c>
      <c r="H715">
        <v>623</v>
      </c>
      <c r="I715">
        <v>66</v>
      </c>
      <c r="J715">
        <v>689</v>
      </c>
      <c r="K715" t="b">
        <f>TrafficData[[#This Row],[disposedChallan]]+TrafficData[[#This Row],[pendingChallan]]=TrafficData[[#This Row],[totalChallan]]</f>
        <v>1</v>
      </c>
      <c r="L715" t="b">
        <f>TrafficData[[#This Row],[pendingAmount]]+TrafficData[[#This Row],[disposedAmount]]=TrafficData[[#This Row],[totalAmount]]</f>
        <v>1</v>
      </c>
      <c r="M715" t="b">
        <f>TrafficData[[#This Row],[pendingCourt]]+TrafficData[[#This Row],[disposedCourt]]=TrafficData[[#This Row],[totalCourt]]</f>
        <v>1</v>
      </c>
      <c r="N715" s="8" t="b">
        <f>AND(TrafficData[[#This Row],[disposedChallan]]&lt;=TrafficData[[#This Row],[totalChallan]],TrafficData[[#This Row],[pendingChallan]]&lt;=TrafficData[[#This Row],[totalChallan]])</f>
        <v>1</v>
      </c>
      <c r="O715" s="8" t="b">
        <f>AND(TrafficData[[#This Row],[pendingAmount]]&lt;=TrafficData[[#This Row],[totalAmount]],TrafficData[[#This Row],[disposedAmount]]&lt;=TrafficData[[#This Row],[totalAmount]])</f>
        <v>1</v>
      </c>
      <c r="P715" s="8" t="b">
        <f>AND(TrafficData[[#This Row],[pendingCourt]]&lt;=TrafficData[[#This Row],[totalCourt]],TrafficData[[#This Row],[disposedCourt]]&lt;=TrafficData[[#This Row],[totalCourt]])</f>
        <v>1</v>
      </c>
    </row>
    <row r="716" spans="1:16">
      <c r="A716" s="1">
        <v>42719</v>
      </c>
      <c r="B716">
        <v>1425</v>
      </c>
      <c r="C716">
        <v>294</v>
      </c>
      <c r="D716">
        <v>1131</v>
      </c>
      <c r="E716">
        <v>1365600</v>
      </c>
      <c r="F716">
        <v>478245</v>
      </c>
      <c r="G716">
        <v>1843845</v>
      </c>
      <c r="H716">
        <v>901</v>
      </c>
      <c r="I716">
        <v>49</v>
      </c>
      <c r="J716">
        <v>950</v>
      </c>
      <c r="K716" t="b">
        <f>TrafficData[[#This Row],[disposedChallan]]+TrafficData[[#This Row],[pendingChallan]]=TrafficData[[#This Row],[totalChallan]]</f>
        <v>1</v>
      </c>
      <c r="L716" t="b">
        <f>TrafficData[[#This Row],[pendingAmount]]+TrafficData[[#This Row],[disposedAmount]]=TrafficData[[#This Row],[totalAmount]]</f>
        <v>1</v>
      </c>
      <c r="M716" t="b">
        <f>TrafficData[[#This Row],[pendingCourt]]+TrafficData[[#This Row],[disposedCourt]]=TrafficData[[#This Row],[totalCourt]]</f>
        <v>1</v>
      </c>
      <c r="N716" s="8" t="b">
        <f>AND(TrafficData[[#This Row],[disposedChallan]]&lt;=TrafficData[[#This Row],[totalChallan]],TrafficData[[#This Row],[pendingChallan]]&lt;=TrafficData[[#This Row],[totalChallan]])</f>
        <v>1</v>
      </c>
      <c r="O716" s="8" t="b">
        <f>AND(TrafficData[[#This Row],[pendingAmount]]&lt;=TrafficData[[#This Row],[totalAmount]],TrafficData[[#This Row],[disposedAmount]]&lt;=TrafficData[[#This Row],[totalAmount]])</f>
        <v>1</v>
      </c>
      <c r="P716" s="8" t="b">
        <f>AND(TrafficData[[#This Row],[pendingCourt]]&lt;=TrafficData[[#This Row],[totalCourt]],TrafficData[[#This Row],[disposedCourt]]&lt;=TrafficData[[#This Row],[totalCourt]])</f>
        <v>1</v>
      </c>
    </row>
    <row r="717" spans="1:16">
      <c r="A717" s="1">
        <v>42720</v>
      </c>
      <c r="B717">
        <v>1274</v>
      </c>
      <c r="C717">
        <v>235</v>
      </c>
      <c r="D717">
        <v>1039</v>
      </c>
      <c r="E717">
        <v>1217100</v>
      </c>
      <c r="F717">
        <v>573699</v>
      </c>
      <c r="G717">
        <v>1790799</v>
      </c>
      <c r="H717">
        <v>790</v>
      </c>
      <c r="I717">
        <v>48</v>
      </c>
      <c r="J717">
        <v>838</v>
      </c>
      <c r="K717" t="b">
        <f>TrafficData[[#This Row],[disposedChallan]]+TrafficData[[#This Row],[pendingChallan]]=TrafficData[[#This Row],[totalChallan]]</f>
        <v>1</v>
      </c>
      <c r="L717" t="b">
        <f>TrafficData[[#This Row],[pendingAmount]]+TrafficData[[#This Row],[disposedAmount]]=TrafficData[[#This Row],[totalAmount]]</f>
        <v>1</v>
      </c>
      <c r="M717" t="b">
        <f>TrafficData[[#This Row],[pendingCourt]]+TrafficData[[#This Row],[disposedCourt]]=TrafficData[[#This Row],[totalCourt]]</f>
        <v>1</v>
      </c>
      <c r="N717" s="8" t="b">
        <f>AND(TrafficData[[#This Row],[disposedChallan]]&lt;=TrafficData[[#This Row],[totalChallan]],TrafficData[[#This Row],[pendingChallan]]&lt;=TrafficData[[#This Row],[totalChallan]])</f>
        <v>1</v>
      </c>
      <c r="O717" s="8" t="b">
        <f>AND(TrafficData[[#This Row],[pendingAmount]]&lt;=TrafficData[[#This Row],[totalAmount]],TrafficData[[#This Row],[disposedAmount]]&lt;=TrafficData[[#This Row],[totalAmount]])</f>
        <v>1</v>
      </c>
      <c r="P717" s="8" t="b">
        <f>AND(TrafficData[[#This Row],[pendingCourt]]&lt;=TrafficData[[#This Row],[totalCourt]],TrafficData[[#This Row],[disposedCourt]]&lt;=TrafficData[[#This Row],[totalCourt]])</f>
        <v>1</v>
      </c>
    </row>
    <row r="718" spans="1:16">
      <c r="A718" s="1">
        <v>42721</v>
      </c>
      <c r="B718">
        <v>1065</v>
      </c>
      <c r="C718">
        <v>225</v>
      </c>
      <c r="D718">
        <v>840</v>
      </c>
      <c r="E718">
        <v>1854130</v>
      </c>
      <c r="F718">
        <v>667810</v>
      </c>
      <c r="G718">
        <v>2521940</v>
      </c>
      <c r="H718">
        <v>598</v>
      </c>
      <c r="I718">
        <v>40</v>
      </c>
      <c r="J718">
        <v>638</v>
      </c>
      <c r="K718" t="b">
        <f>TrafficData[[#This Row],[disposedChallan]]+TrafficData[[#This Row],[pendingChallan]]=TrafficData[[#This Row],[totalChallan]]</f>
        <v>1</v>
      </c>
      <c r="L718" t="b">
        <f>TrafficData[[#This Row],[pendingAmount]]+TrafficData[[#This Row],[disposedAmount]]=TrafficData[[#This Row],[totalAmount]]</f>
        <v>1</v>
      </c>
      <c r="M718" t="b">
        <f>TrafficData[[#This Row],[pendingCourt]]+TrafficData[[#This Row],[disposedCourt]]=TrafficData[[#This Row],[totalCourt]]</f>
        <v>1</v>
      </c>
      <c r="N718" s="8" t="b">
        <f>AND(TrafficData[[#This Row],[disposedChallan]]&lt;=TrafficData[[#This Row],[totalChallan]],TrafficData[[#This Row],[pendingChallan]]&lt;=TrafficData[[#This Row],[totalChallan]])</f>
        <v>1</v>
      </c>
      <c r="O718" s="8" t="b">
        <f>AND(TrafficData[[#This Row],[pendingAmount]]&lt;=TrafficData[[#This Row],[totalAmount]],TrafficData[[#This Row],[disposedAmount]]&lt;=TrafficData[[#This Row],[totalAmount]])</f>
        <v>1</v>
      </c>
      <c r="P718" s="8" t="b">
        <f>AND(TrafficData[[#This Row],[pendingCourt]]&lt;=TrafficData[[#This Row],[totalCourt]],TrafficData[[#This Row],[disposedCourt]]&lt;=TrafficData[[#This Row],[totalCourt]])</f>
        <v>1</v>
      </c>
    </row>
    <row r="719" spans="1:16">
      <c r="A719" s="1">
        <v>42722</v>
      </c>
      <c r="B719">
        <v>770</v>
      </c>
      <c r="C719">
        <v>137</v>
      </c>
      <c r="D719">
        <v>633</v>
      </c>
      <c r="E719">
        <v>749200</v>
      </c>
      <c r="F719">
        <v>192090</v>
      </c>
      <c r="G719">
        <v>941290</v>
      </c>
      <c r="H719">
        <v>507</v>
      </c>
      <c r="I719">
        <v>22</v>
      </c>
      <c r="J719">
        <v>529</v>
      </c>
      <c r="K719" t="b">
        <f>TrafficData[[#This Row],[disposedChallan]]+TrafficData[[#This Row],[pendingChallan]]=TrafficData[[#This Row],[totalChallan]]</f>
        <v>1</v>
      </c>
      <c r="L719" t="b">
        <f>TrafficData[[#This Row],[pendingAmount]]+TrafficData[[#This Row],[disposedAmount]]=TrafficData[[#This Row],[totalAmount]]</f>
        <v>1</v>
      </c>
      <c r="M719" t="b">
        <f>TrafficData[[#This Row],[pendingCourt]]+TrafficData[[#This Row],[disposedCourt]]=TrafficData[[#This Row],[totalCourt]]</f>
        <v>1</v>
      </c>
      <c r="N719" s="8" t="b">
        <f>AND(TrafficData[[#This Row],[disposedChallan]]&lt;=TrafficData[[#This Row],[totalChallan]],TrafficData[[#This Row],[pendingChallan]]&lt;=TrafficData[[#This Row],[totalChallan]])</f>
        <v>1</v>
      </c>
      <c r="O719" s="8" t="b">
        <f>AND(TrafficData[[#This Row],[pendingAmount]]&lt;=TrafficData[[#This Row],[totalAmount]],TrafficData[[#This Row],[disposedAmount]]&lt;=TrafficData[[#This Row],[totalAmount]])</f>
        <v>1</v>
      </c>
      <c r="P719" s="8" t="b">
        <f>AND(TrafficData[[#This Row],[pendingCourt]]&lt;=TrafficData[[#This Row],[totalCourt]],TrafficData[[#This Row],[disposedCourt]]&lt;=TrafficData[[#This Row],[totalCourt]])</f>
        <v>1</v>
      </c>
    </row>
    <row r="720" spans="1:16">
      <c r="A720" s="1">
        <v>42723</v>
      </c>
      <c r="B720">
        <v>860</v>
      </c>
      <c r="C720">
        <v>196</v>
      </c>
      <c r="D720">
        <v>664</v>
      </c>
      <c r="E720">
        <v>1676350</v>
      </c>
      <c r="F720">
        <v>422170</v>
      </c>
      <c r="G720">
        <v>2098520</v>
      </c>
      <c r="H720">
        <v>393</v>
      </c>
      <c r="I720">
        <v>46</v>
      </c>
      <c r="J720">
        <v>439</v>
      </c>
      <c r="K720" t="b">
        <f>TrafficData[[#This Row],[disposedChallan]]+TrafficData[[#This Row],[pendingChallan]]=TrafficData[[#This Row],[totalChallan]]</f>
        <v>1</v>
      </c>
      <c r="L720" t="b">
        <f>TrafficData[[#This Row],[pendingAmount]]+TrafficData[[#This Row],[disposedAmount]]=TrafficData[[#This Row],[totalAmount]]</f>
        <v>1</v>
      </c>
      <c r="M720" t="b">
        <f>TrafficData[[#This Row],[pendingCourt]]+TrafficData[[#This Row],[disposedCourt]]=TrafficData[[#This Row],[totalCourt]]</f>
        <v>1</v>
      </c>
      <c r="N720" s="8" t="b">
        <f>AND(TrafficData[[#This Row],[disposedChallan]]&lt;=TrafficData[[#This Row],[totalChallan]],TrafficData[[#This Row],[pendingChallan]]&lt;=TrafficData[[#This Row],[totalChallan]])</f>
        <v>1</v>
      </c>
      <c r="O720" s="8" t="b">
        <f>AND(TrafficData[[#This Row],[pendingAmount]]&lt;=TrafficData[[#This Row],[totalAmount]],TrafficData[[#This Row],[disposedAmount]]&lt;=TrafficData[[#This Row],[totalAmount]])</f>
        <v>1</v>
      </c>
      <c r="P720" s="8" t="b">
        <f>AND(TrafficData[[#This Row],[pendingCourt]]&lt;=TrafficData[[#This Row],[totalCourt]],TrafficData[[#This Row],[disposedCourt]]&lt;=TrafficData[[#This Row],[totalCourt]])</f>
        <v>1</v>
      </c>
    </row>
    <row r="721" spans="1:16">
      <c r="A721" s="1">
        <v>42724</v>
      </c>
      <c r="B721">
        <v>1203</v>
      </c>
      <c r="C721">
        <v>235</v>
      </c>
      <c r="D721">
        <v>968</v>
      </c>
      <c r="E721">
        <v>1790600</v>
      </c>
      <c r="F721">
        <v>751583</v>
      </c>
      <c r="G721">
        <v>2542183</v>
      </c>
      <c r="H721">
        <v>722</v>
      </c>
      <c r="I721">
        <v>71</v>
      </c>
      <c r="J721">
        <v>793</v>
      </c>
      <c r="K721" t="b">
        <f>TrafficData[[#This Row],[disposedChallan]]+TrafficData[[#This Row],[pendingChallan]]=TrafficData[[#This Row],[totalChallan]]</f>
        <v>1</v>
      </c>
      <c r="L721" t="b">
        <f>TrafficData[[#This Row],[pendingAmount]]+TrafficData[[#This Row],[disposedAmount]]=TrafficData[[#This Row],[totalAmount]]</f>
        <v>1</v>
      </c>
      <c r="M721" t="b">
        <f>TrafficData[[#This Row],[pendingCourt]]+TrafficData[[#This Row],[disposedCourt]]=TrafficData[[#This Row],[totalCourt]]</f>
        <v>1</v>
      </c>
      <c r="N721" s="8" t="b">
        <f>AND(TrafficData[[#This Row],[disposedChallan]]&lt;=TrafficData[[#This Row],[totalChallan]],TrafficData[[#This Row],[pendingChallan]]&lt;=TrafficData[[#This Row],[totalChallan]])</f>
        <v>1</v>
      </c>
      <c r="O721" s="8" t="b">
        <f>AND(TrafficData[[#This Row],[pendingAmount]]&lt;=TrafficData[[#This Row],[totalAmount]],TrafficData[[#This Row],[disposedAmount]]&lt;=TrafficData[[#This Row],[totalAmount]])</f>
        <v>1</v>
      </c>
      <c r="P721" s="8" t="b">
        <f>AND(TrafficData[[#This Row],[pendingCourt]]&lt;=TrafficData[[#This Row],[totalCourt]],TrafficData[[#This Row],[disposedCourt]]&lt;=TrafficData[[#This Row],[totalCourt]])</f>
        <v>1</v>
      </c>
    </row>
    <row r="722" spans="1:16">
      <c r="A722" s="1">
        <v>42725</v>
      </c>
      <c r="B722">
        <v>1067</v>
      </c>
      <c r="C722">
        <v>244</v>
      </c>
      <c r="D722">
        <v>823</v>
      </c>
      <c r="E722">
        <v>1633150</v>
      </c>
      <c r="F722">
        <v>606270</v>
      </c>
      <c r="G722">
        <v>2239420</v>
      </c>
      <c r="H722">
        <v>572</v>
      </c>
      <c r="I722">
        <v>71</v>
      </c>
      <c r="J722">
        <v>643</v>
      </c>
      <c r="K722" t="b">
        <f>TrafficData[[#This Row],[disposedChallan]]+TrafficData[[#This Row],[pendingChallan]]=TrafficData[[#This Row],[totalChallan]]</f>
        <v>1</v>
      </c>
      <c r="L722" t="b">
        <f>TrafficData[[#This Row],[pendingAmount]]+TrafficData[[#This Row],[disposedAmount]]=TrafficData[[#This Row],[totalAmount]]</f>
        <v>1</v>
      </c>
      <c r="M722" t="b">
        <f>TrafficData[[#This Row],[pendingCourt]]+TrafficData[[#This Row],[disposedCourt]]=TrafficData[[#This Row],[totalCourt]]</f>
        <v>1</v>
      </c>
      <c r="N722" s="8" t="b">
        <f>AND(TrafficData[[#This Row],[disposedChallan]]&lt;=TrafficData[[#This Row],[totalChallan]],TrafficData[[#This Row],[pendingChallan]]&lt;=TrafficData[[#This Row],[totalChallan]])</f>
        <v>1</v>
      </c>
      <c r="O722" s="8" t="b">
        <f>AND(TrafficData[[#This Row],[pendingAmount]]&lt;=TrafficData[[#This Row],[totalAmount]],TrafficData[[#This Row],[disposedAmount]]&lt;=TrafficData[[#This Row],[totalAmount]])</f>
        <v>1</v>
      </c>
      <c r="P722" s="8" t="b">
        <f>AND(TrafficData[[#This Row],[pendingCourt]]&lt;=TrafficData[[#This Row],[totalCourt]],TrafficData[[#This Row],[disposedCourt]]&lt;=TrafficData[[#This Row],[totalCourt]])</f>
        <v>1</v>
      </c>
    </row>
    <row r="723" spans="1:16">
      <c r="A723" s="1">
        <v>42726</v>
      </c>
      <c r="B723">
        <v>1036</v>
      </c>
      <c r="C723">
        <v>190</v>
      </c>
      <c r="D723">
        <v>846</v>
      </c>
      <c r="E723">
        <v>1277240</v>
      </c>
      <c r="F723">
        <v>438892</v>
      </c>
      <c r="G723">
        <v>1716132</v>
      </c>
      <c r="H723">
        <v>611</v>
      </c>
      <c r="I723">
        <v>50</v>
      </c>
      <c r="J723">
        <v>661</v>
      </c>
      <c r="K723" t="b">
        <f>TrafficData[[#This Row],[disposedChallan]]+TrafficData[[#This Row],[pendingChallan]]=TrafficData[[#This Row],[totalChallan]]</f>
        <v>1</v>
      </c>
      <c r="L723" t="b">
        <f>TrafficData[[#This Row],[pendingAmount]]+TrafficData[[#This Row],[disposedAmount]]=TrafficData[[#This Row],[totalAmount]]</f>
        <v>1</v>
      </c>
      <c r="M723" t="b">
        <f>TrafficData[[#This Row],[pendingCourt]]+TrafficData[[#This Row],[disposedCourt]]=TrafficData[[#This Row],[totalCourt]]</f>
        <v>1</v>
      </c>
      <c r="N723" s="8" t="b">
        <f>AND(TrafficData[[#This Row],[disposedChallan]]&lt;=TrafficData[[#This Row],[totalChallan]],TrafficData[[#This Row],[pendingChallan]]&lt;=TrafficData[[#This Row],[totalChallan]])</f>
        <v>1</v>
      </c>
      <c r="O723" s="8" t="b">
        <f>AND(TrafficData[[#This Row],[pendingAmount]]&lt;=TrafficData[[#This Row],[totalAmount]],TrafficData[[#This Row],[disposedAmount]]&lt;=TrafficData[[#This Row],[totalAmount]])</f>
        <v>1</v>
      </c>
      <c r="P723" s="8" t="b">
        <f>AND(TrafficData[[#This Row],[pendingCourt]]&lt;=TrafficData[[#This Row],[totalCourt]],TrafficData[[#This Row],[disposedCourt]]&lt;=TrafficData[[#This Row],[totalCourt]])</f>
        <v>1</v>
      </c>
    </row>
    <row r="724" spans="1:16">
      <c r="A724" s="1">
        <v>42727</v>
      </c>
      <c r="B724">
        <v>867</v>
      </c>
      <c r="C724">
        <v>197</v>
      </c>
      <c r="D724">
        <v>670</v>
      </c>
      <c r="E724">
        <v>1114510</v>
      </c>
      <c r="F724">
        <v>376001</v>
      </c>
      <c r="G724">
        <v>1490511</v>
      </c>
      <c r="H724">
        <v>473</v>
      </c>
      <c r="I724">
        <v>71</v>
      </c>
      <c r="J724">
        <v>544</v>
      </c>
      <c r="K724" t="b">
        <f>TrafficData[[#This Row],[disposedChallan]]+TrafficData[[#This Row],[pendingChallan]]=TrafficData[[#This Row],[totalChallan]]</f>
        <v>1</v>
      </c>
      <c r="L724" t="b">
        <f>TrafficData[[#This Row],[pendingAmount]]+TrafficData[[#This Row],[disposedAmount]]=TrafficData[[#This Row],[totalAmount]]</f>
        <v>1</v>
      </c>
      <c r="M724" t="b">
        <f>TrafficData[[#This Row],[pendingCourt]]+TrafficData[[#This Row],[disposedCourt]]=TrafficData[[#This Row],[totalCourt]]</f>
        <v>1</v>
      </c>
      <c r="N724" s="8" t="b">
        <f>AND(TrafficData[[#This Row],[disposedChallan]]&lt;=TrafficData[[#This Row],[totalChallan]],TrafficData[[#This Row],[pendingChallan]]&lt;=TrafficData[[#This Row],[totalChallan]])</f>
        <v>1</v>
      </c>
      <c r="O724" s="8" t="b">
        <f>AND(TrafficData[[#This Row],[pendingAmount]]&lt;=TrafficData[[#This Row],[totalAmount]],TrafficData[[#This Row],[disposedAmount]]&lt;=TrafficData[[#This Row],[totalAmount]])</f>
        <v>1</v>
      </c>
      <c r="P724" s="8" t="b">
        <f>AND(TrafficData[[#This Row],[pendingCourt]]&lt;=TrafficData[[#This Row],[totalCourt]],TrafficData[[#This Row],[disposedCourt]]&lt;=TrafficData[[#This Row],[totalCourt]])</f>
        <v>1</v>
      </c>
    </row>
    <row r="725" spans="1:16">
      <c r="A725" s="1">
        <v>42728</v>
      </c>
      <c r="B725">
        <v>976</v>
      </c>
      <c r="C725">
        <v>232</v>
      </c>
      <c r="D725">
        <v>744</v>
      </c>
      <c r="E725">
        <v>977800</v>
      </c>
      <c r="F725">
        <v>417700</v>
      </c>
      <c r="G725">
        <v>1395500</v>
      </c>
      <c r="H725">
        <v>551</v>
      </c>
      <c r="I725">
        <v>49</v>
      </c>
      <c r="J725">
        <v>600</v>
      </c>
      <c r="K725" t="b">
        <f>TrafficData[[#This Row],[disposedChallan]]+TrafficData[[#This Row],[pendingChallan]]=TrafficData[[#This Row],[totalChallan]]</f>
        <v>1</v>
      </c>
      <c r="L725" t="b">
        <f>TrafficData[[#This Row],[pendingAmount]]+TrafficData[[#This Row],[disposedAmount]]=TrafficData[[#This Row],[totalAmount]]</f>
        <v>1</v>
      </c>
      <c r="M725" t="b">
        <f>TrafficData[[#This Row],[pendingCourt]]+TrafficData[[#This Row],[disposedCourt]]=TrafficData[[#This Row],[totalCourt]]</f>
        <v>1</v>
      </c>
      <c r="N725" s="8" t="b">
        <f>AND(TrafficData[[#This Row],[disposedChallan]]&lt;=TrafficData[[#This Row],[totalChallan]],TrafficData[[#This Row],[pendingChallan]]&lt;=TrafficData[[#This Row],[totalChallan]])</f>
        <v>1</v>
      </c>
      <c r="O725" s="8" t="b">
        <f>AND(TrafficData[[#This Row],[pendingAmount]]&lt;=TrafficData[[#This Row],[totalAmount]],TrafficData[[#This Row],[disposedAmount]]&lt;=TrafficData[[#This Row],[totalAmount]])</f>
        <v>1</v>
      </c>
      <c r="P725" s="8" t="b">
        <f>AND(TrafficData[[#This Row],[pendingCourt]]&lt;=TrafficData[[#This Row],[totalCourt]],TrafficData[[#This Row],[disposedCourt]]&lt;=TrafficData[[#This Row],[totalCourt]])</f>
        <v>1</v>
      </c>
    </row>
    <row r="726" spans="1:16">
      <c r="A726" s="1">
        <v>42729</v>
      </c>
      <c r="B726">
        <v>1002</v>
      </c>
      <c r="C726">
        <v>194</v>
      </c>
      <c r="D726">
        <v>808</v>
      </c>
      <c r="E726">
        <v>887550</v>
      </c>
      <c r="F726">
        <v>324076</v>
      </c>
      <c r="G726">
        <v>1211626</v>
      </c>
      <c r="H726">
        <v>590</v>
      </c>
      <c r="I726">
        <v>58</v>
      </c>
      <c r="J726">
        <v>648</v>
      </c>
      <c r="K726" t="b">
        <f>TrafficData[[#This Row],[disposedChallan]]+TrafficData[[#This Row],[pendingChallan]]=TrafficData[[#This Row],[totalChallan]]</f>
        <v>1</v>
      </c>
      <c r="L726" t="b">
        <f>TrafficData[[#This Row],[pendingAmount]]+TrafficData[[#This Row],[disposedAmount]]=TrafficData[[#This Row],[totalAmount]]</f>
        <v>1</v>
      </c>
      <c r="M726" t="b">
        <f>TrafficData[[#This Row],[pendingCourt]]+TrafficData[[#This Row],[disposedCourt]]=TrafficData[[#This Row],[totalCourt]]</f>
        <v>1</v>
      </c>
      <c r="N726" s="8" t="b">
        <f>AND(TrafficData[[#This Row],[disposedChallan]]&lt;=TrafficData[[#This Row],[totalChallan]],TrafficData[[#This Row],[pendingChallan]]&lt;=TrafficData[[#This Row],[totalChallan]])</f>
        <v>1</v>
      </c>
      <c r="O726" s="8" t="b">
        <f>AND(TrafficData[[#This Row],[pendingAmount]]&lt;=TrafficData[[#This Row],[totalAmount]],TrafficData[[#This Row],[disposedAmount]]&lt;=TrafficData[[#This Row],[totalAmount]])</f>
        <v>1</v>
      </c>
      <c r="P726" s="8" t="b">
        <f>AND(TrafficData[[#This Row],[pendingCourt]]&lt;=TrafficData[[#This Row],[totalCourt]],TrafficData[[#This Row],[disposedCourt]]&lt;=TrafficData[[#This Row],[totalCourt]])</f>
        <v>1</v>
      </c>
    </row>
    <row r="727" spans="1:16">
      <c r="A727" s="1">
        <v>42730</v>
      </c>
      <c r="B727">
        <v>830</v>
      </c>
      <c r="C727">
        <v>177</v>
      </c>
      <c r="D727">
        <v>653</v>
      </c>
      <c r="E727">
        <v>1126850</v>
      </c>
      <c r="F727">
        <v>402250</v>
      </c>
      <c r="G727">
        <v>1529100</v>
      </c>
      <c r="H727">
        <v>441</v>
      </c>
      <c r="I727">
        <v>42</v>
      </c>
      <c r="J727">
        <v>483</v>
      </c>
      <c r="K727" t="b">
        <f>TrafficData[[#This Row],[disposedChallan]]+TrafficData[[#This Row],[pendingChallan]]=TrafficData[[#This Row],[totalChallan]]</f>
        <v>1</v>
      </c>
      <c r="L727" t="b">
        <f>TrafficData[[#This Row],[pendingAmount]]+TrafficData[[#This Row],[disposedAmount]]=TrafficData[[#This Row],[totalAmount]]</f>
        <v>1</v>
      </c>
      <c r="M727" t="b">
        <f>TrafficData[[#This Row],[pendingCourt]]+TrafficData[[#This Row],[disposedCourt]]=TrafficData[[#This Row],[totalCourt]]</f>
        <v>1</v>
      </c>
      <c r="N727" s="8" t="b">
        <f>AND(TrafficData[[#This Row],[disposedChallan]]&lt;=TrafficData[[#This Row],[totalChallan]],TrafficData[[#This Row],[pendingChallan]]&lt;=TrafficData[[#This Row],[totalChallan]])</f>
        <v>1</v>
      </c>
      <c r="O727" s="8" t="b">
        <f>AND(TrafficData[[#This Row],[pendingAmount]]&lt;=TrafficData[[#This Row],[totalAmount]],TrafficData[[#This Row],[disposedAmount]]&lt;=TrafficData[[#This Row],[totalAmount]])</f>
        <v>1</v>
      </c>
      <c r="P727" s="8" t="b">
        <f>AND(TrafficData[[#This Row],[pendingCourt]]&lt;=TrafficData[[#This Row],[totalCourt]],TrafficData[[#This Row],[disposedCourt]]&lt;=TrafficData[[#This Row],[totalCourt]])</f>
        <v>1</v>
      </c>
    </row>
    <row r="728" spans="1:16">
      <c r="A728" s="1">
        <v>42731</v>
      </c>
      <c r="B728">
        <v>1093</v>
      </c>
      <c r="C728">
        <v>250</v>
      </c>
      <c r="D728">
        <v>843</v>
      </c>
      <c r="E728">
        <v>1001565</v>
      </c>
      <c r="F728">
        <v>942195</v>
      </c>
      <c r="G728">
        <v>1943760</v>
      </c>
      <c r="H728">
        <v>668</v>
      </c>
      <c r="I728">
        <v>26</v>
      </c>
      <c r="J728">
        <v>694</v>
      </c>
      <c r="K728" t="b">
        <f>TrafficData[[#This Row],[disposedChallan]]+TrafficData[[#This Row],[pendingChallan]]=TrafficData[[#This Row],[totalChallan]]</f>
        <v>1</v>
      </c>
      <c r="L728" t="b">
        <f>TrafficData[[#This Row],[pendingAmount]]+TrafficData[[#This Row],[disposedAmount]]=TrafficData[[#This Row],[totalAmount]]</f>
        <v>1</v>
      </c>
      <c r="M728" t="b">
        <f>TrafficData[[#This Row],[pendingCourt]]+TrafficData[[#This Row],[disposedCourt]]=TrafficData[[#This Row],[totalCourt]]</f>
        <v>1</v>
      </c>
      <c r="N728" s="8" t="b">
        <f>AND(TrafficData[[#This Row],[disposedChallan]]&lt;=TrafficData[[#This Row],[totalChallan]],TrafficData[[#This Row],[pendingChallan]]&lt;=TrafficData[[#This Row],[totalChallan]])</f>
        <v>1</v>
      </c>
      <c r="O728" s="8" t="b">
        <f>AND(TrafficData[[#This Row],[pendingAmount]]&lt;=TrafficData[[#This Row],[totalAmount]],TrafficData[[#This Row],[disposedAmount]]&lt;=TrafficData[[#This Row],[totalAmount]])</f>
        <v>1</v>
      </c>
      <c r="P728" s="8" t="b">
        <f>AND(TrafficData[[#This Row],[pendingCourt]]&lt;=TrafficData[[#This Row],[totalCourt]],TrafficData[[#This Row],[disposedCourt]]&lt;=TrafficData[[#This Row],[totalCourt]])</f>
        <v>1</v>
      </c>
    </row>
    <row r="729" spans="1:16">
      <c r="A729" s="1">
        <v>42732</v>
      </c>
      <c r="B729">
        <v>714</v>
      </c>
      <c r="C729">
        <v>245</v>
      </c>
      <c r="D729">
        <v>469</v>
      </c>
      <c r="E729">
        <v>1434150</v>
      </c>
      <c r="F729">
        <v>635296</v>
      </c>
      <c r="G729">
        <v>2069446</v>
      </c>
      <c r="H729">
        <v>306</v>
      </c>
      <c r="I729">
        <v>42</v>
      </c>
      <c r="J729">
        <v>348</v>
      </c>
      <c r="K729" t="b">
        <f>TrafficData[[#This Row],[disposedChallan]]+TrafficData[[#This Row],[pendingChallan]]=TrafficData[[#This Row],[totalChallan]]</f>
        <v>1</v>
      </c>
      <c r="L729" t="b">
        <f>TrafficData[[#This Row],[pendingAmount]]+TrafficData[[#This Row],[disposedAmount]]=TrafficData[[#This Row],[totalAmount]]</f>
        <v>1</v>
      </c>
      <c r="M729" t="b">
        <f>TrafficData[[#This Row],[pendingCourt]]+TrafficData[[#This Row],[disposedCourt]]=TrafficData[[#This Row],[totalCourt]]</f>
        <v>1</v>
      </c>
      <c r="N729" s="8" t="b">
        <f>AND(TrafficData[[#This Row],[disposedChallan]]&lt;=TrafficData[[#This Row],[totalChallan]],TrafficData[[#This Row],[pendingChallan]]&lt;=TrafficData[[#This Row],[totalChallan]])</f>
        <v>1</v>
      </c>
      <c r="O729" s="8" t="b">
        <f>AND(TrafficData[[#This Row],[pendingAmount]]&lt;=TrafficData[[#This Row],[totalAmount]],TrafficData[[#This Row],[disposedAmount]]&lt;=TrafficData[[#This Row],[totalAmount]])</f>
        <v>1</v>
      </c>
      <c r="P729" s="8" t="b">
        <f>AND(TrafficData[[#This Row],[pendingCourt]]&lt;=TrafficData[[#This Row],[totalCourt]],TrafficData[[#This Row],[disposedCourt]]&lt;=TrafficData[[#This Row],[totalCourt]])</f>
        <v>1</v>
      </c>
    </row>
    <row r="730" spans="1:16">
      <c r="A730" s="1">
        <v>42733</v>
      </c>
      <c r="B730">
        <v>928</v>
      </c>
      <c r="C730">
        <v>242</v>
      </c>
      <c r="D730">
        <v>686</v>
      </c>
      <c r="E730">
        <v>1330675</v>
      </c>
      <c r="F730">
        <v>485400</v>
      </c>
      <c r="G730">
        <v>1816075</v>
      </c>
      <c r="H730">
        <v>516</v>
      </c>
      <c r="I730">
        <v>71</v>
      </c>
      <c r="J730">
        <v>587</v>
      </c>
      <c r="K730" t="b">
        <f>TrafficData[[#This Row],[disposedChallan]]+TrafficData[[#This Row],[pendingChallan]]=TrafficData[[#This Row],[totalChallan]]</f>
        <v>1</v>
      </c>
      <c r="L730" t="b">
        <f>TrafficData[[#This Row],[pendingAmount]]+TrafficData[[#This Row],[disposedAmount]]=TrafficData[[#This Row],[totalAmount]]</f>
        <v>1</v>
      </c>
      <c r="M730" t="b">
        <f>TrafficData[[#This Row],[pendingCourt]]+TrafficData[[#This Row],[disposedCourt]]=TrafficData[[#This Row],[totalCourt]]</f>
        <v>1</v>
      </c>
      <c r="N730" s="8" t="b">
        <f>AND(TrafficData[[#This Row],[disposedChallan]]&lt;=TrafficData[[#This Row],[totalChallan]],TrafficData[[#This Row],[pendingChallan]]&lt;=TrafficData[[#This Row],[totalChallan]])</f>
        <v>1</v>
      </c>
      <c r="O730" s="8" t="b">
        <f>AND(TrafficData[[#This Row],[pendingAmount]]&lt;=TrafficData[[#This Row],[totalAmount]],TrafficData[[#This Row],[disposedAmount]]&lt;=TrafficData[[#This Row],[totalAmount]])</f>
        <v>1</v>
      </c>
      <c r="P730" s="8" t="b">
        <f>AND(TrafficData[[#This Row],[pendingCourt]]&lt;=TrafficData[[#This Row],[totalCourt]],TrafficData[[#This Row],[disposedCourt]]&lt;=TrafficData[[#This Row],[totalCourt]])</f>
        <v>1</v>
      </c>
    </row>
    <row r="731" spans="1:16">
      <c r="A731" s="1">
        <v>42734</v>
      </c>
      <c r="B731">
        <v>759</v>
      </c>
      <c r="C731">
        <v>233</v>
      </c>
      <c r="D731">
        <v>526</v>
      </c>
      <c r="E731">
        <v>687100</v>
      </c>
      <c r="F731">
        <v>251952</v>
      </c>
      <c r="G731">
        <v>939052</v>
      </c>
      <c r="H731">
        <v>401</v>
      </c>
      <c r="I731">
        <v>47</v>
      </c>
      <c r="J731">
        <v>448</v>
      </c>
      <c r="K731" t="b">
        <f>TrafficData[[#This Row],[disposedChallan]]+TrafficData[[#This Row],[pendingChallan]]=TrafficData[[#This Row],[totalChallan]]</f>
        <v>1</v>
      </c>
      <c r="L731" t="b">
        <f>TrafficData[[#This Row],[pendingAmount]]+TrafficData[[#This Row],[disposedAmount]]=TrafficData[[#This Row],[totalAmount]]</f>
        <v>1</v>
      </c>
      <c r="M731" t="b">
        <f>TrafficData[[#This Row],[pendingCourt]]+TrafficData[[#This Row],[disposedCourt]]=TrafficData[[#This Row],[totalCourt]]</f>
        <v>1</v>
      </c>
      <c r="N731" s="8" t="b">
        <f>AND(TrafficData[[#This Row],[disposedChallan]]&lt;=TrafficData[[#This Row],[totalChallan]],TrafficData[[#This Row],[pendingChallan]]&lt;=TrafficData[[#This Row],[totalChallan]])</f>
        <v>1</v>
      </c>
      <c r="O731" s="8" t="b">
        <f>AND(TrafficData[[#This Row],[pendingAmount]]&lt;=TrafficData[[#This Row],[totalAmount]],TrafficData[[#This Row],[disposedAmount]]&lt;=TrafficData[[#This Row],[totalAmount]])</f>
        <v>1</v>
      </c>
      <c r="P731" s="8" t="b">
        <f>AND(TrafficData[[#This Row],[pendingCourt]]&lt;=TrafficData[[#This Row],[totalCourt]],TrafficData[[#This Row],[disposedCourt]]&lt;=TrafficData[[#This Row],[totalCourt]])</f>
        <v>1</v>
      </c>
    </row>
    <row r="732" spans="1:16">
      <c r="A732" s="1">
        <v>42735</v>
      </c>
      <c r="B732">
        <v>644</v>
      </c>
      <c r="C732">
        <v>194</v>
      </c>
      <c r="D732">
        <v>450</v>
      </c>
      <c r="E732">
        <v>975220</v>
      </c>
      <c r="F732">
        <v>594565</v>
      </c>
      <c r="G732">
        <v>1569785</v>
      </c>
      <c r="H732">
        <v>282</v>
      </c>
      <c r="I732">
        <v>43</v>
      </c>
      <c r="J732">
        <v>325</v>
      </c>
      <c r="K732" t="b">
        <f>TrafficData[[#This Row],[disposedChallan]]+TrafficData[[#This Row],[pendingChallan]]=TrafficData[[#This Row],[totalChallan]]</f>
        <v>1</v>
      </c>
      <c r="L732" t="b">
        <f>TrafficData[[#This Row],[pendingAmount]]+TrafficData[[#This Row],[disposedAmount]]=TrafficData[[#This Row],[totalAmount]]</f>
        <v>1</v>
      </c>
      <c r="M732" t="b">
        <f>TrafficData[[#This Row],[pendingCourt]]+TrafficData[[#This Row],[disposedCourt]]=TrafficData[[#This Row],[totalCourt]]</f>
        <v>1</v>
      </c>
      <c r="N732" s="8" t="b">
        <f>AND(TrafficData[[#This Row],[disposedChallan]]&lt;=TrafficData[[#This Row],[totalChallan]],TrafficData[[#This Row],[pendingChallan]]&lt;=TrafficData[[#This Row],[totalChallan]])</f>
        <v>1</v>
      </c>
      <c r="O732" s="8" t="b">
        <f>AND(TrafficData[[#This Row],[pendingAmount]]&lt;=TrafficData[[#This Row],[totalAmount]],TrafficData[[#This Row],[disposedAmount]]&lt;=TrafficData[[#This Row],[totalAmount]])</f>
        <v>1</v>
      </c>
      <c r="P732" s="8" t="b">
        <f>AND(TrafficData[[#This Row],[pendingCourt]]&lt;=TrafficData[[#This Row],[totalCourt]],TrafficData[[#This Row],[disposedCourt]]&lt;=TrafficData[[#This Row],[totalCourt]])</f>
        <v>1</v>
      </c>
    </row>
    <row r="733" spans="1:16">
      <c r="A733" s="1">
        <v>42736</v>
      </c>
      <c r="B733">
        <v>361</v>
      </c>
      <c r="C733">
        <v>77</v>
      </c>
      <c r="D733">
        <v>284</v>
      </c>
      <c r="E733">
        <v>585970</v>
      </c>
      <c r="F733">
        <v>143850</v>
      </c>
      <c r="G733">
        <v>729820</v>
      </c>
      <c r="H733">
        <v>155</v>
      </c>
      <c r="I733">
        <v>11</v>
      </c>
      <c r="J733">
        <v>166</v>
      </c>
      <c r="K733" t="b">
        <f>TrafficData[[#This Row],[disposedChallan]]+TrafficData[[#This Row],[pendingChallan]]=TrafficData[[#This Row],[totalChallan]]</f>
        <v>1</v>
      </c>
      <c r="L733" t="b">
        <f>TrafficData[[#This Row],[pendingAmount]]+TrafficData[[#This Row],[disposedAmount]]=TrafficData[[#This Row],[totalAmount]]</f>
        <v>1</v>
      </c>
      <c r="M733" t="b">
        <f>TrafficData[[#This Row],[pendingCourt]]+TrafficData[[#This Row],[disposedCourt]]=TrafficData[[#This Row],[totalCourt]]</f>
        <v>1</v>
      </c>
      <c r="N733" s="8" t="b">
        <f>AND(TrafficData[[#This Row],[disposedChallan]]&lt;=TrafficData[[#This Row],[totalChallan]],TrafficData[[#This Row],[pendingChallan]]&lt;=TrafficData[[#This Row],[totalChallan]])</f>
        <v>1</v>
      </c>
      <c r="O733" s="8" t="b">
        <f>AND(TrafficData[[#This Row],[pendingAmount]]&lt;=TrafficData[[#This Row],[totalAmount]],TrafficData[[#This Row],[disposedAmount]]&lt;=TrafficData[[#This Row],[totalAmount]])</f>
        <v>1</v>
      </c>
      <c r="P733" s="8" t="b">
        <f>AND(TrafficData[[#This Row],[pendingCourt]]&lt;=TrafficData[[#This Row],[totalCourt]],TrafficData[[#This Row],[disposedCourt]]&lt;=TrafficData[[#This Row],[totalCourt]])</f>
        <v>1</v>
      </c>
    </row>
    <row r="734" spans="1:16">
      <c r="A734" s="1">
        <v>42737</v>
      </c>
      <c r="B734">
        <v>663</v>
      </c>
      <c r="C734">
        <v>109</v>
      </c>
      <c r="D734">
        <v>554</v>
      </c>
      <c r="E734">
        <v>1249980</v>
      </c>
      <c r="F734">
        <v>110950</v>
      </c>
      <c r="G734">
        <v>1360930</v>
      </c>
      <c r="H734">
        <v>357</v>
      </c>
      <c r="I734">
        <v>31</v>
      </c>
      <c r="J734">
        <v>388</v>
      </c>
      <c r="K734" t="b">
        <f>TrafficData[[#This Row],[disposedChallan]]+TrafficData[[#This Row],[pendingChallan]]=TrafficData[[#This Row],[totalChallan]]</f>
        <v>1</v>
      </c>
      <c r="L734" t="b">
        <f>TrafficData[[#This Row],[pendingAmount]]+TrafficData[[#This Row],[disposedAmount]]=TrafficData[[#This Row],[totalAmount]]</f>
        <v>1</v>
      </c>
      <c r="M734" t="b">
        <f>TrafficData[[#This Row],[pendingCourt]]+TrafficData[[#This Row],[disposedCourt]]=TrafficData[[#This Row],[totalCourt]]</f>
        <v>1</v>
      </c>
      <c r="N734" s="8" t="b">
        <f>AND(TrafficData[[#This Row],[disposedChallan]]&lt;=TrafficData[[#This Row],[totalChallan]],TrafficData[[#This Row],[pendingChallan]]&lt;=TrafficData[[#This Row],[totalChallan]])</f>
        <v>1</v>
      </c>
      <c r="O734" s="8" t="b">
        <f>AND(TrafficData[[#This Row],[pendingAmount]]&lt;=TrafficData[[#This Row],[totalAmount]],TrafficData[[#This Row],[disposedAmount]]&lt;=TrafficData[[#This Row],[totalAmount]])</f>
        <v>1</v>
      </c>
      <c r="P734" s="8" t="b">
        <f>AND(TrafficData[[#This Row],[pendingCourt]]&lt;=TrafficData[[#This Row],[totalCourt]],TrafficData[[#This Row],[disposedCourt]]&lt;=TrafficData[[#This Row],[totalCourt]])</f>
        <v>1</v>
      </c>
    </row>
    <row r="735" spans="1:16">
      <c r="A735" s="1">
        <v>42738</v>
      </c>
      <c r="B735">
        <v>882</v>
      </c>
      <c r="C735">
        <v>169</v>
      </c>
      <c r="D735">
        <v>713</v>
      </c>
      <c r="E735">
        <v>1601800</v>
      </c>
      <c r="F735">
        <v>400800</v>
      </c>
      <c r="G735">
        <v>2002600</v>
      </c>
      <c r="H735">
        <v>525</v>
      </c>
      <c r="I735">
        <v>45</v>
      </c>
      <c r="J735">
        <v>570</v>
      </c>
      <c r="K735" t="b">
        <f>TrafficData[[#This Row],[disposedChallan]]+TrafficData[[#This Row],[pendingChallan]]=TrafficData[[#This Row],[totalChallan]]</f>
        <v>1</v>
      </c>
      <c r="L735" t="b">
        <f>TrafficData[[#This Row],[pendingAmount]]+TrafficData[[#This Row],[disposedAmount]]=TrafficData[[#This Row],[totalAmount]]</f>
        <v>1</v>
      </c>
      <c r="M735" t="b">
        <f>TrafficData[[#This Row],[pendingCourt]]+TrafficData[[#This Row],[disposedCourt]]=TrafficData[[#This Row],[totalCourt]]</f>
        <v>1</v>
      </c>
      <c r="N735" s="8" t="b">
        <f>AND(TrafficData[[#This Row],[disposedChallan]]&lt;=TrafficData[[#This Row],[totalChallan]],TrafficData[[#This Row],[pendingChallan]]&lt;=TrafficData[[#This Row],[totalChallan]])</f>
        <v>1</v>
      </c>
      <c r="O735" s="8" t="b">
        <f>AND(TrafficData[[#This Row],[pendingAmount]]&lt;=TrafficData[[#This Row],[totalAmount]],TrafficData[[#This Row],[disposedAmount]]&lt;=TrafficData[[#This Row],[totalAmount]])</f>
        <v>1</v>
      </c>
      <c r="P735" s="8" t="b">
        <f>AND(TrafficData[[#This Row],[pendingCourt]]&lt;=TrafficData[[#This Row],[totalCourt]],TrafficData[[#This Row],[disposedCourt]]&lt;=TrafficData[[#This Row],[totalCourt]])</f>
        <v>1</v>
      </c>
    </row>
    <row r="736" spans="1:16">
      <c r="A736" s="1">
        <v>42739</v>
      </c>
      <c r="B736">
        <v>928</v>
      </c>
      <c r="C736">
        <v>142</v>
      </c>
      <c r="D736">
        <v>786</v>
      </c>
      <c r="E736">
        <v>1170409</v>
      </c>
      <c r="F736">
        <v>381770</v>
      </c>
      <c r="G736">
        <v>1552179</v>
      </c>
      <c r="H736">
        <v>563</v>
      </c>
      <c r="I736">
        <v>43</v>
      </c>
      <c r="J736">
        <v>606</v>
      </c>
      <c r="K736" t="b">
        <f>TrafficData[[#This Row],[disposedChallan]]+TrafficData[[#This Row],[pendingChallan]]=TrafficData[[#This Row],[totalChallan]]</f>
        <v>1</v>
      </c>
      <c r="L736" t="b">
        <f>TrafficData[[#This Row],[pendingAmount]]+TrafficData[[#This Row],[disposedAmount]]=TrafficData[[#This Row],[totalAmount]]</f>
        <v>1</v>
      </c>
      <c r="M736" t="b">
        <f>TrafficData[[#This Row],[pendingCourt]]+TrafficData[[#This Row],[disposedCourt]]=TrafficData[[#This Row],[totalCourt]]</f>
        <v>1</v>
      </c>
      <c r="N736" s="8" t="b">
        <f>AND(TrafficData[[#This Row],[disposedChallan]]&lt;=TrafficData[[#This Row],[totalChallan]],TrafficData[[#This Row],[pendingChallan]]&lt;=TrafficData[[#This Row],[totalChallan]])</f>
        <v>1</v>
      </c>
      <c r="O736" s="8" t="b">
        <f>AND(TrafficData[[#This Row],[pendingAmount]]&lt;=TrafficData[[#This Row],[totalAmount]],TrafficData[[#This Row],[disposedAmount]]&lt;=TrafficData[[#This Row],[totalAmount]])</f>
        <v>1</v>
      </c>
      <c r="P736" s="8" t="b">
        <f>AND(TrafficData[[#This Row],[pendingCourt]]&lt;=TrafficData[[#This Row],[totalCourt]],TrafficData[[#This Row],[disposedCourt]]&lt;=TrafficData[[#This Row],[totalCourt]])</f>
        <v>1</v>
      </c>
    </row>
    <row r="737" spans="1:16">
      <c r="A737" s="1">
        <v>42740</v>
      </c>
      <c r="B737">
        <v>894</v>
      </c>
      <c r="C737">
        <v>157</v>
      </c>
      <c r="D737">
        <v>737</v>
      </c>
      <c r="E737">
        <v>1562351</v>
      </c>
      <c r="F737">
        <v>441975</v>
      </c>
      <c r="G737">
        <v>2004326</v>
      </c>
      <c r="H737">
        <v>531</v>
      </c>
      <c r="I737">
        <v>37</v>
      </c>
      <c r="J737">
        <v>568</v>
      </c>
      <c r="K737" t="b">
        <f>TrafficData[[#This Row],[disposedChallan]]+TrafficData[[#This Row],[pendingChallan]]=TrafficData[[#This Row],[totalChallan]]</f>
        <v>1</v>
      </c>
      <c r="L737" t="b">
        <f>TrafficData[[#This Row],[pendingAmount]]+TrafficData[[#This Row],[disposedAmount]]=TrafficData[[#This Row],[totalAmount]]</f>
        <v>1</v>
      </c>
      <c r="M737" t="b">
        <f>TrafficData[[#This Row],[pendingCourt]]+TrafficData[[#This Row],[disposedCourt]]=TrafficData[[#This Row],[totalCourt]]</f>
        <v>1</v>
      </c>
      <c r="N737" s="8" t="b">
        <f>AND(TrafficData[[#This Row],[disposedChallan]]&lt;=TrafficData[[#This Row],[totalChallan]],TrafficData[[#This Row],[pendingChallan]]&lt;=TrafficData[[#This Row],[totalChallan]])</f>
        <v>1</v>
      </c>
      <c r="O737" s="8" t="b">
        <f>AND(TrafficData[[#This Row],[pendingAmount]]&lt;=TrafficData[[#This Row],[totalAmount]],TrafficData[[#This Row],[disposedAmount]]&lt;=TrafficData[[#This Row],[totalAmount]])</f>
        <v>1</v>
      </c>
      <c r="P737" s="8" t="b">
        <f>AND(TrafficData[[#This Row],[pendingCourt]]&lt;=TrafficData[[#This Row],[totalCourt]],TrafficData[[#This Row],[disposedCourt]]&lt;=TrafficData[[#This Row],[totalCourt]])</f>
        <v>1</v>
      </c>
    </row>
    <row r="738" spans="1:16">
      <c r="A738" s="1">
        <v>42741</v>
      </c>
      <c r="B738">
        <v>880</v>
      </c>
      <c r="C738">
        <v>174</v>
      </c>
      <c r="D738">
        <v>706</v>
      </c>
      <c r="E738">
        <v>2062456</v>
      </c>
      <c r="F738">
        <v>581390</v>
      </c>
      <c r="G738">
        <v>2643846</v>
      </c>
      <c r="H738">
        <v>461</v>
      </c>
      <c r="I738">
        <v>23</v>
      </c>
      <c r="J738">
        <v>484</v>
      </c>
      <c r="K738" t="b">
        <f>TrafficData[[#This Row],[disposedChallan]]+TrafficData[[#This Row],[pendingChallan]]=TrafficData[[#This Row],[totalChallan]]</f>
        <v>1</v>
      </c>
      <c r="L738" t="b">
        <f>TrafficData[[#This Row],[pendingAmount]]+TrafficData[[#This Row],[disposedAmount]]=TrafficData[[#This Row],[totalAmount]]</f>
        <v>1</v>
      </c>
      <c r="M738" t="b">
        <f>TrafficData[[#This Row],[pendingCourt]]+TrafficData[[#This Row],[disposedCourt]]=TrafficData[[#This Row],[totalCourt]]</f>
        <v>1</v>
      </c>
      <c r="N738" s="8" t="b">
        <f>AND(TrafficData[[#This Row],[disposedChallan]]&lt;=TrafficData[[#This Row],[totalChallan]],TrafficData[[#This Row],[pendingChallan]]&lt;=TrafficData[[#This Row],[totalChallan]])</f>
        <v>1</v>
      </c>
      <c r="O738" s="8" t="b">
        <f>AND(TrafficData[[#This Row],[pendingAmount]]&lt;=TrafficData[[#This Row],[totalAmount]],TrafficData[[#This Row],[disposedAmount]]&lt;=TrafficData[[#This Row],[totalAmount]])</f>
        <v>1</v>
      </c>
      <c r="P738" s="8" t="b">
        <f>AND(TrafficData[[#This Row],[pendingCourt]]&lt;=TrafficData[[#This Row],[totalCourt]],TrafficData[[#This Row],[disposedCourt]]&lt;=TrafficData[[#This Row],[totalCourt]])</f>
        <v>1</v>
      </c>
    </row>
    <row r="739" spans="1:16">
      <c r="A739" s="1">
        <v>42742</v>
      </c>
      <c r="B739">
        <v>811</v>
      </c>
      <c r="C739">
        <v>194</v>
      </c>
      <c r="D739">
        <v>617</v>
      </c>
      <c r="E739">
        <v>1134250</v>
      </c>
      <c r="F739">
        <v>547490</v>
      </c>
      <c r="G739">
        <v>1681740</v>
      </c>
      <c r="H739">
        <v>419</v>
      </c>
      <c r="I739">
        <v>38</v>
      </c>
      <c r="J739">
        <v>457</v>
      </c>
      <c r="K739" t="b">
        <f>TrafficData[[#This Row],[disposedChallan]]+TrafficData[[#This Row],[pendingChallan]]=TrafficData[[#This Row],[totalChallan]]</f>
        <v>1</v>
      </c>
      <c r="L739" t="b">
        <f>TrafficData[[#This Row],[pendingAmount]]+TrafficData[[#This Row],[disposedAmount]]=TrafficData[[#This Row],[totalAmount]]</f>
        <v>1</v>
      </c>
      <c r="M739" t="b">
        <f>TrafficData[[#This Row],[pendingCourt]]+TrafficData[[#This Row],[disposedCourt]]=TrafficData[[#This Row],[totalCourt]]</f>
        <v>1</v>
      </c>
      <c r="N739" s="8" t="b">
        <f>AND(TrafficData[[#This Row],[disposedChallan]]&lt;=TrafficData[[#This Row],[totalChallan]],TrafficData[[#This Row],[pendingChallan]]&lt;=TrafficData[[#This Row],[totalChallan]])</f>
        <v>1</v>
      </c>
      <c r="O739" s="8" t="b">
        <f>AND(TrafficData[[#This Row],[pendingAmount]]&lt;=TrafficData[[#This Row],[totalAmount]],TrafficData[[#This Row],[disposedAmount]]&lt;=TrafficData[[#This Row],[totalAmount]])</f>
        <v>1</v>
      </c>
      <c r="P739" s="8" t="b">
        <f>AND(TrafficData[[#This Row],[pendingCourt]]&lt;=TrafficData[[#This Row],[totalCourt]],TrafficData[[#This Row],[disposedCourt]]&lt;=TrafficData[[#This Row],[totalCourt]])</f>
        <v>1</v>
      </c>
    </row>
    <row r="740" spans="1:16">
      <c r="A740" s="1">
        <v>42743</v>
      </c>
      <c r="B740">
        <v>588</v>
      </c>
      <c r="C740">
        <v>132</v>
      </c>
      <c r="D740">
        <v>456</v>
      </c>
      <c r="E740">
        <v>505951</v>
      </c>
      <c r="F740">
        <v>286235</v>
      </c>
      <c r="G740">
        <v>792186</v>
      </c>
      <c r="H740">
        <v>273</v>
      </c>
      <c r="I740">
        <v>22</v>
      </c>
      <c r="J740">
        <v>295</v>
      </c>
      <c r="K740" t="b">
        <f>TrafficData[[#This Row],[disposedChallan]]+TrafficData[[#This Row],[pendingChallan]]=TrafficData[[#This Row],[totalChallan]]</f>
        <v>1</v>
      </c>
      <c r="L740" t="b">
        <f>TrafficData[[#This Row],[pendingAmount]]+TrafficData[[#This Row],[disposedAmount]]=TrafficData[[#This Row],[totalAmount]]</f>
        <v>1</v>
      </c>
      <c r="M740" t="b">
        <f>TrafficData[[#This Row],[pendingCourt]]+TrafficData[[#This Row],[disposedCourt]]=TrafficData[[#This Row],[totalCourt]]</f>
        <v>1</v>
      </c>
      <c r="N740" s="8" t="b">
        <f>AND(TrafficData[[#This Row],[disposedChallan]]&lt;=TrafficData[[#This Row],[totalChallan]],TrafficData[[#This Row],[pendingChallan]]&lt;=TrafficData[[#This Row],[totalChallan]])</f>
        <v>1</v>
      </c>
      <c r="O740" s="8" t="b">
        <f>AND(TrafficData[[#This Row],[pendingAmount]]&lt;=TrafficData[[#This Row],[totalAmount]],TrafficData[[#This Row],[disposedAmount]]&lt;=TrafficData[[#This Row],[totalAmount]])</f>
        <v>1</v>
      </c>
      <c r="P740" s="8" t="b">
        <f>AND(TrafficData[[#This Row],[pendingCourt]]&lt;=TrafficData[[#This Row],[totalCourt]],TrafficData[[#This Row],[disposedCourt]]&lt;=TrafficData[[#This Row],[totalCourt]])</f>
        <v>1</v>
      </c>
    </row>
    <row r="741" spans="1:16">
      <c r="A741" s="1">
        <v>42744</v>
      </c>
      <c r="B741">
        <v>580</v>
      </c>
      <c r="C741">
        <v>110</v>
      </c>
      <c r="D741">
        <v>470</v>
      </c>
      <c r="E741">
        <v>654000</v>
      </c>
      <c r="F741">
        <v>243651</v>
      </c>
      <c r="G741">
        <v>897651</v>
      </c>
      <c r="H741">
        <v>288</v>
      </c>
      <c r="I741">
        <v>24</v>
      </c>
      <c r="J741">
        <v>312</v>
      </c>
      <c r="K741" t="b">
        <f>TrafficData[[#This Row],[disposedChallan]]+TrafficData[[#This Row],[pendingChallan]]=TrafficData[[#This Row],[totalChallan]]</f>
        <v>1</v>
      </c>
      <c r="L741" t="b">
        <f>TrafficData[[#This Row],[pendingAmount]]+TrafficData[[#This Row],[disposedAmount]]=TrafficData[[#This Row],[totalAmount]]</f>
        <v>1</v>
      </c>
      <c r="M741" t="b">
        <f>TrafficData[[#This Row],[pendingCourt]]+TrafficData[[#This Row],[disposedCourt]]=TrafficData[[#This Row],[totalCourt]]</f>
        <v>1</v>
      </c>
      <c r="N741" s="8" t="b">
        <f>AND(TrafficData[[#This Row],[disposedChallan]]&lt;=TrafficData[[#This Row],[totalChallan]],TrafficData[[#This Row],[pendingChallan]]&lt;=TrafficData[[#This Row],[totalChallan]])</f>
        <v>1</v>
      </c>
      <c r="O741" s="8" t="b">
        <f>AND(TrafficData[[#This Row],[pendingAmount]]&lt;=TrafficData[[#This Row],[totalAmount]],TrafficData[[#This Row],[disposedAmount]]&lt;=TrafficData[[#This Row],[totalAmount]])</f>
        <v>1</v>
      </c>
      <c r="P741" s="8" t="b">
        <f>AND(TrafficData[[#This Row],[pendingCourt]]&lt;=TrafficData[[#This Row],[totalCourt]],TrafficData[[#This Row],[disposedCourt]]&lt;=TrafficData[[#This Row],[totalCourt]])</f>
        <v>1</v>
      </c>
    </row>
    <row r="742" spans="1:16">
      <c r="A742" s="1">
        <v>42745</v>
      </c>
      <c r="B742">
        <v>903</v>
      </c>
      <c r="C742">
        <v>197</v>
      </c>
      <c r="D742">
        <v>706</v>
      </c>
      <c r="E742">
        <v>900100</v>
      </c>
      <c r="F742">
        <v>235930</v>
      </c>
      <c r="G742">
        <v>1136030</v>
      </c>
      <c r="H742">
        <v>505</v>
      </c>
      <c r="I742">
        <v>40</v>
      </c>
      <c r="J742">
        <v>545</v>
      </c>
      <c r="K742" t="b">
        <f>TrafficData[[#This Row],[disposedChallan]]+TrafficData[[#This Row],[pendingChallan]]=TrafficData[[#This Row],[totalChallan]]</f>
        <v>1</v>
      </c>
      <c r="L742" t="b">
        <f>TrafficData[[#This Row],[pendingAmount]]+TrafficData[[#This Row],[disposedAmount]]=TrafficData[[#This Row],[totalAmount]]</f>
        <v>1</v>
      </c>
      <c r="M742" t="b">
        <f>TrafficData[[#This Row],[pendingCourt]]+TrafficData[[#This Row],[disposedCourt]]=TrafficData[[#This Row],[totalCourt]]</f>
        <v>1</v>
      </c>
      <c r="N742" s="8" t="b">
        <f>AND(TrafficData[[#This Row],[disposedChallan]]&lt;=TrafficData[[#This Row],[totalChallan]],TrafficData[[#This Row],[pendingChallan]]&lt;=TrafficData[[#This Row],[totalChallan]])</f>
        <v>1</v>
      </c>
      <c r="O742" s="8" t="b">
        <f>AND(TrafficData[[#This Row],[pendingAmount]]&lt;=TrafficData[[#This Row],[totalAmount]],TrafficData[[#This Row],[disposedAmount]]&lt;=TrafficData[[#This Row],[totalAmount]])</f>
        <v>1</v>
      </c>
      <c r="P742" s="8" t="b">
        <f>AND(TrafficData[[#This Row],[pendingCourt]]&lt;=TrafficData[[#This Row],[totalCourt]],TrafficData[[#This Row],[disposedCourt]]&lt;=TrafficData[[#This Row],[totalCourt]])</f>
        <v>1</v>
      </c>
    </row>
    <row r="743" spans="1:16">
      <c r="A743" s="1">
        <v>42746</v>
      </c>
      <c r="B743">
        <v>809</v>
      </c>
      <c r="C743">
        <v>164</v>
      </c>
      <c r="D743">
        <v>645</v>
      </c>
      <c r="E743">
        <v>1201810</v>
      </c>
      <c r="F743">
        <v>254300</v>
      </c>
      <c r="G743">
        <v>1456110</v>
      </c>
      <c r="H743">
        <v>444</v>
      </c>
      <c r="I743">
        <v>40</v>
      </c>
      <c r="J743">
        <v>484</v>
      </c>
      <c r="K743" t="b">
        <f>TrafficData[[#This Row],[disposedChallan]]+TrafficData[[#This Row],[pendingChallan]]=TrafficData[[#This Row],[totalChallan]]</f>
        <v>1</v>
      </c>
      <c r="L743" t="b">
        <f>TrafficData[[#This Row],[pendingAmount]]+TrafficData[[#This Row],[disposedAmount]]=TrafficData[[#This Row],[totalAmount]]</f>
        <v>1</v>
      </c>
      <c r="M743" t="b">
        <f>TrafficData[[#This Row],[pendingCourt]]+TrafficData[[#This Row],[disposedCourt]]=TrafficData[[#This Row],[totalCourt]]</f>
        <v>1</v>
      </c>
      <c r="N743" s="8" t="b">
        <f>AND(TrafficData[[#This Row],[disposedChallan]]&lt;=TrafficData[[#This Row],[totalChallan]],TrafficData[[#This Row],[pendingChallan]]&lt;=TrafficData[[#This Row],[totalChallan]])</f>
        <v>1</v>
      </c>
      <c r="O743" s="8" t="b">
        <f>AND(TrafficData[[#This Row],[pendingAmount]]&lt;=TrafficData[[#This Row],[totalAmount]],TrafficData[[#This Row],[disposedAmount]]&lt;=TrafficData[[#This Row],[totalAmount]])</f>
        <v>1</v>
      </c>
      <c r="P743" s="8" t="b">
        <f>AND(TrafficData[[#This Row],[pendingCourt]]&lt;=TrafficData[[#This Row],[totalCourt]],TrafficData[[#This Row],[disposedCourt]]&lt;=TrafficData[[#This Row],[totalCourt]])</f>
        <v>1</v>
      </c>
    </row>
    <row r="744" spans="1:16">
      <c r="A744" s="1">
        <v>42747</v>
      </c>
      <c r="B744">
        <v>844</v>
      </c>
      <c r="C744">
        <v>188</v>
      </c>
      <c r="D744">
        <v>656</v>
      </c>
      <c r="E744">
        <v>1409600</v>
      </c>
      <c r="F744">
        <v>239700</v>
      </c>
      <c r="G744">
        <v>1649300</v>
      </c>
      <c r="H744">
        <v>428</v>
      </c>
      <c r="I744">
        <v>56</v>
      </c>
      <c r="J744">
        <v>484</v>
      </c>
      <c r="K744" t="b">
        <f>TrafficData[[#This Row],[disposedChallan]]+TrafficData[[#This Row],[pendingChallan]]=TrafficData[[#This Row],[totalChallan]]</f>
        <v>1</v>
      </c>
      <c r="L744" t="b">
        <f>TrafficData[[#This Row],[pendingAmount]]+TrafficData[[#This Row],[disposedAmount]]=TrafficData[[#This Row],[totalAmount]]</f>
        <v>1</v>
      </c>
      <c r="M744" t="b">
        <f>TrafficData[[#This Row],[pendingCourt]]+TrafficData[[#This Row],[disposedCourt]]=TrafficData[[#This Row],[totalCourt]]</f>
        <v>1</v>
      </c>
      <c r="N744" s="8" t="b">
        <f>AND(TrafficData[[#This Row],[disposedChallan]]&lt;=TrafficData[[#This Row],[totalChallan]],TrafficData[[#This Row],[pendingChallan]]&lt;=TrafficData[[#This Row],[totalChallan]])</f>
        <v>1</v>
      </c>
      <c r="O744" s="8" t="b">
        <f>AND(TrafficData[[#This Row],[pendingAmount]]&lt;=TrafficData[[#This Row],[totalAmount]],TrafficData[[#This Row],[disposedAmount]]&lt;=TrafficData[[#This Row],[totalAmount]])</f>
        <v>1</v>
      </c>
      <c r="P744" s="8" t="b">
        <f>AND(TrafficData[[#This Row],[pendingCourt]]&lt;=TrafficData[[#This Row],[totalCourt]],TrafficData[[#This Row],[disposedCourt]]&lt;=TrafficData[[#This Row],[totalCourt]])</f>
        <v>1</v>
      </c>
    </row>
    <row r="745" spans="1:16">
      <c r="A745" s="1">
        <v>42748</v>
      </c>
      <c r="B745">
        <v>930</v>
      </c>
      <c r="C745">
        <v>217</v>
      </c>
      <c r="D745">
        <v>713</v>
      </c>
      <c r="E745">
        <v>845350</v>
      </c>
      <c r="F745">
        <v>390740</v>
      </c>
      <c r="G745">
        <v>1236090</v>
      </c>
      <c r="H745">
        <v>554</v>
      </c>
      <c r="I745">
        <v>58</v>
      </c>
      <c r="J745">
        <v>612</v>
      </c>
      <c r="K745" t="b">
        <f>TrafficData[[#This Row],[disposedChallan]]+TrafficData[[#This Row],[pendingChallan]]=TrafficData[[#This Row],[totalChallan]]</f>
        <v>1</v>
      </c>
      <c r="L745" t="b">
        <f>TrafficData[[#This Row],[pendingAmount]]+TrafficData[[#This Row],[disposedAmount]]=TrafficData[[#This Row],[totalAmount]]</f>
        <v>1</v>
      </c>
      <c r="M745" t="b">
        <f>TrafficData[[#This Row],[pendingCourt]]+TrafficData[[#This Row],[disposedCourt]]=TrafficData[[#This Row],[totalCourt]]</f>
        <v>1</v>
      </c>
      <c r="N745" s="8" t="b">
        <f>AND(TrafficData[[#This Row],[disposedChallan]]&lt;=TrafficData[[#This Row],[totalChallan]],TrafficData[[#This Row],[pendingChallan]]&lt;=TrafficData[[#This Row],[totalChallan]])</f>
        <v>1</v>
      </c>
      <c r="O745" s="8" t="b">
        <f>AND(TrafficData[[#This Row],[pendingAmount]]&lt;=TrafficData[[#This Row],[totalAmount]],TrafficData[[#This Row],[disposedAmount]]&lt;=TrafficData[[#This Row],[totalAmount]])</f>
        <v>1</v>
      </c>
      <c r="P745" s="8" t="b">
        <f>AND(TrafficData[[#This Row],[pendingCourt]]&lt;=TrafficData[[#This Row],[totalCourt]],TrafficData[[#This Row],[disposedCourt]]&lt;=TrafficData[[#This Row],[totalCourt]])</f>
        <v>1</v>
      </c>
    </row>
    <row r="746" spans="1:16">
      <c r="A746" s="1">
        <v>42749</v>
      </c>
      <c r="B746">
        <v>740</v>
      </c>
      <c r="C746">
        <v>143</v>
      </c>
      <c r="D746">
        <v>597</v>
      </c>
      <c r="E746">
        <v>480000</v>
      </c>
      <c r="F746">
        <v>199500</v>
      </c>
      <c r="G746">
        <v>679500</v>
      </c>
      <c r="H746">
        <v>473</v>
      </c>
      <c r="I746">
        <v>56</v>
      </c>
      <c r="J746">
        <v>529</v>
      </c>
      <c r="K746" t="b">
        <f>TrafficData[[#This Row],[disposedChallan]]+TrafficData[[#This Row],[pendingChallan]]=TrafficData[[#This Row],[totalChallan]]</f>
        <v>1</v>
      </c>
      <c r="L746" t="b">
        <f>TrafficData[[#This Row],[pendingAmount]]+TrafficData[[#This Row],[disposedAmount]]=TrafficData[[#This Row],[totalAmount]]</f>
        <v>1</v>
      </c>
      <c r="M746" t="b">
        <f>TrafficData[[#This Row],[pendingCourt]]+TrafficData[[#This Row],[disposedCourt]]=TrafficData[[#This Row],[totalCourt]]</f>
        <v>1</v>
      </c>
      <c r="N746" s="8" t="b">
        <f>AND(TrafficData[[#This Row],[disposedChallan]]&lt;=TrafficData[[#This Row],[totalChallan]],TrafficData[[#This Row],[pendingChallan]]&lt;=TrafficData[[#This Row],[totalChallan]])</f>
        <v>1</v>
      </c>
      <c r="O746" s="8" t="b">
        <f>AND(TrafficData[[#This Row],[pendingAmount]]&lt;=TrafficData[[#This Row],[totalAmount]],TrafficData[[#This Row],[disposedAmount]]&lt;=TrafficData[[#This Row],[totalAmount]])</f>
        <v>1</v>
      </c>
      <c r="P746" s="8" t="b">
        <f>AND(TrafficData[[#This Row],[pendingCourt]]&lt;=TrafficData[[#This Row],[totalCourt]],TrafficData[[#This Row],[disposedCourt]]&lt;=TrafficData[[#This Row],[totalCourt]])</f>
        <v>1</v>
      </c>
    </row>
    <row r="747" spans="1:16">
      <c r="A747" s="1">
        <v>42750</v>
      </c>
      <c r="B747">
        <v>767</v>
      </c>
      <c r="C747">
        <v>124</v>
      </c>
      <c r="D747">
        <v>643</v>
      </c>
      <c r="E747">
        <v>652750</v>
      </c>
      <c r="F747">
        <v>211160</v>
      </c>
      <c r="G747">
        <v>863910</v>
      </c>
      <c r="H747">
        <v>501</v>
      </c>
      <c r="I747">
        <v>45</v>
      </c>
      <c r="J747">
        <v>546</v>
      </c>
      <c r="K747" t="b">
        <f>TrafficData[[#This Row],[disposedChallan]]+TrafficData[[#This Row],[pendingChallan]]=TrafficData[[#This Row],[totalChallan]]</f>
        <v>1</v>
      </c>
      <c r="L747" t="b">
        <f>TrafficData[[#This Row],[pendingAmount]]+TrafficData[[#This Row],[disposedAmount]]=TrafficData[[#This Row],[totalAmount]]</f>
        <v>1</v>
      </c>
      <c r="M747" t="b">
        <f>TrafficData[[#This Row],[pendingCourt]]+TrafficData[[#This Row],[disposedCourt]]=TrafficData[[#This Row],[totalCourt]]</f>
        <v>1</v>
      </c>
      <c r="N747" s="8" t="b">
        <f>AND(TrafficData[[#This Row],[disposedChallan]]&lt;=TrafficData[[#This Row],[totalChallan]],TrafficData[[#This Row],[pendingChallan]]&lt;=TrafficData[[#This Row],[totalChallan]])</f>
        <v>1</v>
      </c>
      <c r="O747" s="8" t="b">
        <f>AND(TrafficData[[#This Row],[pendingAmount]]&lt;=TrafficData[[#This Row],[totalAmount]],TrafficData[[#This Row],[disposedAmount]]&lt;=TrafficData[[#This Row],[totalAmount]])</f>
        <v>1</v>
      </c>
      <c r="P747" s="8" t="b">
        <f>AND(TrafficData[[#This Row],[pendingCourt]]&lt;=TrafficData[[#This Row],[totalCourt]],TrafficData[[#This Row],[disposedCourt]]&lt;=TrafficData[[#This Row],[totalCourt]])</f>
        <v>1</v>
      </c>
    </row>
    <row r="748" spans="1:16">
      <c r="A748" s="1">
        <v>42751</v>
      </c>
      <c r="B748">
        <v>920</v>
      </c>
      <c r="C748">
        <v>200</v>
      </c>
      <c r="D748">
        <v>720</v>
      </c>
      <c r="E748">
        <v>867151</v>
      </c>
      <c r="F748">
        <v>358525</v>
      </c>
      <c r="G748">
        <v>1225676</v>
      </c>
      <c r="H748">
        <v>513</v>
      </c>
      <c r="I748">
        <v>28</v>
      </c>
      <c r="J748">
        <v>541</v>
      </c>
      <c r="K748" t="b">
        <f>TrafficData[[#This Row],[disposedChallan]]+TrafficData[[#This Row],[pendingChallan]]=TrafficData[[#This Row],[totalChallan]]</f>
        <v>1</v>
      </c>
      <c r="L748" t="b">
        <f>TrafficData[[#This Row],[pendingAmount]]+TrafficData[[#This Row],[disposedAmount]]=TrafficData[[#This Row],[totalAmount]]</f>
        <v>1</v>
      </c>
      <c r="M748" t="b">
        <f>TrafficData[[#This Row],[pendingCourt]]+TrafficData[[#This Row],[disposedCourt]]=TrafficData[[#This Row],[totalCourt]]</f>
        <v>1</v>
      </c>
      <c r="N748" s="8" t="b">
        <f>AND(TrafficData[[#This Row],[disposedChallan]]&lt;=TrafficData[[#This Row],[totalChallan]],TrafficData[[#This Row],[pendingChallan]]&lt;=TrafficData[[#This Row],[totalChallan]])</f>
        <v>1</v>
      </c>
      <c r="O748" s="8" t="b">
        <f>AND(TrafficData[[#This Row],[pendingAmount]]&lt;=TrafficData[[#This Row],[totalAmount]],TrafficData[[#This Row],[disposedAmount]]&lt;=TrafficData[[#This Row],[totalAmount]])</f>
        <v>1</v>
      </c>
      <c r="P748" s="8" t="b">
        <f>AND(TrafficData[[#This Row],[pendingCourt]]&lt;=TrafficData[[#This Row],[totalCourt]],TrafficData[[#This Row],[disposedCourt]]&lt;=TrafficData[[#This Row],[totalCourt]])</f>
        <v>1</v>
      </c>
    </row>
    <row r="749" spans="1:16">
      <c r="A749" s="1">
        <v>42752</v>
      </c>
      <c r="B749">
        <v>993</v>
      </c>
      <c r="C749">
        <v>223</v>
      </c>
      <c r="D749">
        <v>770</v>
      </c>
      <c r="E749">
        <v>1256200</v>
      </c>
      <c r="F749">
        <v>371700</v>
      </c>
      <c r="G749">
        <v>1627900</v>
      </c>
      <c r="H749">
        <v>562</v>
      </c>
      <c r="I749">
        <v>50</v>
      </c>
      <c r="J749">
        <v>612</v>
      </c>
      <c r="K749" t="b">
        <f>TrafficData[[#This Row],[disposedChallan]]+TrafficData[[#This Row],[pendingChallan]]=TrafficData[[#This Row],[totalChallan]]</f>
        <v>1</v>
      </c>
      <c r="L749" t="b">
        <f>TrafficData[[#This Row],[pendingAmount]]+TrafficData[[#This Row],[disposedAmount]]=TrafficData[[#This Row],[totalAmount]]</f>
        <v>1</v>
      </c>
      <c r="M749" t="b">
        <f>TrafficData[[#This Row],[pendingCourt]]+TrafficData[[#This Row],[disposedCourt]]=TrafficData[[#This Row],[totalCourt]]</f>
        <v>1</v>
      </c>
      <c r="N749" s="8" t="b">
        <f>AND(TrafficData[[#This Row],[disposedChallan]]&lt;=TrafficData[[#This Row],[totalChallan]],TrafficData[[#This Row],[pendingChallan]]&lt;=TrafficData[[#This Row],[totalChallan]])</f>
        <v>1</v>
      </c>
      <c r="O749" s="8" t="b">
        <f>AND(TrafficData[[#This Row],[pendingAmount]]&lt;=TrafficData[[#This Row],[totalAmount]],TrafficData[[#This Row],[disposedAmount]]&lt;=TrafficData[[#This Row],[totalAmount]])</f>
        <v>1</v>
      </c>
      <c r="P749" s="8" t="b">
        <f>AND(TrafficData[[#This Row],[pendingCourt]]&lt;=TrafficData[[#This Row],[totalCourt]],TrafficData[[#This Row],[disposedCourt]]&lt;=TrafficData[[#This Row],[totalCourt]])</f>
        <v>1</v>
      </c>
    </row>
    <row r="750" spans="1:16">
      <c r="A750" s="1">
        <v>42753</v>
      </c>
      <c r="B750">
        <v>779</v>
      </c>
      <c r="C750">
        <v>190</v>
      </c>
      <c r="D750">
        <v>589</v>
      </c>
      <c r="E750">
        <v>1212190</v>
      </c>
      <c r="F750">
        <v>226850</v>
      </c>
      <c r="G750">
        <v>1439040</v>
      </c>
      <c r="H750">
        <v>431</v>
      </c>
      <c r="I750">
        <v>45</v>
      </c>
      <c r="J750">
        <v>476</v>
      </c>
      <c r="K750" t="b">
        <f>TrafficData[[#This Row],[disposedChallan]]+TrafficData[[#This Row],[pendingChallan]]=TrafficData[[#This Row],[totalChallan]]</f>
        <v>1</v>
      </c>
      <c r="L750" t="b">
        <f>TrafficData[[#This Row],[pendingAmount]]+TrafficData[[#This Row],[disposedAmount]]=TrafficData[[#This Row],[totalAmount]]</f>
        <v>1</v>
      </c>
      <c r="M750" t="b">
        <f>TrafficData[[#This Row],[pendingCourt]]+TrafficData[[#This Row],[disposedCourt]]=TrafficData[[#This Row],[totalCourt]]</f>
        <v>1</v>
      </c>
      <c r="N750" s="8" t="b">
        <f>AND(TrafficData[[#This Row],[disposedChallan]]&lt;=TrafficData[[#This Row],[totalChallan]],TrafficData[[#This Row],[pendingChallan]]&lt;=TrafficData[[#This Row],[totalChallan]])</f>
        <v>1</v>
      </c>
      <c r="O750" s="8" t="b">
        <f>AND(TrafficData[[#This Row],[pendingAmount]]&lt;=TrafficData[[#This Row],[totalAmount]],TrafficData[[#This Row],[disposedAmount]]&lt;=TrafficData[[#This Row],[totalAmount]])</f>
        <v>1</v>
      </c>
      <c r="P750" s="8" t="b">
        <f>AND(TrafficData[[#This Row],[pendingCourt]]&lt;=TrafficData[[#This Row],[totalCourt]],TrafficData[[#This Row],[disposedCourt]]&lt;=TrafficData[[#This Row],[totalCourt]])</f>
        <v>1</v>
      </c>
    </row>
    <row r="751" spans="1:16">
      <c r="A751" s="1">
        <v>42754</v>
      </c>
      <c r="B751">
        <v>914</v>
      </c>
      <c r="C751">
        <v>223</v>
      </c>
      <c r="D751">
        <v>691</v>
      </c>
      <c r="E751">
        <v>1021100</v>
      </c>
      <c r="F751">
        <v>420900</v>
      </c>
      <c r="G751">
        <v>1442000</v>
      </c>
      <c r="H751">
        <v>512</v>
      </c>
      <c r="I751">
        <v>57</v>
      </c>
      <c r="J751">
        <v>569</v>
      </c>
      <c r="K751" t="b">
        <f>TrafficData[[#This Row],[disposedChallan]]+TrafficData[[#This Row],[pendingChallan]]=TrafficData[[#This Row],[totalChallan]]</f>
        <v>1</v>
      </c>
      <c r="L751" t="b">
        <f>TrafficData[[#This Row],[pendingAmount]]+TrafficData[[#This Row],[disposedAmount]]=TrafficData[[#This Row],[totalAmount]]</f>
        <v>1</v>
      </c>
      <c r="M751" t="b">
        <f>TrafficData[[#This Row],[pendingCourt]]+TrafficData[[#This Row],[disposedCourt]]=TrafficData[[#This Row],[totalCourt]]</f>
        <v>1</v>
      </c>
      <c r="N751" s="8" t="b">
        <f>AND(TrafficData[[#This Row],[disposedChallan]]&lt;=TrafficData[[#This Row],[totalChallan]],TrafficData[[#This Row],[pendingChallan]]&lt;=TrafficData[[#This Row],[totalChallan]])</f>
        <v>1</v>
      </c>
      <c r="O751" s="8" t="b">
        <f>AND(TrafficData[[#This Row],[pendingAmount]]&lt;=TrafficData[[#This Row],[totalAmount]],TrafficData[[#This Row],[disposedAmount]]&lt;=TrafficData[[#This Row],[totalAmount]])</f>
        <v>1</v>
      </c>
      <c r="P751" s="8" t="b">
        <f>AND(TrafficData[[#This Row],[pendingCourt]]&lt;=TrafficData[[#This Row],[totalCourt]],TrafficData[[#This Row],[disposedCourt]]&lt;=TrafficData[[#This Row],[totalCourt]])</f>
        <v>1</v>
      </c>
    </row>
    <row r="752" spans="1:16">
      <c r="A752" s="1">
        <v>42755</v>
      </c>
      <c r="B752">
        <v>764</v>
      </c>
      <c r="C752">
        <v>212</v>
      </c>
      <c r="D752">
        <v>552</v>
      </c>
      <c r="E752">
        <v>1300995</v>
      </c>
      <c r="F752">
        <v>559291</v>
      </c>
      <c r="G752">
        <v>1860286</v>
      </c>
      <c r="H752">
        <v>343</v>
      </c>
      <c r="I752">
        <v>47</v>
      </c>
      <c r="J752">
        <v>390</v>
      </c>
      <c r="K752" t="b">
        <f>TrafficData[[#This Row],[disposedChallan]]+TrafficData[[#This Row],[pendingChallan]]=TrafficData[[#This Row],[totalChallan]]</f>
        <v>1</v>
      </c>
      <c r="L752" t="b">
        <f>TrafficData[[#This Row],[pendingAmount]]+TrafficData[[#This Row],[disposedAmount]]=TrafficData[[#This Row],[totalAmount]]</f>
        <v>1</v>
      </c>
      <c r="M752" t="b">
        <f>TrafficData[[#This Row],[pendingCourt]]+TrafficData[[#This Row],[disposedCourt]]=TrafficData[[#This Row],[totalCourt]]</f>
        <v>1</v>
      </c>
      <c r="N752" s="8" t="b">
        <f>AND(TrafficData[[#This Row],[disposedChallan]]&lt;=TrafficData[[#This Row],[totalChallan]],TrafficData[[#This Row],[pendingChallan]]&lt;=TrafficData[[#This Row],[totalChallan]])</f>
        <v>1</v>
      </c>
      <c r="O752" s="8" t="b">
        <f>AND(TrafficData[[#This Row],[pendingAmount]]&lt;=TrafficData[[#This Row],[totalAmount]],TrafficData[[#This Row],[disposedAmount]]&lt;=TrafficData[[#This Row],[totalAmount]])</f>
        <v>1</v>
      </c>
      <c r="P752" s="8" t="b">
        <f>AND(TrafficData[[#This Row],[pendingCourt]]&lt;=TrafficData[[#This Row],[totalCourt]],TrafficData[[#This Row],[disposedCourt]]&lt;=TrafficData[[#This Row],[totalCourt]])</f>
        <v>1</v>
      </c>
    </row>
    <row r="753" spans="1:16">
      <c r="A753" s="1">
        <v>42756</v>
      </c>
      <c r="B753">
        <v>939</v>
      </c>
      <c r="C753">
        <v>243</v>
      </c>
      <c r="D753">
        <v>696</v>
      </c>
      <c r="E753">
        <v>1161550</v>
      </c>
      <c r="F753">
        <v>503100</v>
      </c>
      <c r="G753">
        <v>1664650</v>
      </c>
      <c r="H753">
        <v>504</v>
      </c>
      <c r="I753">
        <v>64</v>
      </c>
      <c r="J753">
        <v>568</v>
      </c>
      <c r="K753" t="b">
        <f>TrafficData[[#This Row],[disposedChallan]]+TrafficData[[#This Row],[pendingChallan]]=TrafficData[[#This Row],[totalChallan]]</f>
        <v>1</v>
      </c>
      <c r="L753" t="b">
        <f>TrafficData[[#This Row],[pendingAmount]]+TrafficData[[#This Row],[disposedAmount]]=TrafficData[[#This Row],[totalAmount]]</f>
        <v>1</v>
      </c>
      <c r="M753" t="b">
        <f>TrafficData[[#This Row],[pendingCourt]]+TrafficData[[#This Row],[disposedCourt]]=TrafficData[[#This Row],[totalCourt]]</f>
        <v>1</v>
      </c>
      <c r="N753" s="8" t="b">
        <f>AND(TrafficData[[#This Row],[disposedChallan]]&lt;=TrafficData[[#This Row],[totalChallan]],TrafficData[[#This Row],[pendingChallan]]&lt;=TrafficData[[#This Row],[totalChallan]])</f>
        <v>1</v>
      </c>
      <c r="O753" s="8" t="b">
        <f>AND(TrafficData[[#This Row],[pendingAmount]]&lt;=TrafficData[[#This Row],[totalAmount]],TrafficData[[#This Row],[disposedAmount]]&lt;=TrafficData[[#This Row],[totalAmount]])</f>
        <v>1</v>
      </c>
      <c r="P753" s="8" t="b">
        <f>AND(TrafficData[[#This Row],[pendingCourt]]&lt;=TrafficData[[#This Row],[totalCourt]],TrafficData[[#This Row],[disposedCourt]]&lt;=TrafficData[[#This Row],[totalCourt]])</f>
        <v>1</v>
      </c>
    </row>
    <row r="754" spans="1:16">
      <c r="A754" s="1">
        <v>42757</v>
      </c>
      <c r="B754">
        <v>730</v>
      </c>
      <c r="C754">
        <v>144</v>
      </c>
      <c r="D754">
        <v>586</v>
      </c>
      <c r="E754">
        <v>560100</v>
      </c>
      <c r="F754">
        <v>200750</v>
      </c>
      <c r="G754">
        <v>760850</v>
      </c>
      <c r="H754">
        <v>437</v>
      </c>
      <c r="I754">
        <v>51</v>
      </c>
      <c r="J754">
        <v>488</v>
      </c>
      <c r="K754" t="b">
        <f>TrafficData[[#This Row],[disposedChallan]]+TrafficData[[#This Row],[pendingChallan]]=TrafficData[[#This Row],[totalChallan]]</f>
        <v>1</v>
      </c>
      <c r="L754" t="b">
        <f>TrafficData[[#This Row],[pendingAmount]]+TrafficData[[#This Row],[disposedAmount]]=TrafficData[[#This Row],[totalAmount]]</f>
        <v>1</v>
      </c>
      <c r="M754" t="b">
        <f>TrafficData[[#This Row],[pendingCourt]]+TrafficData[[#This Row],[disposedCourt]]=TrafficData[[#This Row],[totalCourt]]</f>
        <v>1</v>
      </c>
      <c r="N754" s="8" t="b">
        <f>AND(TrafficData[[#This Row],[disposedChallan]]&lt;=TrafficData[[#This Row],[totalChallan]],TrafficData[[#This Row],[pendingChallan]]&lt;=TrafficData[[#This Row],[totalChallan]])</f>
        <v>1</v>
      </c>
      <c r="O754" s="8" t="b">
        <f>AND(TrafficData[[#This Row],[pendingAmount]]&lt;=TrafficData[[#This Row],[totalAmount]],TrafficData[[#This Row],[disposedAmount]]&lt;=TrafficData[[#This Row],[totalAmount]])</f>
        <v>1</v>
      </c>
      <c r="P754" s="8" t="b">
        <f>AND(TrafficData[[#This Row],[pendingCourt]]&lt;=TrafficData[[#This Row],[totalCourt]],TrafficData[[#This Row],[disposedCourt]]&lt;=TrafficData[[#This Row],[totalCourt]])</f>
        <v>1</v>
      </c>
    </row>
    <row r="755" spans="1:16">
      <c r="A755" s="1">
        <v>42758</v>
      </c>
      <c r="B755">
        <v>583</v>
      </c>
      <c r="C755">
        <v>165</v>
      </c>
      <c r="D755">
        <v>418</v>
      </c>
      <c r="E755">
        <v>942075</v>
      </c>
      <c r="F755">
        <v>328050</v>
      </c>
      <c r="G755">
        <v>1270125</v>
      </c>
      <c r="H755">
        <v>207</v>
      </c>
      <c r="I755">
        <v>24</v>
      </c>
      <c r="J755">
        <v>231</v>
      </c>
      <c r="K755" t="b">
        <f>TrafficData[[#This Row],[disposedChallan]]+TrafficData[[#This Row],[pendingChallan]]=TrafficData[[#This Row],[totalChallan]]</f>
        <v>1</v>
      </c>
      <c r="L755" t="b">
        <f>TrafficData[[#This Row],[pendingAmount]]+TrafficData[[#This Row],[disposedAmount]]=TrafficData[[#This Row],[totalAmount]]</f>
        <v>1</v>
      </c>
      <c r="M755" t="b">
        <f>TrafficData[[#This Row],[pendingCourt]]+TrafficData[[#This Row],[disposedCourt]]=TrafficData[[#This Row],[totalCourt]]</f>
        <v>1</v>
      </c>
      <c r="N755" s="8" t="b">
        <f>AND(TrafficData[[#This Row],[disposedChallan]]&lt;=TrafficData[[#This Row],[totalChallan]],TrafficData[[#This Row],[pendingChallan]]&lt;=TrafficData[[#This Row],[totalChallan]])</f>
        <v>1</v>
      </c>
      <c r="O755" s="8" t="b">
        <f>AND(TrafficData[[#This Row],[pendingAmount]]&lt;=TrafficData[[#This Row],[totalAmount]],TrafficData[[#This Row],[disposedAmount]]&lt;=TrafficData[[#This Row],[totalAmount]])</f>
        <v>1</v>
      </c>
      <c r="P755" s="8" t="b">
        <f>AND(TrafficData[[#This Row],[pendingCourt]]&lt;=TrafficData[[#This Row],[totalCourt]],TrafficData[[#This Row],[disposedCourt]]&lt;=TrafficData[[#This Row],[totalCourt]])</f>
        <v>1</v>
      </c>
    </row>
    <row r="756" spans="1:16">
      <c r="A756" s="1">
        <v>42759</v>
      </c>
      <c r="B756">
        <v>651</v>
      </c>
      <c r="C756">
        <v>172</v>
      </c>
      <c r="D756">
        <v>479</v>
      </c>
      <c r="E756">
        <v>1159835</v>
      </c>
      <c r="F756">
        <v>605950</v>
      </c>
      <c r="G756">
        <v>1765785</v>
      </c>
      <c r="H756">
        <v>287</v>
      </c>
      <c r="I756">
        <v>28</v>
      </c>
      <c r="J756">
        <v>315</v>
      </c>
      <c r="K756" t="b">
        <f>TrafficData[[#This Row],[disposedChallan]]+TrafficData[[#This Row],[pendingChallan]]=TrafficData[[#This Row],[totalChallan]]</f>
        <v>1</v>
      </c>
      <c r="L756" t="b">
        <f>TrafficData[[#This Row],[pendingAmount]]+TrafficData[[#This Row],[disposedAmount]]=TrafficData[[#This Row],[totalAmount]]</f>
        <v>1</v>
      </c>
      <c r="M756" t="b">
        <f>TrafficData[[#This Row],[pendingCourt]]+TrafficData[[#This Row],[disposedCourt]]=TrafficData[[#This Row],[totalCourt]]</f>
        <v>1</v>
      </c>
      <c r="N756" s="8" t="b">
        <f>AND(TrafficData[[#This Row],[disposedChallan]]&lt;=TrafficData[[#This Row],[totalChallan]],TrafficData[[#This Row],[pendingChallan]]&lt;=TrafficData[[#This Row],[totalChallan]])</f>
        <v>1</v>
      </c>
      <c r="O756" s="8" t="b">
        <f>AND(TrafficData[[#This Row],[pendingAmount]]&lt;=TrafficData[[#This Row],[totalAmount]],TrafficData[[#This Row],[disposedAmount]]&lt;=TrafficData[[#This Row],[totalAmount]])</f>
        <v>1</v>
      </c>
      <c r="P756" s="8" t="b">
        <f>AND(TrafficData[[#This Row],[pendingCourt]]&lt;=TrafficData[[#This Row],[totalCourt]],TrafficData[[#This Row],[disposedCourt]]&lt;=TrafficData[[#This Row],[totalCourt]])</f>
        <v>1</v>
      </c>
    </row>
    <row r="757" spans="1:16">
      <c r="A757" s="1">
        <v>42760</v>
      </c>
      <c r="B757">
        <v>1051</v>
      </c>
      <c r="C757">
        <v>219</v>
      </c>
      <c r="D757">
        <v>832</v>
      </c>
      <c r="E757">
        <v>904400</v>
      </c>
      <c r="F757">
        <v>583705</v>
      </c>
      <c r="G757">
        <v>1488105</v>
      </c>
      <c r="H757">
        <v>670</v>
      </c>
      <c r="I757">
        <v>14</v>
      </c>
      <c r="J757">
        <v>684</v>
      </c>
      <c r="K757" t="b">
        <f>TrafficData[[#This Row],[disposedChallan]]+TrafficData[[#This Row],[pendingChallan]]=TrafficData[[#This Row],[totalChallan]]</f>
        <v>1</v>
      </c>
      <c r="L757" t="b">
        <f>TrafficData[[#This Row],[pendingAmount]]+TrafficData[[#This Row],[disposedAmount]]=TrafficData[[#This Row],[totalAmount]]</f>
        <v>1</v>
      </c>
      <c r="M757" t="b">
        <f>TrafficData[[#This Row],[pendingCourt]]+TrafficData[[#This Row],[disposedCourt]]=TrafficData[[#This Row],[totalCourt]]</f>
        <v>1</v>
      </c>
      <c r="N757" s="8" t="b">
        <f>AND(TrafficData[[#This Row],[disposedChallan]]&lt;=TrafficData[[#This Row],[totalChallan]],TrafficData[[#This Row],[pendingChallan]]&lt;=TrafficData[[#This Row],[totalChallan]])</f>
        <v>1</v>
      </c>
      <c r="O757" s="8" t="b">
        <f>AND(TrafficData[[#This Row],[pendingAmount]]&lt;=TrafficData[[#This Row],[totalAmount]],TrafficData[[#This Row],[disposedAmount]]&lt;=TrafficData[[#This Row],[totalAmount]])</f>
        <v>1</v>
      </c>
      <c r="P757" s="8" t="b">
        <f>AND(TrafficData[[#This Row],[pendingCourt]]&lt;=TrafficData[[#This Row],[totalCourt]],TrafficData[[#This Row],[disposedCourt]]&lt;=TrafficData[[#This Row],[totalCourt]])</f>
        <v>1</v>
      </c>
    </row>
    <row r="758" spans="1:16">
      <c r="A758" s="1">
        <v>42761</v>
      </c>
      <c r="B758">
        <v>319</v>
      </c>
      <c r="C758">
        <v>50</v>
      </c>
      <c r="D758">
        <v>269</v>
      </c>
      <c r="E758">
        <v>314200</v>
      </c>
      <c r="F758">
        <v>191250</v>
      </c>
      <c r="G758">
        <v>505450</v>
      </c>
      <c r="H758">
        <v>149</v>
      </c>
      <c r="I758">
        <v>5</v>
      </c>
      <c r="J758">
        <v>154</v>
      </c>
      <c r="K758" t="b">
        <f>TrafficData[[#This Row],[disposedChallan]]+TrafficData[[#This Row],[pendingChallan]]=TrafficData[[#This Row],[totalChallan]]</f>
        <v>1</v>
      </c>
      <c r="L758" t="b">
        <f>TrafficData[[#This Row],[pendingAmount]]+TrafficData[[#This Row],[disposedAmount]]=TrafficData[[#This Row],[totalAmount]]</f>
        <v>1</v>
      </c>
      <c r="M758" t="b">
        <f>TrafficData[[#This Row],[pendingCourt]]+TrafficData[[#This Row],[disposedCourt]]=TrafficData[[#This Row],[totalCourt]]</f>
        <v>1</v>
      </c>
      <c r="N758" s="8" t="b">
        <f>AND(TrafficData[[#This Row],[disposedChallan]]&lt;=TrafficData[[#This Row],[totalChallan]],TrafficData[[#This Row],[pendingChallan]]&lt;=TrafficData[[#This Row],[totalChallan]])</f>
        <v>1</v>
      </c>
      <c r="O758" s="8" t="b">
        <f>AND(TrafficData[[#This Row],[pendingAmount]]&lt;=TrafficData[[#This Row],[totalAmount]],TrafficData[[#This Row],[disposedAmount]]&lt;=TrafficData[[#This Row],[totalAmount]])</f>
        <v>1</v>
      </c>
      <c r="P758" s="8" t="b">
        <f>AND(TrafficData[[#This Row],[pendingCourt]]&lt;=TrafficData[[#This Row],[totalCourt]],TrafficData[[#This Row],[disposedCourt]]&lt;=TrafficData[[#This Row],[totalCourt]])</f>
        <v>1</v>
      </c>
    </row>
    <row r="759" spans="1:16">
      <c r="A759" s="1">
        <v>42762</v>
      </c>
      <c r="B759">
        <v>710</v>
      </c>
      <c r="C759">
        <v>308</v>
      </c>
      <c r="D759">
        <v>402</v>
      </c>
      <c r="E759">
        <v>928709</v>
      </c>
      <c r="F759">
        <v>596910</v>
      </c>
      <c r="G759">
        <v>1525619</v>
      </c>
      <c r="H759">
        <v>266</v>
      </c>
      <c r="I759">
        <v>30</v>
      </c>
      <c r="J759">
        <v>296</v>
      </c>
      <c r="K759" t="b">
        <f>TrafficData[[#This Row],[disposedChallan]]+TrafficData[[#This Row],[pendingChallan]]=TrafficData[[#This Row],[totalChallan]]</f>
        <v>1</v>
      </c>
      <c r="L759" t="b">
        <f>TrafficData[[#This Row],[pendingAmount]]+TrafficData[[#This Row],[disposedAmount]]=TrafficData[[#This Row],[totalAmount]]</f>
        <v>1</v>
      </c>
      <c r="M759" t="b">
        <f>TrafficData[[#This Row],[pendingCourt]]+TrafficData[[#This Row],[disposedCourt]]=TrafficData[[#This Row],[totalCourt]]</f>
        <v>1</v>
      </c>
      <c r="N759" s="8" t="b">
        <f>AND(TrafficData[[#This Row],[disposedChallan]]&lt;=TrafficData[[#This Row],[totalChallan]],TrafficData[[#This Row],[pendingChallan]]&lt;=TrafficData[[#This Row],[totalChallan]])</f>
        <v>1</v>
      </c>
      <c r="O759" s="8" t="b">
        <f>AND(TrafficData[[#This Row],[pendingAmount]]&lt;=TrafficData[[#This Row],[totalAmount]],TrafficData[[#This Row],[disposedAmount]]&lt;=TrafficData[[#This Row],[totalAmount]])</f>
        <v>1</v>
      </c>
      <c r="P759" s="8" t="b">
        <f>AND(TrafficData[[#This Row],[pendingCourt]]&lt;=TrafficData[[#This Row],[totalCourt]],TrafficData[[#This Row],[disposedCourt]]&lt;=TrafficData[[#This Row],[totalCourt]])</f>
        <v>1</v>
      </c>
    </row>
    <row r="760" spans="1:16">
      <c r="A760" s="1">
        <v>42763</v>
      </c>
      <c r="B760">
        <v>693</v>
      </c>
      <c r="C760">
        <v>222</v>
      </c>
      <c r="D760">
        <v>471</v>
      </c>
      <c r="E760">
        <v>1129950</v>
      </c>
      <c r="F760">
        <v>436480</v>
      </c>
      <c r="G760">
        <v>1566430</v>
      </c>
      <c r="H760">
        <v>328</v>
      </c>
      <c r="I760">
        <v>48</v>
      </c>
      <c r="J760">
        <v>376</v>
      </c>
      <c r="K760" t="b">
        <f>TrafficData[[#This Row],[disposedChallan]]+TrafficData[[#This Row],[pendingChallan]]=TrafficData[[#This Row],[totalChallan]]</f>
        <v>1</v>
      </c>
      <c r="L760" t="b">
        <f>TrafficData[[#This Row],[pendingAmount]]+TrafficData[[#This Row],[disposedAmount]]=TrafficData[[#This Row],[totalAmount]]</f>
        <v>1</v>
      </c>
      <c r="M760" t="b">
        <f>TrafficData[[#This Row],[pendingCourt]]+TrafficData[[#This Row],[disposedCourt]]=TrafficData[[#This Row],[totalCourt]]</f>
        <v>1</v>
      </c>
      <c r="N760" s="8" t="b">
        <f>AND(TrafficData[[#This Row],[disposedChallan]]&lt;=TrafficData[[#This Row],[totalChallan]],TrafficData[[#This Row],[pendingChallan]]&lt;=TrafficData[[#This Row],[totalChallan]])</f>
        <v>1</v>
      </c>
      <c r="O760" s="8" t="b">
        <f>AND(TrafficData[[#This Row],[pendingAmount]]&lt;=TrafficData[[#This Row],[totalAmount]],TrafficData[[#This Row],[disposedAmount]]&lt;=TrafficData[[#This Row],[totalAmount]])</f>
        <v>1</v>
      </c>
      <c r="P760" s="8" t="b">
        <f>AND(TrafficData[[#This Row],[pendingCourt]]&lt;=TrafficData[[#This Row],[totalCourt]],TrafficData[[#This Row],[disposedCourt]]&lt;=TrafficData[[#This Row],[totalCourt]])</f>
        <v>1</v>
      </c>
    </row>
    <row r="761" spans="1:16">
      <c r="A761" s="1">
        <v>42764</v>
      </c>
      <c r="B761">
        <v>789</v>
      </c>
      <c r="C761">
        <v>265</v>
      </c>
      <c r="D761">
        <v>524</v>
      </c>
      <c r="E761">
        <v>1059050</v>
      </c>
      <c r="F761">
        <v>783378</v>
      </c>
      <c r="G761">
        <v>1842428</v>
      </c>
      <c r="H761">
        <v>414</v>
      </c>
      <c r="I761">
        <v>33</v>
      </c>
      <c r="J761">
        <v>447</v>
      </c>
      <c r="K761" t="b">
        <f>TrafficData[[#This Row],[disposedChallan]]+TrafficData[[#This Row],[pendingChallan]]=TrafficData[[#This Row],[totalChallan]]</f>
        <v>1</v>
      </c>
      <c r="L761" t="b">
        <f>TrafficData[[#This Row],[pendingAmount]]+TrafficData[[#This Row],[disposedAmount]]=TrafficData[[#This Row],[totalAmount]]</f>
        <v>1</v>
      </c>
      <c r="M761" t="b">
        <f>TrafficData[[#This Row],[pendingCourt]]+TrafficData[[#This Row],[disposedCourt]]=TrafficData[[#This Row],[totalCourt]]</f>
        <v>1</v>
      </c>
      <c r="N761" s="8" t="b">
        <f>AND(TrafficData[[#This Row],[disposedChallan]]&lt;=TrafficData[[#This Row],[totalChallan]],TrafficData[[#This Row],[pendingChallan]]&lt;=TrafficData[[#This Row],[totalChallan]])</f>
        <v>1</v>
      </c>
      <c r="O761" s="8" t="b">
        <f>AND(TrafficData[[#This Row],[pendingAmount]]&lt;=TrafficData[[#This Row],[totalAmount]],TrafficData[[#This Row],[disposedAmount]]&lt;=TrafficData[[#This Row],[totalAmount]])</f>
        <v>1</v>
      </c>
      <c r="P761" s="8" t="b">
        <f>AND(TrafficData[[#This Row],[pendingCourt]]&lt;=TrafficData[[#This Row],[totalCourt]],TrafficData[[#This Row],[disposedCourt]]&lt;=TrafficData[[#This Row],[totalCourt]])</f>
        <v>1</v>
      </c>
    </row>
    <row r="762" spans="1:16">
      <c r="A762" s="1">
        <v>42765</v>
      </c>
      <c r="B762">
        <v>807</v>
      </c>
      <c r="C762">
        <v>286</v>
      </c>
      <c r="D762">
        <v>521</v>
      </c>
      <c r="E762">
        <v>1250050</v>
      </c>
      <c r="F762">
        <v>791760</v>
      </c>
      <c r="G762">
        <v>2041810</v>
      </c>
      <c r="H762">
        <v>318</v>
      </c>
      <c r="I762">
        <v>52</v>
      </c>
      <c r="J762">
        <v>370</v>
      </c>
      <c r="K762" t="b">
        <f>TrafficData[[#This Row],[disposedChallan]]+TrafficData[[#This Row],[pendingChallan]]=TrafficData[[#This Row],[totalChallan]]</f>
        <v>1</v>
      </c>
      <c r="L762" t="b">
        <f>TrafficData[[#This Row],[pendingAmount]]+TrafficData[[#This Row],[disposedAmount]]=TrafficData[[#This Row],[totalAmount]]</f>
        <v>1</v>
      </c>
      <c r="M762" t="b">
        <f>TrafficData[[#This Row],[pendingCourt]]+TrafficData[[#This Row],[disposedCourt]]=TrafficData[[#This Row],[totalCourt]]</f>
        <v>1</v>
      </c>
      <c r="N762" s="8" t="b">
        <f>AND(TrafficData[[#This Row],[disposedChallan]]&lt;=TrafficData[[#This Row],[totalChallan]],TrafficData[[#This Row],[pendingChallan]]&lt;=TrafficData[[#This Row],[totalChallan]])</f>
        <v>1</v>
      </c>
      <c r="O762" s="8" t="b">
        <f>AND(TrafficData[[#This Row],[pendingAmount]]&lt;=TrafficData[[#This Row],[totalAmount]],TrafficData[[#This Row],[disposedAmount]]&lt;=TrafficData[[#This Row],[totalAmount]])</f>
        <v>1</v>
      </c>
      <c r="P762" s="8" t="b">
        <f>AND(TrafficData[[#This Row],[pendingCourt]]&lt;=TrafficData[[#This Row],[totalCourt]],TrafficData[[#This Row],[disposedCourt]]&lt;=TrafficData[[#This Row],[totalCourt]])</f>
        <v>1</v>
      </c>
    </row>
    <row r="763" spans="1:16">
      <c r="A763" s="1">
        <v>42766</v>
      </c>
      <c r="B763">
        <v>797</v>
      </c>
      <c r="C763">
        <v>221</v>
      </c>
      <c r="D763">
        <v>576</v>
      </c>
      <c r="E763">
        <v>766900</v>
      </c>
      <c r="F763">
        <v>357350</v>
      </c>
      <c r="G763">
        <v>1124250</v>
      </c>
      <c r="H763">
        <v>349</v>
      </c>
      <c r="I763">
        <v>41</v>
      </c>
      <c r="J763">
        <v>390</v>
      </c>
      <c r="K763" t="b">
        <f>TrafficData[[#This Row],[disposedChallan]]+TrafficData[[#This Row],[pendingChallan]]=TrafficData[[#This Row],[totalChallan]]</f>
        <v>1</v>
      </c>
      <c r="L763" t="b">
        <f>TrafficData[[#This Row],[pendingAmount]]+TrafficData[[#This Row],[disposedAmount]]=TrafficData[[#This Row],[totalAmount]]</f>
        <v>1</v>
      </c>
      <c r="M763" t="b">
        <f>TrafficData[[#This Row],[pendingCourt]]+TrafficData[[#This Row],[disposedCourt]]=TrafficData[[#This Row],[totalCourt]]</f>
        <v>1</v>
      </c>
      <c r="N763" s="8" t="b">
        <f>AND(TrafficData[[#This Row],[disposedChallan]]&lt;=TrafficData[[#This Row],[totalChallan]],TrafficData[[#This Row],[pendingChallan]]&lt;=TrafficData[[#This Row],[totalChallan]])</f>
        <v>1</v>
      </c>
      <c r="O763" s="8" t="b">
        <f>AND(TrafficData[[#This Row],[pendingAmount]]&lt;=TrafficData[[#This Row],[totalAmount]],TrafficData[[#This Row],[disposedAmount]]&lt;=TrafficData[[#This Row],[totalAmount]])</f>
        <v>1</v>
      </c>
      <c r="P763" s="8" t="b">
        <f>AND(TrafficData[[#This Row],[pendingCourt]]&lt;=TrafficData[[#This Row],[totalCourt]],TrafficData[[#This Row],[disposedCourt]]&lt;=TrafficData[[#This Row],[totalCourt]])</f>
        <v>1</v>
      </c>
    </row>
    <row r="764" spans="1:16">
      <c r="A764" s="1">
        <v>42767</v>
      </c>
      <c r="B764">
        <v>765</v>
      </c>
      <c r="C764">
        <v>111</v>
      </c>
      <c r="D764">
        <v>654</v>
      </c>
      <c r="E764">
        <v>1654900</v>
      </c>
      <c r="F764">
        <v>526065</v>
      </c>
      <c r="G764">
        <v>2180965</v>
      </c>
      <c r="H764">
        <v>476</v>
      </c>
      <c r="I764">
        <v>12</v>
      </c>
      <c r="J764">
        <v>488</v>
      </c>
      <c r="K764" t="b">
        <f>TrafficData[[#This Row],[disposedChallan]]+TrafficData[[#This Row],[pendingChallan]]=TrafficData[[#This Row],[totalChallan]]</f>
        <v>1</v>
      </c>
      <c r="L764" t="b">
        <f>TrafficData[[#This Row],[pendingAmount]]+TrafficData[[#This Row],[disposedAmount]]=TrafficData[[#This Row],[totalAmount]]</f>
        <v>1</v>
      </c>
      <c r="M764" t="b">
        <f>TrafficData[[#This Row],[pendingCourt]]+TrafficData[[#This Row],[disposedCourt]]=TrafficData[[#This Row],[totalCourt]]</f>
        <v>1</v>
      </c>
      <c r="N764" s="8" t="b">
        <f>AND(TrafficData[[#This Row],[disposedChallan]]&lt;=TrafficData[[#This Row],[totalChallan]],TrafficData[[#This Row],[pendingChallan]]&lt;=TrafficData[[#This Row],[totalChallan]])</f>
        <v>1</v>
      </c>
      <c r="O764" s="8" t="b">
        <f>AND(TrafficData[[#This Row],[pendingAmount]]&lt;=TrafficData[[#This Row],[totalAmount]],TrafficData[[#This Row],[disposedAmount]]&lt;=TrafficData[[#This Row],[totalAmount]])</f>
        <v>1</v>
      </c>
      <c r="P764" s="8" t="b">
        <f>AND(TrafficData[[#This Row],[pendingCourt]]&lt;=TrafficData[[#This Row],[totalCourt]],TrafficData[[#This Row],[disposedCourt]]&lt;=TrafficData[[#This Row],[totalCourt]])</f>
        <v>1</v>
      </c>
    </row>
    <row r="765" spans="1:16">
      <c r="A765" s="1">
        <v>42768</v>
      </c>
      <c r="B765">
        <v>800</v>
      </c>
      <c r="C765">
        <v>141</v>
      </c>
      <c r="D765">
        <v>659</v>
      </c>
      <c r="E765">
        <v>822200</v>
      </c>
      <c r="F765">
        <v>354063</v>
      </c>
      <c r="G765">
        <v>1176263</v>
      </c>
      <c r="H765">
        <v>434</v>
      </c>
      <c r="I765">
        <v>34</v>
      </c>
      <c r="J765">
        <v>468</v>
      </c>
      <c r="K765" t="b">
        <f>TrafficData[[#This Row],[disposedChallan]]+TrafficData[[#This Row],[pendingChallan]]=TrafficData[[#This Row],[totalChallan]]</f>
        <v>1</v>
      </c>
      <c r="L765" t="b">
        <f>TrafficData[[#This Row],[pendingAmount]]+TrafficData[[#This Row],[disposedAmount]]=TrafficData[[#This Row],[totalAmount]]</f>
        <v>1</v>
      </c>
      <c r="M765" t="b">
        <f>TrafficData[[#This Row],[pendingCourt]]+TrafficData[[#This Row],[disposedCourt]]=TrafficData[[#This Row],[totalCourt]]</f>
        <v>1</v>
      </c>
      <c r="N765" s="8" t="b">
        <f>AND(TrafficData[[#This Row],[disposedChallan]]&lt;=TrafficData[[#This Row],[totalChallan]],TrafficData[[#This Row],[pendingChallan]]&lt;=TrafficData[[#This Row],[totalChallan]])</f>
        <v>1</v>
      </c>
      <c r="O765" s="8" t="b">
        <f>AND(TrafficData[[#This Row],[pendingAmount]]&lt;=TrafficData[[#This Row],[totalAmount]],TrafficData[[#This Row],[disposedAmount]]&lt;=TrafficData[[#This Row],[totalAmount]])</f>
        <v>1</v>
      </c>
      <c r="P765" s="8" t="b">
        <f>AND(TrafficData[[#This Row],[pendingCourt]]&lt;=TrafficData[[#This Row],[totalCourt]],TrafficData[[#This Row],[disposedCourt]]&lt;=TrafficData[[#This Row],[totalCourt]])</f>
        <v>1</v>
      </c>
    </row>
    <row r="766" spans="1:16">
      <c r="A766" s="1">
        <v>42769</v>
      </c>
      <c r="B766">
        <v>910</v>
      </c>
      <c r="C766">
        <v>164</v>
      </c>
      <c r="D766">
        <v>746</v>
      </c>
      <c r="E766">
        <v>1477000</v>
      </c>
      <c r="F766">
        <v>346300</v>
      </c>
      <c r="G766">
        <v>1823300</v>
      </c>
      <c r="H766">
        <v>461</v>
      </c>
      <c r="I766">
        <v>32</v>
      </c>
      <c r="J766">
        <v>493</v>
      </c>
      <c r="K766" t="b">
        <f>TrafficData[[#This Row],[disposedChallan]]+TrafficData[[#This Row],[pendingChallan]]=TrafficData[[#This Row],[totalChallan]]</f>
        <v>1</v>
      </c>
      <c r="L766" t="b">
        <f>TrafficData[[#This Row],[pendingAmount]]+TrafficData[[#This Row],[disposedAmount]]=TrafficData[[#This Row],[totalAmount]]</f>
        <v>1</v>
      </c>
      <c r="M766" t="b">
        <f>TrafficData[[#This Row],[pendingCourt]]+TrafficData[[#This Row],[disposedCourt]]=TrafficData[[#This Row],[totalCourt]]</f>
        <v>1</v>
      </c>
      <c r="N766" s="8" t="b">
        <f>AND(TrafficData[[#This Row],[disposedChallan]]&lt;=TrafficData[[#This Row],[totalChallan]],TrafficData[[#This Row],[pendingChallan]]&lt;=TrafficData[[#This Row],[totalChallan]])</f>
        <v>1</v>
      </c>
      <c r="O766" s="8" t="b">
        <f>AND(TrafficData[[#This Row],[pendingAmount]]&lt;=TrafficData[[#This Row],[totalAmount]],TrafficData[[#This Row],[disposedAmount]]&lt;=TrafficData[[#This Row],[totalAmount]])</f>
        <v>1</v>
      </c>
      <c r="P766" s="8" t="b">
        <f>AND(TrafficData[[#This Row],[pendingCourt]]&lt;=TrafficData[[#This Row],[totalCourt]],TrafficData[[#This Row],[disposedCourt]]&lt;=TrafficData[[#This Row],[totalCourt]])</f>
        <v>1</v>
      </c>
    </row>
    <row r="767" spans="1:16">
      <c r="A767" s="1">
        <v>42770</v>
      </c>
      <c r="B767">
        <v>872</v>
      </c>
      <c r="C767">
        <v>123</v>
      </c>
      <c r="D767">
        <v>749</v>
      </c>
      <c r="E767">
        <v>657100</v>
      </c>
      <c r="F767">
        <v>276151</v>
      </c>
      <c r="G767">
        <v>933251</v>
      </c>
      <c r="H767">
        <v>572</v>
      </c>
      <c r="I767">
        <v>22</v>
      </c>
      <c r="J767">
        <v>594</v>
      </c>
      <c r="K767" t="b">
        <f>TrafficData[[#This Row],[disposedChallan]]+TrafficData[[#This Row],[pendingChallan]]=TrafficData[[#This Row],[totalChallan]]</f>
        <v>1</v>
      </c>
      <c r="L767" t="b">
        <f>TrafficData[[#This Row],[pendingAmount]]+TrafficData[[#This Row],[disposedAmount]]=TrafficData[[#This Row],[totalAmount]]</f>
        <v>1</v>
      </c>
      <c r="M767" t="b">
        <f>TrafficData[[#This Row],[pendingCourt]]+TrafficData[[#This Row],[disposedCourt]]=TrafficData[[#This Row],[totalCourt]]</f>
        <v>1</v>
      </c>
      <c r="N767" s="8" t="b">
        <f>AND(TrafficData[[#This Row],[disposedChallan]]&lt;=TrafficData[[#This Row],[totalChallan]],TrafficData[[#This Row],[pendingChallan]]&lt;=TrafficData[[#This Row],[totalChallan]])</f>
        <v>1</v>
      </c>
      <c r="O767" s="8" t="b">
        <f>AND(TrafficData[[#This Row],[pendingAmount]]&lt;=TrafficData[[#This Row],[totalAmount]],TrafficData[[#This Row],[disposedAmount]]&lt;=TrafficData[[#This Row],[totalAmount]])</f>
        <v>1</v>
      </c>
      <c r="P767" s="8" t="b">
        <f>AND(TrafficData[[#This Row],[pendingCourt]]&lt;=TrafficData[[#This Row],[totalCourt]],TrafficData[[#This Row],[disposedCourt]]&lt;=TrafficData[[#This Row],[totalCourt]])</f>
        <v>1</v>
      </c>
    </row>
    <row r="768" spans="1:16">
      <c r="A768" s="1">
        <v>42771</v>
      </c>
      <c r="B768">
        <v>612</v>
      </c>
      <c r="C768">
        <v>92</v>
      </c>
      <c r="D768">
        <v>520</v>
      </c>
      <c r="E768">
        <v>867920</v>
      </c>
      <c r="F768">
        <v>142150</v>
      </c>
      <c r="G768">
        <v>1010070</v>
      </c>
      <c r="H768">
        <v>385</v>
      </c>
      <c r="I768">
        <v>24</v>
      </c>
      <c r="J768">
        <v>409</v>
      </c>
      <c r="K768" t="b">
        <f>TrafficData[[#This Row],[disposedChallan]]+TrafficData[[#This Row],[pendingChallan]]=TrafficData[[#This Row],[totalChallan]]</f>
        <v>1</v>
      </c>
      <c r="L768" t="b">
        <f>TrafficData[[#This Row],[pendingAmount]]+TrafficData[[#This Row],[disposedAmount]]=TrafficData[[#This Row],[totalAmount]]</f>
        <v>1</v>
      </c>
      <c r="M768" t="b">
        <f>TrafficData[[#This Row],[pendingCourt]]+TrafficData[[#This Row],[disposedCourt]]=TrafficData[[#This Row],[totalCourt]]</f>
        <v>1</v>
      </c>
      <c r="N768" s="8" t="b">
        <f>AND(TrafficData[[#This Row],[disposedChallan]]&lt;=TrafficData[[#This Row],[totalChallan]],TrafficData[[#This Row],[pendingChallan]]&lt;=TrafficData[[#This Row],[totalChallan]])</f>
        <v>1</v>
      </c>
      <c r="O768" s="8" t="b">
        <f>AND(TrafficData[[#This Row],[pendingAmount]]&lt;=TrafficData[[#This Row],[totalAmount]],TrafficData[[#This Row],[disposedAmount]]&lt;=TrafficData[[#This Row],[totalAmount]])</f>
        <v>1</v>
      </c>
      <c r="P768" s="8" t="b">
        <f>AND(TrafficData[[#This Row],[pendingCourt]]&lt;=TrafficData[[#This Row],[totalCourt]],TrafficData[[#This Row],[disposedCourt]]&lt;=TrafficData[[#This Row],[totalCourt]])</f>
        <v>1</v>
      </c>
    </row>
    <row r="769" spans="1:16">
      <c r="A769" s="1">
        <v>42772</v>
      </c>
      <c r="B769">
        <v>923</v>
      </c>
      <c r="C769">
        <v>187</v>
      </c>
      <c r="D769">
        <v>736</v>
      </c>
      <c r="E769">
        <v>772400</v>
      </c>
      <c r="F769">
        <v>457590</v>
      </c>
      <c r="G769">
        <v>1229990</v>
      </c>
      <c r="H769">
        <v>508</v>
      </c>
      <c r="I769">
        <v>39</v>
      </c>
      <c r="J769">
        <v>547</v>
      </c>
      <c r="K769" t="b">
        <f>TrafficData[[#This Row],[disposedChallan]]+TrafficData[[#This Row],[pendingChallan]]=TrafficData[[#This Row],[totalChallan]]</f>
        <v>1</v>
      </c>
      <c r="L769" t="b">
        <f>TrafficData[[#This Row],[pendingAmount]]+TrafficData[[#This Row],[disposedAmount]]=TrafficData[[#This Row],[totalAmount]]</f>
        <v>1</v>
      </c>
      <c r="M769" t="b">
        <f>TrafficData[[#This Row],[pendingCourt]]+TrafficData[[#This Row],[disposedCourt]]=TrafficData[[#This Row],[totalCourt]]</f>
        <v>1</v>
      </c>
      <c r="N769" s="8" t="b">
        <f>AND(TrafficData[[#This Row],[disposedChallan]]&lt;=TrafficData[[#This Row],[totalChallan]],TrafficData[[#This Row],[pendingChallan]]&lt;=TrafficData[[#This Row],[totalChallan]])</f>
        <v>1</v>
      </c>
      <c r="O769" s="8" t="b">
        <f>AND(TrafficData[[#This Row],[pendingAmount]]&lt;=TrafficData[[#This Row],[totalAmount]],TrafficData[[#This Row],[disposedAmount]]&lt;=TrafficData[[#This Row],[totalAmount]])</f>
        <v>1</v>
      </c>
      <c r="P769" s="8" t="b">
        <f>AND(TrafficData[[#This Row],[pendingCourt]]&lt;=TrafficData[[#This Row],[totalCourt]],TrafficData[[#This Row],[disposedCourt]]&lt;=TrafficData[[#This Row],[totalCourt]])</f>
        <v>1</v>
      </c>
    </row>
    <row r="770" spans="1:16">
      <c r="A770" s="1">
        <v>42773</v>
      </c>
      <c r="B770">
        <v>1050</v>
      </c>
      <c r="C770">
        <v>185</v>
      </c>
      <c r="D770">
        <v>865</v>
      </c>
      <c r="E770">
        <v>1112250</v>
      </c>
      <c r="F770">
        <v>457325</v>
      </c>
      <c r="G770">
        <v>1569575</v>
      </c>
      <c r="H770">
        <v>635</v>
      </c>
      <c r="I770">
        <v>34</v>
      </c>
      <c r="J770">
        <v>669</v>
      </c>
      <c r="K770" t="b">
        <f>TrafficData[[#This Row],[disposedChallan]]+TrafficData[[#This Row],[pendingChallan]]=TrafficData[[#This Row],[totalChallan]]</f>
        <v>1</v>
      </c>
      <c r="L770" t="b">
        <f>TrafficData[[#This Row],[pendingAmount]]+TrafficData[[#This Row],[disposedAmount]]=TrafficData[[#This Row],[totalAmount]]</f>
        <v>1</v>
      </c>
      <c r="M770" t="b">
        <f>TrafficData[[#This Row],[pendingCourt]]+TrafficData[[#This Row],[disposedCourt]]=TrafficData[[#This Row],[totalCourt]]</f>
        <v>1</v>
      </c>
      <c r="N770" s="8" t="b">
        <f>AND(TrafficData[[#This Row],[disposedChallan]]&lt;=TrafficData[[#This Row],[totalChallan]],TrafficData[[#This Row],[pendingChallan]]&lt;=TrafficData[[#This Row],[totalChallan]])</f>
        <v>1</v>
      </c>
      <c r="O770" s="8" t="b">
        <f>AND(TrafficData[[#This Row],[pendingAmount]]&lt;=TrafficData[[#This Row],[totalAmount]],TrafficData[[#This Row],[disposedAmount]]&lt;=TrafficData[[#This Row],[totalAmount]])</f>
        <v>1</v>
      </c>
      <c r="P770" s="8" t="b">
        <f>AND(TrafficData[[#This Row],[pendingCourt]]&lt;=TrafficData[[#This Row],[totalCourt]],TrafficData[[#This Row],[disposedCourt]]&lt;=TrafficData[[#This Row],[totalCourt]])</f>
        <v>1</v>
      </c>
    </row>
    <row r="771" spans="1:16">
      <c r="A771" s="1">
        <v>42774</v>
      </c>
      <c r="B771">
        <v>1132</v>
      </c>
      <c r="C771">
        <v>226</v>
      </c>
      <c r="D771">
        <v>906</v>
      </c>
      <c r="E771">
        <v>1628700</v>
      </c>
      <c r="F771">
        <v>417250</v>
      </c>
      <c r="G771">
        <v>2045950</v>
      </c>
      <c r="H771">
        <v>612</v>
      </c>
      <c r="I771">
        <v>62</v>
      </c>
      <c r="J771">
        <v>674</v>
      </c>
      <c r="K771" t="b">
        <f>TrafficData[[#This Row],[disposedChallan]]+TrafficData[[#This Row],[pendingChallan]]=TrafficData[[#This Row],[totalChallan]]</f>
        <v>1</v>
      </c>
      <c r="L771" t="b">
        <f>TrafficData[[#This Row],[pendingAmount]]+TrafficData[[#This Row],[disposedAmount]]=TrafficData[[#This Row],[totalAmount]]</f>
        <v>1</v>
      </c>
      <c r="M771" t="b">
        <f>TrafficData[[#This Row],[pendingCourt]]+TrafficData[[#This Row],[disposedCourt]]=TrafficData[[#This Row],[totalCourt]]</f>
        <v>1</v>
      </c>
      <c r="N771" s="8" t="b">
        <f>AND(TrafficData[[#This Row],[disposedChallan]]&lt;=TrafficData[[#This Row],[totalChallan]],TrafficData[[#This Row],[pendingChallan]]&lt;=TrafficData[[#This Row],[totalChallan]])</f>
        <v>1</v>
      </c>
      <c r="O771" s="8" t="b">
        <f>AND(TrafficData[[#This Row],[pendingAmount]]&lt;=TrafficData[[#This Row],[totalAmount]],TrafficData[[#This Row],[disposedAmount]]&lt;=TrafficData[[#This Row],[totalAmount]])</f>
        <v>1</v>
      </c>
      <c r="P771" s="8" t="b">
        <f>AND(TrafficData[[#This Row],[pendingCourt]]&lt;=TrafficData[[#This Row],[totalCourt]],TrafficData[[#This Row],[disposedCourt]]&lt;=TrafficData[[#This Row],[totalCourt]])</f>
        <v>1</v>
      </c>
    </row>
    <row r="772" spans="1:16">
      <c r="A772" s="1">
        <v>42775</v>
      </c>
      <c r="B772">
        <v>756</v>
      </c>
      <c r="C772">
        <v>143</v>
      </c>
      <c r="D772">
        <v>613</v>
      </c>
      <c r="E772">
        <v>1009250</v>
      </c>
      <c r="F772">
        <v>405450</v>
      </c>
      <c r="G772">
        <v>1414700</v>
      </c>
      <c r="H772">
        <v>390</v>
      </c>
      <c r="I772">
        <v>19</v>
      </c>
      <c r="J772">
        <v>409</v>
      </c>
      <c r="K772" t="b">
        <f>TrafficData[[#This Row],[disposedChallan]]+TrafficData[[#This Row],[pendingChallan]]=TrafficData[[#This Row],[totalChallan]]</f>
        <v>1</v>
      </c>
      <c r="L772" t="b">
        <f>TrafficData[[#This Row],[pendingAmount]]+TrafficData[[#This Row],[disposedAmount]]=TrafficData[[#This Row],[totalAmount]]</f>
        <v>1</v>
      </c>
      <c r="M772" t="b">
        <f>TrafficData[[#This Row],[pendingCourt]]+TrafficData[[#This Row],[disposedCourt]]=TrafficData[[#This Row],[totalCourt]]</f>
        <v>1</v>
      </c>
      <c r="N772" s="8" t="b">
        <f>AND(TrafficData[[#This Row],[disposedChallan]]&lt;=TrafficData[[#This Row],[totalChallan]],TrafficData[[#This Row],[pendingChallan]]&lt;=TrafficData[[#This Row],[totalChallan]])</f>
        <v>1</v>
      </c>
      <c r="O772" s="8" t="b">
        <f>AND(TrafficData[[#This Row],[pendingAmount]]&lt;=TrafficData[[#This Row],[totalAmount]],TrafficData[[#This Row],[disposedAmount]]&lt;=TrafficData[[#This Row],[totalAmount]])</f>
        <v>1</v>
      </c>
      <c r="P772" s="8" t="b">
        <f>AND(TrafficData[[#This Row],[pendingCourt]]&lt;=TrafficData[[#This Row],[totalCourt]],TrafficData[[#This Row],[disposedCourt]]&lt;=TrafficData[[#This Row],[totalCourt]])</f>
        <v>1</v>
      </c>
    </row>
    <row r="773" spans="1:16">
      <c r="A773" s="1">
        <v>42776</v>
      </c>
      <c r="B773">
        <v>821</v>
      </c>
      <c r="C773">
        <v>144</v>
      </c>
      <c r="D773">
        <v>677</v>
      </c>
      <c r="E773">
        <v>635400</v>
      </c>
      <c r="F773">
        <v>170600</v>
      </c>
      <c r="G773">
        <v>806000</v>
      </c>
      <c r="H773">
        <v>455</v>
      </c>
      <c r="I773">
        <v>16</v>
      </c>
      <c r="J773">
        <v>471</v>
      </c>
      <c r="K773" t="b">
        <f>TrafficData[[#This Row],[disposedChallan]]+TrafficData[[#This Row],[pendingChallan]]=TrafficData[[#This Row],[totalChallan]]</f>
        <v>1</v>
      </c>
      <c r="L773" t="b">
        <f>TrafficData[[#This Row],[pendingAmount]]+TrafficData[[#This Row],[disposedAmount]]=TrafficData[[#This Row],[totalAmount]]</f>
        <v>1</v>
      </c>
      <c r="M773" t="b">
        <f>TrafficData[[#This Row],[pendingCourt]]+TrafficData[[#This Row],[disposedCourt]]=TrafficData[[#This Row],[totalCourt]]</f>
        <v>1</v>
      </c>
      <c r="N773" s="8" t="b">
        <f>AND(TrafficData[[#This Row],[disposedChallan]]&lt;=TrafficData[[#This Row],[totalChallan]],TrafficData[[#This Row],[pendingChallan]]&lt;=TrafficData[[#This Row],[totalChallan]])</f>
        <v>1</v>
      </c>
      <c r="O773" s="8" t="b">
        <f>AND(TrafficData[[#This Row],[pendingAmount]]&lt;=TrafficData[[#This Row],[totalAmount]],TrafficData[[#This Row],[disposedAmount]]&lt;=TrafficData[[#This Row],[totalAmount]])</f>
        <v>1</v>
      </c>
      <c r="P773" s="8" t="b">
        <f>AND(TrafficData[[#This Row],[pendingCourt]]&lt;=TrafficData[[#This Row],[totalCourt]],TrafficData[[#This Row],[disposedCourt]]&lt;=TrafficData[[#This Row],[totalCourt]])</f>
        <v>1</v>
      </c>
    </row>
    <row r="774" spans="1:16">
      <c r="A774" s="1">
        <v>42777</v>
      </c>
      <c r="B774">
        <v>754</v>
      </c>
      <c r="C774">
        <v>126</v>
      </c>
      <c r="D774">
        <v>628</v>
      </c>
      <c r="E774">
        <v>555800</v>
      </c>
      <c r="F774">
        <v>391050</v>
      </c>
      <c r="G774">
        <v>946850</v>
      </c>
      <c r="H774">
        <v>400</v>
      </c>
      <c r="I774">
        <v>31</v>
      </c>
      <c r="J774">
        <v>431</v>
      </c>
      <c r="K774" t="b">
        <f>TrafficData[[#This Row],[disposedChallan]]+TrafficData[[#This Row],[pendingChallan]]=TrafficData[[#This Row],[totalChallan]]</f>
        <v>1</v>
      </c>
      <c r="L774" t="b">
        <f>TrafficData[[#This Row],[pendingAmount]]+TrafficData[[#This Row],[disposedAmount]]=TrafficData[[#This Row],[totalAmount]]</f>
        <v>1</v>
      </c>
      <c r="M774" t="b">
        <f>TrafficData[[#This Row],[pendingCourt]]+TrafficData[[#This Row],[disposedCourt]]=TrafficData[[#This Row],[totalCourt]]</f>
        <v>1</v>
      </c>
      <c r="N774" s="8" t="b">
        <f>AND(TrafficData[[#This Row],[disposedChallan]]&lt;=TrafficData[[#This Row],[totalChallan]],TrafficData[[#This Row],[pendingChallan]]&lt;=TrafficData[[#This Row],[totalChallan]])</f>
        <v>1</v>
      </c>
      <c r="O774" s="8" t="b">
        <f>AND(TrafficData[[#This Row],[pendingAmount]]&lt;=TrafficData[[#This Row],[totalAmount]],TrafficData[[#This Row],[disposedAmount]]&lt;=TrafficData[[#This Row],[totalAmount]])</f>
        <v>1</v>
      </c>
      <c r="P774" s="8" t="b">
        <f>AND(TrafficData[[#This Row],[pendingCourt]]&lt;=TrafficData[[#This Row],[totalCourt]],TrafficData[[#This Row],[disposedCourt]]&lt;=TrafficData[[#This Row],[totalCourt]])</f>
        <v>1</v>
      </c>
    </row>
    <row r="775" spans="1:16">
      <c r="A775" s="1">
        <v>42778</v>
      </c>
      <c r="B775">
        <v>398</v>
      </c>
      <c r="C775">
        <v>77</v>
      </c>
      <c r="D775">
        <v>321</v>
      </c>
      <c r="E775">
        <v>798000</v>
      </c>
      <c r="F775">
        <v>127125</v>
      </c>
      <c r="G775">
        <v>925125</v>
      </c>
      <c r="H775">
        <v>172</v>
      </c>
      <c r="I775">
        <v>13</v>
      </c>
      <c r="J775">
        <v>185</v>
      </c>
      <c r="K775" t="b">
        <f>TrafficData[[#This Row],[disposedChallan]]+TrafficData[[#This Row],[pendingChallan]]=TrafficData[[#This Row],[totalChallan]]</f>
        <v>1</v>
      </c>
      <c r="L775" t="b">
        <f>TrafficData[[#This Row],[pendingAmount]]+TrafficData[[#This Row],[disposedAmount]]=TrafficData[[#This Row],[totalAmount]]</f>
        <v>1</v>
      </c>
      <c r="M775" t="b">
        <f>TrafficData[[#This Row],[pendingCourt]]+TrafficData[[#This Row],[disposedCourt]]=TrafficData[[#This Row],[totalCourt]]</f>
        <v>1</v>
      </c>
      <c r="N775" s="8" t="b">
        <f>AND(TrafficData[[#This Row],[disposedChallan]]&lt;=TrafficData[[#This Row],[totalChallan]],TrafficData[[#This Row],[pendingChallan]]&lt;=TrafficData[[#This Row],[totalChallan]])</f>
        <v>1</v>
      </c>
      <c r="O775" s="8" t="b">
        <f>AND(TrafficData[[#This Row],[pendingAmount]]&lt;=TrafficData[[#This Row],[totalAmount]],TrafficData[[#This Row],[disposedAmount]]&lt;=TrafficData[[#This Row],[totalAmount]])</f>
        <v>1</v>
      </c>
      <c r="P775" s="8" t="b">
        <f>AND(TrafficData[[#This Row],[pendingCourt]]&lt;=TrafficData[[#This Row],[totalCourt]],TrafficData[[#This Row],[disposedCourt]]&lt;=TrafficData[[#This Row],[totalCourt]])</f>
        <v>1</v>
      </c>
    </row>
    <row r="776" spans="1:16">
      <c r="A776" s="1">
        <v>42779</v>
      </c>
      <c r="B776">
        <v>743</v>
      </c>
      <c r="C776">
        <v>115</v>
      </c>
      <c r="D776">
        <v>628</v>
      </c>
      <c r="E776">
        <v>1045099</v>
      </c>
      <c r="F776">
        <v>151500</v>
      </c>
      <c r="G776">
        <v>1196599</v>
      </c>
      <c r="H776">
        <v>398</v>
      </c>
      <c r="I776">
        <v>6</v>
      </c>
      <c r="J776">
        <v>404</v>
      </c>
      <c r="K776" t="b">
        <f>TrafficData[[#This Row],[disposedChallan]]+TrafficData[[#This Row],[pendingChallan]]=TrafficData[[#This Row],[totalChallan]]</f>
        <v>1</v>
      </c>
      <c r="L776" t="b">
        <f>TrafficData[[#This Row],[pendingAmount]]+TrafficData[[#This Row],[disposedAmount]]=TrafficData[[#This Row],[totalAmount]]</f>
        <v>1</v>
      </c>
      <c r="M776" t="b">
        <f>TrafficData[[#This Row],[pendingCourt]]+TrafficData[[#This Row],[disposedCourt]]=TrafficData[[#This Row],[totalCourt]]</f>
        <v>1</v>
      </c>
      <c r="N776" s="8" t="b">
        <f>AND(TrafficData[[#This Row],[disposedChallan]]&lt;=TrafficData[[#This Row],[totalChallan]],TrafficData[[#This Row],[pendingChallan]]&lt;=TrafficData[[#This Row],[totalChallan]])</f>
        <v>1</v>
      </c>
      <c r="O776" s="8" t="b">
        <f>AND(TrafficData[[#This Row],[pendingAmount]]&lt;=TrafficData[[#This Row],[totalAmount]],TrafficData[[#This Row],[disposedAmount]]&lt;=TrafficData[[#This Row],[totalAmount]])</f>
        <v>1</v>
      </c>
      <c r="P776" s="8" t="b">
        <f>AND(TrafficData[[#This Row],[pendingCourt]]&lt;=TrafficData[[#This Row],[totalCourt]],TrafficData[[#This Row],[disposedCourt]]&lt;=TrafficData[[#This Row],[totalCourt]])</f>
        <v>1</v>
      </c>
    </row>
    <row r="777" spans="1:16">
      <c r="A777" s="1">
        <v>42780</v>
      </c>
      <c r="B777">
        <v>1377</v>
      </c>
      <c r="C777">
        <v>222</v>
      </c>
      <c r="D777">
        <v>1155</v>
      </c>
      <c r="E777">
        <v>1290750</v>
      </c>
      <c r="F777">
        <v>363350</v>
      </c>
      <c r="G777">
        <v>1654100</v>
      </c>
      <c r="H777">
        <v>809</v>
      </c>
      <c r="I777">
        <v>27</v>
      </c>
      <c r="J777">
        <v>836</v>
      </c>
      <c r="K777" t="b">
        <f>TrafficData[[#This Row],[disposedChallan]]+TrafficData[[#This Row],[pendingChallan]]=TrafficData[[#This Row],[totalChallan]]</f>
        <v>1</v>
      </c>
      <c r="L777" t="b">
        <f>TrafficData[[#This Row],[pendingAmount]]+TrafficData[[#This Row],[disposedAmount]]=TrafficData[[#This Row],[totalAmount]]</f>
        <v>1</v>
      </c>
      <c r="M777" t="b">
        <f>TrafficData[[#This Row],[pendingCourt]]+TrafficData[[#This Row],[disposedCourt]]=TrafficData[[#This Row],[totalCourt]]</f>
        <v>1</v>
      </c>
      <c r="N777" s="8" t="b">
        <f>AND(TrafficData[[#This Row],[disposedChallan]]&lt;=TrafficData[[#This Row],[totalChallan]],TrafficData[[#This Row],[pendingChallan]]&lt;=TrafficData[[#This Row],[totalChallan]])</f>
        <v>1</v>
      </c>
      <c r="O777" s="8" t="b">
        <f>AND(TrafficData[[#This Row],[pendingAmount]]&lt;=TrafficData[[#This Row],[totalAmount]],TrafficData[[#This Row],[disposedAmount]]&lt;=TrafficData[[#This Row],[totalAmount]])</f>
        <v>1</v>
      </c>
      <c r="P777" s="8" t="b">
        <f>AND(TrafficData[[#This Row],[pendingCourt]]&lt;=TrafficData[[#This Row],[totalCourt]],TrafficData[[#This Row],[disposedCourt]]&lt;=TrafficData[[#This Row],[totalCourt]])</f>
        <v>1</v>
      </c>
    </row>
    <row r="778" spans="1:16">
      <c r="A778" s="1">
        <v>42781</v>
      </c>
      <c r="B778">
        <v>1255</v>
      </c>
      <c r="C778">
        <v>209</v>
      </c>
      <c r="D778">
        <v>1046</v>
      </c>
      <c r="E778">
        <v>1025550</v>
      </c>
      <c r="F778">
        <v>295110</v>
      </c>
      <c r="G778">
        <v>1320660</v>
      </c>
      <c r="H778">
        <v>721</v>
      </c>
      <c r="I778">
        <v>57</v>
      </c>
      <c r="J778">
        <v>778</v>
      </c>
      <c r="K778" t="b">
        <f>TrafficData[[#This Row],[disposedChallan]]+TrafficData[[#This Row],[pendingChallan]]=TrafficData[[#This Row],[totalChallan]]</f>
        <v>1</v>
      </c>
      <c r="L778" t="b">
        <f>TrafficData[[#This Row],[pendingAmount]]+TrafficData[[#This Row],[disposedAmount]]=TrafficData[[#This Row],[totalAmount]]</f>
        <v>1</v>
      </c>
      <c r="M778" t="b">
        <f>TrafficData[[#This Row],[pendingCourt]]+TrafficData[[#This Row],[disposedCourt]]=TrafficData[[#This Row],[totalCourt]]</f>
        <v>1</v>
      </c>
      <c r="N778" s="8" t="b">
        <f>AND(TrafficData[[#This Row],[disposedChallan]]&lt;=TrafficData[[#This Row],[totalChallan]],TrafficData[[#This Row],[pendingChallan]]&lt;=TrafficData[[#This Row],[totalChallan]])</f>
        <v>1</v>
      </c>
      <c r="O778" s="8" t="b">
        <f>AND(TrafficData[[#This Row],[pendingAmount]]&lt;=TrafficData[[#This Row],[totalAmount]],TrafficData[[#This Row],[disposedAmount]]&lt;=TrafficData[[#This Row],[totalAmount]])</f>
        <v>1</v>
      </c>
      <c r="P778" s="8" t="b">
        <f>AND(TrafficData[[#This Row],[pendingCourt]]&lt;=TrafficData[[#This Row],[totalCourt]],TrafficData[[#This Row],[disposedCourt]]&lt;=TrafficData[[#This Row],[totalCourt]])</f>
        <v>1</v>
      </c>
    </row>
    <row r="779" spans="1:16">
      <c r="A779" s="1">
        <v>42782</v>
      </c>
      <c r="B779">
        <v>837</v>
      </c>
      <c r="C779">
        <v>204</v>
      </c>
      <c r="D779">
        <v>633</v>
      </c>
      <c r="E779">
        <v>823850</v>
      </c>
      <c r="F779">
        <v>326250</v>
      </c>
      <c r="G779">
        <v>1150100</v>
      </c>
      <c r="H779">
        <v>394</v>
      </c>
      <c r="I779">
        <v>44</v>
      </c>
      <c r="J779">
        <v>438</v>
      </c>
      <c r="K779" t="b">
        <f>TrafficData[[#This Row],[disposedChallan]]+TrafficData[[#This Row],[pendingChallan]]=TrafficData[[#This Row],[totalChallan]]</f>
        <v>1</v>
      </c>
      <c r="L779" t="b">
        <f>TrafficData[[#This Row],[pendingAmount]]+TrafficData[[#This Row],[disposedAmount]]=TrafficData[[#This Row],[totalAmount]]</f>
        <v>1</v>
      </c>
      <c r="M779" t="b">
        <f>TrafficData[[#This Row],[pendingCourt]]+TrafficData[[#This Row],[disposedCourt]]=TrafficData[[#This Row],[totalCourt]]</f>
        <v>1</v>
      </c>
      <c r="N779" s="8" t="b">
        <f>AND(TrafficData[[#This Row],[disposedChallan]]&lt;=TrafficData[[#This Row],[totalChallan]],TrafficData[[#This Row],[pendingChallan]]&lt;=TrafficData[[#This Row],[totalChallan]])</f>
        <v>1</v>
      </c>
      <c r="O779" s="8" t="b">
        <f>AND(TrafficData[[#This Row],[pendingAmount]]&lt;=TrafficData[[#This Row],[totalAmount]],TrafficData[[#This Row],[disposedAmount]]&lt;=TrafficData[[#This Row],[totalAmount]])</f>
        <v>1</v>
      </c>
      <c r="P779" s="8" t="b">
        <f>AND(TrafficData[[#This Row],[pendingCourt]]&lt;=TrafficData[[#This Row],[totalCourt]],TrafficData[[#This Row],[disposedCourt]]&lt;=TrafficData[[#This Row],[totalCourt]])</f>
        <v>1</v>
      </c>
    </row>
    <row r="780" spans="1:16">
      <c r="A780" s="1">
        <v>42783</v>
      </c>
      <c r="B780">
        <v>1089</v>
      </c>
      <c r="C780">
        <v>234</v>
      </c>
      <c r="D780">
        <v>855</v>
      </c>
      <c r="E780">
        <v>1067100</v>
      </c>
      <c r="F780">
        <v>622300</v>
      </c>
      <c r="G780">
        <v>1689400</v>
      </c>
      <c r="H780">
        <v>584</v>
      </c>
      <c r="I780">
        <v>16</v>
      </c>
      <c r="J780">
        <v>600</v>
      </c>
      <c r="K780" t="b">
        <f>TrafficData[[#This Row],[disposedChallan]]+TrafficData[[#This Row],[pendingChallan]]=TrafficData[[#This Row],[totalChallan]]</f>
        <v>1</v>
      </c>
      <c r="L780" t="b">
        <f>TrafficData[[#This Row],[pendingAmount]]+TrafficData[[#This Row],[disposedAmount]]=TrafficData[[#This Row],[totalAmount]]</f>
        <v>1</v>
      </c>
      <c r="M780" t="b">
        <f>TrafficData[[#This Row],[pendingCourt]]+TrafficData[[#This Row],[disposedCourt]]=TrafficData[[#This Row],[totalCourt]]</f>
        <v>1</v>
      </c>
      <c r="N780" s="8" t="b">
        <f>AND(TrafficData[[#This Row],[disposedChallan]]&lt;=TrafficData[[#This Row],[totalChallan]],TrafficData[[#This Row],[pendingChallan]]&lt;=TrafficData[[#This Row],[totalChallan]])</f>
        <v>1</v>
      </c>
      <c r="O780" s="8" t="b">
        <f>AND(TrafficData[[#This Row],[pendingAmount]]&lt;=TrafficData[[#This Row],[totalAmount]],TrafficData[[#This Row],[disposedAmount]]&lt;=TrafficData[[#This Row],[totalAmount]])</f>
        <v>1</v>
      </c>
      <c r="P780" s="8" t="b">
        <f>AND(TrafficData[[#This Row],[pendingCourt]]&lt;=TrafficData[[#This Row],[totalCourt]],TrafficData[[#This Row],[disposedCourt]]&lt;=TrafficData[[#This Row],[totalCourt]])</f>
        <v>1</v>
      </c>
    </row>
    <row r="781" spans="1:16">
      <c r="A781" s="1">
        <v>42784</v>
      </c>
      <c r="B781">
        <v>841</v>
      </c>
      <c r="C781">
        <v>211</v>
      </c>
      <c r="D781">
        <v>630</v>
      </c>
      <c r="E781">
        <v>672050</v>
      </c>
      <c r="F781">
        <v>321001</v>
      </c>
      <c r="G781">
        <v>993051</v>
      </c>
      <c r="H781">
        <v>358</v>
      </c>
      <c r="I781">
        <v>10</v>
      </c>
      <c r="J781">
        <v>368</v>
      </c>
      <c r="K781" t="b">
        <f>TrafficData[[#This Row],[disposedChallan]]+TrafficData[[#This Row],[pendingChallan]]=TrafficData[[#This Row],[totalChallan]]</f>
        <v>1</v>
      </c>
      <c r="L781" t="b">
        <f>TrafficData[[#This Row],[pendingAmount]]+TrafficData[[#This Row],[disposedAmount]]=TrafficData[[#This Row],[totalAmount]]</f>
        <v>1</v>
      </c>
      <c r="M781" t="b">
        <f>TrafficData[[#This Row],[pendingCourt]]+TrafficData[[#This Row],[disposedCourt]]=TrafficData[[#This Row],[totalCourt]]</f>
        <v>1</v>
      </c>
      <c r="N781" s="8" t="b">
        <f>AND(TrafficData[[#This Row],[disposedChallan]]&lt;=TrafficData[[#This Row],[totalChallan]],TrafficData[[#This Row],[pendingChallan]]&lt;=TrafficData[[#This Row],[totalChallan]])</f>
        <v>1</v>
      </c>
      <c r="O781" s="8" t="b">
        <f>AND(TrafficData[[#This Row],[pendingAmount]]&lt;=TrafficData[[#This Row],[totalAmount]],TrafficData[[#This Row],[disposedAmount]]&lt;=TrafficData[[#This Row],[totalAmount]])</f>
        <v>1</v>
      </c>
      <c r="P781" s="8" t="b">
        <f>AND(TrafficData[[#This Row],[pendingCourt]]&lt;=TrafficData[[#This Row],[totalCourt]],TrafficData[[#This Row],[disposedCourt]]&lt;=TrafficData[[#This Row],[totalCourt]])</f>
        <v>1</v>
      </c>
    </row>
    <row r="782" spans="1:16">
      <c r="A782" s="1">
        <v>42785</v>
      </c>
      <c r="B782">
        <v>678</v>
      </c>
      <c r="C782">
        <v>163</v>
      </c>
      <c r="D782">
        <v>515</v>
      </c>
      <c r="E782">
        <v>502000</v>
      </c>
      <c r="F782">
        <v>165300</v>
      </c>
      <c r="G782">
        <v>667300</v>
      </c>
      <c r="H782">
        <v>339</v>
      </c>
      <c r="I782">
        <v>15</v>
      </c>
      <c r="J782">
        <v>354</v>
      </c>
      <c r="K782" t="b">
        <f>TrafficData[[#This Row],[disposedChallan]]+TrafficData[[#This Row],[pendingChallan]]=TrafficData[[#This Row],[totalChallan]]</f>
        <v>1</v>
      </c>
      <c r="L782" t="b">
        <f>TrafficData[[#This Row],[pendingAmount]]+TrafficData[[#This Row],[disposedAmount]]=TrafficData[[#This Row],[totalAmount]]</f>
        <v>1</v>
      </c>
      <c r="M782" t="b">
        <f>TrafficData[[#This Row],[pendingCourt]]+TrafficData[[#This Row],[disposedCourt]]=TrafficData[[#This Row],[totalCourt]]</f>
        <v>1</v>
      </c>
      <c r="N782" s="8" t="b">
        <f>AND(TrafficData[[#This Row],[disposedChallan]]&lt;=TrafficData[[#This Row],[totalChallan]],TrafficData[[#This Row],[pendingChallan]]&lt;=TrafficData[[#This Row],[totalChallan]])</f>
        <v>1</v>
      </c>
      <c r="O782" s="8" t="b">
        <f>AND(TrafficData[[#This Row],[pendingAmount]]&lt;=TrafficData[[#This Row],[totalAmount]],TrafficData[[#This Row],[disposedAmount]]&lt;=TrafficData[[#This Row],[totalAmount]])</f>
        <v>1</v>
      </c>
      <c r="P782" s="8" t="b">
        <f>AND(TrafficData[[#This Row],[pendingCourt]]&lt;=TrafficData[[#This Row],[totalCourt]],TrafficData[[#This Row],[disposedCourt]]&lt;=TrafficData[[#This Row],[totalCourt]])</f>
        <v>1</v>
      </c>
    </row>
    <row r="783" spans="1:16">
      <c r="A783" s="1">
        <v>42786</v>
      </c>
      <c r="B783">
        <v>861</v>
      </c>
      <c r="C783">
        <v>179</v>
      </c>
      <c r="D783">
        <v>682</v>
      </c>
      <c r="E783">
        <v>1045750</v>
      </c>
      <c r="F783">
        <v>307660</v>
      </c>
      <c r="G783">
        <v>1353410</v>
      </c>
      <c r="H783">
        <v>405</v>
      </c>
      <c r="I783">
        <v>48</v>
      </c>
      <c r="J783">
        <v>453</v>
      </c>
      <c r="K783" t="b">
        <f>TrafficData[[#This Row],[disposedChallan]]+TrafficData[[#This Row],[pendingChallan]]=TrafficData[[#This Row],[totalChallan]]</f>
        <v>1</v>
      </c>
      <c r="L783" t="b">
        <f>TrafficData[[#This Row],[pendingAmount]]+TrafficData[[#This Row],[disposedAmount]]=TrafficData[[#This Row],[totalAmount]]</f>
        <v>1</v>
      </c>
      <c r="M783" t="b">
        <f>TrafficData[[#This Row],[pendingCourt]]+TrafficData[[#This Row],[disposedCourt]]=TrafficData[[#This Row],[totalCourt]]</f>
        <v>1</v>
      </c>
      <c r="N783" s="8" t="b">
        <f>AND(TrafficData[[#This Row],[disposedChallan]]&lt;=TrafficData[[#This Row],[totalChallan]],TrafficData[[#This Row],[pendingChallan]]&lt;=TrafficData[[#This Row],[totalChallan]])</f>
        <v>1</v>
      </c>
      <c r="O783" s="8" t="b">
        <f>AND(TrafficData[[#This Row],[pendingAmount]]&lt;=TrafficData[[#This Row],[totalAmount]],TrafficData[[#This Row],[disposedAmount]]&lt;=TrafficData[[#This Row],[totalAmount]])</f>
        <v>1</v>
      </c>
      <c r="P783" s="8" t="b">
        <f>AND(TrafficData[[#This Row],[pendingCourt]]&lt;=TrafficData[[#This Row],[totalCourt]],TrafficData[[#This Row],[disposedCourt]]&lt;=TrafficData[[#This Row],[totalCourt]])</f>
        <v>1</v>
      </c>
    </row>
    <row r="784" spans="1:16">
      <c r="A784" s="1">
        <v>42787</v>
      </c>
      <c r="B784">
        <v>1021</v>
      </c>
      <c r="C784">
        <v>213</v>
      </c>
      <c r="D784">
        <v>808</v>
      </c>
      <c r="E784">
        <v>1438650</v>
      </c>
      <c r="F784">
        <v>290551</v>
      </c>
      <c r="G784">
        <v>1729201</v>
      </c>
      <c r="H784">
        <v>486</v>
      </c>
      <c r="I784">
        <v>50</v>
      </c>
      <c r="J784">
        <v>536</v>
      </c>
      <c r="K784" t="b">
        <f>TrafficData[[#This Row],[disposedChallan]]+TrafficData[[#This Row],[pendingChallan]]=TrafficData[[#This Row],[totalChallan]]</f>
        <v>1</v>
      </c>
      <c r="L784" t="b">
        <f>TrafficData[[#This Row],[pendingAmount]]+TrafficData[[#This Row],[disposedAmount]]=TrafficData[[#This Row],[totalAmount]]</f>
        <v>1</v>
      </c>
      <c r="M784" t="b">
        <f>TrafficData[[#This Row],[pendingCourt]]+TrafficData[[#This Row],[disposedCourt]]=TrafficData[[#This Row],[totalCourt]]</f>
        <v>1</v>
      </c>
      <c r="N784" s="8" t="b">
        <f>AND(TrafficData[[#This Row],[disposedChallan]]&lt;=TrafficData[[#This Row],[totalChallan]],TrafficData[[#This Row],[pendingChallan]]&lt;=TrafficData[[#This Row],[totalChallan]])</f>
        <v>1</v>
      </c>
      <c r="O784" s="8" t="b">
        <f>AND(TrafficData[[#This Row],[pendingAmount]]&lt;=TrafficData[[#This Row],[totalAmount]],TrafficData[[#This Row],[disposedAmount]]&lt;=TrafficData[[#This Row],[totalAmount]])</f>
        <v>1</v>
      </c>
      <c r="P784" s="8" t="b">
        <f>AND(TrafficData[[#This Row],[pendingCourt]]&lt;=TrafficData[[#This Row],[totalCourt]],TrafficData[[#This Row],[disposedCourt]]&lt;=TrafficData[[#This Row],[totalCourt]])</f>
        <v>1</v>
      </c>
    </row>
    <row r="785" spans="1:16">
      <c r="A785" s="1">
        <v>42788</v>
      </c>
      <c r="B785">
        <v>1165</v>
      </c>
      <c r="C785">
        <v>261</v>
      </c>
      <c r="D785">
        <v>904</v>
      </c>
      <c r="E785">
        <v>1315590</v>
      </c>
      <c r="F785">
        <v>648748</v>
      </c>
      <c r="G785">
        <v>1964338</v>
      </c>
      <c r="H785">
        <v>644</v>
      </c>
      <c r="I785">
        <v>19</v>
      </c>
      <c r="J785">
        <v>663</v>
      </c>
      <c r="K785" t="b">
        <f>TrafficData[[#This Row],[disposedChallan]]+TrafficData[[#This Row],[pendingChallan]]=TrafficData[[#This Row],[totalChallan]]</f>
        <v>1</v>
      </c>
      <c r="L785" t="b">
        <f>TrafficData[[#This Row],[pendingAmount]]+TrafficData[[#This Row],[disposedAmount]]=TrafficData[[#This Row],[totalAmount]]</f>
        <v>1</v>
      </c>
      <c r="M785" t="b">
        <f>TrafficData[[#This Row],[pendingCourt]]+TrafficData[[#This Row],[disposedCourt]]=TrafficData[[#This Row],[totalCourt]]</f>
        <v>1</v>
      </c>
      <c r="N785" s="8" t="b">
        <f>AND(TrafficData[[#This Row],[disposedChallan]]&lt;=TrafficData[[#This Row],[totalChallan]],TrafficData[[#This Row],[pendingChallan]]&lt;=TrafficData[[#This Row],[totalChallan]])</f>
        <v>1</v>
      </c>
      <c r="O785" s="8" t="b">
        <f>AND(TrafficData[[#This Row],[pendingAmount]]&lt;=TrafficData[[#This Row],[totalAmount]],TrafficData[[#This Row],[disposedAmount]]&lt;=TrafficData[[#This Row],[totalAmount]])</f>
        <v>1</v>
      </c>
      <c r="P785" s="8" t="b">
        <f>AND(TrafficData[[#This Row],[pendingCourt]]&lt;=TrafficData[[#This Row],[totalCourt]],TrafficData[[#This Row],[disposedCourt]]&lt;=TrafficData[[#This Row],[totalCourt]])</f>
        <v>1</v>
      </c>
    </row>
    <row r="786" spans="1:16">
      <c r="A786" s="1">
        <v>42789</v>
      </c>
      <c r="B786">
        <v>835</v>
      </c>
      <c r="C786">
        <v>203</v>
      </c>
      <c r="D786">
        <v>632</v>
      </c>
      <c r="E786">
        <v>830700</v>
      </c>
      <c r="F786">
        <v>448591</v>
      </c>
      <c r="G786">
        <v>1279291</v>
      </c>
      <c r="H786">
        <v>421</v>
      </c>
      <c r="I786">
        <v>56</v>
      </c>
      <c r="J786">
        <v>477</v>
      </c>
      <c r="K786" t="b">
        <f>TrafficData[[#This Row],[disposedChallan]]+TrafficData[[#This Row],[pendingChallan]]=TrafficData[[#This Row],[totalChallan]]</f>
        <v>1</v>
      </c>
      <c r="L786" t="b">
        <f>TrafficData[[#This Row],[pendingAmount]]+TrafficData[[#This Row],[disposedAmount]]=TrafficData[[#This Row],[totalAmount]]</f>
        <v>1</v>
      </c>
      <c r="M786" t="b">
        <f>TrafficData[[#This Row],[pendingCourt]]+TrafficData[[#This Row],[disposedCourt]]=TrafficData[[#This Row],[totalCourt]]</f>
        <v>1</v>
      </c>
      <c r="N786" s="8" t="b">
        <f>AND(TrafficData[[#This Row],[disposedChallan]]&lt;=TrafficData[[#This Row],[totalChallan]],TrafficData[[#This Row],[pendingChallan]]&lt;=TrafficData[[#This Row],[totalChallan]])</f>
        <v>1</v>
      </c>
      <c r="O786" s="8" t="b">
        <f>AND(TrafficData[[#This Row],[pendingAmount]]&lt;=TrafficData[[#This Row],[totalAmount]],TrafficData[[#This Row],[disposedAmount]]&lt;=TrafficData[[#This Row],[totalAmount]])</f>
        <v>1</v>
      </c>
      <c r="P786" s="8" t="b">
        <f>AND(TrafficData[[#This Row],[pendingCourt]]&lt;=TrafficData[[#This Row],[totalCourt]],TrafficData[[#This Row],[disposedCourt]]&lt;=TrafficData[[#This Row],[totalCourt]])</f>
        <v>1</v>
      </c>
    </row>
    <row r="787" spans="1:16">
      <c r="A787" s="1">
        <v>42790</v>
      </c>
      <c r="B787">
        <v>709</v>
      </c>
      <c r="C787">
        <v>221</v>
      </c>
      <c r="D787">
        <v>488</v>
      </c>
      <c r="E787">
        <v>655800</v>
      </c>
      <c r="F787">
        <v>341350</v>
      </c>
      <c r="G787">
        <v>997150</v>
      </c>
      <c r="H787">
        <v>320</v>
      </c>
      <c r="I787">
        <v>74</v>
      </c>
      <c r="J787">
        <v>394</v>
      </c>
      <c r="K787" t="b">
        <f>TrafficData[[#This Row],[disposedChallan]]+TrafficData[[#This Row],[pendingChallan]]=TrafficData[[#This Row],[totalChallan]]</f>
        <v>1</v>
      </c>
      <c r="L787" t="b">
        <f>TrafficData[[#This Row],[pendingAmount]]+TrafficData[[#This Row],[disposedAmount]]=TrafficData[[#This Row],[totalAmount]]</f>
        <v>1</v>
      </c>
      <c r="M787" t="b">
        <f>TrafficData[[#This Row],[pendingCourt]]+TrafficData[[#This Row],[disposedCourt]]=TrafficData[[#This Row],[totalCourt]]</f>
        <v>1</v>
      </c>
      <c r="N787" s="8" t="b">
        <f>AND(TrafficData[[#This Row],[disposedChallan]]&lt;=TrafficData[[#This Row],[totalChallan]],TrafficData[[#This Row],[pendingChallan]]&lt;=TrafficData[[#This Row],[totalChallan]])</f>
        <v>1</v>
      </c>
      <c r="O787" s="8" t="b">
        <f>AND(TrafficData[[#This Row],[pendingAmount]]&lt;=TrafficData[[#This Row],[totalAmount]],TrafficData[[#This Row],[disposedAmount]]&lt;=TrafficData[[#This Row],[totalAmount]])</f>
        <v>1</v>
      </c>
      <c r="P787" s="8" t="b">
        <f>AND(TrafficData[[#This Row],[pendingCourt]]&lt;=TrafficData[[#This Row],[totalCourt]],TrafficData[[#This Row],[disposedCourt]]&lt;=TrafficData[[#This Row],[totalCourt]])</f>
        <v>1</v>
      </c>
    </row>
    <row r="788" spans="1:16">
      <c r="A788" s="1">
        <v>42791</v>
      </c>
      <c r="B788">
        <v>741</v>
      </c>
      <c r="C788">
        <v>243</v>
      </c>
      <c r="D788">
        <v>498</v>
      </c>
      <c r="E788">
        <v>736750</v>
      </c>
      <c r="F788">
        <v>338300</v>
      </c>
      <c r="G788">
        <v>1075050</v>
      </c>
      <c r="H788">
        <v>291</v>
      </c>
      <c r="I788">
        <v>27</v>
      </c>
      <c r="J788">
        <v>318</v>
      </c>
      <c r="K788" t="b">
        <f>TrafficData[[#This Row],[disposedChallan]]+TrafficData[[#This Row],[pendingChallan]]=TrafficData[[#This Row],[totalChallan]]</f>
        <v>1</v>
      </c>
      <c r="L788" t="b">
        <f>TrafficData[[#This Row],[pendingAmount]]+TrafficData[[#This Row],[disposedAmount]]=TrafficData[[#This Row],[totalAmount]]</f>
        <v>1</v>
      </c>
      <c r="M788" t="b">
        <f>TrafficData[[#This Row],[pendingCourt]]+TrafficData[[#This Row],[disposedCourt]]=TrafficData[[#This Row],[totalCourt]]</f>
        <v>1</v>
      </c>
      <c r="N788" s="8" t="b">
        <f>AND(TrafficData[[#This Row],[disposedChallan]]&lt;=TrafficData[[#This Row],[totalChallan]],TrafficData[[#This Row],[pendingChallan]]&lt;=TrafficData[[#This Row],[totalChallan]])</f>
        <v>1</v>
      </c>
      <c r="O788" s="8" t="b">
        <f>AND(TrafficData[[#This Row],[pendingAmount]]&lt;=TrafficData[[#This Row],[totalAmount]],TrafficData[[#This Row],[disposedAmount]]&lt;=TrafficData[[#This Row],[totalAmount]])</f>
        <v>1</v>
      </c>
      <c r="P788" s="8" t="b">
        <f>AND(TrafficData[[#This Row],[pendingCourt]]&lt;=TrafficData[[#This Row],[totalCourt]],TrafficData[[#This Row],[disposedCourt]]&lt;=TrafficData[[#This Row],[totalCourt]])</f>
        <v>1</v>
      </c>
    </row>
    <row r="789" spans="1:16">
      <c r="A789" s="1">
        <v>42792</v>
      </c>
      <c r="B789">
        <v>545</v>
      </c>
      <c r="C789">
        <v>183</v>
      </c>
      <c r="D789">
        <v>362</v>
      </c>
      <c r="E789">
        <v>504600</v>
      </c>
      <c r="F789">
        <v>328295</v>
      </c>
      <c r="G789">
        <v>832895</v>
      </c>
      <c r="H789">
        <v>209</v>
      </c>
      <c r="I789">
        <v>29</v>
      </c>
      <c r="J789">
        <v>238</v>
      </c>
      <c r="K789" t="b">
        <f>TrafficData[[#This Row],[disposedChallan]]+TrafficData[[#This Row],[pendingChallan]]=TrafficData[[#This Row],[totalChallan]]</f>
        <v>1</v>
      </c>
      <c r="L789" t="b">
        <f>TrafficData[[#This Row],[pendingAmount]]+TrafficData[[#This Row],[disposedAmount]]=TrafficData[[#This Row],[totalAmount]]</f>
        <v>1</v>
      </c>
      <c r="M789" t="b">
        <f>TrafficData[[#This Row],[pendingCourt]]+TrafficData[[#This Row],[disposedCourt]]=TrafficData[[#This Row],[totalCourt]]</f>
        <v>1</v>
      </c>
      <c r="N789" s="8" t="b">
        <f>AND(TrafficData[[#This Row],[disposedChallan]]&lt;=TrafficData[[#This Row],[totalChallan]],TrafficData[[#This Row],[pendingChallan]]&lt;=TrafficData[[#This Row],[totalChallan]])</f>
        <v>1</v>
      </c>
      <c r="O789" s="8" t="b">
        <f>AND(TrafficData[[#This Row],[pendingAmount]]&lt;=TrafficData[[#This Row],[totalAmount]],TrafficData[[#This Row],[disposedAmount]]&lt;=TrafficData[[#This Row],[totalAmount]])</f>
        <v>1</v>
      </c>
      <c r="P789" s="8" t="b">
        <f>AND(TrafficData[[#This Row],[pendingCourt]]&lt;=TrafficData[[#This Row],[totalCourt]],TrafficData[[#This Row],[disposedCourt]]&lt;=TrafficData[[#This Row],[totalCourt]])</f>
        <v>1</v>
      </c>
    </row>
    <row r="790" spans="1:16">
      <c r="A790" s="1">
        <v>42793</v>
      </c>
      <c r="B790">
        <v>835</v>
      </c>
      <c r="C790">
        <v>248</v>
      </c>
      <c r="D790">
        <v>587</v>
      </c>
      <c r="E790">
        <v>912150</v>
      </c>
      <c r="F790">
        <v>355770</v>
      </c>
      <c r="G790">
        <v>1267920</v>
      </c>
      <c r="H790">
        <v>362</v>
      </c>
      <c r="I790">
        <v>62</v>
      </c>
      <c r="J790">
        <v>424</v>
      </c>
      <c r="K790" t="b">
        <f>TrafficData[[#This Row],[disposedChallan]]+TrafficData[[#This Row],[pendingChallan]]=TrafficData[[#This Row],[totalChallan]]</f>
        <v>1</v>
      </c>
      <c r="L790" t="b">
        <f>TrafficData[[#This Row],[pendingAmount]]+TrafficData[[#This Row],[disposedAmount]]=TrafficData[[#This Row],[totalAmount]]</f>
        <v>1</v>
      </c>
      <c r="M790" t="b">
        <f>TrafficData[[#This Row],[pendingCourt]]+TrafficData[[#This Row],[disposedCourt]]=TrafficData[[#This Row],[totalCourt]]</f>
        <v>1</v>
      </c>
      <c r="N790" s="8" t="b">
        <f>AND(TrafficData[[#This Row],[disposedChallan]]&lt;=TrafficData[[#This Row],[totalChallan]],TrafficData[[#This Row],[pendingChallan]]&lt;=TrafficData[[#This Row],[totalChallan]])</f>
        <v>1</v>
      </c>
      <c r="O790" s="8" t="b">
        <f>AND(TrafficData[[#This Row],[pendingAmount]]&lt;=TrafficData[[#This Row],[totalAmount]],TrafficData[[#This Row],[disposedAmount]]&lt;=TrafficData[[#This Row],[totalAmount]])</f>
        <v>1</v>
      </c>
      <c r="P790" s="8" t="b">
        <f>AND(TrafficData[[#This Row],[pendingCourt]]&lt;=TrafficData[[#This Row],[totalCourt]],TrafficData[[#This Row],[disposedCourt]]&lt;=TrafficData[[#This Row],[totalCourt]])</f>
        <v>1</v>
      </c>
    </row>
    <row r="791" spans="1:16">
      <c r="A791" s="1">
        <v>42794</v>
      </c>
      <c r="B791">
        <v>1256</v>
      </c>
      <c r="C791">
        <v>271</v>
      </c>
      <c r="D791">
        <v>985</v>
      </c>
      <c r="E791">
        <v>1001650</v>
      </c>
      <c r="F791">
        <v>504925</v>
      </c>
      <c r="G791">
        <v>1506575</v>
      </c>
      <c r="H791">
        <v>697</v>
      </c>
      <c r="I791">
        <v>63</v>
      </c>
      <c r="J791">
        <v>760</v>
      </c>
      <c r="K791" t="b">
        <f>TrafficData[[#This Row],[disposedChallan]]+TrafficData[[#This Row],[pendingChallan]]=TrafficData[[#This Row],[totalChallan]]</f>
        <v>1</v>
      </c>
      <c r="L791" t="b">
        <f>TrafficData[[#This Row],[pendingAmount]]+TrafficData[[#This Row],[disposedAmount]]=TrafficData[[#This Row],[totalAmount]]</f>
        <v>1</v>
      </c>
      <c r="M791" t="b">
        <f>TrafficData[[#This Row],[pendingCourt]]+TrafficData[[#This Row],[disposedCourt]]=TrafficData[[#This Row],[totalCourt]]</f>
        <v>1</v>
      </c>
      <c r="N791" s="8" t="b">
        <f>AND(TrafficData[[#This Row],[disposedChallan]]&lt;=TrafficData[[#This Row],[totalChallan]],TrafficData[[#This Row],[pendingChallan]]&lt;=TrafficData[[#This Row],[totalChallan]])</f>
        <v>1</v>
      </c>
      <c r="O791" s="8" t="b">
        <f>AND(TrafficData[[#This Row],[pendingAmount]]&lt;=TrafficData[[#This Row],[totalAmount]],TrafficData[[#This Row],[disposedAmount]]&lt;=TrafficData[[#This Row],[totalAmount]])</f>
        <v>1</v>
      </c>
      <c r="P791" s="8" t="b">
        <f>AND(TrafficData[[#This Row],[pendingCourt]]&lt;=TrafficData[[#This Row],[totalCourt]],TrafficData[[#This Row],[disposedCourt]]&lt;=TrafficData[[#This Row],[totalCourt]])</f>
        <v>1</v>
      </c>
    </row>
    <row r="792" spans="1:16">
      <c r="A792" s="1">
        <v>42795</v>
      </c>
      <c r="B792">
        <v>1015</v>
      </c>
      <c r="C792">
        <v>282</v>
      </c>
      <c r="D792">
        <v>733</v>
      </c>
      <c r="E792">
        <v>1531110</v>
      </c>
      <c r="F792">
        <v>955740</v>
      </c>
      <c r="G792">
        <v>2486850</v>
      </c>
      <c r="H792">
        <v>406</v>
      </c>
      <c r="I792">
        <v>44</v>
      </c>
      <c r="J792">
        <v>450</v>
      </c>
      <c r="K792" t="b">
        <f>TrafficData[[#This Row],[disposedChallan]]+TrafficData[[#This Row],[pendingChallan]]=TrafficData[[#This Row],[totalChallan]]</f>
        <v>1</v>
      </c>
      <c r="L792" t="b">
        <f>TrafficData[[#This Row],[pendingAmount]]+TrafficData[[#This Row],[disposedAmount]]=TrafficData[[#This Row],[totalAmount]]</f>
        <v>1</v>
      </c>
      <c r="M792" t="b">
        <f>TrafficData[[#This Row],[pendingCourt]]+TrafficData[[#This Row],[disposedCourt]]=TrafficData[[#This Row],[totalCourt]]</f>
        <v>1</v>
      </c>
      <c r="N792" s="8" t="b">
        <f>AND(TrafficData[[#This Row],[disposedChallan]]&lt;=TrafficData[[#This Row],[totalChallan]],TrafficData[[#This Row],[pendingChallan]]&lt;=TrafficData[[#This Row],[totalChallan]])</f>
        <v>1</v>
      </c>
      <c r="O792" s="8" t="b">
        <f>AND(TrafficData[[#This Row],[pendingAmount]]&lt;=TrafficData[[#This Row],[totalAmount]],TrafficData[[#This Row],[disposedAmount]]&lt;=TrafficData[[#This Row],[totalAmount]])</f>
        <v>1</v>
      </c>
      <c r="P792" s="8" t="b">
        <f>AND(TrafficData[[#This Row],[pendingCourt]]&lt;=TrafficData[[#This Row],[totalCourt]],TrafficData[[#This Row],[disposedCourt]]&lt;=TrafficData[[#This Row],[totalCourt]])</f>
        <v>1</v>
      </c>
    </row>
    <row r="793" spans="1:16">
      <c r="A793" s="1">
        <v>42796</v>
      </c>
      <c r="B793">
        <v>1059</v>
      </c>
      <c r="C793">
        <v>275</v>
      </c>
      <c r="D793">
        <v>784</v>
      </c>
      <c r="E793">
        <v>1628500</v>
      </c>
      <c r="F793">
        <v>697060</v>
      </c>
      <c r="G793">
        <v>2325560</v>
      </c>
      <c r="H793">
        <v>449</v>
      </c>
      <c r="I793">
        <v>74</v>
      </c>
      <c r="J793">
        <v>523</v>
      </c>
      <c r="K793" t="b">
        <f>TrafficData[[#This Row],[disposedChallan]]+TrafficData[[#This Row],[pendingChallan]]=TrafficData[[#This Row],[totalChallan]]</f>
        <v>1</v>
      </c>
      <c r="L793" t="b">
        <f>TrafficData[[#This Row],[pendingAmount]]+TrafficData[[#This Row],[disposedAmount]]=TrafficData[[#This Row],[totalAmount]]</f>
        <v>1</v>
      </c>
      <c r="M793" t="b">
        <f>TrafficData[[#This Row],[pendingCourt]]+TrafficData[[#This Row],[disposedCourt]]=TrafficData[[#This Row],[totalCourt]]</f>
        <v>1</v>
      </c>
      <c r="N793" s="8" t="b">
        <f>AND(TrafficData[[#This Row],[disposedChallan]]&lt;=TrafficData[[#This Row],[totalChallan]],TrafficData[[#This Row],[pendingChallan]]&lt;=TrafficData[[#This Row],[totalChallan]])</f>
        <v>1</v>
      </c>
      <c r="O793" s="8" t="b">
        <f>AND(TrafficData[[#This Row],[pendingAmount]]&lt;=TrafficData[[#This Row],[totalAmount]],TrafficData[[#This Row],[disposedAmount]]&lt;=TrafficData[[#This Row],[totalAmount]])</f>
        <v>1</v>
      </c>
      <c r="P793" s="8" t="b">
        <f>AND(TrafficData[[#This Row],[pendingCourt]]&lt;=TrafficData[[#This Row],[totalCourt]],TrafficData[[#This Row],[disposedCourt]]&lt;=TrafficData[[#This Row],[totalCourt]])</f>
        <v>1</v>
      </c>
    </row>
    <row r="794" spans="1:16">
      <c r="A794" s="1">
        <v>42797</v>
      </c>
      <c r="B794">
        <v>1087</v>
      </c>
      <c r="C794">
        <v>271</v>
      </c>
      <c r="D794">
        <v>816</v>
      </c>
      <c r="E794">
        <v>1297550</v>
      </c>
      <c r="F794">
        <v>682581</v>
      </c>
      <c r="G794">
        <v>1980131</v>
      </c>
      <c r="H794">
        <v>431</v>
      </c>
      <c r="I794">
        <v>37</v>
      </c>
      <c r="J794">
        <v>468</v>
      </c>
      <c r="K794" t="b">
        <f>TrafficData[[#This Row],[disposedChallan]]+TrafficData[[#This Row],[pendingChallan]]=TrafficData[[#This Row],[totalChallan]]</f>
        <v>1</v>
      </c>
      <c r="L794" t="b">
        <f>TrafficData[[#This Row],[pendingAmount]]+TrafficData[[#This Row],[disposedAmount]]=TrafficData[[#This Row],[totalAmount]]</f>
        <v>1</v>
      </c>
      <c r="M794" t="b">
        <f>TrafficData[[#This Row],[pendingCourt]]+TrafficData[[#This Row],[disposedCourt]]=TrafficData[[#This Row],[totalCourt]]</f>
        <v>1</v>
      </c>
      <c r="N794" s="8" t="b">
        <f>AND(TrafficData[[#This Row],[disposedChallan]]&lt;=TrafficData[[#This Row],[totalChallan]],TrafficData[[#This Row],[pendingChallan]]&lt;=TrafficData[[#This Row],[totalChallan]])</f>
        <v>1</v>
      </c>
      <c r="O794" s="8" t="b">
        <f>AND(TrafficData[[#This Row],[pendingAmount]]&lt;=TrafficData[[#This Row],[totalAmount]],TrafficData[[#This Row],[disposedAmount]]&lt;=TrafficData[[#This Row],[totalAmount]])</f>
        <v>1</v>
      </c>
      <c r="P794" s="8" t="b">
        <f>AND(TrafficData[[#This Row],[pendingCourt]]&lt;=TrafficData[[#This Row],[totalCourt]],TrafficData[[#This Row],[disposedCourt]]&lt;=TrafficData[[#This Row],[totalCourt]])</f>
        <v>1</v>
      </c>
    </row>
    <row r="795" spans="1:16">
      <c r="A795" s="1">
        <v>42798</v>
      </c>
      <c r="B795">
        <v>1032</v>
      </c>
      <c r="C795">
        <v>211</v>
      </c>
      <c r="D795">
        <v>821</v>
      </c>
      <c r="E795">
        <v>1429500</v>
      </c>
      <c r="F795">
        <v>544000</v>
      </c>
      <c r="G795">
        <v>1973500</v>
      </c>
      <c r="H795">
        <v>550</v>
      </c>
      <c r="I795">
        <v>48</v>
      </c>
      <c r="J795">
        <v>598</v>
      </c>
      <c r="K795" t="b">
        <f>TrafficData[[#This Row],[disposedChallan]]+TrafficData[[#This Row],[pendingChallan]]=TrafficData[[#This Row],[totalChallan]]</f>
        <v>1</v>
      </c>
      <c r="L795" t="b">
        <f>TrafficData[[#This Row],[pendingAmount]]+TrafficData[[#This Row],[disposedAmount]]=TrafficData[[#This Row],[totalAmount]]</f>
        <v>1</v>
      </c>
      <c r="M795" t="b">
        <f>TrafficData[[#This Row],[pendingCourt]]+TrafficData[[#This Row],[disposedCourt]]=TrafficData[[#This Row],[totalCourt]]</f>
        <v>1</v>
      </c>
      <c r="N795" s="8" t="b">
        <f>AND(TrafficData[[#This Row],[disposedChallan]]&lt;=TrafficData[[#This Row],[totalChallan]],TrafficData[[#This Row],[pendingChallan]]&lt;=TrafficData[[#This Row],[totalChallan]])</f>
        <v>1</v>
      </c>
      <c r="O795" s="8" t="b">
        <f>AND(TrafficData[[#This Row],[pendingAmount]]&lt;=TrafficData[[#This Row],[totalAmount]],TrafficData[[#This Row],[disposedAmount]]&lt;=TrafficData[[#This Row],[totalAmount]])</f>
        <v>1</v>
      </c>
      <c r="P795" s="8" t="b">
        <f>AND(TrafficData[[#This Row],[pendingCourt]]&lt;=TrafficData[[#This Row],[totalCourt]],TrafficData[[#This Row],[disposedCourt]]&lt;=TrafficData[[#This Row],[totalCourt]])</f>
        <v>1</v>
      </c>
    </row>
    <row r="796" spans="1:16">
      <c r="A796" s="1">
        <v>42799</v>
      </c>
      <c r="B796">
        <v>480</v>
      </c>
      <c r="C796">
        <v>98</v>
      </c>
      <c r="D796">
        <v>382</v>
      </c>
      <c r="E796">
        <v>525650</v>
      </c>
      <c r="F796">
        <v>246400</v>
      </c>
      <c r="G796">
        <v>772050</v>
      </c>
      <c r="H796">
        <v>164</v>
      </c>
      <c r="I796">
        <v>13</v>
      </c>
      <c r="J796">
        <v>177</v>
      </c>
      <c r="K796" t="b">
        <f>TrafficData[[#This Row],[disposedChallan]]+TrafficData[[#This Row],[pendingChallan]]=TrafficData[[#This Row],[totalChallan]]</f>
        <v>1</v>
      </c>
      <c r="L796" t="b">
        <f>TrafficData[[#This Row],[pendingAmount]]+TrafficData[[#This Row],[disposedAmount]]=TrafficData[[#This Row],[totalAmount]]</f>
        <v>1</v>
      </c>
      <c r="M796" t="b">
        <f>TrafficData[[#This Row],[pendingCourt]]+TrafficData[[#This Row],[disposedCourt]]=TrafficData[[#This Row],[totalCourt]]</f>
        <v>1</v>
      </c>
      <c r="N796" s="8" t="b">
        <f>AND(TrafficData[[#This Row],[disposedChallan]]&lt;=TrafficData[[#This Row],[totalChallan]],TrafficData[[#This Row],[pendingChallan]]&lt;=TrafficData[[#This Row],[totalChallan]])</f>
        <v>1</v>
      </c>
      <c r="O796" s="8" t="b">
        <f>AND(TrafficData[[#This Row],[pendingAmount]]&lt;=TrafficData[[#This Row],[totalAmount]],TrafficData[[#This Row],[disposedAmount]]&lt;=TrafficData[[#This Row],[totalAmount]])</f>
        <v>1</v>
      </c>
      <c r="P796" s="8" t="b">
        <f>AND(TrafficData[[#This Row],[pendingCourt]]&lt;=TrafficData[[#This Row],[totalCourt]],TrafficData[[#This Row],[disposedCourt]]&lt;=TrafficData[[#This Row],[totalCourt]])</f>
        <v>1</v>
      </c>
    </row>
    <row r="797" spans="1:16">
      <c r="A797" s="1">
        <v>42800</v>
      </c>
      <c r="B797">
        <v>946</v>
      </c>
      <c r="C797">
        <v>238</v>
      </c>
      <c r="D797">
        <v>708</v>
      </c>
      <c r="E797">
        <v>1051850</v>
      </c>
      <c r="F797">
        <v>851934</v>
      </c>
      <c r="G797">
        <v>1903784</v>
      </c>
      <c r="H797">
        <v>429</v>
      </c>
      <c r="I797">
        <v>32</v>
      </c>
      <c r="J797">
        <v>461</v>
      </c>
      <c r="K797" t="b">
        <f>TrafficData[[#This Row],[disposedChallan]]+TrafficData[[#This Row],[pendingChallan]]=TrafficData[[#This Row],[totalChallan]]</f>
        <v>1</v>
      </c>
      <c r="L797" t="b">
        <f>TrafficData[[#This Row],[pendingAmount]]+TrafficData[[#This Row],[disposedAmount]]=TrafficData[[#This Row],[totalAmount]]</f>
        <v>1</v>
      </c>
      <c r="M797" t="b">
        <f>TrafficData[[#This Row],[pendingCourt]]+TrafficData[[#This Row],[disposedCourt]]=TrafficData[[#This Row],[totalCourt]]</f>
        <v>1</v>
      </c>
      <c r="N797" s="8" t="b">
        <f>AND(TrafficData[[#This Row],[disposedChallan]]&lt;=TrafficData[[#This Row],[totalChallan]],TrafficData[[#This Row],[pendingChallan]]&lt;=TrafficData[[#This Row],[totalChallan]])</f>
        <v>1</v>
      </c>
      <c r="O797" s="8" t="b">
        <f>AND(TrafficData[[#This Row],[pendingAmount]]&lt;=TrafficData[[#This Row],[totalAmount]],TrafficData[[#This Row],[disposedAmount]]&lt;=TrafficData[[#This Row],[totalAmount]])</f>
        <v>1</v>
      </c>
      <c r="P797" s="8" t="b">
        <f>AND(TrafficData[[#This Row],[pendingCourt]]&lt;=TrafficData[[#This Row],[totalCourt]],TrafficData[[#This Row],[disposedCourt]]&lt;=TrafficData[[#This Row],[totalCourt]])</f>
        <v>1</v>
      </c>
    </row>
    <row r="798" spans="1:16">
      <c r="A798" s="1">
        <v>42801</v>
      </c>
      <c r="B798">
        <v>1090</v>
      </c>
      <c r="C798">
        <v>244</v>
      </c>
      <c r="D798">
        <v>846</v>
      </c>
      <c r="E798">
        <v>1225900</v>
      </c>
      <c r="F798">
        <v>535420</v>
      </c>
      <c r="G798">
        <v>1761320</v>
      </c>
      <c r="H798">
        <v>545</v>
      </c>
      <c r="I798">
        <v>33</v>
      </c>
      <c r="J798">
        <v>578</v>
      </c>
      <c r="K798" t="b">
        <f>TrafficData[[#This Row],[disposedChallan]]+TrafficData[[#This Row],[pendingChallan]]=TrafficData[[#This Row],[totalChallan]]</f>
        <v>1</v>
      </c>
      <c r="L798" t="b">
        <f>TrafficData[[#This Row],[pendingAmount]]+TrafficData[[#This Row],[disposedAmount]]=TrafficData[[#This Row],[totalAmount]]</f>
        <v>1</v>
      </c>
      <c r="M798" t="b">
        <f>TrafficData[[#This Row],[pendingCourt]]+TrafficData[[#This Row],[disposedCourt]]=TrafficData[[#This Row],[totalCourt]]</f>
        <v>1</v>
      </c>
      <c r="N798" s="8" t="b">
        <f>AND(TrafficData[[#This Row],[disposedChallan]]&lt;=TrafficData[[#This Row],[totalChallan]],TrafficData[[#This Row],[pendingChallan]]&lt;=TrafficData[[#This Row],[totalChallan]])</f>
        <v>1</v>
      </c>
      <c r="O798" s="8" t="b">
        <f>AND(TrafficData[[#This Row],[pendingAmount]]&lt;=TrafficData[[#This Row],[totalAmount]],TrafficData[[#This Row],[disposedAmount]]&lt;=TrafficData[[#This Row],[totalAmount]])</f>
        <v>1</v>
      </c>
      <c r="P798" s="8" t="b">
        <f>AND(TrafficData[[#This Row],[pendingCourt]]&lt;=TrafficData[[#This Row],[totalCourt]],TrafficData[[#This Row],[disposedCourt]]&lt;=TrafficData[[#This Row],[totalCourt]])</f>
        <v>1</v>
      </c>
    </row>
    <row r="799" spans="1:16">
      <c r="A799" s="1">
        <v>42802</v>
      </c>
      <c r="B799">
        <v>884</v>
      </c>
      <c r="C799">
        <v>251</v>
      </c>
      <c r="D799">
        <v>633</v>
      </c>
      <c r="E799">
        <v>979100</v>
      </c>
      <c r="F799">
        <v>622850</v>
      </c>
      <c r="G799">
        <v>1601950</v>
      </c>
      <c r="H799">
        <v>395</v>
      </c>
      <c r="I799">
        <v>42</v>
      </c>
      <c r="J799">
        <v>437</v>
      </c>
      <c r="K799" t="b">
        <f>TrafficData[[#This Row],[disposedChallan]]+TrafficData[[#This Row],[pendingChallan]]=TrafficData[[#This Row],[totalChallan]]</f>
        <v>1</v>
      </c>
      <c r="L799" t="b">
        <f>TrafficData[[#This Row],[pendingAmount]]+TrafficData[[#This Row],[disposedAmount]]=TrafficData[[#This Row],[totalAmount]]</f>
        <v>1</v>
      </c>
      <c r="M799" t="b">
        <f>TrafficData[[#This Row],[pendingCourt]]+TrafficData[[#This Row],[disposedCourt]]=TrafficData[[#This Row],[totalCourt]]</f>
        <v>1</v>
      </c>
      <c r="N799" s="8" t="b">
        <f>AND(TrafficData[[#This Row],[disposedChallan]]&lt;=TrafficData[[#This Row],[totalChallan]],TrafficData[[#This Row],[pendingChallan]]&lt;=TrafficData[[#This Row],[totalChallan]])</f>
        <v>1</v>
      </c>
      <c r="O799" s="8" t="b">
        <f>AND(TrafficData[[#This Row],[pendingAmount]]&lt;=TrafficData[[#This Row],[totalAmount]],TrafficData[[#This Row],[disposedAmount]]&lt;=TrafficData[[#This Row],[totalAmount]])</f>
        <v>1</v>
      </c>
      <c r="P799" s="8" t="b">
        <f>AND(TrafficData[[#This Row],[pendingCourt]]&lt;=TrafficData[[#This Row],[totalCourt]],TrafficData[[#This Row],[disposedCourt]]&lt;=TrafficData[[#This Row],[totalCourt]])</f>
        <v>1</v>
      </c>
    </row>
    <row r="800" spans="1:16">
      <c r="A800" s="1">
        <v>42803</v>
      </c>
      <c r="B800">
        <v>1075</v>
      </c>
      <c r="C800">
        <v>313</v>
      </c>
      <c r="D800">
        <v>762</v>
      </c>
      <c r="E800">
        <v>1249550</v>
      </c>
      <c r="F800">
        <v>651238</v>
      </c>
      <c r="G800">
        <v>1900788</v>
      </c>
      <c r="H800">
        <v>421</v>
      </c>
      <c r="I800">
        <v>67</v>
      </c>
      <c r="J800">
        <v>488</v>
      </c>
      <c r="K800" t="b">
        <f>TrafficData[[#This Row],[disposedChallan]]+TrafficData[[#This Row],[pendingChallan]]=TrafficData[[#This Row],[totalChallan]]</f>
        <v>1</v>
      </c>
      <c r="L800" t="b">
        <f>TrafficData[[#This Row],[pendingAmount]]+TrafficData[[#This Row],[disposedAmount]]=TrafficData[[#This Row],[totalAmount]]</f>
        <v>1</v>
      </c>
      <c r="M800" t="b">
        <f>TrafficData[[#This Row],[pendingCourt]]+TrafficData[[#This Row],[disposedCourt]]=TrafficData[[#This Row],[totalCourt]]</f>
        <v>1</v>
      </c>
      <c r="N800" s="8" t="b">
        <f>AND(TrafficData[[#This Row],[disposedChallan]]&lt;=TrafficData[[#This Row],[totalChallan]],TrafficData[[#This Row],[pendingChallan]]&lt;=TrafficData[[#This Row],[totalChallan]])</f>
        <v>1</v>
      </c>
      <c r="O800" s="8" t="b">
        <f>AND(TrafficData[[#This Row],[pendingAmount]]&lt;=TrafficData[[#This Row],[totalAmount]],TrafficData[[#This Row],[disposedAmount]]&lt;=TrafficData[[#This Row],[totalAmount]])</f>
        <v>1</v>
      </c>
      <c r="P800" s="8" t="b">
        <f>AND(TrafficData[[#This Row],[pendingCourt]]&lt;=TrafficData[[#This Row],[totalCourt]],TrafficData[[#This Row],[disposedCourt]]&lt;=TrafficData[[#This Row],[totalCourt]])</f>
        <v>1</v>
      </c>
    </row>
    <row r="801" spans="1:16">
      <c r="A801" s="1">
        <v>42804</v>
      </c>
      <c r="B801">
        <v>1211</v>
      </c>
      <c r="C801">
        <v>322</v>
      </c>
      <c r="D801">
        <v>889</v>
      </c>
      <c r="E801">
        <v>920630</v>
      </c>
      <c r="F801">
        <v>395900</v>
      </c>
      <c r="G801">
        <v>1316530</v>
      </c>
      <c r="H801">
        <v>537</v>
      </c>
      <c r="I801">
        <v>60</v>
      </c>
      <c r="J801">
        <v>597</v>
      </c>
      <c r="K801" t="b">
        <f>TrafficData[[#This Row],[disposedChallan]]+TrafficData[[#This Row],[pendingChallan]]=TrafficData[[#This Row],[totalChallan]]</f>
        <v>1</v>
      </c>
      <c r="L801" t="b">
        <f>TrafficData[[#This Row],[pendingAmount]]+TrafficData[[#This Row],[disposedAmount]]=TrafficData[[#This Row],[totalAmount]]</f>
        <v>1</v>
      </c>
      <c r="M801" t="b">
        <f>TrafficData[[#This Row],[pendingCourt]]+TrafficData[[#This Row],[disposedCourt]]=TrafficData[[#This Row],[totalCourt]]</f>
        <v>1</v>
      </c>
      <c r="N801" s="8" t="b">
        <f>AND(TrafficData[[#This Row],[disposedChallan]]&lt;=TrafficData[[#This Row],[totalChallan]],TrafficData[[#This Row],[pendingChallan]]&lt;=TrafficData[[#This Row],[totalChallan]])</f>
        <v>1</v>
      </c>
      <c r="O801" s="8" t="b">
        <f>AND(TrafficData[[#This Row],[pendingAmount]]&lt;=TrafficData[[#This Row],[totalAmount]],TrafficData[[#This Row],[disposedAmount]]&lt;=TrafficData[[#This Row],[totalAmount]])</f>
        <v>1</v>
      </c>
      <c r="P801" s="8" t="b">
        <f>AND(TrafficData[[#This Row],[pendingCourt]]&lt;=TrafficData[[#This Row],[totalCourt]],TrafficData[[#This Row],[disposedCourt]]&lt;=TrafficData[[#This Row],[totalCourt]])</f>
        <v>1</v>
      </c>
    </row>
    <row r="802" spans="1:16">
      <c r="A802" s="1">
        <v>42805</v>
      </c>
      <c r="B802">
        <v>775</v>
      </c>
      <c r="C802">
        <v>154</v>
      </c>
      <c r="D802">
        <v>621</v>
      </c>
      <c r="E802">
        <v>657250</v>
      </c>
      <c r="F802">
        <v>229100</v>
      </c>
      <c r="G802">
        <v>886350</v>
      </c>
      <c r="H802">
        <v>368</v>
      </c>
      <c r="I802">
        <v>31</v>
      </c>
      <c r="J802">
        <v>399</v>
      </c>
      <c r="K802" t="b">
        <f>TrafficData[[#This Row],[disposedChallan]]+TrafficData[[#This Row],[pendingChallan]]=TrafficData[[#This Row],[totalChallan]]</f>
        <v>1</v>
      </c>
      <c r="L802" t="b">
        <f>TrafficData[[#This Row],[pendingAmount]]+TrafficData[[#This Row],[disposedAmount]]=TrafficData[[#This Row],[totalAmount]]</f>
        <v>1</v>
      </c>
      <c r="M802" t="b">
        <f>TrafficData[[#This Row],[pendingCourt]]+TrafficData[[#This Row],[disposedCourt]]=TrafficData[[#This Row],[totalCourt]]</f>
        <v>1</v>
      </c>
      <c r="N802" s="8" t="b">
        <f>AND(TrafficData[[#This Row],[disposedChallan]]&lt;=TrafficData[[#This Row],[totalChallan]],TrafficData[[#This Row],[pendingChallan]]&lt;=TrafficData[[#This Row],[totalChallan]])</f>
        <v>1</v>
      </c>
      <c r="O802" s="8" t="b">
        <f>AND(TrafficData[[#This Row],[pendingAmount]]&lt;=TrafficData[[#This Row],[totalAmount]],TrafficData[[#This Row],[disposedAmount]]&lt;=TrafficData[[#This Row],[totalAmount]])</f>
        <v>1</v>
      </c>
      <c r="P802" s="8" t="b">
        <f>AND(TrafficData[[#This Row],[pendingCourt]]&lt;=TrafficData[[#This Row],[totalCourt]],TrafficData[[#This Row],[disposedCourt]]&lt;=TrafficData[[#This Row],[totalCourt]])</f>
        <v>1</v>
      </c>
    </row>
    <row r="803" spans="1:16">
      <c r="A803" s="1">
        <v>42806</v>
      </c>
      <c r="B803">
        <v>476</v>
      </c>
      <c r="C803">
        <v>98</v>
      </c>
      <c r="D803">
        <v>378</v>
      </c>
      <c r="E803">
        <v>315800</v>
      </c>
      <c r="F803">
        <v>84625</v>
      </c>
      <c r="G803">
        <v>400425</v>
      </c>
      <c r="H803">
        <v>170</v>
      </c>
      <c r="I803">
        <v>6</v>
      </c>
      <c r="J803">
        <v>176</v>
      </c>
      <c r="K803" t="b">
        <f>TrafficData[[#This Row],[disposedChallan]]+TrafficData[[#This Row],[pendingChallan]]=TrafficData[[#This Row],[totalChallan]]</f>
        <v>1</v>
      </c>
      <c r="L803" t="b">
        <f>TrafficData[[#This Row],[pendingAmount]]+TrafficData[[#This Row],[disposedAmount]]=TrafficData[[#This Row],[totalAmount]]</f>
        <v>1</v>
      </c>
      <c r="M803" t="b">
        <f>TrafficData[[#This Row],[pendingCourt]]+TrafficData[[#This Row],[disposedCourt]]=TrafficData[[#This Row],[totalCourt]]</f>
        <v>1</v>
      </c>
      <c r="N803" s="8" t="b">
        <f>AND(TrafficData[[#This Row],[disposedChallan]]&lt;=TrafficData[[#This Row],[totalChallan]],TrafficData[[#This Row],[pendingChallan]]&lt;=TrafficData[[#This Row],[totalChallan]])</f>
        <v>1</v>
      </c>
      <c r="O803" s="8" t="b">
        <f>AND(TrafficData[[#This Row],[pendingAmount]]&lt;=TrafficData[[#This Row],[totalAmount]],TrafficData[[#This Row],[disposedAmount]]&lt;=TrafficData[[#This Row],[totalAmount]])</f>
        <v>1</v>
      </c>
      <c r="P803" s="8" t="b">
        <f>AND(TrafficData[[#This Row],[pendingCourt]]&lt;=TrafficData[[#This Row],[totalCourt]],TrafficData[[#This Row],[disposedCourt]]&lt;=TrafficData[[#This Row],[totalCourt]])</f>
        <v>1</v>
      </c>
    </row>
    <row r="804" spans="1:16">
      <c r="A804" s="1">
        <v>42807</v>
      </c>
      <c r="B804">
        <v>270</v>
      </c>
      <c r="C804">
        <v>35</v>
      </c>
      <c r="D804">
        <v>235</v>
      </c>
      <c r="E804">
        <v>93100</v>
      </c>
      <c r="F804">
        <v>36675</v>
      </c>
      <c r="G804">
        <v>129775</v>
      </c>
      <c r="H804">
        <v>145</v>
      </c>
      <c r="I804">
        <v>8</v>
      </c>
      <c r="J804">
        <v>153</v>
      </c>
      <c r="K804" t="b">
        <f>TrafficData[[#This Row],[disposedChallan]]+TrafficData[[#This Row],[pendingChallan]]=TrafficData[[#This Row],[totalChallan]]</f>
        <v>1</v>
      </c>
      <c r="L804" t="b">
        <f>TrafficData[[#This Row],[pendingAmount]]+TrafficData[[#This Row],[disposedAmount]]=TrafficData[[#This Row],[totalAmount]]</f>
        <v>1</v>
      </c>
      <c r="M804" t="b">
        <f>TrafficData[[#This Row],[pendingCourt]]+TrafficData[[#This Row],[disposedCourt]]=TrafficData[[#This Row],[totalCourt]]</f>
        <v>1</v>
      </c>
      <c r="N804" s="8" t="b">
        <f>AND(TrafficData[[#This Row],[disposedChallan]]&lt;=TrafficData[[#This Row],[totalChallan]],TrafficData[[#This Row],[pendingChallan]]&lt;=TrafficData[[#This Row],[totalChallan]])</f>
        <v>1</v>
      </c>
      <c r="O804" s="8" t="b">
        <f>AND(TrafficData[[#This Row],[pendingAmount]]&lt;=TrafficData[[#This Row],[totalAmount]],TrafficData[[#This Row],[disposedAmount]]&lt;=TrafficData[[#This Row],[totalAmount]])</f>
        <v>1</v>
      </c>
      <c r="P804" s="8" t="b">
        <f>AND(TrafficData[[#This Row],[pendingCourt]]&lt;=TrafficData[[#This Row],[totalCourt]],TrafficData[[#This Row],[disposedCourt]]&lt;=TrafficData[[#This Row],[totalCourt]])</f>
        <v>1</v>
      </c>
    </row>
    <row r="805" spans="1:16">
      <c r="A805" s="1">
        <v>42808</v>
      </c>
      <c r="B805">
        <v>796</v>
      </c>
      <c r="C805">
        <v>111</v>
      </c>
      <c r="D805">
        <v>685</v>
      </c>
      <c r="E805">
        <v>654700</v>
      </c>
      <c r="F805">
        <v>180000</v>
      </c>
      <c r="G805">
        <v>834700</v>
      </c>
      <c r="H805">
        <v>423</v>
      </c>
      <c r="I805">
        <v>4</v>
      </c>
      <c r="J805">
        <v>427</v>
      </c>
      <c r="K805" t="b">
        <f>TrafficData[[#This Row],[disposedChallan]]+TrafficData[[#This Row],[pendingChallan]]=TrafficData[[#This Row],[totalChallan]]</f>
        <v>1</v>
      </c>
      <c r="L805" t="b">
        <f>TrafficData[[#This Row],[pendingAmount]]+TrafficData[[#This Row],[disposedAmount]]=TrafficData[[#This Row],[totalAmount]]</f>
        <v>1</v>
      </c>
      <c r="M805" t="b">
        <f>TrafficData[[#This Row],[pendingCourt]]+TrafficData[[#This Row],[disposedCourt]]=TrafficData[[#This Row],[totalCourt]]</f>
        <v>1</v>
      </c>
      <c r="N805" s="8" t="b">
        <f>AND(TrafficData[[#This Row],[disposedChallan]]&lt;=TrafficData[[#This Row],[totalChallan]],TrafficData[[#This Row],[pendingChallan]]&lt;=TrafficData[[#This Row],[totalChallan]])</f>
        <v>1</v>
      </c>
      <c r="O805" s="8" t="b">
        <f>AND(TrafficData[[#This Row],[pendingAmount]]&lt;=TrafficData[[#This Row],[totalAmount]],TrafficData[[#This Row],[disposedAmount]]&lt;=TrafficData[[#This Row],[totalAmount]])</f>
        <v>1</v>
      </c>
      <c r="P805" s="8" t="b">
        <f>AND(TrafficData[[#This Row],[pendingCourt]]&lt;=TrafficData[[#This Row],[totalCourt]],TrafficData[[#This Row],[disposedCourt]]&lt;=TrafficData[[#This Row],[totalCourt]])</f>
        <v>1</v>
      </c>
    </row>
    <row r="806" spans="1:16">
      <c r="A806" s="1">
        <v>42809</v>
      </c>
      <c r="B806">
        <v>1134</v>
      </c>
      <c r="C806">
        <v>190</v>
      </c>
      <c r="D806">
        <v>944</v>
      </c>
      <c r="E806">
        <v>596850</v>
      </c>
      <c r="F806">
        <v>395887</v>
      </c>
      <c r="G806">
        <v>992737</v>
      </c>
      <c r="H806">
        <v>619</v>
      </c>
      <c r="I806">
        <v>18</v>
      </c>
      <c r="J806">
        <v>637</v>
      </c>
      <c r="K806" t="b">
        <f>TrafficData[[#This Row],[disposedChallan]]+TrafficData[[#This Row],[pendingChallan]]=TrafficData[[#This Row],[totalChallan]]</f>
        <v>1</v>
      </c>
      <c r="L806" t="b">
        <f>TrafficData[[#This Row],[pendingAmount]]+TrafficData[[#This Row],[disposedAmount]]=TrafficData[[#This Row],[totalAmount]]</f>
        <v>1</v>
      </c>
      <c r="M806" t="b">
        <f>TrafficData[[#This Row],[pendingCourt]]+TrafficData[[#This Row],[disposedCourt]]=TrafficData[[#This Row],[totalCourt]]</f>
        <v>1</v>
      </c>
      <c r="N806" s="8" t="b">
        <f>AND(TrafficData[[#This Row],[disposedChallan]]&lt;=TrafficData[[#This Row],[totalChallan]],TrafficData[[#This Row],[pendingChallan]]&lt;=TrafficData[[#This Row],[totalChallan]])</f>
        <v>1</v>
      </c>
      <c r="O806" s="8" t="b">
        <f>AND(TrafficData[[#This Row],[pendingAmount]]&lt;=TrafficData[[#This Row],[totalAmount]],TrafficData[[#This Row],[disposedAmount]]&lt;=TrafficData[[#This Row],[totalAmount]])</f>
        <v>1</v>
      </c>
      <c r="P806" s="8" t="b">
        <f>AND(TrafficData[[#This Row],[pendingCourt]]&lt;=TrafficData[[#This Row],[totalCourt]],TrafficData[[#This Row],[disposedCourt]]&lt;=TrafficData[[#This Row],[totalCourt]])</f>
        <v>1</v>
      </c>
    </row>
    <row r="807" spans="1:16">
      <c r="A807" s="1">
        <v>42810</v>
      </c>
      <c r="B807">
        <v>1159</v>
      </c>
      <c r="C807">
        <v>292</v>
      </c>
      <c r="D807">
        <v>867</v>
      </c>
      <c r="E807">
        <v>922340</v>
      </c>
      <c r="F807">
        <v>752865</v>
      </c>
      <c r="G807">
        <v>1675205</v>
      </c>
      <c r="H807">
        <v>546</v>
      </c>
      <c r="I807">
        <v>50</v>
      </c>
      <c r="J807">
        <v>596</v>
      </c>
      <c r="K807" t="b">
        <f>TrafficData[[#This Row],[disposedChallan]]+TrafficData[[#This Row],[pendingChallan]]=TrafficData[[#This Row],[totalChallan]]</f>
        <v>1</v>
      </c>
      <c r="L807" t="b">
        <f>TrafficData[[#This Row],[pendingAmount]]+TrafficData[[#This Row],[disposedAmount]]=TrafficData[[#This Row],[totalAmount]]</f>
        <v>1</v>
      </c>
      <c r="M807" t="b">
        <f>TrafficData[[#This Row],[pendingCourt]]+TrafficData[[#This Row],[disposedCourt]]=TrafficData[[#This Row],[totalCourt]]</f>
        <v>1</v>
      </c>
      <c r="N807" s="8" t="b">
        <f>AND(TrafficData[[#This Row],[disposedChallan]]&lt;=TrafficData[[#This Row],[totalChallan]],TrafficData[[#This Row],[pendingChallan]]&lt;=TrafficData[[#This Row],[totalChallan]])</f>
        <v>1</v>
      </c>
      <c r="O807" s="8" t="b">
        <f>AND(TrafficData[[#This Row],[pendingAmount]]&lt;=TrafficData[[#This Row],[totalAmount]],TrafficData[[#This Row],[disposedAmount]]&lt;=TrafficData[[#This Row],[totalAmount]])</f>
        <v>1</v>
      </c>
      <c r="P807" s="8" t="b">
        <f>AND(TrafficData[[#This Row],[pendingCourt]]&lt;=TrafficData[[#This Row],[totalCourt]],TrafficData[[#This Row],[disposedCourt]]&lt;=TrafficData[[#This Row],[totalCourt]])</f>
        <v>1</v>
      </c>
    </row>
    <row r="808" spans="1:16">
      <c r="A808" s="1">
        <v>42811</v>
      </c>
      <c r="B808">
        <v>1037</v>
      </c>
      <c r="C808">
        <v>259</v>
      </c>
      <c r="D808">
        <v>778</v>
      </c>
      <c r="E808">
        <v>988899</v>
      </c>
      <c r="F808">
        <v>507350</v>
      </c>
      <c r="G808">
        <v>1496249</v>
      </c>
      <c r="H808">
        <v>456</v>
      </c>
      <c r="I808">
        <v>56</v>
      </c>
      <c r="J808">
        <v>512</v>
      </c>
      <c r="K808" t="b">
        <f>TrafficData[[#This Row],[disposedChallan]]+TrafficData[[#This Row],[pendingChallan]]=TrafficData[[#This Row],[totalChallan]]</f>
        <v>1</v>
      </c>
      <c r="L808" t="b">
        <f>TrafficData[[#This Row],[pendingAmount]]+TrafficData[[#This Row],[disposedAmount]]=TrafficData[[#This Row],[totalAmount]]</f>
        <v>1</v>
      </c>
      <c r="M808" t="b">
        <f>TrafficData[[#This Row],[pendingCourt]]+TrafficData[[#This Row],[disposedCourt]]=TrafficData[[#This Row],[totalCourt]]</f>
        <v>1</v>
      </c>
      <c r="N808" s="8" t="b">
        <f>AND(TrafficData[[#This Row],[disposedChallan]]&lt;=TrafficData[[#This Row],[totalChallan]],TrafficData[[#This Row],[pendingChallan]]&lt;=TrafficData[[#This Row],[totalChallan]])</f>
        <v>1</v>
      </c>
      <c r="O808" s="8" t="b">
        <f>AND(TrafficData[[#This Row],[pendingAmount]]&lt;=TrafficData[[#This Row],[totalAmount]],TrafficData[[#This Row],[disposedAmount]]&lt;=TrafficData[[#This Row],[totalAmount]])</f>
        <v>1</v>
      </c>
      <c r="P808" s="8" t="b">
        <f>AND(TrafficData[[#This Row],[pendingCourt]]&lt;=TrafficData[[#This Row],[totalCourt]],TrafficData[[#This Row],[disposedCourt]]&lt;=TrafficData[[#This Row],[totalCourt]])</f>
        <v>1</v>
      </c>
    </row>
    <row r="809" spans="1:16">
      <c r="A809" s="1">
        <v>42812</v>
      </c>
      <c r="B809">
        <v>1169</v>
      </c>
      <c r="C809">
        <v>262</v>
      </c>
      <c r="D809">
        <v>907</v>
      </c>
      <c r="E809">
        <v>1058260</v>
      </c>
      <c r="F809">
        <v>977950</v>
      </c>
      <c r="G809">
        <v>2036210</v>
      </c>
      <c r="H809">
        <v>548</v>
      </c>
      <c r="I809">
        <v>64</v>
      </c>
      <c r="J809">
        <v>612</v>
      </c>
      <c r="K809" t="b">
        <f>TrafficData[[#This Row],[disposedChallan]]+TrafficData[[#This Row],[pendingChallan]]=TrafficData[[#This Row],[totalChallan]]</f>
        <v>1</v>
      </c>
      <c r="L809" t="b">
        <f>TrafficData[[#This Row],[pendingAmount]]+TrafficData[[#This Row],[disposedAmount]]=TrafficData[[#This Row],[totalAmount]]</f>
        <v>1</v>
      </c>
      <c r="M809" t="b">
        <f>TrafficData[[#This Row],[pendingCourt]]+TrafficData[[#This Row],[disposedCourt]]=TrafficData[[#This Row],[totalCourt]]</f>
        <v>1</v>
      </c>
      <c r="N809" s="8" t="b">
        <f>AND(TrafficData[[#This Row],[disposedChallan]]&lt;=TrafficData[[#This Row],[totalChallan]],TrafficData[[#This Row],[pendingChallan]]&lt;=TrafficData[[#This Row],[totalChallan]])</f>
        <v>1</v>
      </c>
      <c r="O809" s="8" t="b">
        <f>AND(TrafficData[[#This Row],[pendingAmount]]&lt;=TrafficData[[#This Row],[totalAmount]],TrafficData[[#This Row],[disposedAmount]]&lt;=TrafficData[[#This Row],[totalAmount]])</f>
        <v>1</v>
      </c>
      <c r="P809" s="8" t="b">
        <f>AND(TrafficData[[#This Row],[pendingCourt]]&lt;=TrafficData[[#This Row],[totalCourt]],TrafficData[[#This Row],[disposedCourt]]&lt;=TrafficData[[#This Row],[totalCourt]])</f>
        <v>1</v>
      </c>
    </row>
    <row r="810" spans="1:16">
      <c r="A810" s="1">
        <v>42813</v>
      </c>
      <c r="B810">
        <v>602</v>
      </c>
      <c r="C810">
        <v>154</v>
      </c>
      <c r="D810">
        <v>448</v>
      </c>
      <c r="E810">
        <v>644300</v>
      </c>
      <c r="F810">
        <v>569906</v>
      </c>
      <c r="G810">
        <v>1214206</v>
      </c>
      <c r="H810">
        <v>219</v>
      </c>
      <c r="I810">
        <v>17</v>
      </c>
      <c r="J810">
        <v>236</v>
      </c>
      <c r="K810" t="b">
        <f>TrafficData[[#This Row],[disposedChallan]]+TrafficData[[#This Row],[pendingChallan]]=TrafficData[[#This Row],[totalChallan]]</f>
        <v>1</v>
      </c>
      <c r="L810" t="b">
        <f>TrafficData[[#This Row],[pendingAmount]]+TrafficData[[#This Row],[disposedAmount]]=TrafficData[[#This Row],[totalAmount]]</f>
        <v>1</v>
      </c>
      <c r="M810" t="b">
        <f>TrafficData[[#This Row],[pendingCourt]]+TrafficData[[#This Row],[disposedCourt]]=TrafficData[[#This Row],[totalCourt]]</f>
        <v>1</v>
      </c>
      <c r="N810" s="8" t="b">
        <f>AND(TrafficData[[#This Row],[disposedChallan]]&lt;=TrafficData[[#This Row],[totalChallan]],TrafficData[[#This Row],[pendingChallan]]&lt;=TrafficData[[#This Row],[totalChallan]])</f>
        <v>1</v>
      </c>
      <c r="O810" s="8" t="b">
        <f>AND(TrafficData[[#This Row],[pendingAmount]]&lt;=TrafficData[[#This Row],[totalAmount]],TrafficData[[#This Row],[disposedAmount]]&lt;=TrafficData[[#This Row],[totalAmount]])</f>
        <v>1</v>
      </c>
      <c r="P810" s="8" t="b">
        <f>AND(TrafficData[[#This Row],[pendingCourt]]&lt;=TrafficData[[#This Row],[totalCourt]],TrafficData[[#This Row],[disposedCourt]]&lt;=TrafficData[[#This Row],[totalCourt]])</f>
        <v>1</v>
      </c>
    </row>
    <row r="811" spans="1:16">
      <c r="A811" s="1">
        <v>42814</v>
      </c>
      <c r="B811">
        <v>978</v>
      </c>
      <c r="C811">
        <v>209</v>
      </c>
      <c r="D811">
        <v>769</v>
      </c>
      <c r="E811">
        <v>830150</v>
      </c>
      <c r="F811">
        <v>621250</v>
      </c>
      <c r="G811">
        <v>1451400</v>
      </c>
      <c r="H811">
        <v>452</v>
      </c>
      <c r="I811">
        <v>38</v>
      </c>
      <c r="J811">
        <v>490</v>
      </c>
      <c r="K811" t="b">
        <f>TrafficData[[#This Row],[disposedChallan]]+TrafficData[[#This Row],[pendingChallan]]=TrafficData[[#This Row],[totalChallan]]</f>
        <v>1</v>
      </c>
      <c r="L811" t="b">
        <f>TrafficData[[#This Row],[pendingAmount]]+TrafficData[[#This Row],[disposedAmount]]=TrafficData[[#This Row],[totalAmount]]</f>
        <v>1</v>
      </c>
      <c r="M811" t="b">
        <f>TrafficData[[#This Row],[pendingCourt]]+TrafficData[[#This Row],[disposedCourt]]=TrafficData[[#This Row],[totalCourt]]</f>
        <v>1</v>
      </c>
      <c r="N811" s="8" t="b">
        <f>AND(TrafficData[[#This Row],[disposedChallan]]&lt;=TrafficData[[#This Row],[totalChallan]],TrafficData[[#This Row],[pendingChallan]]&lt;=TrafficData[[#This Row],[totalChallan]])</f>
        <v>1</v>
      </c>
      <c r="O811" s="8" t="b">
        <f>AND(TrafficData[[#This Row],[pendingAmount]]&lt;=TrafficData[[#This Row],[totalAmount]],TrafficData[[#This Row],[disposedAmount]]&lt;=TrafficData[[#This Row],[totalAmount]])</f>
        <v>1</v>
      </c>
      <c r="P811" s="8" t="b">
        <f>AND(TrafficData[[#This Row],[pendingCourt]]&lt;=TrafficData[[#This Row],[totalCourt]],TrafficData[[#This Row],[disposedCourt]]&lt;=TrafficData[[#This Row],[totalCourt]])</f>
        <v>1</v>
      </c>
    </row>
    <row r="812" spans="1:16">
      <c r="A812" s="1">
        <v>42815</v>
      </c>
      <c r="B812">
        <v>1177</v>
      </c>
      <c r="C812">
        <v>302</v>
      </c>
      <c r="D812">
        <v>875</v>
      </c>
      <c r="E812">
        <v>1455752</v>
      </c>
      <c r="F812">
        <v>1056085</v>
      </c>
      <c r="G812">
        <v>2511837</v>
      </c>
      <c r="H812">
        <v>580</v>
      </c>
      <c r="I812">
        <v>72</v>
      </c>
      <c r="J812">
        <v>652</v>
      </c>
      <c r="K812" t="b">
        <f>TrafficData[[#This Row],[disposedChallan]]+TrafficData[[#This Row],[pendingChallan]]=TrafficData[[#This Row],[totalChallan]]</f>
        <v>1</v>
      </c>
      <c r="L812" t="b">
        <f>TrafficData[[#This Row],[pendingAmount]]+TrafficData[[#This Row],[disposedAmount]]=TrafficData[[#This Row],[totalAmount]]</f>
        <v>1</v>
      </c>
      <c r="M812" t="b">
        <f>TrafficData[[#This Row],[pendingCourt]]+TrafficData[[#This Row],[disposedCourt]]=TrafficData[[#This Row],[totalCourt]]</f>
        <v>1</v>
      </c>
      <c r="N812" s="8" t="b">
        <f>AND(TrafficData[[#This Row],[disposedChallan]]&lt;=TrafficData[[#This Row],[totalChallan]],TrafficData[[#This Row],[pendingChallan]]&lt;=TrafficData[[#This Row],[totalChallan]])</f>
        <v>1</v>
      </c>
      <c r="O812" s="8" t="b">
        <f>AND(TrafficData[[#This Row],[pendingAmount]]&lt;=TrafficData[[#This Row],[totalAmount]],TrafficData[[#This Row],[disposedAmount]]&lt;=TrafficData[[#This Row],[totalAmount]])</f>
        <v>1</v>
      </c>
      <c r="P812" s="8" t="b">
        <f>AND(TrafficData[[#This Row],[pendingCourt]]&lt;=TrafficData[[#This Row],[totalCourt]],TrafficData[[#This Row],[disposedCourt]]&lt;=TrafficData[[#This Row],[totalCourt]])</f>
        <v>1</v>
      </c>
    </row>
    <row r="813" spans="1:16">
      <c r="A813" s="1">
        <v>42816</v>
      </c>
      <c r="B813">
        <v>1242</v>
      </c>
      <c r="C813">
        <v>407</v>
      </c>
      <c r="D813">
        <v>835</v>
      </c>
      <c r="E813">
        <v>1341251</v>
      </c>
      <c r="F813">
        <v>1116505</v>
      </c>
      <c r="G813">
        <v>2457756</v>
      </c>
      <c r="H813">
        <v>537</v>
      </c>
      <c r="I813">
        <v>69</v>
      </c>
      <c r="J813">
        <v>606</v>
      </c>
      <c r="K813" t="b">
        <f>TrafficData[[#This Row],[disposedChallan]]+TrafficData[[#This Row],[pendingChallan]]=TrafficData[[#This Row],[totalChallan]]</f>
        <v>1</v>
      </c>
      <c r="L813" t="b">
        <f>TrafficData[[#This Row],[pendingAmount]]+TrafficData[[#This Row],[disposedAmount]]=TrafficData[[#This Row],[totalAmount]]</f>
        <v>1</v>
      </c>
      <c r="M813" t="b">
        <f>TrafficData[[#This Row],[pendingCourt]]+TrafficData[[#This Row],[disposedCourt]]=TrafficData[[#This Row],[totalCourt]]</f>
        <v>1</v>
      </c>
      <c r="N813" s="8" t="b">
        <f>AND(TrafficData[[#This Row],[disposedChallan]]&lt;=TrafficData[[#This Row],[totalChallan]],TrafficData[[#This Row],[pendingChallan]]&lt;=TrafficData[[#This Row],[totalChallan]])</f>
        <v>1</v>
      </c>
      <c r="O813" s="8" t="b">
        <f>AND(TrafficData[[#This Row],[pendingAmount]]&lt;=TrafficData[[#This Row],[totalAmount]],TrafficData[[#This Row],[disposedAmount]]&lt;=TrafficData[[#This Row],[totalAmount]])</f>
        <v>1</v>
      </c>
      <c r="P813" s="8" t="b">
        <f>AND(TrafficData[[#This Row],[pendingCourt]]&lt;=TrafficData[[#This Row],[totalCourt]],TrafficData[[#This Row],[disposedCourt]]&lt;=TrafficData[[#This Row],[totalCourt]])</f>
        <v>1</v>
      </c>
    </row>
    <row r="814" spans="1:16">
      <c r="A814" s="1">
        <v>42817</v>
      </c>
      <c r="B814">
        <v>1174</v>
      </c>
      <c r="C814">
        <v>342</v>
      </c>
      <c r="D814">
        <v>832</v>
      </c>
      <c r="E814">
        <v>2386665</v>
      </c>
      <c r="F814">
        <v>1007960</v>
      </c>
      <c r="G814">
        <v>3394625</v>
      </c>
      <c r="H814">
        <v>552</v>
      </c>
      <c r="I814">
        <v>32</v>
      </c>
      <c r="J814">
        <v>584</v>
      </c>
      <c r="K814" t="b">
        <f>TrafficData[[#This Row],[disposedChallan]]+TrafficData[[#This Row],[pendingChallan]]=TrafficData[[#This Row],[totalChallan]]</f>
        <v>1</v>
      </c>
      <c r="L814" t="b">
        <f>TrafficData[[#This Row],[pendingAmount]]+TrafficData[[#This Row],[disposedAmount]]=TrafficData[[#This Row],[totalAmount]]</f>
        <v>1</v>
      </c>
      <c r="M814" t="b">
        <f>TrafficData[[#This Row],[pendingCourt]]+TrafficData[[#This Row],[disposedCourt]]=TrafficData[[#This Row],[totalCourt]]</f>
        <v>1</v>
      </c>
      <c r="N814" s="8" t="b">
        <f>AND(TrafficData[[#This Row],[disposedChallan]]&lt;=TrafficData[[#This Row],[totalChallan]],TrafficData[[#This Row],[pendingChallan]]&lt;=TrafficData[[#This Row],[totalChallan]])</f>
        <v>1</v>
      </c>
      <c r="O814" s="8" t="b">
        <f>AND(TrafficData[[#This Row],[pendingAmount]]&lt;=TrafficData[[#This Row],[totalAmount]],TrafficData[[#This Row],[disposedAmount]]&lt;=TrafficData[[#This Row],[totalAmount]])</f>
        <v>1</v>
      </c>
      <c r="P814" s="8" t="b">
        <f>AND(TrafficData[[#This Row],[pendingCourt]]&lt;=TrafficData[[#This Row],[totalCourt]],TrafficData[[#This Row],[disposedCourt]]&lt;=TrafficData[[#This Row],[totalCourt]])</f>
        <v>1</v>
      </c>
    </row>
    <row r="815" spans="1:16">
      <c r="A815" s="1">
        <v>42818</v>
      </c>
      <c r="B815">
        <v>1067</v>
      </c>
      <c r="C815">
        <v>378</v>
      </c>
      <c r="D815">
        <v>689</v>
      </c>
      <c r="E815">
        <v>955850</v>
      </c>
      <c r="F815">
        <v>1499930</v>
      </c>
      <c r="G815">
        <v>2455780</v>
      </c>
      <c r="H815">
        <v>397</v>
      </c>
      <c r="I815">
        <v>48</v>
      </c>
      <c r="J815">
        <v>445</v>
      </c>
      <c r="K815" t="b">
        <f>TrafficData[[#This Row],[disposedChallan]]+TrafficData[[#This Row],[pendingChallan]]=TrafficData[[#This Row],[totalChallan]]</f>
        <v>1</v>
      </c>
      <c r="L815" t="b">
        <f>TrafficData[[#This Row],[pendingAmount]]+TrafficData[[#This Row],[disposedAmount]]=TrafficData[[#This Row],[totalAmount]]</f>
        <v>1</v>
      </c>
      <c r="M815" t="b">
        <f>TrafficData[[#This Row],[pendingCourt]]+TrafficData[[#This Row],[disposedCourt]]=TrafficData[[#This Row],[totalCourt]]</f>
        <v>1</v>
      </c>
      <c r="N815" s="8" t="b">
        <f>AND(TrafficData[[#This Row],[disposedChallan]]&lt;=TrafficData[[#This Row],[totalChallan]],TrafficData[[#This Row],[pendingChallan]]&lt;=TrafficData[[#This Row],[totalChallan]])</f>
        <v>1</v>
      </c>
      <c r="O815" s="8" t="b">
        <f>AND(TrafficData[[#This Row],[pendingAmount]]&lt;=TrafficData[[#This Row],[totalAmount]],TrafficData[[#This Row],[disposedAmount]]&lt;=TrafficData[[#This Row],[totalAmount]])</f>
        <v>1</v>
      </c>
      <c r="P815" s="8" t="b">
        <f>AND(TrafficData[[#This Row],[pendingCourt]]&lt;=TrafficData[[#This Row],[totalCourt]],TrafficData[[#This Row],[disposedCourt]]&lt;=TrafficData[[#This Row],[totalCourt]])</f>
        <v>1</v>
      </c>
    </row>
    <row r="816" spans="1:16">
      <c r="A816" s="1">
        <v>42819</v>
      </c>
      <c r="B816">
        <v>1116</v>
      </c>
      <c r="C816">
        <v>392</v>
      </c>
      <c r="D816">
        <v>724</v>
      </c>
      <c r="E816">
        <v>1003650</v>
      </c>
      <c r="F816">
        <v>2702678</v>
      </c>
      <c r="G816">
        <v>3706328</v>
      </c>
      <c r="H816">
        <v>434</v>
      </c>
      <c r="I816">
        <v>58</v>
      </c>
      <c r="J816">
        <v>492</v>
      </c>
      <c r="K816" t="b">
        <f>TrafficData[[#This Row],[disposedChallan]]+TrafficData[[#This Row],[pendingChallan]]=TrafficData[[#This Row],[totalChallan]]</f>
        <v>1</v>
      </c>
      <c r="L816" t="b">
        <f>TrafficData[[#This Row],[pendingAmount]]+TrafficData[[#This Row],[disposedAmount]]=TrafficData[[#This Row],[totalAmount]]</f>
        <v>1</v>
      </c>
      <c r="M816" t="b">
        <f>TrafficData[[#This Row],[pendingCourt]]+TrafficData[[#This Row],[disposedCourt]]=TrafficData[[#This Row],[totalCourt]]</f>
        <v>1</v>
      </c>
      <c r="N816" s="8" t="b">
        <f>AND(TrafficData[[#This Row],[disposedChallan]]&lt;=TrafficData[[#This Row],[totalChallan]],TrafficData[[#This Row],[pendingChallan]]&lt;=TrafficData[[#This Row],[totalChallan]])</f>
        <v>1</v>
      </c>
      <c r="O816" s="8" t="b">
        <f>AND(TrafficData[[#This Row],[pendingAmount]]&lt;=TrafficData[[#This Row],[totalAmount]],TrafficData[[#This Row],[disposedAmount]]&lt;=TrafficData[[#This Row],[totalAmount]])</f>
        <v>1</v>
      </c>
      <c r="P816" s="8" t="b">
        <f>AND(TrafficData[[#This Row],[pendingCourt]]&lt;=TrafficData[[#This Row],[totalCourt]],TrafficData[[#This Row],[disposedCourt]]&lt;=TrafficData[[#This Row],[totalCourt]])</f>
        <v>1</v>
      </c>
    </row>
    <row r="817" spans="1:16">
      <c r="A817" s="1">
        <v>42820</v>
      </c>
      <c r="B817">
        <v>675</v>
      </c>
      <c r="C817">
        <v>222</v>
      </c>
      <c r="D817">
        <v>453</v>
      </c>
      <c r="E817">
        <v>495400</v>
      </c>
      <c r="F817">
        <v>980080</v>
      </c>
      <c r="G817">
        <v>1475480</v>
      </c>
      <c r="H817">
        <v>225</v>
      </c>
      <c r="I817">
        <v>35</v>
      </c>
      <c r="J817">
        <v>260</v>
      </c>
      <c r="K817" t="b">
        <f>TrafficData[[#This Row],[disposedChallan]]+TrafficData[[#This Row],[pendingChallan]]=TrafficData[[#This Row],[totalChallan]]</f>
        <v>1</v>
      </c>
      <c r="L817" t="b">
        <f>TrafficData[[#This Row],[pendingAmount]]+TrafficData[[#This Row],[disposedAmount]]=TrafficData[[#This Row],[totalAmount]]</f>
        <v>1</v>
      </c>
      <c r="M817" t="b">
        <f>TrafficData[[#This Row],[pendingCourt]]+TrafficData[[#This Row],[disposedCourt]]=TrafficData[[#This Row],[totalCourt]]</f>
        <v>1</v>
      </c>
      <c r="N817" s="8" t="b">
        <f>AND(TrafficData[[#This Row],[disposedChallan]]&lt;=TrafficData[[#This Row],[totalChallan]],TrafficData[[#This Row],[pendingChallan]]&lt;=TrafficData[[#This Row],[totalChallan]])</f>
        <v>1</v>
      </c>
      <c r="O817" s="8" t="b">
        <f>AND(TrafficData[[#This Row],[pendingAmount]]&lt;=TrafficData[[#This Row],[totalAmount]],TrafficData[[#This Row],[disposedAmount]]&lt;=TrafficData[[#This Row],[totalAmount]])</f>
        <v>1</v>
      </c>
      <c r="P817" s="8" t="b">
        <f>AND(TrafficData[[#This Row],[pendingCourt]]&lt;=TrafficData[[#This Row],[totalCourt]],TrafficData[[#This Row],[disposedCourt]]&lt;=TrafficData[[#This Row],[totalCourt]])</f>
        <v>1</v>
      </c>
    </row>
    <row r="818" spans="1:16">
      <c r="A818" s="1">
        <v>42821</v>
      </c>
      <c r="B818">
        <v>1160</v>
      </c>
      <c r="C818">
        <v>354</v>
      </c>
      <c r="D818">
        <v>806</v>
      </c>
      <c r="E818">
        <v>916600</v>
      </c>
      <c r="F818">
        <v>1365041</v>
      </c>
      <c r="G818">
        <v>2281641</v>
      </c>
      <c r="H818">
        <v>512</v>
      </c>
      <c r="I818">
        <v>83</v>
      </c>
      <c r="J818">
        <v>595</v>
      </c>
      <c r="K818" t="b">
        <f>TrafficData[[#This Row],[disposedChallan]]+TrafficData[[#This Row],[pendingChallan]]=TrafficData[[#This Row],[totalChallan]]</f>
        <v>1</v>
      </c>
      <c r="L818" t="b">
        <f>TrafficData[[#This Row],[pendingAmount]]+TrafficData[[#This Row],[disposedAmount]]=TrafficData[[#This Row],[totalAmount]]</f>
        <v>1</v>
      </c>
      <c r="M818" t="b">
        <f>TrafficData[[#This Row],[pendingCourt]]+TrafficData[[#This Row],[disposedCourt]]=TrafficData[[#This Row],[totalCourt]]</f>
        <v>1</v>
      </c>
      <c r="N818" s="8" t="b">
        <f>AND(TrafficData[[#This Row],[disposedChallan]]&lt;=TrafficData[[#This Row],[totalChallan]],TrafficData[[#This Row],[pendingChallan]]&lt;=TrafficData[[#This Row],[totalChallan]])</f>
        <v>1</v>
      </c>
      <c r="O818" s="8" t="b">
        <f>AND(TrafficData[[#This Row],[pendingAmount]]&lt;=TrafficData[[#This Row],[totalAmount]],TrafficData[[#This Row],[disposedAmount]]&lt;=TrafficData[[#This Row],[totalAmount]])</f>
        <v>1</v>
      </c>
      <c r="P818" s="8" t="b">
        <f>AND(TrafficData[[#This Row],[pendingCourt]]&lt;=TrafficData[[#This Row],[totalCourt]],TrafficData[[#This Row],[disposedCourt]]&lt;=TrafficData[[#This Row],[totalCourt]])</f>
        <v>1</v>
      </c>
    </row>
    <row r="819" spans="1:16">
      <c r="A819" s="1">
        <v>42822</v>
      </c>
      <c r="B819">
        <v>1322</v>
      </c>
      <c r="C819">
        <v>349</v>
      </c>
      <c r="D819">
        <v>973</v>
      </c>
      <c r="E819">
        <v>1232350</v>
      </c>
      <c r="F819">
        <v>996020</v>
      </c>
      <c r="G819">
        <v>2228370</v>
      </c>
      <c r="H819">
        <v>664</v>
      </c>
      <c r="I819">
        <v>78</v>
      </c>
      <c r="J819">
        <v>742</v>
      </c>
      <c r="K819" t="b">
        <f>TrafficData[[#This Row],[disposedChallan]]+TrafficData[[#This Row],[pendingChallan]]=TrafficData[[#This Row],[totalChallan]]</f>
        <v>1</v>
      </c>
      <c r="L819" t="b">
        <f>TrafficData[[#This Row],[pendingAmount]]+TrafficData[[#This Row],[disposedAmount]]=TrafficData[[#This Row],[totalAmount]]</f>
        <v>1</v>
      </c>
      <c r="M819" t="b">
        <f>TrafficData[[#This Row],[pendingCourt]]+TrafficData[[#This Row],[disposedCourt]]=TrafficData[[#This Row],[totalCourt]]</f>
        <v>1</v>
      </c>
      <c r="N819" s="8" t="b">
        <f>AND(TrafficData[[#This Row],[disposedChallan]]&lt;=TrafficData[[#This Row],[totalChallan]],TrafficData[[#This Row],[pendingChallan]]&lt;=TrafficData[[#This Row],[totalChallan]])</f>
        <v>1</v>
      </c>
      <c r="O819" s="8" t="b">
        <f>AND(TrafficData[[#This Row],[pendingAmount]]&lt;=TrafficData[[#This Row],[totalAmount]],TrafficData[[#This Row],[disposedAmount]]&lt;=TrafficData[[#This Row],[totalAmount]])</f>
        <v>1</v>
      </c>
      <c r="P819" s="8" t="b">
        <f>AND(TrafficData[[#This Row],[pendingCourt]]&lt;=TrafficData[[#This Row],[totalCourt]],TrafficData[[#This Row],[disposedCourt]]&lt;=TrafficData[[#This Row],[totalCourt]])</f>
        <v>1</v>
      </c>
    </row>
    <row r="820" spans="1:16">
      <c r="A820" s="1">
        <v>42823</v>
      </c>
      <c r="B820">
        <v>1469</v>
      </c>
      <c r="C820">
        <v>422</v>
      </c>
      <c r="D820">
        <v>1047</v>
      </c>
      <c r="E820">
        <v>1030900</v>
      </c>
      <c r="F820">
        <v>1353705</v>
      </c>
      <c r="G820">
        <v>2384605</v>
      </c>
      <c r="H820">
        <v>738</v>
      </c>
      <c r="I820">
        <v>65</v>
      </c>
      <c r="J820">
        <v>803</v>
      </c>
      <c r="K820" t="b">
        <f>TrafficData[[#This Row],[disposedChallan]]+TrafficData[[#This Row],[pendingChallan]]=TrafficData[[#This Row],[totalChallan]]</f>
        <v>1</v>
      </c>
      <c r="L820" t="b">
        <f>TrafficData[[#This Row],[pendingAmount]]+TrafficData[[#This Row],[disposedAmount]]=TrafficData[[#This Row],[totalAmount]]</f>
        <v>1</v>
      </c>
      <c r="M820" t="b">
        <f>TrafficData[[#This Row],[pendingCourt]]+TrafficData[[#This Row],[disposedCourt]]=TrafficData[[#This Row],[totalCourt]]</f>
        <v>1</v>
      </c>
      <c r="N820" s="8" t="b">
        <f>AND(TrafficData[[#This Row],[disposedChallan]]&lt;=TrafficData[[#This Row],[totalChallan]],TrafficData[[#This Row],[pendingChallan]]&lt;=TrafficData[[#This Row],[totalChallan]])</f>
        <v>1</v>
      </c>
      <c r="O820" s="8" t="b">
        <f>AND(TrafficData[[#This Row],[pendingAmount]]&lt;=TrafficData[[#This Row],[totalAmount]],TrafficData[[#This Row],[disposedAmount]]&lt;=TrafficData[[#This Row],[totalAmount]])</f>
        <v>1</v>
      </c>
      <c r="P820" s="8" t="b">
        <f>AND(TrafficData[[#This Row],[pendingCourt]]&lt;=TrafficData[[#This Row],[totalCourt]],TrafficData[[#This Row],[disposedCourt]]&lt;=TrafficData[[#This Row],[totalCourt]])</f>
        <v>1</v>
      </c>
    </row>
    <row r="821" spans="1:16">
      <c r="A821" s="1">
        <v>42824</v>
      </c>
      <c r="B821">
        <v>1418</v>
      </c>
      <c r="C821">
        <v>409</v>
      </c>
      <c r="D821">
        <v>1009</v>
      </c>
      <c r="E821">
        <v>906490</v>
      </c>
      <c r="F821">
        <v>731610</v>
      </c>
      <c r="G821">
        <v>1638100</v>
      </c>
      <c r="H821">
        <v>643</v>
      </c>
      <c r="I821">
        <v>77</v>
      </c>
      <c r="J821">
        <v>720</v>
      </c>
      <c r="K821" t="b">
        <f>TrafficData[[#This Row],[disposedChallan]]+TrafficData[[#This Row],[pendingChallan]]=TrafficData[[#This Row],[totalChallan]]</f>
        <v>1</v>
      </c>
      <c r="L821" t="b">
        <f>TrafficData[[#This Row],[pendingAmount]]+TrafficData[[#This Row],[disposedAmount]]=TrafficData[[#This Row],[totalAmount]]</f>
        <v>1</v>
      </c>
      <c r="M821" t="b">
        <f>TrafficData[[#This Row],[pendingCourt]]+TrafficData[[#This Row],[disposedCourt]]=TrafficData[[#This Row],[totalCourt]]</f>
        <v>1</v>
      </c>
      <c r="N821" s="8" t="b">
        <f>AND(TrafficData[[#This Row],[disposedChallan]]&lt;=TrafficData[[#This Row],[totalChallan]],TrafficData[[#This Row],[pendingChallan]]&lt;=TrafficData[[#This Row],[totalChallan]])</f>
        <v>1</v>
      </c>
      <c r="O821" s="8" t="b">
        <f>AND(TrafficData[[#This Row],[pendingAmount]]&lt;=TrafficData[[#This Row],[totalAmount]],TrafficData[[#This Row],[disposedAmount]]&lt;=TrafficData[[#This Row],[totalAmount]])</f>
        <v>1</v>
      </c>
      <c r="P821" s="8" t="b">
        <f>AND(TrafficData[[#This Row],[pendingCourt]]&lt;=TrafficData[[#This Row],[totalCourt]],TrafficData[[#This Row],[disposedCourt]]&lt;=TrafficData[[#This Row],[totalCourt]])</f>
        <v>1</v>
      </c>
    </row>
    <row r="822" spans="1:16">
      <c r="A822" s="1">
        <v>42825</v>
      </c>
      <c r="B822">
        <v>1599</v>
      </c>
      <c r="C822">
        <v>485</v>
      </c>
      <c r="D822">
        <v>1114</v>
      </c>
      <c r="E822">
        <v>1043000</v>
      </c>
      <c r="F822">
        <v>751880</v>
      </c>
      <c r="G822">
        <v>1794880</v>
      </c>
      <c r="H822">
        <v>666</v>
      </c>
      <c r="I822">
        <v>61</v>
      </c>
      <c r="J822">
        <v>727</v>
      </c>
      <c r="K822" t="b">
        <f>TrafficData[[#This Row],[disposedChallan]]+TrafficData[[#This Row],[pendingChallan]]=TrafficData[[#This Row],[totalChallan]]</f>
        <v>1</v>
      </c>
      <c r="L822" t="b">
        <f>TrafficData[[#This Row],[pendingAmount]]+TrafficData[[#This Row],[disposedAmount]]=TrafficData[[#This Row],[totalAmount]]</f>
        <v>1</v>
      </c>
      <c r="M822" t="b">
        <f>TrafficData[[#This Row],[pendingCourt]]+TrafficData[[#This Row],[disposedCourt]]=TrafficData[[#This Row],[totalCourt]]</f>
        <v>1</v>
      </c>
      <c r="N822" s="8" t="b">
        <f>AND(TrafficData[[#This Row],[disposedChallan]]&lt;=TrafficData[[#This Row],[totalChallan]],TrafficData[[#This Row],[pendingChallan]]&lt;=TrafficData[[#This Row],[totalChallan]])</f>
        <v>1</v>
      </c>
      <c r="O822" s="8" t="b">
        <f>AND(TrafficData[[#This Row],[pendingAmount]]&lt;=TrafficData[[#This Row],[totalAmount]],TrafficData[[#This Row],[disposedAmount]]&lt;=TrafficData[[#This Row],[totalAmount]])</f>
        <v>1</v>
      </c>
      <c r="P822" s="8" t="b">
        <f>AND(TrafficData[[#This Row],[pendingCourt]]&lt;=TrafficData[[#This Row],[totalCourt]],TrafficData[[#This Row],[disposedCourt]]&lt;=TrafficData[[#This Row],[totalCourt]])</f>
        <v>1</v>
      </c>
    </row>
    <row r="823" spans="1:16">
      <c r="A823" s="1">
        <v>42826</v>
      </c>
      <c r="B823">
        <v>967</v>
      </c>
      <c r="C823">
        <v>257</v>
      </c>
      <c r="D823">
        <v>710</v>
      </c>
      <c r="E823">
        <v>31478850</v>
      </c>
      <c r="F823">
        <v>734210</v>
      </c>
      <c r="G823">
        <v>32213060</v>
      </c>
      <c r="H823">
        <v>351</v>
      </c>
      <c r="I823">
        <v>28</v>
      </c>
      <c r="J823">
        <v>379</v>
      </c>
      <c r="K823" t="b">
        <f>TrafficData[[#This Row],[disposedChallan]]+TrafficData[[#This Row],[pendingChallan]]=TrafficData[[#This Row],[totalChallan]]</f>
        <v>1</v>
      </c>
      <c r="L823" t="b">
        <f>TrafficData[[#This Row],[pendingAmount]]+TrafficData[[#This Row],[disposedAmount]]=TrafficData[[#This Row],[totalAmount]]</f>
        <v>1</v>
      </c>
      <c r="M823" t="b">
        <f>TrafficData[[#This Row],[pendingCourt]]+TrafficData[[#This Row],[disposedCourt]]=TrafficData[[#This Row],[totalCourt]]</f>
        <v>1</v>
      </c>
      <c r="N823" s="8" t="b">
        <f>AND(TrafficData[[#This Row],[disposedChallan]]&lt;=TrafficData[[#This Row],[totalChallan]],TrafficData[[#This Row],[pendingChallan]]&lt;=TrafficData[[#This Row],[totalChallan]])</f>
        <v>1</v>
      </c>
      <c r="O823" s="8" t="b">
        <f>AND(TrafficData[[#This Row],[pendingAmount]]&lt;=TrafficData[[#This Row],[totalAmount]],TrafficData[[#This Row],[disposedAmount]]&lt;=TrafficData[[#This Row],[totalAmount]])</f>
        <v>1</v>
      </c>
      <c r="P823" s="8" t="b">
        <f>AND(TrafficData[[#This Row],[pendingCourt]]&lt;=TrafficData[[#This Row],[totalCourt]],TrafficData[[#This Row],[disposedCourt]]&lt;=TrafficData[[#This Row],[totalCourt]])</f>
        <v>1</v>
      </c>
    </row>
    <row r="824" spans="1:16">
      <c r="A824" s="1">
        <v>42827</v>
      </c>
      <c r="B824">
        <v>788</v>
      </c>
      <c r="C824">
        <v>213</v>
      </c>
      <c r="D824">
        <v>575</v>
      </c>
      <c r="E824">
        <v>800500</v>
      </c>
      <c r="F824">
        <v>516935</v>
      </c>
      <c r="G824">
        <v>1317435</v>
      </c>
      <c r="H824">
        <v>314</v>
      </c>
      <c r="I824">
        <v>36</v>
      </c>
      <c r="J824">
        <v>350</v>
      </c>
      <c r="K824" t="b">
        <f>TrafficData[[#This Row],[disposedChallan]]+TrafficData[[#This Row],[pendingChallan]]=TrafficData[[#This Row],[totalChallan]]</f>
        <v>1</v>
      </c>
      <c r="L824" t="b">
        <f>TrafficData[[#This Row],[pendingAmount]]+TrafficData[[#This Row],[disposedAmount]]=TrafficData[[#This Row],[totalAmount]]</f>
        <v>1</v>
      </c>
      <c r="M824" t="b">
        <f>TrafficData[[#This Row],[pendingCourt]]+TrafficData[[#This Row],[disposedCourt]]=TrafficData[[#This Row],[totalCourt]]</f>
        <v>1</v>
      </c>
      <c r="N824" s="8" t="b">
        <f>AND(TrafficData[[#This Row],[disposedChallan]]&lt;=TrafficData[[#This Row],[totalChallan]],TrafficData[[#This Row],[pendingChallan]]&lt;=TrafficData[[#This Row],[totalChallan]])</f>
        <v>1</v>
      </c>
      <c r="O824" s="8" t="b">
        <f>AND(TrafficData[[#This Row],[pendingAmount]]&lt;=TrafficData[[#This Row],[totalAmount]],TrafficData[[#This Row],[disposedAmount]]&lt;=TrafficData[[#This Row],[totalAmount]])</f>
        <v>1</v>
      </c>
      <c r="P824" s="8" t="b">
        <f>AND(TrafficData[[#This Row],[pendingCourt]]&lt;=TrafficData[[#This Row],[totalCourt]],TrafficData[[#This Row],[disposedCourt]]&lt;=TrafficData[[#This Row],[totalCourt]])</f>
        <v>1</v>
      </c>
    </row>
    <row r="825" spans="1:16">
      <c r="A825" s="1">
        <v>42828</v>
      </c>
      <c r="B825">
        <v>921</v>
      </c>
      <c r="C825">
        <v>276</v>
      </c>
      <c r="D825">
        <v>645</v>
      </c>
      <c r="E825">
        <v>1004850</v>
      </c>
      <c r="F825">
        <v>1096456</v>
      </c>
      <c r="G825">
        <v>2101306</v>
      </c>
      <c r="H825">
        <v>344</v>
      </c>
      <c r="I825">
        <v>53</v>
      </c>
      <c r="J825">
        <v>397</v>
      </c>
      <c r="K825" t="b">
        <f>TrafficData[[#This Row],[disposedChallan]]+TrafficData[[#This Row],[pendingChallan]]=TrafficData[[#This Row],[totalChallan]]</f>
        <v>1</v>
      </c>
      <c r="L825" t="b">
        <f>TrafficData[[#This Row],[pendingAmount]]+TrafficData[[#This Row],[disposedAmount]]=TrafficData[[#This Row],[totalAmount]]</f>
        <v>1</v>
      </c>
      <c r="M825" t="b">
        <f>TrafficData[[#This Row],[pendingCourt]]+TrafficData[[#This Row],[disposedCourt]]=TrafficData[[#This Row],[totalCourt]]</f>
        <v>1</v>
      </c>
      <c r="N825" s="8" t="b">
        <f>AND(TrafficData[[#This Row],[disposedChallan]]&lt;=TrafficData[[#This Row],[totalChallan]],TrafficData[[#This Row],[pendingChallan]]&lt;=TrafficData[[#This Row],[totalChallan]])</f>
        <v>1</v>
      </c>
      <c r="O825" s="8" t="b">
        <f>AND(TrafficData[[#This Row],[pendingAmount]]&lt;=TrafficData[[#This Row],[totalAmount]],TrafficData[[#This Row],[disposedAmount]]&lt;=TrafficData[[#This Row],[totalAmount]])</f>
        <v>1</v>
      </c>
      <c r="P825" s="8" t="b">
        <f>AND(TrafficData[[#This Row],[pendingCourt]]&lt;=TrafficData[[#This Row],[totalCourt]],TrafficData[[#This Row],[disposedCourt]]&lt;=TrafficData[[#This Row],[totalCourt]])</f>
        <v>1</v>
      </c>
    </row>
    <row r="826" spans="1:16">
      <c r="A826" s="1">
        <v>42829</v>
      </c>
      <c r="B826">
        <v>1020</v>
      </c>
      <c r="C826">
        <v>276</v>
      </c>
      <c r="D826">
        <v>744</v>
      </c>
      <c r="E826">
        <v>1325150</v>
      </c>
      <c r="F826">
        <v>1032670</v>
      </c>
      <c r="G826">
        <v>2357820</v>
      </c>
      <c r="H826">
        <v>395</v>
      </c>
      <c r="I826">
        <v>51</v>
      </c>
      <c r="J826">
        <v>446</v>
      </c>
      <c r="K826" t="b">
        <f>TrafficData[[#This Row],[disposedChallan]]+TrafficData[[#This Row],[pendingChallan]]=TrafficData[[#This Row],[totalChallan]]</f>
        <v>1</v>
      </c>
      <c r="L826" t="b">
        <f>TrafficData[[#This Row],[pendingAmount]]+TrafficData[[#This Row],[disposedAmount]]=TrafficData[[#This Row],[totalAmount]]</f>
        <v>1</v>
      </c>
      <c r="M826" t="b">
        <f>TrafficData[[#This Row],[pendingCourt]]+TrafficData[[#This Row],[disposedCourt]]=TrafficData[[#This Row],[totalCourt]]</f>
        <v>1</v>
      </c>
      <c r="N826" s="8" t="b">
        <f>AND(TrafficData[[#This Row],[disposedChallan]]&lt;=TrafficData[[#This Row],[totalChallan]],TrafficData[[#This Row],[pendingChallan]]&lt;=TrafficData[[#This Row],[totalChallan]])</f>
        <v>1</v>
      </c>
      <c r="O826" s="8" t="b">
        <f>AND(TrafficData[[#This Row],[pendingAmount]]&lt;=TrafficData[[#This Row],[totalAmount]],TrafficData[[#This Row],[disposedAmount]]&lt;=TrafficData[[#This Row],[totalAmount]])</f>
        <v>1</v>
      </c>
      <c r="P826" s="8" t="b">
        <f>AND(TrafficData[[#This Row],[pendingCourt]]&lt;=TrafficData[[#This Row],[totalCourt]],TrafficData[[#This Row],[disposedCourt]]&lt;=TrafficData[[#This Row],[totalCourt]])</f>
        <v>1</v>
      </c>
    </row>
    <row r="827" spans="1:16">
      <c r="A827" s="1">
        <v>42830</v>
      </c>
      <c r="B827">
        <v>1334</v>
      </c>
      <c r="C827">
        <v>258</v>
      </c>
      <c r="D827">
        <v>1076</v>
      </c>
      <c r="E827">
        <v>1080760</v>
      </c>
      <c r="F827">
        <v>608210</v>
      </c>
      <c r="G827">
        <v>1688970</v>
      </c>
      <c r="H827">
        <v>685</v>
      </c>
      <c r="I827">
        <v>68</v>
      </c>
      <c r="J827">
        <v>753</v>
      </c>
      <c r="K827" t="b">
        <f>TrafficData[[#This Row],[disposedChallan]]+TrafficData[[#This Row],[pendingChallan]]=TrafficData[[#This Row],[totalChallan]]</f>
        <v>1</v>
      </c>
      <c r="L827" t="b">
        <f>TrafficData[[#This Row],[pendingAmount]]+TrafficData[[#This Row],[disposedAmount]]=TrafficData[[#This Row],[totalAmount]]</f>
        <v>1</v>
      </c>
      <c r="M827" t="b">
        <f>TrafficData[[#This Row],[pendingCourt]]+TrafficData[[#This Row],[disposedCourt]]=TrafficData[[#This Row],[totalCourt]]</f>
        <v>1</v>
      </c>
      <c r="N827" s="8" t="b">
        <f>AND(TrafficData[[#This Row],[disposedChallan]]&lt;=TrafficData[[#This Row],[totalChallan]],TrafficData[[#This Row],[pendingChallan]]&lt;=TrafficData[[#This Row],[totalChallan]])</f>
        <v>1</v>
      </c>
      <c r="O827" s="8" t="b">
        <f>AND(TrafficData[[#This Row],[pendingAmount]]&lt;=TrafficData[[#This Row],[totalAmount]],TrafficData[[#This Row],[disposedAmount]]&lt;=TrafficData[[#This Row],[totalAmount]])</f>
        <v>1</v>
      </c>
      <c r="P827" s="8" t="b">
        <f>AND(TrafficData[[#This Row],[pendingCourt]]&lt;=TrafficData[[#This Row],[totalCourt]],TrafficData[[#This Row],[disposedCourt]]&lt;=TrafficData[[#This Row],[totalCourt]])</f>
        <v>1</v>
      </c>
    </row>
    <row r="828" spans="1:16">
      <c r="A828" s="1">
        <v>42831</v>
      </c>
      <c r="B828">
        <v>1501</v>
      </c>
      <c r="C828">
        <v>303</v>
      </c>
      <c r="D828">
        <v>1198</v>
      </c>
      <c r="E828">
        <v>910149</v>
      </c>
      <c r="F828">
        <v>692011</v>
      </c>
      <c r="G828">
        <v>1602160</v>
      </c>
      <c r="H828">
        <v>785</v>
      </c>
      <c r="I828">
        <v>79</v>
      </c>
      <c r="J828">
        <v>864</v>
      </c>
      <c r="K828" t="b">
        <f>TrafficData[[#This Row],[disposedChallan]]+TrafficData[[#This Row],[pendingChallan]]=TrafficData[[#This Row],[totalChallan]]</f>
        <v>1</v>
      </c>
      <c r="L828" t="b">
        <f>TrafficData[[#This Row],[pendingAmount]]+TrafficData[[#This Row],[disposedAmount]]=TrafficData[[#This Row],[totalAmount]]</f>
        <v>1</v>
      </c>
      <c r="M828" t="b">
        <f>TrafficData[[#This Row],[pendingCourt]]+TrafficData[[#This Row],[disposedCourt]]=TrafficData[[#This Row],[totalCourt]]</f>
        <v>1</v>
      </c>
      <c r="N828" s="8" t="b">
        <f>AND(TrafficData[[#This Row],[disposedChallan]]&lt;=TrafficData[[#This Row],[totalChallan]],TrafficData[[#This Row],[pendingChallan]]&lt;=TrafficData[[#This Row],[totalChallan]])</f>
        <v>1</v>
      </c>
      <c r="O828" s="8" t="b">
        <f>AND(TrafficData[[#This Row],[pendingAmount]]&lt;=TrafficData[[#This Row],[totalAmount]],TrafficData[[#This Row],[disposedAmount]]&lt;=TrafficData[[#This Row],[totalAmount]])</f>
        <v>1</v>
      </c>
      <c r="P828" s="8" t="b">
        <f>AND(TrafficData[[#This Row],[pendingCourt]]&lt;=TrafficData[[#This Row],[totalCourt]],TrafficData[[#This Row],[disposedCourt]]&lt;=TrafficData[[#This Row],[totalCourt]])</f>
        <v>1</v>
      </c>
    </row>
    <row r="829" spans="1:16">
      <c r="A829" s="1">
        <v>42832</v>
      </c>
      <c r="B829">
        <v>1542</v>
      </c>
      <c r="C829">
        <v>349</v>
      </c>
      <c r="D829">
        <v>1193</v>
      </c>
      <c r="E829">
        <v>1179590</v>
      </c>
      <c r="F829">
        <v>1152402</v>
      </c>
      <c r="G829">
        <v>2331992</v>
      </c>
      <c r="H829">
        <v>762</v>
      </c>
      <c r="I829">
        <v>40</v>
      </c>
      <c r="J829">
        <v>802</v>
      </c>
      <c r="K829" t="b">
        <f>TrafficData[[#This Row],[disposedChallan]]+TrafficData[[#This Row],[pendingChallan]]=TrafficData[[#This Row],[totalChallan]]</f>
        <v>1</v>
      </c>
      <c r="L829" t="b">
        <f>TrafficData[[#This Row],[pendingAmount]]+TrafficData[[#This Row],[disposedAmount]]=TrafficData[[#This Row],[totalAmount]]</f>
        <v>1</v>
      </c>
      <c r="M829" t="b">
        <f>TrafficData[[#This Row],[pendingCourt]]+TrafficData[[#This Row],[disposedCourt]]=TrafficData[[#This Row],[totalCourt]]</f>
        <v>1</v>
      </c>
      <c r="N829" s="8" t="b">
        <f>AND(TrafficData[[#This Row],[disposedChallan]]&lt;=TrafficData[[#This Row],[totalChallan]],TrafficData[[#This Row],[pendingChallan]]&lt;=TrafficData[[#This Row],[totalChallan]])</f>
        <v>1</v>
      </c>
      <c r="O829" s="8" t="b">
        <f>AND(TrafficData[[#This Row],[pendingAmount]]&lt;=TrafficData[[#This Row],[totalAmount]],TrafficData[[#This Row],[disposedAmount]]&lt;=TrafficData[[#This Row],[totalAmount]])</f>
        <v>1</v>
      </c>
      <c r="P829" s="8" t="b">
        <f>AND(TrafficData[[#This Row],[pendingCourt]]&lt;=TrafficData[[#This Row],[totalCourt]],TrafficData[[#This Row],[disposedCourt]]&lt;=TrafficData[[#This Row],[totalCourt]])</f>
        <v>1</v>
      </c>
    </row>
    <row r="830" spans="1:16">
      <c r="A830" s="1">
        <v>42833</v>
      </c>
      <c r="B830">
        <v>1516</v>
      </c>
      <c r="C830">
        <v>411</v>
      </c>
      <c r="D830">
        <v>1105</v>
      </c>
      <c r="E830">
        <v>989000</v>
      </c>
      <c r="F830">
        <v>1325710</v>
      </c>
      <c r="G830">
        <v>2314710</v>
      </c>
      <c r="H830">
        <v>699</v>
      </c>
      <c r="I830">
        <v>37</v>
      </c>
      <c r="J830">
        <v>736</v>
      </c>
      <c r="K830" t="b">
        <f>TrafficData[[#This Row],[disposedChallan]]+TrafficData[[#This Row],[pendingChallan]]=TrafficData[[#This Row],[totalChallan]]</f>
        <v>1</v>
      </c>
      <c r="L830" t="b">
        <f>TrafficData[[#This Row],[pendingAmount]]+TrafficData[[#This Row],[disposedAmount]]=TrafficData[[#This Row],[totalAmount]]</f>
        <v>1</v>
      </c>
      <c r="M830" t="b">
        <f>TrafficData[[#This Row],[pendingCourt]]+TrafficData[[#This Row],[disposedCourt]]=TrafficData[[#This Row],[totalCourt]]</f>
        <v>1</v>
      </c>
      <c r="N830" s="8" t="b">
        <f>AND(TrafficData[[#This Row],[disposedChallan]]&lt;=TrafficData[[#This Row],[totalChallan]],TrafficData[[#This Row],[pendingChallan]]&lt;=TrafficData[[#This Row],[totalChallan]])</f>
        <v>1</v>
      </c>
      <c r="O830" s="8" t="b">
        <f>AND(TrafficData[[#This Row],[pendingAmount]]&lt;=TrafficData[[#This Row],[totalAmount]],TrafficData[[#This Row],[disposedAmount]]&lt;=TrafficData[[#This Row],[totalAmount]])</f>
        <v>1</v>
      </c>
      <c r="P830" s="8" t="b">
        <f>AND(TrafficData[[#This Row],[pendingCourt]]&lt;=TrafficData[[#This Row],[totalCourt]],TrafficData[[#This Row],[disposedCourt]]&lt;=TrafficData[[#This Row],[totalCourt]])</f>
        <v>1</v>
      </c>
    </row>
    <row r="831" spans="1:16">
      <c r="A831" s="1">
        <v>42834</v>
      </c>
      <c r="B831">
        <v>781</v>
      </c>
      <c r="C831">
        <v>200</v>
      </c>
      <c r="D831">
        <v>581</v>
      </c>
      <c r="E831">
        <v>463550</v>
      </c>
      <c r="F831">
        <v>516450</v>
      </c>
      <c r="G831">
        <v>980000</v>
      </c>
      <c r="H831">
        <v>350</v>
      </c>
      <c r="I831">
        <v>50</v>
      </c>
      <c r="J831">
        <v>400</v>
      </c>
      <c r="K831" t="b">
        <f>TrafficData[[#This Row],[disposedChallan]]+TrafficData[[#This Row],[pendingChallan]]=TrafficData[[#This Row],[totalChallan]]</f>
        <v>1</v>
      </c>
      <c r="L831" t="b">
        <f>TrafficData[[#This Row],[pendingAmount]]+TrafficData[[#This Row],[disposedAmount]]=TrafficData[[#This Row],[totalAmount]]</f>
        <v>1</v>
      </c>
      <c r="M831" t="b">
        <f>TrafficData[[#This Row],[pendingCourt]]+TrafficData[[#This Row],[disposedCourt]]=TrafficData[[#This Row],[totalCourt]]</f>
        <v>1</v>
      </c>
      <c r="N831" s="8" t="b">
        <f>AND(TrafficData[[#This Row],[disposedChallan]]&lt;=TrafficData[[#This Row],[totalChallan]],TrafficData[[#This Row],[pendingChallan]]&lt;=TrafficData[[#This Row],[totalChallan]])</f>
        <v>1</v>
      </c>
      <c r="O831" s="8" t="b">
        <f>AND(TrafficData[[#This Row],[pendingAmount]]&lt;=TrafficData[[#This Row],[totalAmount]],TrafficData[[#This Row],[disposedAmount]]&lt;=TrafficData[[#This Row],[totalAmount]])</f>
        <v>1</v>
      </c>
      <c r="P831" s="8" t="b">
        <f>AND(TrafficData[[#This Row],[pendingCourt]]&lt;=TrafficData[[#This Row],[totalCourt]],TrafficData[[#This Row],[disposedCourt]]&lt;=TrafficData[[#This Row],[totalCourt]])</f>
        <v>1</v>
      </c>
    </row>
    <row r="832" spans="1:16">
      <c r="A832" s="1">
        <v>42835</v>
      </c>
      <c r="B832">
        <v>1335</v>
      </c>
      <c r="C832">
        <v>325</v>
      </c>
      <c r="D832">
        <v>1010</v>
      </c>
      <c r="E832">
        <v>1204500</v>
      </c>
      <c r="F832">
        <v>952060</v>
      </c>
      <c r="G832">
        <v>2156560</v>
      </c>
      <c r="H832">
        <v>630</v>
      </c>
      <c r="I832">
        <v>64</v>
      </c>
      <c r="J832">
        <v>694</v>
      </c>
      <c r="K832" t="b">
        <f>TrafficData[[#This Row],[disposedChallan]]+TrafficData[[#This Row],[pendingChallan]]=TrafficData[[#This Row],[totalChallan]]</f>
        <v>1</v>
      </c>
      <c r="L832" t="b">
        <f>TrafficData[[#This Row],[pendingAmount]]+TrafficData[[#This Row],[disposedAmount]]=TrafficData[[#This Row],[totalAmount]]</f>
        <v>1</v>
      </c>
      <c r="M832" t="b">
        <f>TrafficData[[#This Row],[pendingCourt]]+TrafficData[[#This Row],[disposedCourt]]=TrafficData[[#This Row],[totalCourt]]</f>
        <v>1</v>
      </c>
      <c r="N832" s="8" t="b">
        <f>AND(TrafficData[[#This Row],[disposedChallan]]&lt;=TrafficData[[#This Row],[totalChallan]],TrafficData[[#This Row],[pendingChallan]]&lt;=TrafficData[[#This Row],[totalChallan]])</f>
        <v>1</v>
      </c>
      <c r="O832" s="8" t="b">
        <f>AND(TrafficData[[#This Row],[pendingAmount]]&lt;=TrafficData[[#This Row],[totalAmount]],TrafficData[[#This Row],[disposedAmount]]&lt;=TrafficData[[#This Row],[totalAmount]])</f>
        <v>1</v>
      </c>
      <c r="P832" s="8" t="b">
        <f>AND(TrafficData[[#This Row],[pendingCourt]]&lt;=TrafficData[[#This Row],[totalCourt]],TrafficData[[#This Row],[disposedCourt]]&lt;=TrafficData[[#This Row],[totalCourt]])</f>
        <v>1</v>
      </c>
    </row>
    <row r="833" spans="1:16">
      <c r="A833" s="1">
        <v>42836</v>
      </c>
      <c r="B833">
        <v>1324</v>
      </c>
      <c r="C833">
        <v>297</v>
      </c>
      <c r="D833">
        <v>1027</v>
      </c>
      <c r="E833">
        <v>1110051</v>
      </c>
      <c r="F833">
        <v>818266</v>
      </c>
      <c r="G833">
        <v>1928317</v>
      </c>
      <c r="H833">
        <v>687</v>
      </c>
      <c r="I833">
        <v>27</v>
      </c>
      <c r="J833">
        <v>714</v>
      </c>
      <c r="K833" t="b">
        <f>TrafficData[[#This Row],[disposedChallan]]+TrafficData[[#This Row],[pendingChallan]]=TrafficData[[#This Row],[totalChallan]]</f>
        <v>1</v>
      </c>
      <c r="L833" t="b">
        <f>TrafficData[[#This Row],[pendingAmount]]+TrafficData[[#This Row],[disposedAmount]]=TrafficData[[#This Row],[totalAmount]]</f>
        <v>1</v>
      </c>
      <c r="M833" t="b">
        <f>TrafficData[[#This Row],[pendingCourt]]+TrafficData[[#This Row],[disposedCourt]]=TrafficData[[#This Row],[totalCourt]]</f>
        <v>1</v>
      </c>
      <c r="N833" s="8" t="b">
        <f>AND(TrafficData[[#This Row],[disposedChallan]]&lt;=TrafficData[[#This Row],[totalChallan]],TrafficData[[#This Row],[pendingChallan]]&lt;=TrafficData[[#This Row],[totalChallan]])</f>
        <v>1</v>
      </c>
      <c r="O833" s="8" t="b">
        <f>AND(TrafficData[[#This Row],[pendingAmount]]&lt;=TrafficData[[#This Row],[totalAmount]],TrafficData[[#This Row],[disposedAmount]]&lt;=TrafficData[[#This Row],[totalAmount]])</f>
        <v>1</v>
      </c>
      <c r="P833" s="8" t="b">
        <f>AND(TrafficData[[#This Row],[pendingCourt]]&lt;=TrafficData[[#This Row],[totalCourt]],TrafficData[[#This Row],[disposedCourt]]&lt;=TrafficData[[#This Row],[totalCourt]])</f>
        <v>1</v>
      </c>
    </row>
    <row r="834" spans="1:16">
      <c r="A834" s="1">
        <v>42837</v>
      </c>
      <c r="B834">
        <v>1611</v>
      </c>
      <c r="C834">
        <v>493</v>
      </c>
      <c r="D834">
        <v>1118</v>
      </c>
      <c r="E834">
        <v>1337700</v>
      </c>
      <c r="F834">
        <v>1377630</v>
      </c>
      <c r="G834">
        <v>2715330</v>
      </c>
      <c r="H834">
        <v>750</v>
      </c>
      <c r="I834">
        <v>72</v>
      </c>
      <c r="J834">
        <v>822</v>
      </c>
      <c r="K834" t="b">
        <f>TrafficData[[#This Row],[disposedChallan]]+TrafficData[[#This Row],[pendingChallan]]=TrafficData[[#This Row],[totalChallan]]</f>
        <v>1</v>
      </c>
      <c r="L834" t="b">
        <f>TrafficData[[#This Row],[pendingAmount]]+TrafficData[[#This Row],[disposedAmount]]=TrafficData[[#This Row],[totalAmount]]</f>
        <v>1</v>
      </c>
      <c r="M834" t="b">
        <f>TrafficData[[#This Row],[pendingCourt]]+TrafficData[[#This Row],[disposedCourt]]=TrafficData[[#This Row],[totalCourt]]</f>
        <v>1</v>
      </c>
      <c r="N834" s="8" t="b">
        <f>AND(TrafficData[[#This Row],[disposedChallan]]&lt;=TrafficData[[#This Row],[totalChallan]],TrafficData[[#This Row],[pendingChallan]]&lt;=TrafficData[[#This Row],[totalChallan]])</f>
        <v>1</v>
      </c>
      <c r="O834" s="8" t="b">
        <f>AND(TrafficData[[#This Row],[pendingAmount]]&lt;=TrafficData[[#This Row],[totalAmount]],TrafficData[[#This Row],[disposedAmount]]&lt;=TrafficData[[#This Row],[totalAmount]])</f>
        <v>1</v>
      </c>
      <c r="P834" s="8" t="b">
        <f>AND(TrafficData[[#This Row],[pendingCourt]]&lt;=TrafficData[[#This Row],[totalCourt]],TrafficData[[#This Row],[disposedCourt]]&lt;=TrafficData[[#This Row],[totalCourt]])</f>
        <v>1</v>
      </c>
    </row>
    <row r="835" spans="1:16">
      <c r="A835" s="1">
        <v>42838</v>
      </c>
      <c r="B835">
        <v>1312</v>
      </c>
      <c r="C835">
        <v>466</v>
      </c>
      <c r="D835">
        <v>846</v>
      </c>
      <c r="E835">
        <v>1431550</v>
      </c>
      <c r="F835">
        <v>1617270</v>
      </c>
      <c r="G835">
        <v>3048820</v>
      </c>
      <c r="H835">
        <v>508</v>
      </c>
      <c r="I835">
        <v>55</v>
      </c>
      <c r="J835">
        <v>563</v>
      </c>
      <c r="K835" t="b">
        <f>TrafficData[[#This Row],[disposedChallan]]+TrafficData[[#This Row],[pendingChallan]]=TrafficData[[#This Row],[totalChallan]]</f>
        <v>1</v>
      </c>
      <c r="L835" t="b">
        <f>TrafficData[[#This Row],[pendingAmount]]+TrafficData[[#This Row],[disposedAmount]]=TrafficData[[#This Row],[totalAmount]]</f>
        <v>1</v>
      </c>
      <c r="M835" t="b">
        <f>TrafficData[[#This Row],[pendingCourt]]+TrafficData[[#This Row],[disposedCourt]]=TrafficData[[#This Row],[totalCourt]]</f>
        <v>1</v>
      </c>
      <c r="N835" s="8" t="b">
        <f>AND(TrafficData[[#This Row],[disposedChallan]]&lt;=TrafficData[[#This Row],[totalChallan]],TrafficData[[#This Row],[pendingChallan]]&lt;=TrafficData[[#This Row],[totalChallan]])</f>
        <v>1</v>
      </c>
      <c r="O835" s="8" t="b">
        <f>AND(TrafficData[[#This Row],[pendingAmount]]&lt;=TrafficData[[#This Row],[totalAmount]],TrafficData[[#This Row],[disposedAmount]]&lt;=TrafficData[[#This Row],[totalAmount]])</f>
        <v>1</v>
      </c>
      <c r="P835" s="8" t="b">
        <f>AND(TrafficData[[#This Row],[pendingCourt]]&lt;=TrafficData[[#This Row],[totalCourt]],TrafficData[[#This Row],[disposedCourt]]&lt;=TrafficData[[#This Row],[totalCourt]])</f>
        <v>1</v>
      </c>
    </row>
    <row r="836" spans="1:16">
      <c r="A836" s="1">
        <v>42839</v>
      </c>
      <c r="B836">
        <v>1287</v>
      </c>
      <c r="C836">
        <v>448</v>
      </c>
      <c r="D836">
        <v>839</v>
      </c>
      <c r="E836">
        <v>1062950</v>
      </c>
      <c r="F836">
        <v>1149095</v>
      </c>
      <c r="G836">
        <v>2212045</v>
      </c>
      <c r="H836">
        <v>572</v>
      </c>
      <c r="I836">
        <v>77</v>
      </c>
      <c r="J836">
        <v>649</v>
      </c>
      <c r="K836" t="b">
        <f>TrafficData[[#This Row],[disposedChallan]]+TrafficData[[#This Row],[pendingChallan]]=TrafficData[[#This Row],[totalChallan]]</f>
        <v>1</v>
      </c>
      <c r="L836" t="b">
        <f>TrafficData[[#This Row],[pendingAmount]]+TrafficData[[#This Row],[disposedAmount]]=TrafficData[[#This Row],[totalAmount]]</f>
        <v>1</v>
      </c>
      <c r="M836" t="b">
        <f>TrafficData[[#This Row],[pendingCourt]]+TrafficData[[#This Row],[disposedCourt]]=TrafficData[[#This Row],[totalCourt]]</f>
        <v>1</v>
      </c>
      <c r="N836" s="8" t="b">
        <f>AND(TrafficData[[#This Row],[disposedChallan]]&lt;=TrafficData[[#This Row],[totalChallan]],TrafficData[[#This Row],[pendingChallan]]&lt;=TrafficData[[#This Row],[totalChallan]])</f>
        <v>1</v>
      </c>
      <c r="O836" s="8" t="b">
        <f>AND(TrafficData[[#This Row],[pendingAmount]]&lt;=TrafficData[[#This Row],[totalAmount]],TrafficData[[#This Row],[disposedAmount]]&lt;=TrafficData[[#This Row],[totalAmount]])</f>
        <v>1</v>
      </c>
      <c r="P836" s="8" t="b">
        <f>AND(TrafficData[[#This Row],[pendingCourt]]&lt;=TrafficData[[#This Row],[totalCourt]],TrafficData[[#This Row],[disposedCourt]]&lt;=TrafficData[[#This Row],[totalCourt]])</f>
        <v>1</v>
      </c>
    </row>
    <row r="837" spans="1:16">
      <c r="A837" s="1">
        <v>42840</v>
      </c>
      <c r="B837">
        <v>1316</v>
      </c>
      <c r="C837">
        <v>425</v>
      </c>
      <c r="D837">
        <v>891</v>
      </c>
      <c r="E837">
        <v>1015160</v>
      </c>
      <c r="F837">
        <v>1134720</v>
      </c>
      <c r="G837">
        <v>2149880</v>
      </c>
      <c r="H837">
        <v>545</v>
      </c>
      <c r="I837">
        <v>76</v>
      </c>
      <c r="J837">
        <v>621</v>
      </c>
      <c r="K837" t="b">
        <f>TrafficData[[#This Row],[disposedChallan]]+TrafficData[[#This Row],[pendingChallan]]=TrafficData[[#This Row],[totalChallan]]</f>
        <v>1</v>
      </c>
      <c r="L837" t="b">
        <f>TrafficData[[#This Row],[pendingAmount]]+TrafficData[[#This Row],[disposedAmount]]=TrafficData[[#This Row],[totalAmount]]</f>
        <v>1</v>
      </c>
      <c r="M837" t="b">
        <f>TrafficData[[#This Row],[pendingCourt]]+TrafficData[[#This Row],[disposedCourt]]=TrafficData[[#This Row],[totalCourt]]</f>
        <v>1</v>
      </c>
      <c r="N837" s="8" t="b">
        <f>AND(TrafficData[[#This Row],[disposedChallan]]&lt;=TrafficData[[#This Row],[totalChallan]],TrafficData[[#This Row],[pendingChallan]]&lt;=TrafficData[[#This Row],[totalChallan]])</f>
        <v>1</v>
      </c>
      <c r="O837" s="8" t="b">
        <f>AND(TrafficData[[#This Row],[pendingAmount]]&lt;=TrafficData[[#This Row],[totalAmount]],TrafficData[[#This Row],[disposedAmount]]&lt;=TrafficData[[#This Row],[totalAmount]])</f>
        <v>1</v>
      </c>
      <c r="P837" s="8" t="b">
        <f>AND(TrafficData[[#This Row],[pendingCourt]]&lt;=TrafficData[[#This Row],[totalCourt]],TrafficData[[#This Row],[disposedCourt]]&lt;=TrafficData[[#This Row],[totalCourt]])</f>
        <v>1</v>
      </c>
    </row>
    <row r="838" spans="1:16">
      <c r="A838" s="1">
        <v>42841</v>
      </c>
      <c r="B838">
        <v>850</v>
      </c>
      <c r="C838">
        <v>345</v>
      </c>
      <c r="D838">
        <v>505</v>
      </c>
      <c r="E838">
        <v>563250</v>
      </c>
      <c r="F838">
        <v>662660</v>
      </c>
      <c r="G838">
        <v>1225910</v>
      </c>
      <c r="H838">
        <v>218</v>
      </c>
      <c r="I838">
        <v>33</v>
      </c>
      <c r="J838">
        <v>251</v>
      </c>
      <c r="K838" t="b">
        <f>TrafficData[[#This Row],[disposedChallan]]+TrafficData[[#This Row],[pendingChallan]]=TrafficData[[#This Row],[totalChallan]]</f>
        <v>1</v>
      </c>
      <c r="L838" t="b">
        <f>TrafficData[[#This Row],[pendingAmount]]+TrafficData[[#This Row],[disposedAmount]]=TrafficData[[#This Row],[totalAmount]]</f>
        <v>1</v>
      </c>
      <c r="M838" t="b">
        <f>TrafficData[[#This Row],[pendingCourt]]+TrafficData[[#This Row],[disposedCourt]]=TrafficData[[#This Row],[totalCourt]]</f>
        <v>1</v>
      </c>
      <c r="N838" s="8" t="b">
        <f>AND(TrafficData[[#This Row],[disposedChallan]]&lt;=TrafficData[[#This Row],[totalChallan]],TrafficData[[#This Row],[pendingChallan]]&lt;=TrafficData[[#This Row],[totalChallan]])</f>
        <v>1</v>
      </c>
      <c r="O838" s="8" t="b">
        <f>AND(TrafficData[[#This Row],[pendingAmount]]&lt;=TrafficData[[#This Row],[totalAmount]],TrafficData[[#This Row],[disposedAmount]]&lt;=TrafficData[[#This Row],[totalAmount]])</f>
        <v>1</v>
      </c>
      <c r="P838" s="8" t="b">
        <f>AND(TrafficData[[#This Row],[pendingCourt]]&lt;=TrafficData[[#This Row],[totalCourt]],TrafficData[[#This Row],[disposedCourt]]&lt;=TrafficData[[#This Row],[totalCourt]])</f>
        <v>1</v>
      </c>
    </row>
    <row r="839" spans="1:16">
      <c r="A839" s="1">
        <v>42842</v>
      </c>
      <c r="B839">
        <v>1598</v>
      </c>
      <c r="C839">
        <v>494</v>
      </c>
      <c r="D839">
        <v>1104</v>
      </c>
      <c r="E839">
        <v>1276150</v>
      </c>
      <c r="F839">
        <v>1320420</v>
      </c>
      <c r="G839">
        <v>2596570</v>
      </c>
      <c r="H839">
        <v>693</v>
      </c>
      <c r="I839">
        <v>45</v>
      </c>
      <c r="J839">
        <v>738</v>
      </c>
      <c r="K839" t="b">
        <f>TrafficData[[#This Row],[disposedChallan]]+TrafficData[[#This Row],[pendingChallan]]=TrafficData[[#This Row],[totalChallan]]</f>
        <v>1</v>
      </c>
      <c r="L839" t="b">
        <f>TrafficData[[#This Row],[pendingAmount]]+TrafficData[[#This Row],[disposedAmount]]=TrafficData[[#This Row],[totalAmount]]</f>
        <v>1</v>
      </c>
      <c r="M839" t="b">
        <f>TrafficData[[#This Row],[pendingCourt]]+TrafficData[[#This Row],[disposedCourt]]=TrafficData[[#This Row],[totalCourt]]</f>
        <v>1</v>
      </c>
      <c r="N839" s="8" t="b">
        <f>AND(TrafficData[[#This Row],[disposedChallan]]&lt;=TrafficData[[#This Row],[totalChallan]],TrafficData[[#This Row],[pendingChallan]]&lt;=TrafficData[[#This Row],[totalChallan]])</f>
        <v>1</v>
      </c>
      <c r="O839" s="8" t="b">
        <f>AND(TrafficData[[#This Row],[pendingAmount]]&lt;=TrafficData[[#This Row],[totalAmount]],TrafficData[[#This Row],[disposedAmount]]&lt;=TrafficData[[#This Row],[totalAmount]])</f>
        <v>1</v>
      </c>
      <c r="P839" s="8" t="b">
        <f>AND(TrafficData[[#This Row],[pendingCourt]]&lt;=TrafficData[[#This Row],[totalCourt]],TrafficData[[#This Row],[disposedCourt]]&lt;=TrafficData[[#This Row],[totalCourt]])</f>
        <v>1</v>
      </c>
    </row>
    <row r="840" spans="1:16">
      <c r="A840" s="1">
        <v>42843</v>
      </c>
      <c r="B840">
        <v>1292</v>
      </c>
      <c r="C840">
        <v>455</v>
      </c>
      <c r="D840">
        <v>837</v>
      </c>
      <c r="E840">
        <v>1439041</v>
      </c>
      <c r="F840">
        <v>1387004</v>
      </c>
      <c r="G840">
        <v>2826045</v>
      </c>
      <c r="H840">
        <v>484</v>
      </c>
      <c r="I840">
        <v>103</v>
      </c>
      <c r="J840">
        <v>587</v>
      </c>
      <c r="K840" t="b">
        <f>TrafficData[[#This Row],[disposedChallan]]+TrafficData[[#This Row],[pendingChallan]]=TrafficData[[#This Row],[totalChallan]]</f>
        <v>1</v>
      </c>
      <c r="L840" t="b">
        <f>TrafficData[[#This Row],[pendingAmount]]+TrafficData[[#This Row],[disposedAmount]]=TrafficData[[#This Row],[totalAmount]]</f>
        <v>1</v>
      </c>
      <c r="M840" t="b">
        <f>TrafficData[[#This Row],[pendingCourt]]+TrafficData[[#This Row],[disposedCourt]]=TrafficData[[#This Row],[totalCourt]]</f>
        <v>1</v>
      </c>
      <c r="N840" s="8" t="b">
        <f>AND(TrafficData[[#This Row],[disposedChallan]]&lt;=TrafficData[[#This Row],[totalChallan]],TrafficData[[#This Row],[pendingChallan]]&lt;=TrafficData[[#This Row],[totalChallan]])</f>
        <v>1</v>
      </c>
      <c r="O840" s="8" t="b">
        <f>AND(TrafficData[[#This Row],[pendingAmount]]&lt;=TrafficData[[#This Row],[totalAmount]],TrafficData[[#This Row],[disposedAmount]]&lt;=TrafficData[[#This Row],[totalAmount]])</f>
        <v>1</v>
      </c>
      <c r="P840" s="8" t="b">
        <f>AND(TrafficData[[#This Row],[pendingCourt]]&lt;=TrafficData[[#This Row],[totalCourt]],TrafficData[[#This Row],[disposedCourt]]&lt;=TrafficData[[#This Row],[totalCourt]])</f>
        <v>1</v>
      </c>
    </row>
    <row r="841" spans="1:16">
      <c r="A841" s="1">
        <v>42844</v>
      </c>
      <c r="B841">
        <v>1306</v>
      </c>
      <c r="C841">
        <v>514</v>
      </c>
      <c r="D841">
        <v>792</v>
      </c>
      <c r="E841">
        <v>1154018</v>
      </c>
      <c r="F841">
        <v>1539915</v>
      </c>
      <c r="G841">
        <v>2693933</v>
      </c>
      <c r="H841">
        <v>497</v>
      </c>
      <c r="I841">
        <v>48</v>
      </c>
      <c r="J841">
        <v>545</v>
      </c>
      <c r="K841" t="b">
        <f>TrafficData[[#This Row],[disposedChallan]]+TrafficData[[#This Row],[pendingChallan]]=TrafficData[[#This Row],[totalChallan]]</f>
        <v>1</v>
      </c>
      <c r="L841" t="b">
        <f>TrafficData[[#This Row],[pendingAmount]]+TrafficData[[#This Row],[disposedAmount]]=TrafficData[[#This Row],[totalAmount]]</f>
        <v>1</v>
      </c>
      <c r="M841" t="b">
        <f>TrafficData[[#This Row],[pendingCourt]]+TrafficData[[#This Row],[disposedCourt]]=TrafficData[[#This Row],[totalCourt]]</f>
        <v>1</v>
      </c>
      <c r="N841" s="8" t="b">
        <f>AND(TrafficData[[#This Row],[disposedChallan]]&lt;=TrafficData[[#This Row],[totalChallan]],TrafficData[[#This Row],[pendingChallan]]&lt;=TrafficData[[#This Row],[totalChallan]])</f>
        <v>1</v>
      </c>
      <c r="O841" s="8" t="b">
        <f>AND(TrafficData[[#This Row],[pendingAmount]]&lt;=TrafficData[[#This Row],[totalAmount]],TrafficData[[#This Row],[disposedAmount]]&lt;=TrafficData[[#This Row],[totalAmount]])</f>
        <v>1</v>
      </c>
      <c r="P841" s="8" t="b">
        <f>AND(TrafficData[[#This Row],[pendingCourt]]&lt;=TrafficData[[#This Row],[totalCourt]],TrafficData[[#This Row],[disposedCourt]]&lt;=TrafficData[[#This Row],[totalCourt]])</f>
        <v>1</v>
      </c>
    </row>
    <row r="842" spans="1:16">
      <c r="A842" s="1">
        <v>42845</v>
      </c>
      <c r="B842">
        <v>1248</v>
      </c>
      <c r="C842">
        <v>469</v>
      </c>
      <c r="D842">
        <v>779</v>
      </c>
      <c r="E842">
        <v>1556345</v>
      </c>
      <c r="F842">
        <v>1719832</v>
      </c>
      <c r="G842">
        <v>3276177</v>
      </c>
      <c r="H842">
        <v>495</v>
      </c>
      <c r="I842">
        <v>63</v>
      </c>
      <c r="J842">
        <v>558</v>
      </c>
      <c r="K842" t="b">
        <f>TrafficData[[#This Row],[disposedChallan]]+TrafficData[[#This Row],[pendingChallan]]=TrafficData[[#This Row],[totalChallan]]</f>
        <v>1</v>
      </c>
      <c r="L842" t="b">
        <f>TrafficData[[#This Row],[pendingAmount]]+TrafficData[[#This Row],[disposedAmount]]=TrafficData[[#This Row],[totalAmount]]</f>
        <v>1</v>
      </c>
      <c r="M842" t="b">
        <f>TrafficData[[#This Row],[pendingCourt]]+TrafficData[[#This Row],[disposedCourt]]=TrafficData[[#This Row],[totalCourt]]</f>
        <v>1</v>
      </c>
      <c r="N842" s="8" t="b">
        <f>AND(TrafficData[[#This Row],[disposedChallan]]&lt;=TrafficData[[#This Row],[totalChallan]],TrafficData[[#This Row],[pendingChallan]]&lt;=TrafficData[[#This Row],[totalChallan]])</f>
        <v>1</v>
      </c>
      <c r="O842" s="8" t="b">
        <f>AND(TrafficData[[#This Row],[pendingAmount]]&lt;=TrafficData[[#This Row],[totalAmount]],TrafficData[[#This Row],[disposedAmount]]&lt;=TrafficData[[#This Row],[totalAmount]])</f>
        <v>1</v>
      </c>
      <c r="P842" s="8" t="b">
        <f>AND(TrafficData[[#This Row],[pendingCourt]]&lt;=TrafficData[[#This Row],[totalCourt]],TrafficData[[#This Row],[disposedCourt]]&lt;=TrafficData[[#This Row],[totalCourt]])</f>
        <v>1</v>
      </c>
    </row>
    <row r="843" spans="1:16">
      <c r="A843" s="1">
        <v>42846</v>
      </c>
      <c r="B843">
        <v>1126</v>
      </c>
      <c r="C843">
        <v>401</v>
      </c>
      <c r="D843">
        <v>725</v>
      </c>
      <c r="E843">
        <v>1250447</v>
      </c>
      <c r="F843">
        <v>1355095</v>
      </c>
      <c r="G843">
        <v>2605542</v>
      </c>
      <c r="H843">
        <v>344</v>
      </c>
      <c r="I843">
        <v>54</v>
      </c>
      <c r="J843">
        <v>398</v>
      </c>
      <c r="K843" t="b">
        <f>TrafficData[[#This Row],[disposedChallan]]+TrafficData[[#This Row],[pendingChallan]]=TrafficData[[#This Row],[totalChallan]]</f>
        <v>1</v>
      </c>
      <c r="L843" t="b">
        <f>TrafficData[[#This Row],[pendingAmount]]+TrafficData[[#This Row],[disposedAmount]]=TrafficData[[#This Row],[totalAmount]]</f>
        <v>1</v>
      </c>
      <c r="M843" t="b">
        <f>TrafficData[[#This Row],[pendingCourt]]+TrafficData[[#This Row],[disposedCourt]]=TrafficData[[#This Row],[totalCourt]]</f>
        <v>1</v>
      </c>
      <c r="N843" s="8" t="b">
        <f>AND(TrafficData[[#This Row],[disposedChallan]]&lt;=TrafficData[[#This Row],[totalChallan]],TrafficData[[#This Row],[pendingChallan]]&lt;=TrafficData[[#This Row],[totalChallan]])</f>
        <v>1</v>
      </c>
      <c r="O843" s="8" t="b">
        <f>AND(TrafficData[[#This Row],[pendingAmount]]&lt;=TrafficData[[#This Row],[totalAmount]],TrafficData[[#This Row],[disposedAmount]]&lt;=TrafficData[[#This Row],[totalAmount]])</f>
        <v>1</v>
      </c>
      <c r="P843" s="8" t="b">
        <f>AND(TrafficData[[#This Row],[pendingCourt]]&lt;=TrafficData[[#This Row],[totalCourt]],TrafficData[[#This Row],[disposedCourt]]&lt;=TrafficData[[#This Row],[totalCourt]])</f>
        <v>1</v>
      </c>
    </row>
    <row r="844" spans="1:16">
      <c r="A844" s="1">
        <v>42847</v>
      </c>
      <c r="B844">
        <v>1052</v>
      </c>
      <c r="C844">
        <v>420</v>
      </c>
      <c r="D844">
        <v>632</v>
      </c>
      <c r="E844">
        <v>1022250</v>
      </c>
      <c r="F844">
        <v>1437760</v>
      </c>
      <c r="G844">
        <v>2460010</v>
      </c>
      <c r="H844">
        <v>351</v>
      </c>
      <c r="I844">
        <v>49</v>
      </c>
      <c r="J844">
        <v>400</v>
      </c>
      <c r="K844" t="b">
        <f>TrafficData[[#This Row],[disposedChallan]]+TrafficData[[#This Row],[pendingChallan]]=TrafficData[[#This Row],[totalChallan]]</f>
        <v>1</v>
      </c>
      <c r="L844" t="b">
        <f>TrafficData[[#This Row],[pendingAmount]]+TrafficData[[#This Row],[disposedAmount]]=TrafficData[[#This Row],[totalAmount]]</f>
        <v>1</v>
      </c>
      <c r="M844" t="b">
        <f>TrafficData[[#This Row],[pendingCourt]]+TrafficData[[#This Row],[disposedCourt]]=TrafficData[[#This Row],[totalCourt]]</f>
        <v>1</v>
      </c>
      <c r="N844" s="8" t="b">
        <f>AND(TrafficData[[#This Row],[disposedChallan]]&lt;=TrafficData[[#This Row],[totalChallan]],TrafficData[[#This Row],[pendingChallan]]&lt;=TrafficData[[#This Row],[totalChallan]])</f>
        <v>1</v>
      </c>
      <c r="O844" s="8" t="b">
        <f>AND(TrafficData[[#This Row],[pendingAmount]]&lt;=TrafficData[[#This Row],[totalAmount]],TrafficData[[#This Row],[disposedAmount]]&lt;=TrafficData[[#This Row],[totalAmount]])</f>
        <v>1</v>
      </c>
      <c r="P844" s="8" t="b">
        <f>AND(TrafficData[[#This Row],[pendingCourt]]&lt;=TrafficData[[#This Row],[totalCourt]],TrafficData[[#This Row],[disposedCourt]]&lt;=TrafficData[[#This Row],[totalCourt]])</f>
        <v>1</v>
      </c>
    </row>
    <row r="845" spans="1:16">
      <c r="A845" s="1">
        <v>42848</v>
      </c>
      <c r="B845">
        <v>522</v>
      </c>
      <c r="C845">
        <v>198</v>
      </c>
      <c r="D845">
        <v>324</v>
      </c>
      <c r="E845">
        <v>445800</v>
      </c>
      <c r="F845">
        <v>522350</v>
      </c>
      <c r="G845">
        <v>968150</v>
      </c>
      <c r="H845">
        <v>105</v>
      </c>
      <c r="I845">
        <v>35</v>
      </c>
      <c r="J845">
        <v>140</v>
      </c>
      <c r="K845" t="b">
        <f>TrafficData[[#This Row],[disposedChallan]]+TrafficData[[#This Row],[pendingChallan]]=TrafficData[[#This Row],[totalChallan]]</f>
        <v>1</v>
      </c>
      <c r="L845" t="b">
        <f>TrafficData[[#This Row],[pendingAmount]]+TrafficData[[#This Row],[disposedAmount]]=TrafficData[[#This Row],[totalAmount]]</f>
        <v>1</v>
      </c>
      <c r="M845" t="b">
        <f>TrafficData[[#This Row],[pendingCourt]]+TrafficData[[#This Row],[disposedCourt]]=TrafficData[[#This Row],[totalCourt]]</f>
        <v>1</v>
      </c>
      <c r="N845" s="8" t="b">
        <f>AND(TrafficData[[#This Row],[disposedChallan]]&lt;=TrafficData[[#This Row],[totalChallan]],TrafficData[[#This Row],[pendingChallan]]&lt;=TrafficData[[#This Row],[totalChallan]])</f>
        <v>1</v>
      </c>
      <c r="O845" s="8" t="b">
        <f>AND(TrafficData[[#This Row],[pendingAmount]]&lt;=TrafficData[[#This Row],[totalAmount]],TrafficData[[#This Row],[disposedAmount]]&lt;=TrafficData[[#This Row],[totalAmount]])</f>
        <v>1</v>
      </c>
      <c r="P845" s="8" t="b">
        <f>AND(TrafficData[[#This Row],[pendingCourt]]&lt;=TrafficData[[#This Row],[totalCourt]],TrafficData[[#This Row],[disposedCourt]]&lt;=TrafficData[[#This Row],[totalCourt]])</f>
        <v>1</v>
      </c>
    </row>
    <row r="846" spans="1:16">
      <c r="A846" s="1">
        <v>42849</v>
      </c>
      <c r="B846">
        <v>1240</v>
      </c>
      <c r="C846">
        <v>469</v>
      </c>
      <c r="D846">
        <v>771</v>
      </c>
      <c r="E846">
        <v>1545835</v>
      </c>
      <c r="F846">
        <v>1262475</v>
      </c>
      <c r="G846">
        <v>2808310</v>
      </c>
      <c r="H846">
        <v>430</v>
      </c>
      <c r="I846">
        <v>60</v>
      </c>
      <c r="J846">
        <v>490</v>
      </c>
      <c r="K846" t="b">
        <f>TrafficData[[#This Row],[disposedChallan]]+TrafficData[[#This Row],[pendingChallan]]=TrafficData[[#This Row],[totalChallan]]</f>
        <v>1</v>
      </c>
      <c r="L846" t="b">
        <f>TrafficData[[#This Row],[pendingAmount]]+TrafficData[[#This Row],[disposedAmount]]=TrafficData[[#This Row],[totalAmount]]</f>
        <v>1</v>
      </c>
      <c r="M846" t="b">
        <f>TrafficData[[#This Row],[pendingCourt]]+TrafficData[[#This Row],[disposedCourt]]=TrafficData[[#This Row],[totalCourt]]</f>
        <v>1</v>
      </c>
      <c r="N846" s="8" t="b">
        <f>AND(TrafficData[[#This Row],[disposedChallan]]&lt;=TrafficData[[#This Row],[totalChallan]],TrafficData[[#This Row],[pendingChallan]]&lt;=TrafficData[[#This Row],[totalChallan]])</f>
        <v>1</v>
      </c>
      <c r="O846" s="8" t="b">
        <f>AND(TrafficData[[#This Row],[pendingAmount]]&lt;=TrafficData[[#This Row],[totalAmount]],TrafficData[[#This Row],[disposedAmount]]&lt;=TrafficData[[#This Row],[totalAmount]])</f>
        <v>1</v>
      </c>
      <c r="P846" s="8" t="b">
        <f>AND(TrafficData[[#This Row],[pendingCourt]]&lt;=TrafficData[[#This Row],[totalCourt]],TrafficData[[#This Row],[disposedCourt]]&lt;=TrafficData[[#This Row],[totalCourt]])</f>
        <v>1</v>
      </c>
    </row>
    <row r="847" spans="1:16">
      <c r="A847" s="1">
        <v>42850</v>
      </c>
      <c r="B847">
        <v>1887</v>
      </c>
      <c r="C847">
        <v>742</v>
      </c>
      <c r="D847">
        <v>1145</v>
      </c>
      <c r="E847">
        <v>1316600</v>
      </c>
      <c r="F847">
        <v>2145595</v>
      </c>
      <c r="G847">
        <v>3462195</v>
      </c>
      <c r="H847">
        <v>796</v>
      </c>
      <c r="I847">
        <v>117</v>
      </c>
      <c r="J847">
        <v>913</v>
      </c>
      <c r="K847" t="b">
        <f>TrafficData[[#This Row],[disposedChallan]]+TrafficData[[#This Row],[pendingChallan]]=TrafficData[[#This Row],[totalChallan]]</f>
        <v>1</v>
      </c>
      <c r="L847" t="b">
        <f>TrafficData[[#This Row],[pendingAmount]]+TrafficData[[#This Row],[disposedAmount]]=TrafficData[[#This Row],[totalAmount]]</f>
        <v>1</v>
      </c>
      <c r="M847" t="b">
        <f>TrafficData[[#This Row],[pendingCourt]]+TrafficData[[#This Row],[disposedCourt]]=TrafficData[[#This Row],[totalCourt]]</f>
        <v>1</v>
      </c>
      <c r="N847" s="8" t="b">
        <f>AND(TrafficData[[#This Row],[disposedChallan]]&lt;=TrafficData[[#This Row],[totalChallan]],TrafficData[[#This Row],[pendingChallan]]&lt;=TrafficData[[#This Row],[totalChallan]])</f>
        <v>1</v>
      </c>
      <c r="O847" s="8" t="b">
        <f>AND(TrafficData[[#This Row],[pendingAmount]]&lt;=TrafficData[[#This Row],[totalAmount]],TrafficData[[#This Row],[disposedAmount]]&lt;=TrafficData[[#This Row],[totalAmount]])</f>
        <v>1</v>
      </c>
      <c r="P847" s="8" t="b">
        <f>AND(TrafficData[[#This Row],[pendingCourt]]&lt;=TrafficData[[#This Row],[totalCourt]],TrafficData[[#This Row],[disposedCourt]]&lt;=TrafficData[[#This Row],[totalCourt]])</f>
        <v>1</v>
      </c>
    </row>
    <row r="848" spans="1:16">
      <c r="A848" s="1">
        <v>42851</v>
      </c>
      <c r="B848">
        <v>1729</v>
      </c>
      <c r="C848">
        <v>609</v>
      </c>
      <c r="D848">
        <v>1120</v>
      </c>
      <c r="E848">
        <v>1491600</v>
      </c>
      <c r="F848">
        <v>1725445</v>
      </c>
      <c r="G848">
        <v>3217045</v>
      </c>
      <c r="H848">
        <v>707</v>
      </c>
      <c r="I848">
        <v>51</v>
      </c>
      <c r="J848">
        <v>758</v>
      </c>
      <c r="K848" t="b">
        <f>TrafficData[[#This Row],[disposedChallan]]+TrafficData[[#This Row],[pendingChallan]]=TrafficData[[#This Row],[totalChallan]]</f>
        <v>1</v>
      </c>
      <c r="L848" t="b">
        <f>TrafficData[[#This Row],[pendingAmount]]+TrafficData[[#This Row],[disposedAmount]]=TrafficData[[#This Row],[totalAmount]]</f>
        <v>1</v>
      </c>
      <c r="M848" t="b">
        <f>TrafficData[[#This Row],[pendingCourt]]+TrafficData[[#This Row],[disposedCourt]]=TrafficData[[#This Row],[totalCourt]]</f>
        <v>1</v>
      </c>
      <c r="N848" s="8" t="b">
        <f>AND(TrafficData[[#This Row],[disposedChallan]]&lt;=TrafficData[[#This Row],[totalChallan]],TrafficData[[#This Row],[pendingChallan]]&lt;=TrafficData[[#This Row],[totalChallan]])</f>
        <v>1</v>
      </c>
      <c r="O848" s="8" t="b">
        <f>AND(TrafficData[[#This Row],[pendingAmount]]&lt;=TrafficData[[#This Row],[totalAmount]],TrafficData[[#This Row],[disposedAmount]]&lt;=TrafficData[[#This Row],[totalAmount]])</f>
        <v>1</v>
      </c>
      <c r="P848" s="8" t="b">
        <f>AND(TrafficData[[#This Row],[pendingCourt]]&lt;=TrafficData[[#This Row],[totalCourt]],TrafficData[[#This Row],[disposedCourt]]&lt;=TrafficData[[#This Row],[totalCourt]])</f>
        <v>1</v>
      </c>
    </row>
    <row r="849" spans="1:16">
      <c r="A849" s="1">
        <v>42852</v>
      </c>
      <c r="B849">
        <v>1664</v>
      </c>
      <c r="C849">
        <v>652</v>
      </c>
      <c r="D849">
        <v>1012</v>
      </c>
      <c r="E849">
        <v>1028200</v>
      </c>
      <c r="F849">
        <v>1663652</v>
      </c>
      <c r="G849">
        <v>2691852</v>
      </c>
      <c r="H849">
        <v>623</v>
      </c>
      <c r="I849">
        <v>98</v>
      </c>
      <c r="J849">
        <v>721</v>
      </c>
      <c r="K849" t="b">
        <f>TrafficData[[#This Row],[disposedChallan]]+TrafficData[[#This Row],[pendingChallan]]=TrafficData[[#This Row],[totalChallan]]</f>
        <v>1</v>
      </c>
      <c r="L849" t="b">
        <f>TrafficData[[#This Row],[pendingAmount]]+TrafficData[[#This Row],[disposedAmount]]=TrafficData[[#This Row],[totalAmount]]</f>
        <v>1</v>
      </c>
      <c r="M849" t="b">
        <f>TrafficData[[#This Row],[pendingCourt]]+TrafficData[[#This Row],[disposedCourt]]=TrafficData[[#This Row],[totalCourt]]</f>
        <v>1</v>
      </c>
      <c r="N849" s="8" t="b">
        <f>AND(TrafficData[[#This Row],[disposedChallan]]&lt;=TrafficData[[#This Row],[totalChallan]],TrafficData[[#This Row],[pendingChallan]]&lt;=TrafficData[[#This Row],[totalChallan]])</f>
        <v>1</v>
      </c>
      <c r="O849" s="8" t="b">
        <f>AND(TrafficData[[#This Row],[pendingAmount]]&lt;=TrafficData[[#This Row],[totalAmount]],TrafficData[[#This Row],[disposedAmount]]&lt;=TrafficData[[#This Row],[totalAmount]])</f>
        <v>1</v>
      </c>
      <c r="P849" s="8" t="b">
        <f>AND(TrafficData[[#This Row],[pendingCourt]]&lt;=TrafficData[[#This Row],[totalCourt]],TrafficData[[#This Row],[disposedCourt]]&lt;=TrafficData[[#This Row],[totalCourt]])</f>
        <v>1</v>
      </c>
    </row>
    <row r="850" spans="1:16">
      <c r="A850" s="1">
        <v>42853</v>
      </c>
      <c r="B850">
        <v>1815</v>
      </c>
      <c r="C850">
        <v>619</v>
      </c>
      <c r="D850">
        <v>1196</v>
      </c>
      <c r="E850">
        <v>1302899</v>
      </c>
      <c r="F850">
        <v>1157422</v>
      </c>
      <c r="G850">
        <v>2460321</v>
      </c>
      <c r="H850">
        <v>789</v>
      </c>
      <c r="I850">
        <v>93</v>
      </c>
      <c r="J850">
        <v>882</v>
      </c>
      <c r="K850" t="b">
        <f>TrafficData[[#This Row],[disposedChallan]]+TrafficData[[#This Row],[pendingChallan]]=TrafficData[[#This Row],[totalChallan]]</f>
        <v>1</v>
      </c>
      <c r="L850" t="b">
        <f>TrafficData[[#This Row],[pendingAmount]]+TrafficData[[#This Row],[disposedAmount]]=TrafficData[[#This Row],[totalAmount]]</f>
        <v>1</v>
      </c>
      <c r="M850" t="b">
        <f>TrafficData[[#This Row],[pendingCourt]]+TrafficData[[#This Row],[disposedCourt]]=TrafficData[[#This Row],[totalCourt]]</f>
        <v>1</v>
      </c>
      <c r="N850" s="8" t="b">
        <f>AND(TrafficData[[#This Row],[disposedChallan]]&lt;=TrafficData[[#This Row],[totalChallan]],TrafficData[[#This Row],[pendingChallan]]&lt;=TrafficData[[#This Row],[totalChallan]])</f>
        <v>1</v>
      </c>
      <c r="O850" s="8" t="b">
        <f>AND(TrafficData[[#This Row],[pendingAmount]]&lt;=TrafficData[[#This Row],[totalAmount]],TrafficData[[#This Row],[disposedAmount]]&lt;=TrafficData[[#This Row],[totalAmount]])</f>
        <v>1</v>
      </c>
      <c r="P850" s="8" t="b">
        <f>AND(TrafficData[[#This Row],[pendingCourt]]&lt;=TrafficData[[#This Row],[totalCourt]],TrafficData[[#This Row],[disposedCourt]]&lt;=TrafficData[[#This Row],[totalCourt]])</f>
        <v>1</v>
      </c>
    </row>
    <row r="851" spans="1:16">
      <c r="A851" s="1">
        <v>42854</v>
      </c>
      <c r="B851">
        <v>1571</v>
      </c>
      <c r="C851">
        <v>669</v>
      </c>
      <c r="D851">
        <v>902</v>
      </c>
      <c r="E851">
        <v>902602</v>
      </c>
      <c r="F851">
        <v>1499787</v>
      </c>
      <c r="G851">
        <v>2402389</v>
      </c>
      <c r="H851">
        <v>530</v>
      </c>
      <c r="I851">
        <v>73</v>
      </c>
      <c r="J851">
        <v>603</v>
      </c>
      <c r="K851" t="b">
        <f>TrafficData[[#This Row],[disposedChallan]]+TrafficData[[#This Row],[pendingChallan]]=TrafficData[[#This Row],[totalChallan]]</f>
        <v>1</v>
      </c>
      <c r="L851" t="b">
        <f>TrafficData[[#This Row],[pendingAmount]]+TrafficData[[#This Row],[disposedAmount]]=TrafficData[[#This Row],[totalAmount]]</f>
        <v>1</v>
      </c>
      <c r="M851" t="b">
        <f>TrafficData[[#This Row],[pendingCourt]]+TrafficData[[#This Row],[disposedCourt]]=TrafficData[[#This Row],[totalCourt]]</f>
        <v>1</v>
      </c>
      <c r="N851" s="8" t="b">
        <f>AND(TrafficData[[#This Row],[disposedChallan]]&lt;=TrafficData[[#This Row],[totalChallan]],TrafficData[[#This Row],[pendingChallan]]&lt;=TrafficData[[#This Row],[totalChallan]])</f>
        <v>1</v>
      </c>
      <c r="O851" s="8" t="b">
        <f>AND(TrafficData[[#This Row],[pendingAmount]]&lt;=TrafficData[[#This Row],[totalAmount]],TrafficData[[#This Row],[disposedAmount]]&lt;=TrafficData[[#This Row],[totalAmount]])</f>
        <v>1</v>
      </c>
      <c r="P851" s="8" t="b">
        <f>AND(TrafficData[[#This Row],[pendingCourt]]&lt;=TrafficData[[#This Row],[totalCourt]],TrafficData[[#This Row],[disposedCourt]]&lt;=TrafficData[[#This Row],[totalCourt]])</f>
        <v>1</v>
      </c>
    </row>
    <row r="852" spans="1:16">
      <c r="A852" s="1">
        <v>42855</v>
      </c>
      <c r="B852">
        <v>762</v>
      </c>
      <c r="C852">
        <v>326</v>
      </c>
      <c r="D852">
        <v>436</v>
      </c>
      <c r="E852">
        <v>665755</v>
      </c>
      <c r="F852">
        <v>555340</v>
      </c>
      <c r="G852">
        <v>1221095</v>
      </c>
      <c r="H852">
        <v>209</v>
      </c>
      <c r="I852">
        <v>30</v>
      </c>
      <c r="J852">
        <v>239</v>
      </c>
      <c r="K852" t="b">
        <f>TrafficData[[#This Row],[disposedChallan]]+TrafficData[[#This Row],[pendingChallan]]=TrafficData[[#This Row],[totalChallan]]</f>
        <v>1</v>
      </c>
      <c r="L852" t="b">
        <f>TrafficData[[#This Row],[pendingAmount]]+TrafficData[[#This Row],[disposedAmount]]=TrafficData[[#This Row],[totalAmount]]</f>
        <v>1</v>
      </c>
      <c r="M852" t="b">
        <f>TrafficData[[#This Row],[pendingCourt]]+TrafficData[[#This Row],[disposedCourt]]=TrafficData[[#This Row],[totalCourt]]</f>
        <v>1</v>
      </c>
      <c r="N852" s="8" t="b">
        <f>AND(TrafficData[[#This Row],[disposedChallan]]&lt;=TrafficData[[#This Row],[totalChallan]],TrafficData[[#This Row],[pendingChallan]]&lt;=TrafficData[[#This Row],[totalChallan]])</f>
        <v>1</v>
      </c>
      <c r="O852" s="8" t="b">
        <f>AND(TrafficData[[#This Row],[pendingAmount]]&lt;=TrafficData[[#This Row],[totalAmount]],TrafficData[[#This Row],[disposedAmount]]&lt;=TrafficData[[#This Row],[totalAmount]])</f>
        <v>1</v>
      </c>
      <c r="P852" s="8" t="b">
        <f>AND(TrafficData[[#This Row],[pendingCourt]]&lt;=TrafficData[[#This Row],[totalCourt]],TrafficData[[#This Row],[disposedCourt]]&lt;=TrafficData[[#This Row],[totalCourt]])</f>
        <v>1</v>
      </c>
    </row>
    <row r="853" spans="1:16">
      <c r="A853" s="1">
        <v>42856</v>
      </c>
      <c r="B853">
        <v>1184</v>
      </c>
      <c r="C853">
        <v>446</v>
      </c>
      <c r="D853">
        <v>738</v>
      </c>
      <c r="E853">
        <v>1458000</v>
      </c>
      <c r="F853">
        <v>1763220</v>
      </c>
      <c r="G853">
        <v>3221220</v>
      </c>
      <c r="H853">
        <v>460</v>
      </c>
      <c r="I853">
        <v>56</v>
      </c>
      <c r="J853">
        <v>516</v>
      </c>
      <c r="K853" t="b">
        <f>TrafficData[[#This Row],[disposedChallan]]+TrafficData[[#This Row],[pendingChallan]]=TrafficData[[#This Row],[totalChallan]]</f>
        <v>1</v>
      </c>
      <c r="L853" t="b">
        <f>TrafficData[[#This Row],[pendingAmount]]+TrafficData[[#This Row],[disposedAmount]]=TrafficData[[#This Row],[totalAmount]]</f>
        <v>1</v>
      </c>
      <c r="M853" t="b">
        <f>TrafficData[[#This Row],[pendingCourt]]+TrafficData[[#This Row],[disposedCourt]]=TrafficData[[#This Row],[totalCourt]]</f>
        <v>1</v>
      </c>
      <c r="N853" s="8" t="b">
        <f>AND(TrafficData[[#This Row],[disposedChallan]]&lt;=TrafficData[[#This Row],[totalChallan]],TrafficData[[#This Row],[pendingChallan]]&lt;=TrafficData[[#This Row],[totalChallan]])</f>
        <v>1</v>
      </c>
      <c r="O853" s="8" t="b">
        <f>AND(TrafficData[[#This Row],[pendingAmount]]&lt;=TrafficData[[#This Row],[totalAmount]],TrafficData[[#This Row],[disposedAmount]]&lt;=TrafficData[[#This Row],[totalAmount]])</f>
        <v>1</v>
      </c>
      <c r="P853" s="8" t="b">
        <f>AND(TrafficData[[#This Row],[pendingCourt]]&lt;=TrafficData[[#This Row],[totalCourt]],TrafficData[[#This Row],[disposedCourt]]&lt;=TrafficData[[#This Row],[totalCourt]])</f>
        <v>1</v>
      </c>
    </row>
    <row r="854" spans="1:16">
      <c r="A854" s="1">
        <v>42857</v>
      </c>
      <c r="B854">
        <v>1402</v>
      </c>
      <c r="C854">
        <v>541</v>
      </c>
      <c r="D854">
        <v>861</v>
      </c>
      <c r="E854">
        <v>1200800</v>
      </c>
      <c r="F854">
        <v>2157428</v>
      </c>
      <c r="G854">
        <v>3358228</v>
      </c>
      <c r="H854">
        <v>504</v>
      </c>
      <c r="I854">
        <v>73</v>
      </c>
      <c r="J854">
        <v>577</v>
      </c>
      <c r="K854" t="b">
        <f>TrafficData[[#This Row],[disposedChallan]]+TrafficData[[#This Row],[pendingChallan]]=TrafficData[[#This Row],[totalChallan]]</f>
        <v>1</v>
      </c>
      <c r="L854" t="b">
        <f>TrafficData[[#This Row],[pendingAmount]]+TrafficData[[#This Row],[disposedAmount]]=TrafficData[[#This Row],[totalAmount]]</f>
        <v>1</v>
      </c>
      <c r="M854" t="b">
        <f>TrafficData[[#This Row],[pendingCourt]]+TrafficData[[#This Row],[disposedCourt]]=TrafficData[[#This Row],[totalCourt]]</f>
        <v>1</v>
      </c>
      <c r="N854" s="8" t="b">
        <f>AND(TrafficData[[#This Row],[disposedChallan]]&lt;=TrafficData[[#This Row],[totalChallan]],TrafficData[[#This Row],[pendingChallan]]&lt;=TrafficData[[#This Row],[totalChallan]])</f>
        <v>1</v>
      </c>
      <c r="O854" s="8" t="b">
        <f>AND(TrafficData[[#This Row],[pendingAmount]]&lt;=TrafficData[[#This Row],[totalAmount]],TrafficData[[#This Row],[disposedAmount]]&lt;=TrafficData[[#This Row],[totalAmount]])</f>
        <v>1</v>
      </c>
      <c r="P854" s="8" t="b">
        <f>AND(TrafficData[[#This Row],[pendingCourt]]&lt;=TrafficData[[#This Row],[totalCourt]],TrafficData[[#This Row],[disposedCourt]]&lt;=TrafficData[[#This Row],[totalCourt]])</f>
        <v>1</v>
      </c>
    </row>
    <row r="855" spans="1:16">
      <c r="A855" s="1">
        <v>42858</v>
      </c>
      <c r="B855">
        <v>1391</v>
      </c>
      <c r="C855">
        <v>611</v>
      </c>
      <c r="D855">
        <v>780</v>
      </c>
      <c r="E855">
        <v>1677932</v>
      </c>
      <c r="F855">
        <v>2548617</v>
      </c>
      <c r="G855">
        <v>4226549</v>
      </c>
      <c r="H855">
        <v>477</v>
      </c>
      <c r="I855">
        <v>80</v>
      </c>
      <c r="J855">
        <v>557</v>
      </c>
      <c r="K855" t="b">
        <f>TrafficData[[#This Row],[disposedChallan]]+TrafficData[[#This Row],[pendingChallan]]=TrafficData[[#This Row],[totalChallan]]</f>
        <v>1</v>
      </c>
      <c r="L855" t="b">
        <f>TrafficData[[#This Row],[pendingAmount]]+TrafficData[[#This Row],[disposedAmount]]=TrafficData[[#This Row],[totalAmount]]</f>
        <v>1</v>
      </c>
      <c r="M855" t="b">
        <f>TrafficData[[#This Row],[pendingCourt]]+TrafficData[[#This Row],[disposedCourt]]=TrafficData[[#This Row],[totalCourt]]</f>
        <v>1</v>
      </c>
      <c r="N855" s="8" t="b">
        <f>AND(TrafficData[[#This Row],[disposedChallan]]&lt;=TrafficData[[#This Row],[totalChallan]],TrafficData[[#This Row],[pendingChallan]]&lt;=TrafficData[[#This Row],[totalChallan]])</f>
        <v>1</v>
      </c>
      <c r="O855" s="8" t="b">
        <f>AND(TrafficData[[#This Row],[pendingAmount]]&lt;=TrafficData[[#This Row],[totalAmount]],TrafficData[[#This Row],[disposedAmount]]&lt;=TrafficData[[#This Row],[totalAmount]])</f>
        <v>1</v>
      </c>
      <c r="P855" s="8" t="b">
        <f>AND(TrafficData[[#This Row],[pendingCourt]]&lt;=TrafficData[[#This Row],[totalCourt]],TrafficData[[#This Row],[disposedCourt]]&lt;=TrafficData[[#This Row],[totalCourt]])</f>
        <v>1</v>
      </c>
    </row>
    <row r="856" spans="1:16">
      <c r="A856" s="1">
        <v>42859</v>
      </c>
      <c r="B856">
        <v>1420</v>
      </c>
      <c r="C856">
        <v>549</v>
      </c>
      <c r="D856">
        <v>871</v>
      </c>
      <c r="E856">
        <v>1280500</v>
      </c>
      <c r="F856">
        <v>1962590</v>
      </c>
      <c r="G856">
        <v>3243090</v>
      </c>
      <c r="H856">
        <v>591</v>
      </c>
      <c r="I856">
        <v>52</v>
      </c>
      <c r="J856">
        <v>643</v>
      </c>
      <c r="K856" t="b">
        <f>TrafficData[[#This Row],[disposedChallan]]+TrafficData[[#This Row],[pendingChallan]]=TrafficData[[#This Row],[totalChallan]]</f>
        <v>1</v>
      </c>
      <c r="L856" t="b">
        <f>TrafficData[[#This Row],[pendingAmount]]+TrafficData[[#This Row],[disposedAmount]]=TrafficData[[#This Row],[totalAmount]]</f>
        <v>1</v>
      </c>
      <c r="M856" t="b">
        <f>TrafficData[[#This Row],[pendingCourt]]+TrafficData[[#This Row],[disposedCourt]]=TrafficData[[#This Row],[totalCourt]]</f>
        <v>1</v>
      </c>
      <c r="N856" s="8" t="b">
        <f>AND(TrafficData[[#This Row],[disposedChallan]]&lt;=TrafficData[[#This Row],[totalChallan]],TrafficData[[#This Row],[pendingChallan]]&lt;=TrafficData[[#This Row],[totalChallan]])</f>
        <v>1</v>
      </c>
      <c r="O856" s="8" t="b">
        <f>AND(TrafficData[[#This Row],[pendingAmount]]&lt;=TrafficData[[#This Row],[totalAmount]],TrafficData[[#This Row],[disposedAmount]]&lt;=TrafficData[[#This Row],[totalAmount]])</f>
        <v>1</v>
      </c>
      <c r="P856" s="8" t="b">
        <f>AND(TrafficData[[#This Row],[pendingCourt]]&lt;=TrafficData[[#This Row],[totalCourt]],TrafficData[[#This Row],[disposedCourt]]&lt;=TrafficData[[#This Row],[totalCourt]])</f>
        <v>1</v>
      </c>
    </row>
    <row r="857" spans="1:16">
      <c r="A857" s="1">
        <v>42860</v>
      </c>
      <c r="B857">
        <v>1487</v>
      </c>
      <c r="C857">
        <v>594</v>
      </c>
      <c r="D857">
        <v>893</v>
      </c>
      <c r="E857">
        <v>1418099</v>
      </c>
      <c r="F857">
        <v>2373746</v>
      </c>
      <c r="G857">
        <v>3791845</v>
      </c>
      <c r="H857">
        <v>652</v>
      </c>
      <c r="I857">
        <v>103</v>
      </c>
      <c r="J857">
        <v>755</v>
      </c>
      <c r="K857" t="b">
        <f>TrafficData[[#This Row],[disposedChallan]]+TrafficData[[#This Row],[pendingChallan]]=TrafficData[[#This Row],[totalChallan]]</f>
        <v>1</v>
      </c>
      <c r="L857" t="b">
        <f>TrafficData[[#This Row],[pendingAmount]]+TrafficData[[#This Row],[disposedAmount]]=TrafficData[[#This Row],[totalAmount]]</f>
        <v>1</v>
      </c>
      <c r="M857" t="b">
        <f>TrafficData[[#This Row],[pendingCourt]]+TrafficData[[#This Row],[disposedCourt]]=TrafficData[[#This Row],[totalCourt]]</f>
        <v>1</v>
      </c>
      <c r="N857" s="8" t="b">
        <f>AND(TrafficData[[#This Row],[disposedChallan]]&lt;=TrafficData[[#This Row],[totalChallan]],TrafficData[[#This Row],[pendingChallan]]&lt;=TrafficData[[#This Row],[totalChallan]])</f>
        <v>1</v>
      </c>
      <c r="O857" s="8" t="b">
        <f>AND(TrafficData[[#This Row],[pendingAmount]]&lt;=TrafficData[[#This Row],[totalAmount]],TrafficData[[#This Row],[disposedAmount]]&lt;=TrafficData[[#This Row],[totalAmount]])</f>
        <v>1</v>
      </c>
      <c r="P857" s="8" t="b">
        <f>AND(TrafficData[[#This Row],[pendingCourt]]&lt;=TrafficData[[#This Row],[totalCourt]],TrafficData[[#This Row],[disposedCourt]]&lt;=TrafficData[[#This Row],[totalCourt]])</f>
        <v>1</v>
      </c>
    </row>
    <row r="858" spans="1:16">
      <c r="A858" s="1">
        <v>42861</v>
      </c>
      <c r="B858">
        <v>1291</v>
      </c>
      <c r="C858">
        <v>589</v>
      </c>
      <c r="D858">
        <v>702</v>
      </c>
      <c r="E858">
        <v>1116900</v>
      </c>
      <c r="F858">
        <v>2099050</v>
      </c>
      <c r="G858">
        <v>3215950</v>
      </c>
      <c r="H858">
        <v>499</v>
      </c>
      <c r="I858">
        <v>97</v>
      </c>
      <c r="J858">
        <v>596</v>
      </c>
      <c r="K858" t="b">
        <f>TrafficData[[#This Row],[disposedChallan]]+TrafficData[[#This Row],[pendingChallan]]=TrafficData[[#This Row],[totalChallan]]</f>
        <v>1</v>
      </c>
      <c r="L858" t="b">
        <f>TrafficData[[#This Row],[pendingAmount]]+TrafficData[[#This Row],[disposedAmount]]=TrafficData[[#This Row],[totalAmount]]</f>
        <v>1</v>
      </c>
      <c r="M858" t="b">
        <f>TrafficData[[#This Row],[pendingCourt]]+TrafficData[[#This Row],[disposedCourt]]=TrafficData[[#This Row],[totalCourt]]</f>
        <v>1</v>
      </c>
      <c r="N858" s="8" t="b">
        <f>AND(TrafficData[[#This Row],[disposedChallan]]&lt;=TrafficData[[#This Row],[totalChallan]],TrafficData[[#This Row],[pendingChallan]]&lt;=TrafficData[[#This Row],[totalChallan]])</f>
        <v>1</v>
      </c>
      <c r="O858" s="8" t="b">
        <f>AND(TrafficData[[#This Row],[pendingAmount]]&lt;=TrafficData[[#This Row],[totalAmount]],TrafficData[[#This Row],[disposedAmount]]&lt;=TrafficData[[#This Row],[totalAmount]])</f>
        <v>1</v>
      </c>
      <c r="P858" s="8" t="b">
        <f>AND(TrafficData[[#This Row],[pendingCourt]]&lt;=TrafficData[[#This Row],[totalCourt]],TrafficData[[#This Row],[disposedCourt]]&lt;=TrafficData[[#This Row],[totalCourt]])</f>
        <v>1</v>
      </c>
    </row>
    <row r="859" spans="1:16">
      <c r="A859" s="1">
        <v>42862</v>
      </c>
      <c r="B859">
        <v>474</v>
      </c>
      <c r="C859">
        <v>180</v>
      </c>
      <c r="D859">
        <v>294</v>
      </c>
      <c r="E859">
        <v>537200</v>
      </c>
      <c r="F859">
        <v>572525</v>
      </c>
      <c r="G859">
        <v>1109725</v>
      </c>
      <c r="H859">
        <v>148</v>
      </c>
      <c r="I859">
        <v>17</v>
      </c>
      <c r="J859">
        <v>165</v>
      </c>
      <c r="K859" t="b">
        <f>TrafficData[[#This Row],[disposedChallan]]+TrafficData[[#This Row],[pendingChallan]]=TrafficData[[#This Row],[totalChallan]]</f>
        <v>1</v>
      </c>
      <c r="L859" t="b">
        <f>TrafficData[[#This Row],[pendingAmount]]+TrafficData[[#This Row],[disposedAmount]]=TrafficData[[#This Row],[totalAmount]]</f>
        <v>1</v>
      </c>
      <c r="M859" t="b">
        <f>TrafficData[[#This Row],[pendingCourt]]+TrafficData[[#This Row],[disposedCourt]]=TrafficData[[#This Row],[totalCourt]]</f>
        <v>1</v>
      </c>
      <c r="N859" s="8" t="b">
        <f>AND(TrafficData[[#This Row],[disposedChallan]]&lt;=TrafficData[[#This Row],[totalChallan]],TrafficData[[#This Row],[pendingChallan]]&lt;=TrafficData[[#This Row],[totalChallan]])</f>
        <v>1</v>
      </c>
      <c r="O859" s="8" t="b">
        <f>AND(TrafficData[[#This Row],[pendingAmount]]&lt;=TrafficData[[#This Row],[totalAmount]],TrafficData[[#This Row],[disposedAmount]]&lt;=TrafficData[[#This Row],[totalAmount]])</f>
        <v>1</v>
      </c>
      <c r="P859" s="8" t="b">
        <f>AND(TrafficData[[#This Row],[pendingCourt]]&lt;=TrafficData[[#This Row],[totalCourt]],TrafficData[[#This Row],[disposedCourt]]&lt;=TrafficData[[#This Row],[totalCourt]])</f>
        <v>1</v>
      </c>
    </row>
    <row r="860" spans="1:16">
      <c r="A860" s="1">
        <v>42863</v>
      </c>
      <c r="B860">
        <v>1799</v>
      </c>
      <c r="C860">
        <v>665</v>
      </c>
      <c r="D860">
        <v>1134</v>
      </c>
      <c r="E860">
        <v>1422150</v>
      </c>
      <c r="F860">
        <v>2197860</v>
      </c>
      <c r="G860">
        <v>3620010</v>
      </c>
      <c r="H860">
        <v>929</v>
      </c>
      <c r="I860">
        <v>88</v>
      </c>
      <c r="J860">
        <v>1017</v>
      </c>
      <c r="K860" t="b">
        <f>TrafficData[[#This Row],[disposedChallan]]+TrafficData[[#This Row],[pendingChallan]]=TrafficData[[#This Row],[totalChallan]]</f>
        <v>1</v>
      </c>
      <c r="L860" t="b">
        <f>TrafficData[[#This Row],[pendingAmount]]+TrafficData[[#This Row],[disposedAmount]]=TrafficData[[#This Row],[totalAmount]]</f>
        <v>1</v>
      </c>
      <c r="M860" t="b">
        <f>TrafficData[[#This Row],[pendingCourt]]+TrafficData[[#This Row],[disposedCourt]]=TrafficData[[#This Row],[totalCourt]]</f>
        <v>1</v>
      </c>
      <c r="N860" s="8" t="b">
        <f>AND(TrafficData[[#This Row],[disposedChallan]]&lt;=TrafficData[[#This Row],[totalChallan]],TrafficData[[#This Row],[pendingChallan]]&lt;=TrafficData[[#This Row],[totalChallan]])</f>
        <v>1</v>
      </c>
      <c r="O860" s="8" t="b">
        <f>AND(TrafficData[[#This Row],[pendingAmount]]&lt;=TrafficData[[#This Row],[totalAmount]],TrafficData[[#This Row],[disposedAmount]]&lt;=TrafficData[[#This Row],[totalAmount]])</f>
        <v>1</v>
      </c>
      <c r="P860" s="8" t="b">
        <f>AND(TrafficData[[#This Row],[pendingCourt]]&lt;=TrafficData[[#This Row],[totalCourt]],TrafficData[[#This Row],[disposedCourt]]&lt;=TrafficData[[#This Row],[totalCourt]])</f>
        <v>1</v>
      </c>
    </row>
    <row r="861" spans="1:16">
      <c r="A861" s="1">
        <v>42864</v>
      </c>
      <c r="B861">
        <v>1417</v>
      </c>
      <c r="C861">
        <v>660</v>
      </c>
      <c r="D861">
        <v>757</v>
      </c>
      <c r="E861">
        <v>1206950</v>
      </c>
      <c r="F861">
        <v>2294653</v>
      </c>
      <c r="G861">
        <v>3501603</v>
      </c>
      <c r="H861">
        <v>599</v>
      </c>
      <c r="I861">
        <v>110</v>
      </c>
      <c r="J861">
        <v>709</v>
      </c>
      <c r="K861" t="b">
        <f>TrafficData[[#This Row],[disposedChallan]]+TrafficData[[#This Row],[pendingChallan]]=TrafficData[[#This Row],[totalChallan]]</f>
        <v>1</v>
      </c>
      <c r="L861" t="b">
        <f>TrafficData[[#This Row],[pendingAmount]]+TrafficData[[#This Row],[disposedAmount]]=TrafficData[[#This Row],[totalAmount]]</f>
        <v>1</v>
      </c>
      <c r="M861" t="b">
        <f>TrafficData[[#This Row],[pendingCourt]]+TrafficData[[#This Row],[disposedCourt]]=TrafficData[[#This Row],[totalCourt]]</f>
        <v>1</v>
      </c>
      <c r="N861" s="8" t="b">
        <f>AND(TrafficData[[#This Row],[disposedChallan]]&lt;=TrafficData[[#This Row],[totalChallan]],TrafficData[[#This Row],[pendingChallan]]&lt;=TrafficData[[#This Row],[totalChallan]])</f>
        <v>1</v>
      </c>
      <c r="O861" s="8" t="b">
        <f>AND(TrafficData[[#This Row],[pendingAmount]]&lt;=TrafficData[[#This Row],[totalAmount]],TrafficData[[#This Row],[disposedAmount]]&lt;=TrafficData[[#This Row],[totalAmount]])</f>
        <v>1</v>
      </c>
      <c r="P861" s="8" t="b">
        <f>AND(TrafficData[[#This Row],[pendingCourt]]&lt;=TrafficData[[#This Row],[totalCourt]],TrafficData[[#This Row],[disposedCourt]]&lt;=TrafficData[[#This Row],[totalCourt]])</f>
        <v>1</v>
      </c>
    </row>
    <row r="862" spans="1:16">
      <c r="A862" s="1">
        <v>42865</v>
      </c>
      <c r="B862">
        <v>1170</v>
      </c>
      <c r="C862">
        <v>521</v>
      </c>
      <c r="D862">
        <v>649</v>
      </c>
      <c r="E862">
        <v>930000</v>
      </c>
      <c r="F862">
        <v>2134958</v>
      </c>
      <c r="G862">
        <v>3064958</v>
      </c>
      <c r="H862">
        <v>463</v>
      </c>
      <c r="I862">
        <v>96</v>
      </c>
      <c r="J862">
        <v>559</v>
      </c>
      <c r="K862" t="b">
        <f>TrafficData[[#This Row],[disposedChallan]]+TrafficData[[#This Row],[pendingChallan]]=TrafficData[[#This Row],[totalChallan]]</f>
        <v>1</v>
      </c>
      <c r="L862" t="b">
        <f>TrafficData[[#This Row],[pendingAmount]]+TrafficData[[#This Row],[disposedAmount]]=TrafficData[[#This Row],[totalAmount]]</f>
        <v>1</v>
      </c>
      <c r="M862" t="b">
        <f>TrafficData[[#This Row],[pendingCourt]]+TrafficData[[#This Row],[disposedCourt]]=TrafficData[[#This Row],[totalCourt]]</f>
        <v>1</v>
      </c>
      <c r="N862" s="8" t="b">
        <f>AND(TrafficData[[#This Row],[disposedChallan]]&lt;=TrafficData[[#This Row],[totalChallan]],TrafficData[[#This Row],[pendingChallan]]&lt;=TrafficData[[#This Row],[totalChallan]])</f>
        <v>1</v>
      </c>
      <c r="O862" s="8" t="b">
        <f>AND(TrafficData[[#This Row],[pendingAmount]]&lt;=TrafficData[[#This Row],[totalAmount]],TrafficData[[#This Row],[disposedAmount]]&lt;=TrafficData[[#This Row],[totalAmount]])</f>
        <v>1</v>
      </c>
      <c r="P862" s="8" t="b">
        <f>AND(TrafficData[[#This Row],[pendingCourt]]&lt;=TrafficData[[#This Row],[totalCourt]],TrafficData[[#This Row],[disposedCourt]]&lt;=TrafficData[[#This Row],[totalCourt]])</f>
        <v>1</v>
      </c>
    </row>
    <row r="863" spans="1:16">
      <c r="A863" s="1">
        <v>42866</v>
      </c>
      <c r="B863">
        <v>1480</v>
      </c>
      <c r="C863">
        <v>600</v>
      </c>
      <c r="D863">
        <v>880</v>
      </c>
      <c r="E863">
        <v>1223500</v>
      </c>
      <c r="F863">
        <v>2283455</v>
      </c>
      <c r="G863">
        <v>3506955</v>
      </c>
      <c r="H863">
        <v>608</v>
      </c>
      <c r="I863">
        <v>76</v>
      </c>
      <c r="J863">
        <v>684</v>
      </c>
      <c r="K863" t="b">
        <f>TrafficData[[#This Row],[disposedChallan]]+TrafficData[[#This Row],[pendingChallan]]=TrafficData[[#This Row],[totalChallan]]</f>
        <v>1</v>
      </c>
      <c r="L863" t="b">
        <f>TrafficData[[#This Row],[pendingAmount]]+TrafficData[[#This Row],[disposedAmount]]=TrafficData[[#This Row],[totalAmount]]</f>
        <v>1</v>
      </c>
      <c r="M863" t="b">
        <f>TrafficData[[#This Row],[pendingCourt]]+TrafficData[[#This Row],[disposedCourt]]=TrafficData[[#This Row],[totalCourt]]</f>
        <v>1</v>
      </c>
      <c r="N863" s="8" t="b">
        <f>AND(TrafficData[[#This Row],[disposedChallan]]&lt;=TrafficData[[#This Row],[totalChallan]],TrafficData[[#This Row],[pendingChallan]]&lt;=TrafficData[[#This Row],[totalChallan]])</f>
        <v>1</v>
      </c>
      <c r="O863" s="8" t="b">
        <f>AND(TrafficData[[#This Row],[pendingAmount]]&lt;=TrafficData[[#This Row],[totalAmount]],TrafficData[[#This Row],[disposedAmount]]&lt;=TrafficData[[#This Row],[totalAmount]])</f>
        <v>1</v>
      </c>
      <c r="P863" s="8" t="b">
        <f>AND(TrafficData[[#This Row],[pendingCourt]]&lt;=TrafficData[[#This Row],[totalCourt]],TrafficData[[#This Row],[disposedCourt]]&lt;=TrafficData[[#This Row],[totalCourt]])</f>
        <v>1</v>
      </c>
    </row>
    <row r="864" spans="1:16">
      <c r="A864" s="1">
        <v>42867</v>
      </c>
      <c r="B864">
        <v>1480</v>
      </c>
      <c r="C864">
        <v>670</v>
      </c>
      <c r="D864">
        <v>810</v>
      </c>
      <c r="E864">
        <v>1254500</v>
      </c>
      <c r="F864">
        <v>2798710</v>
      </c>
      <c r="G864">
        <v>4053210</v>
      </c>
      <c r="H864">
        <v>617</v>
      </c>
      <c r="I864">
        <v>86</v>
      </c>
      <c r="J864">
        <v>703</v>
      </c>
      <c r="K864" t="b">
        <f>TrafficData[[#This Row],[disposedChallan]]+TrafficData[[#This Row],[pendingChallan]]=TrafficData[[#This Row],[totalChallan]]</f>
        <v>1</v>
      </c>
      <c r="L864" t="b">
        <f>TrafficData[[#This Row],[pendingAmount]]+TrafficData[[#This Row],[disposedAmount]]=TrafficData[[#This Row],[totalAmount]]</f>
        <v>1</v>
      </c>
      <c r="M864" t="b">
        <f>TrafficData[[#This Row],[pendingCourt]]+TrafficData[[#This Row],[disposedCourt]]=TrafficData[[#This Row],[totalCourt]]</f>
        <v>1</v>
      </c>
      <c r="N864" s="8" t="b">
        <f>AND(TrafficData[[#This Row],[disposedChallan]]&lt;=TrafficData[[#This Row],[totalChallan]],TrafficData[[#This Row],[pendingChallan]]&lt;=TrafficData[[#This Row],[totalChallan]])</f>
        <v>1</v>
      </c>
      <c r="O864" s="8" t="b">
        <f>AND(TrafficData[[#This Row],[pendingAmount]]&lt;=TrafficData[[#This Row],[totalAmount]],TrafficData[[#This Row],[disposedAmount]]&lt;=TrafficData[[#This Row],[totalAmount]])</f>
        <v>1</v>
      </c>
      <c r="P864" s="8" t="b">
        <f>AND(TrafficData[[#This Row],[pendingCourt]]&lt;=TrafficData[[#This Row],[totalCourt]],TrafficData[[#This Row],[disposedCourt]]&lt;=TrafficData[[#This Row],[totalCourt]])</f>
        <v>1</v>
      </c>
    </row>
    <row r="865" spans="1:16">
      <c r="A865" s="1">
        <v>42868</v>
      </c>
      <c r="B865">
        <v>1339</v>
      </c>
      <c r="C865">
        <v>634</v>
      </c>
      <c r="D865">
        <v>705</v>
      </c>
      <c r="E865">
        <v>1448925</v>
      </c>
      <c r="F865">
        <v>2728095</v>
      </c>
      <c r="G865">
        <v>4177020</v>
      </c>
      <c r="H865">
        <v>490</v>
      </c>
      <c r="I865">
        <v>108</v>
      </c>
      <c r="J865">
        <v>598</v>
      </c>
      <c r="K865" t="b">
        <f>TrafficData[[#This Row],[disposedChallan]]+TrafficData[[#This Row],[pendingChallan]]=TrafficData[[#This Row],[totalChallan]]</f>
        <v>1</v>
      </c>
      <c r="L865" t="b">
        <f>TrafficData[[#This Row],[pendingAmount]]+TrafficData[[#This Row],[disposedAmount]]=TrafficData[[#This Row],[totalAmount]]</f>
        <v>1</v>
      </c>
      <c r="M865" t="b">
        <f>TrafficData[[#This Row],[pendingCourt]]+TrafficData[[#This Row],[disposedCourt]]=TrafficData[[#This Row],[totalCourt]]</f>
        <v>1</v>
      </c>
      <c r="N865" s="8" t="b">
        <f>AND(TrafficData[[#This Row],[disposedChallan]]&lt;=TrafficData[[#This Row],[totalChallan]],TrafficData[[#This Row],[pendingChallan]]&lt;=TrafficData[[#This Row],[totalChallan]])</f>
        <v>1</v>
      </c>
      <c r="O865" s="8" t="b">
        <f>AND(TrafficData[[#This Row],[pendingAmount]]&lt;=TrafficData[[#This Row],[totalAmount]],TrafficData[[#This Row],[disposedAmount]]&lt;=TrafficData[[#This Row],[totalAmount]])</f>
        <v>1</v>
      </c>
      <c r="P865" s="8" t="b">
        <f>AND(TrafficData[[#This Row],[pendingCourt]]&lt;=TrafficData[[#This Row],[totalCourt]],TrafficData[[#This Row],[disposedCourt]]&lt;=TrafficData[[#This Row],[totalCourt]])</f>
        <v>1</v>
      </c>
    </row>
    <row r="866" spans="1:16">
      <c r="A866" s="1">
        <v>42869</v>
      </c>
      <c r="B866">
        <v>769</v>
      </c>
      <c r="C866">
        <v>269</v>
      </c>
      <c r="D866">
        <v>500</v>
      </c>
      <c r="E866">
        <v>739780</v>
      </c>
      <c r="F866">
        <v>807760</v>
      </c>
      <c r="G866">
        <v>1547540</v>
      </c>
      <c r="H866">
        <v>367</v>
      </c>
      <c r="I866">
        <v>39</v>
      </c>
      <c r="J866">
        <v>406</v>
      </c>
      <c r="K866" t="b">
        <f>TrafficData[[#This Row],[disposedChallan]]+TrafficData[[#This Row],[pendingChallan]]=TrafficData[[#This Row],[totalChallan]]</f>
        <v>1</v>
      </c>
      <c r="L866" t="b">
        <f>TrafficData[[#This Row],[pendingAmount]]+TrafficData[[#This Row],[disposedAmount]]=TrafficData[[#This Row],[totalAmount]]</f>
        <v>1</v>
      </c>
      <c r="M866" t="b">
        <f>TrafficData[[#This Row],[pendingCourt]]+TrafficData[[#This Row],[disposedCourt]]=TrafficData[[#This Row],[totalCourt]]</f>
        <v>1</v>
      </c>
      <c r="N866" s="8" t="b">
        <f>AND(TrafficData[[#This Row],[disposedChallan]]&lt;=TrafficData[[#This Row],[totalChallan]],TrafficData[[#This Row],[pendingChallan]]&lt;=TrafficData[[#This Row],[totalChallan]])</f>
        <v>1</v>
      </c>
      <c r="O866" s="8" t="b">
        <f>AND(TrafficData[[#This Row],[pendingAmount]]&lt;=TrafficData[[#This Row],[totalAmount]],TrafficData[[#This Row],[disposedAmount]]&lt;=TrafficData[[#This Row],[totalAmount]])</f>
        <v>1</v>
      </c>
      <c r="P866" s="8" t="b">
        <f>AND(TrafficData[[#This Row],[pendingCourt]]&lt;=TrafficData[[#This Row],[totalCourt]],TrafficData[[#This Row],[disposedCourt]]&lt;=TrafficData[[#This Row],[totalCourt]])</f>
        <v>1</v>
      </c>
    </row>
    <row r="867" spans="1:16">
      <c r="A867" s="1">
        <v>42870</v>
      </c>
      <c r="B867">
        <v>1441</v>
      </c>
      <c r="C867">
        <v>574</v>
      </c>
      <c r="D867">
        <v>867</v>
      </c>
      <c r="E867">
        <v>1248000</v>
      </c>
      <c r="F867">
        <v>1778255</v>
      </c>
      <c r="G867">
        <v>3026255</v>
      </c>
      <c r="H867">
        <v>674</v>
      </c>
      <c r="I867">
        <v>82</v>
      </c>
      <c r="J867">
        <v>756</v>
      </c>
      <c r="K867" t="b">
        <f>TrafficData[[#This Row],[disposedChallan]]+TrafficData[[#This Row],[pendingChallan]]=TrafficData[[#This Row],[totalChallan]]</f>
        <v>1</v>
      </c>
      <c r="L867" t="b">
        <f>TrafficData[[#This Row],[pendingAmount]]+TrafficData[[#This Row],[disposedAmount]]=TrafficData[[#This Row],[totalAmount]]</f>
        <v>1</v>
      </c>
      <c r="M867" t="b">
        <f>TrafficData[[#This Row],[pendingCourt]]+TrafficData[[#This Row],[disposedCourt]]=TrafficData[[#This Row],[totalCourt]]</f>
        <v>1</v>
      </c>
      <c r="N867" s="8" t="b">
        <f>AND(TrafficData[[#This Row],[disposedChallan]]&lt;=TrafficData[[#This Row],[totalChallan]],TrafficData[[#This Row],[pendingChallan]]&lt;=TrafficData[[#This Row],[totalChallan]])</f>
        <v>1</v>
      </c>
      <c r="O867" s="8" t="b">
        <f>AND(TrafficData[[#This Row],[pendingAmount]]&lt;=TrafficData[[#This Row],[totalAmount]],TrafficData[[#This Row],[disposedAmount]]&lt;=TrafficData[[#This Row],[totalAmount]])</f>
        <v>1</v>
      </c>
      <c r="P867" s="8" t="b">
        <f>AND(TrafficData[[#This Row],[pendingCourt]]&lt;=TrafficData[[#This Row],[totalCourt]],TrafficData[[#This Row],[disposedCourt]]&lt;=TrafficData[[#This Row],[totalCourt]])</f>
        <v>1</v>
      </c>
    </row>
    <row r="868" spans="1:16">
      <c r="A868" s="1">
        <v>42871</v>
      </c>
      <c r="B868">
        <v>1577</v>
      </c>
      <c r="C868">
        <v>752</v>
      </c>
      <c r="D868">
        <v>825</v>
      </c>
      <c r="E868">
        <v>1394051</v>
      </c>
      <c r="F868">
        <v>2301652</v>
      </c>
      <c r="G868">
        <v>3695703</v>
      </c>
      <c r="H868">
        <v>642</v>
      </c>
      <c r="I868">
        <v>64</v>
      </c>
      <c r="J868">
        <v>706</v>
      </c>
      <c r="K868" t="b">
        <f>TrafficData[[#This Row],[disposedChallan]]+TrafficData[[#This Row],[pendingChallan]]=TrafficData[[#This Row],[totalChallan]]</f>
        <v>1</v>
      </c>
      <c r="L868" t="b">
        <f>TrafficData[[#This Row],[pendingAmount]]+TrafficData[[#This Row],[disposedAmount]]=TrafficData[[#This Row],[totalAmount]]</f>
        <v>1</v>
      </c>
      <c r="M868" t="b">
        <f>TrafficData[[#This Row],[pendingCourt]]+TrafficData[[#This Row],[disposedCourt]]=TrafficData[[#This Row],[totalCourt]]</f>
        <v>1</v>
      </c>
      <c r="N868" s="8" t="b">
        <f>AND(TrafficData[[#This Row],[disposedChallan]]&lt;=TrafficData[[#This Row],[totalChallan]],TrafficData[[#This Row],[pendingChallan]]&lt;=TrafficData[[#This Row],[totalChallan]])</f>
        <v>1</v>
      </c>
      <c r="O868" s="8" t="b">
        <f>AND(TrafficData[[#This Row],[pendingAmount]]&lt;=TrafficData[[#This Row],[totalAmount]],TrafficData[[#This Row],[disposedAmount]]&lt;=TrafficData[[#This Row],[totalAmount]])</f>
        <v>1</v>
      </c>
      <c r="P868" s="8" t="b">
        <f>AND(TrafficData[[#This Row],[pendingCourt]]&lt;=TrafficData[[#This Row],[totalCourt]],TrafficData[[#This Row],[disposedCourt]]&lt;=TrafficData[[#This Row],[totalCourt]])</f>
        <v>1</v>
      </c>
    </row>
    <row r="869" spans="1:16">
      <c r="A869" s="1">
        <v>42872</v>
      </c>
      <c r="B869">
        <v>2593</v>
      </c>
      <c r="C869">
        <v>1464</v>
      </c>
      <c r="D869">
        <v>1129</v>
      </c>
      <c r="E869">
        <v>1694212</v>
      </c>
      <c r="F869">
        <v>3691966</v>
      </c>
      <c r="G869">
        <v>5386178</v>
      </c>
      <c r="H869">
        <v>919</v>
      </c>
      <c r="I869">
        <v>159</v>
      </c>
      <c r="J869">
        <v>1078</v>
      </c>
      <c r="K869" t="b">
        <f>TrafficData[[#This Row],[disposedChallan]]+TrafficData[[#This Row],[pendingChallan]]=TrafficData[[#This Row],[totalChallan]]</f>
        <v>1</v>
      </c>
      <c r="L869" t="b">
        <f>TrafficData[[#This Row],[pendingAmount]]+TrafficData[[#This Row],[disposedAmount]]=TrafficData[[#This Row],[totalAmount]]</f>
        <v>1</v>
      </c>
      <c r="M869" t="b">
        <f>TrafficData[[#This Row],[pendingCourt]]+TrafficData[[#This Row],[disposedCourt]]=TrafficData[[#This Row],[totalCourt]]</f>
        <v>1</v>
      </c>
      <c r="N869" s="8" t="b">
        <f>AND(TrafficData[[#This Row],[disposedChallan]]&lt;=TrafficData[[#This Row],[totalChallan]],TrafficData[[#This Row],[pendingChallan]]&lt;=TrafficData[[#This Row],[totalChallan]])</f>
        <v>1</v>
      </c>
      <c r="O869" s="8" t="b">
        <f>AND(TrafficData[[#This Row],[pendingAmount]]&lt;=TrafficData[[#This Row],[totalAmount]],TrafficData[[#This Row],[disposedAmount]]&lt;=TrafficData[[#This Row],[totalAmount]])</f>
        <v>1</v>
      </c>
      <c r="P869" s="8" t="b">
        <f>AND(TrafficData[[#This Row],[pendingCourt]]&lt;=TrafficData[[#This Row],[totalCourt]],TrafficData[[#This Row],[disposedCourt]]&lt;=TrafficData[[#This Row],[totalCourt]])</f>
        <v>1</v>
      </c>
    </row>
    <row r="870" spans="1:16">
      <c r="A870" s="1">
        <v>42873</v>
      </c>
      <c r="B870">
        <v>2026</v>
      </c>
      <c r="C870">
        <v>1034</v>
      </c>
      <c r="D870">
        <v>992</v>
      </c>
      <c r="E870">
        <v>1901904</v>
      </c>
      <c r="F870">
        <v>3075652</v>
      </c>
      <c r="G870">
        <v>4977556</v>
      </c>
      <c r="H870">
        <v>801</v>
      </c>
      <c r="I870">
        <v>131</v>
      </c>
      <c r="J870">
        <v>932</v>
      </c>
      <c r="K870" t="b">
        <f>TrafficData[[#This Row],[disposedChallan]]+TrafficData[[#This Row],[pendingChallan]]=TrafficData[[#This Row],[totalChallan]]</f>
        <v>1</v>
      </c>
      <c r="L870" t="b">
        <f>TrafficData[[#This Row],[pendingAmount]]+TrafficData[[#This Row],[disposedAmount]]=TrafficData[[#This Row],[totalAmount]]</f>
        <v>1</v>
      </c>
      <c r="M870" t="b">
        <f>TrafficData[[#This Row],[pendingCourt]]+TrafficData[[#This Row],[disposedCourt]]=TrafficData[[#This Row],[totalCourt]]</f>
        <v>1</v>
      </c>
      <c r="N870" s="8" t="b">
        <f>AND(TrafficData[[#This Row],[disposedChallan]]&lt;=TrafficData[[#This Row],[totalChallan]],TrafficData[[#This Row],[pendingChallan]]&lt;=TrafficData[[#This Row],[totalChallan]])</f>
        <v>1</v>
      </c>
      <c r="O870" s="8" t="b">
        <f>AND(TrafficData[[#This Row],[pendingAmount]]&lt;=TrafficData[[#This Row],[totalAmount]],TrafficData[[#This Row],[disposedAmount]]&lt;=TrafficData[[#This Row],[totalAmount]])</f>
        <v>1</v>
      </c>
      <c r="P870" s="8" t="b">
        <f>AND(TrafficData[[#This Row],[pendingCourt]]&lt;=TrafficData[[#This Row],[totalCourt]],TrafficData[[#This Row],[disposedCourt]]&lt;=TrafficData[[#This Row],[totalCourt]])</f>
        <v>1</v>
      </c>
    </row>
    <row r="871" spans="1:16">
      <c r="A871" s="1">
        <v>42874</v>
      </c>
      <c r="B871">
        <v>2029</v>
      </c>
      <c r="C871">
        <v>1096</v>
      </c>
      <c r="D871">
        <v>933</v>
      </c>
      <c r="E871">
        <v>1744340</v>
      </c>
      <c r="F871">
        <v>3754512</v>
      </c>
      <c r="G871">
        <v>5498852</v>
      </c>
      <c r="H871">
        <v>738</v>
      </c>
      <c r="I871">
        <v>153</v>
      </c>
      <c r="J871">
        <v>891</v>
      </c>
      <c r="K871" t="b">
        <f>TrafficData[[#This Row],[disposedChallan]]+TrafficData[[#This Row],[pendingChallan]]=TrafficData[[#This Row],[totalChallan]]</f>
        <v>1</v>
      </c>
      <c r="L871" t="b">
        <f>TrafficData[[#This Row],[pendingAmount]]+TrafficData[[#This Row],[disposedAmount]]=TrafficData[[#This Row],[totalAmount]]</f>
        <v>1</v>
      </c>
      <c r="M871" t="b">
        <f>TrafficData[[#This Row],[pendingCourt]]+TrafficData[[#This Row],[disposedCourt]]=TrafficData[[#This Row],[totalCourt]]</f>
        <v>1</v>
      </c>
      <c r="N871" s="8" t="b">
        <f>AND(TrafficData[[#This Row],[disposedChallan]]&lt;=TrafficData[[#This Row],[totalChallan]],TrafficData[[#This Row],[pendingChallan]]&lt;=TrafficData[[#This Row],[totalChallan]])</f>
        <v>1</v>
      </c>
      <c r="O871" s="8" t="b">
        <f>AND(TrafficData[[#This Row],[pendingAmount]]&lt;=TrafficData[[#This Row],[totalAmount]],TrafficData[[#This Row],[disposedAmount]]&lt;=TrafficData[[#This Row],[totalAmount]])</f>
        <v>1</v>
      </c>
      <c r="P871" s="8" t="b">
        <f>AND(TrafficData[[#This Row],[pendingCourt]]&lt;=TrafficData[[#This Row],[totalCourt]],TrafficData[[#This Row],[disposedCourt]]&lt;=TrafficData[[#This Row],[totalCourt]])</f>
        <v>1</v>
      </c>
    </row>
    <row r="872" spans="1:16">
      <c r="A872" s="1">
        <v>42875</v>
      </c>
      <c r="B872">
        <v>1867</v>
      </c>
      <c r="C872">
        <v>972</v>
      </c>
      <c r="D872">
        <v>895</v>
      </c>
      <c r="E872">
        <v>1958002</v>
      </c>
      <c r="F872">
        <v>3633636</v>
      </c>
      <c r="G872">
        <v>5591638</v>
      </c>
      <c r="H872">
        <v>724</v>
      </c>
      <c r="I872">
        <v>170</v>
      </c>
      <c r="J872">
        <v>894</v>
      </c>
      <c r="K872" t="b">
        <f>TrafficData[[#This Row],[disposedChallan]]+TrafficData[[#This Row],[pendingChallan]]=TrafficData[[#This Row],[totalChallan]]</f>
        <v>1</v>
      </c>
      <c r="L872" t="b">
        <f>TrafficData[[#This Row],[pendingAmount]]+TrafficData[[#This Row],[disposedAmount]]=TrafficData[[#This Row],[totalAmount]]</f>
        <v>1</v>
      </c>
      <c r="M872" t="b">
        <f>TrafficData[[#This Row],[pendingCourt]]+TrafficData[[#This Row],[disposedCourt]]=TrafficData[[#This Row],[totalCourt]]</f>
        <v>1</v>
      </c>
      <c r="N872" s="8" t="b">
        <f>AND(TrafficData[[#This Row],[disposedChallan]]&lt;=TrafficData[[#This Row],[totalChallan]],TrafficData[[#This Row],[pendingChallan]]&lt;=TrafficData[[#This Row],[totalChallan]])</f>
        <v>1</v>
      </c>
      <c r="O872" s="8" t="b">
        <f>AND(TrafficData[[#This Row],[pendingAmount]]&lt;=TrafficData[[#This Row],[totalAmount]],TrafficData[[#This Row],[disposedAmount]]&lt;=TrafficData[[#This Row],[totalAmount]])</f>
        <v>1</v>
      </c>
      <c r="P872" s="8" t="b">
        <f>AND(TrafficData[[#This Row],[pendingCourt]]&lt;=TrafficData[[#This Row],[totalCourt]],TrafficData[[#This Row],[disposedCourt]]&lt;=TrafficData[[#This Row],[totalCourt]])</f>
        <v>1</v>
      </c>
    </row>
    <row r="873" spans="1:16">
      <c r="A873" s="1">
        <v>42876</v>
      </c>
      <c r="B873">
        <v>1092</v>
      </c>
      <c r="C873">
        <v>558</v>
      </c>
      <c r="D873">
        <v>534</v>
      </c>
      <c r="E873">
        <v>788900</v>
      </c>
      <c r="F873">
        <v>2250200</v>
      </c>
      <c r="G873">
        <v>3039100</v>
      </c>
      <c r="H873">
        <v>416</v>
      </c>
      <c r="I873">
        <v>61</v>
      </c>
      <c r="J873">
        <v>477</v>
      </c>
      <c r="K873" t="b">
        <f>TrafficData[[#This Row],[disposedChallan]]+TrafficData[[#This Row],[pendingChallan]]=TrafficData[[#This Row],[totalChallan]]</f>
        <v>1</v>
      </c>
      <c r="L873" t="b">
        <f>TrafficData[[#This Row],[pendingAmount]]+TrafficData[[#This Row],[disposedAmount]]=TrafficData[[#This Row],[totalAmount]]</f>
        <v>1</v>
      </c>
      <c r="M873" t="b">
        <f>TrafficData[[#This Row],[pendingCourt]]+TrafficData[[#This Row],[disposedCourt]]=TrafficData[[#This Row],[totalCourt]]</f>
        <v>1</v>
      </c>
      <c r="N873" s="8" t="b">
        <f>AND(TrafficData[[#This Row],[disposedChallan]]&lt;=TrafficData[[#This Row],[totalChallan]],TrafficData[[#This Row],[pendingChallan]]&lt;=TrafficData[[#This Row],[totalChallan]])</f>
        <v>1</v>
      </c>
      <c r="O873" s="8" t="b">
        <f>AND(TrafficData[[#This Row],[pendingAmount]]&lt;=TrafficData[[#This Row],[totalAmount]],TrafficData[[#This Row],[disposedAmount]]&lt;=TrafficData[[#This Row],[totalAmount]])</f>
        <v>1</v>
      </c>
      <c r="P873" s="8" t="b">
        <f>AND(TrafficData[[#This Row],[pendingCourt]]&lt;=TrafficData[[#This Row],[totalCourt]],TrafficData[[#This Row],[disposedCourt]]&lt;=TrafficData[[#This Row],[totalCourt]])</f>
        <v>1</v>
      </c>
    </row>
    <row r="874" spans="1:16">
      <c r="A874" s="1">
        <v>42877</v>
      </c>
      <c r="B874">
        <v>1843</v>
      </c>
      <c r="C874">
        <v>976</v>
      </c>
      <c r="D874">
        <v>867</v>
      </c>
      <c r="E874">
        <v>6085955</v>
      </c>
      <c r="F874">
        <v>2900450</v>
      </c>
      <c r="G874">
        <v>8986405</v>
      </c>
      <c r="H874">
        <v>692</v>
      </c>
      <c r="I874">
        <v>165</v>
      </c>
      <c r="J874">
        <v>857</v>
      </c>
      <c r="K874" t="b">
        <f>TrafficData[[#This Row],[disposedChallan]]+TrafficData[[#This Row],[pendingChallan]]=TrafficData[[#This Row],[totalChallan]]</f>
        <v>1</v>
      </c>
      <c r="L874" t="b">
        <f>TrafficData[[#This Row],[pendingAmount]]+TrafficData[[#This Row],[disposedAmount]]=TrafficData[[#This Row],[totalAmount]]</f>
        <v>1</v>
      </c>
      <c r="M874" t="b">
        <f>TrafficData[[#This Row],[pendingCourt]]+TrafficData[[#This Row],[disposedCourt]]=TrafficData[[#This Row],[totalCourt]]</f>
        <v>1</v>
      </c>
      <c r="N874" s="8" t="b">
        <f>AND(TrafficData[[#This Row],[disposedChallan]]&lt;=TrafficData[[#This Row],[totalChallan]],TrafficData[[#This Row],[pendingChallan]]&lt;=TrafficData[[#This Row],[totalChallan]])</f>
        <v>1</v>
      </c>
      <c r="O874" s="8" t="b">
        <f>AND(TrafficData[[#This Row],[pendingAmount]]&lt;=TrafficData[[#This Row],[totalAmount]],TrafficData[[#This Row],[disposedAmount]]&lt;=TrafficData[[#This Row],[totalAmount]])</f>
        <v>1</v>
      </c>
      <c r="P874" s="8" t="b">
        <f>AND(TrafficData[[#This Row],[pendingCourt]]&lt;=TrafficData[[#This Row],[totalCourt]],TrafficData[[#This Row],[disposedCourt]]&lt;=TrafficData[[#This Row],[totalCourt]])</f>
        <v>1</v>
      </c>
    </row>
    <row r="875" spans="1:16">
      <c r="A875" s="1">
        <v>42878</v>
      </c>
      <c r="B875">
        <v>1126</v>
      </c>
      <c r="C875">
        <v>348</v>
      </c>
      <c r="D875">
        <v>778</v>
      </c>
      <c r="E875">
        <v>1025050</v>
      </c>
      <c r="F875">
        <v>1052260</v>
      </c>
      <c r="G875">
        <v>2077310</v>
      </c>
      <c r="H875">
        <v>589</v>
      </c>
      <c r="I875">
        <v>79</v>
      </c>
      <c r="J875">
        <v>668</v>
      </c>
      <c r="K875" t="b">
        <f>TrafficData[[#This Row],[disposedChallan]]+TrafficData[[#This Row],[pendingChallan]]=TrafficData[[#This Row],[totalChallan]]</f>
        <v>1</v>
      </c>
      <c r="L875" t="b">
        <f>TrafficData[[#This Row],[pendingAmount]]+TrafficData[[#This Row],[disposedAmount]]=TrafficData[[#This Row],[totalAmount]]</f>
        <v>1</v>
      </c>
      <c r="M875" t="b">
        <f>TrafficData[[#This Row],[pendingCourt]]+TrafficData[[#This Row],[disposedCourt]]=TrafficData[[#This Row],[totalCourt]]</f>
        <v>1</v>
      </c>
      <c r="N875" s="8" t="b">
        <f>AND(TrafficData[[#This Row],[disposedChallan]]&lt;=TrafficData[[#This Row],[totalChallan]],TrafficData[[#This Row],[pendingChallan]]&lt;=TrafficData[[#This Row],[totalChallan]])</f>
        <v>1</v>
      </c>
      <c r="O875" s="8" t="b">
        <f>AND(TrafficData[[#This Row],[pendingAmount]]&lt;=TrafficData[[#This Row],[totalAmount]],TrafficData[[#This Row],[disposedAmount]]&lt;=TrafficData[[#This Row],[totalAmount]])</f>
        <v>1</v>
      </c>
      <c r="P875" s="8" t="b">
        <f>AND(TrafficData[[#This Row],[pendingCourt]]&lt;=TrafficData[[#This Row],[totalCourt]],TrafficData[[#This Row],[disposedCourt]]&lt;=TrafficData[[#This Row],[totalCourt]])</f>
        <v>1</v>
      </c>
    </row>
    <row r="876" spans="1:16">
      <c r="A876" s="1">
        <v>42879</v>
      </c>
      <c r="B876">
        <v>1052</v>
      </c>
      <c r="C876">
        <v>228</v>
      </c>
      <c r="D876">
        <v>824</v>
      </c>
      <c r="E876">
        <v>1070850</v>
      </c>
      <c r="F876">
        <v>474590</v>
      </c>
      <c r="G876">
        <v>1545440</v>
      </c>
      <c r="H876">
        <v>675</v>
      </c>
      <c r="I876">
        <v>28</v>
      </c>
      <c r="J876">
        <v>703</v>
      </c>
      <c r="K876" t="b">
        <f>TrafficData[[#This Row],[disposedChallan]]+TrafficData[[#This Row],[pendingChallan]]=TrafficData[[#This Row],[totalChallan]]</f>
        <v>1</v>
      </c>
      <c r="L876" t="b">
        <f>TrafficData[[#This Row],[pendingAmount]]+TrafficData[[#This Row],[disposedAmount]]=TrafficData[[#This Row],[totalAmount]]</f>
        <v>1</v>
      </c>
      <c r="M876" t="b">
        <f>TrafficData[[#This Row],[pendingCourt]]+TrafficData[[#This Row],[disposedCourt]]=TrafficData[[#This Row],[totalCourt]]</f>
        <v>1</v>
      </c>
      <c r="N876" s="8" t="b">
        <f>AND(TrafficData[[#This Row],[disposedChallan]]&lt;=TrafficData[[#This Row],[totalChallan]],TrafficData[[#This Row],[pendingChallan]]&lt;=TrafficData[[#This Row],[totalChallan]])</f>
        <v>1</v>
      </c>
      <c r="O876" s="8" t="b">
        <f>AND(TrafficData[[#This Row],[pendingAmount]]&lt;=TrafficData[[#This Row],[totalAmount]],TrafficData[[#This Row],[disposedAmount]]&lt;=TrafficData[[#This Row],[totalAmount]])</f>
        <v>1</v>
      </c>
      <c r="P876" s="8" t="b">
        <f>AND(TrafficData[[#This Row],[pendingCourt]]&lt;=TrafficData[[#This Row],[totalCourt]],TrafficData[[#This Row],[disposedCourt]]&lt;=TrafficData[[#This Row],[totalCourt]])</f>
        <v>1</v>
      </c>
    </row>
    <row r="877" spans="1:16">
      <c r="A877" s="1">
        <v>42880</v>
      </c>
      <c r="B877">
        <v>1004</v>
      </c>
      <c r="C877">
        <v>207</v>
      </c>
      <c r="D877">
        <v>797</v>
      </c>
      <c r="E877">
        <v>1022450</v>
      </c>
      <c r="F877">
        <v>388200</v>
      </c>
      <c r="G877">
        <v>1410650</v>
      </c>
      <c r="H877">
        <v>562</v>
      </c>
      <c r="I877">
        <v>55</v>
      </c>
      <c r="J877">
        <v>617</v>
      </c>
      <c r="K877" t="b">
        <f>TrafficData[[#This Row],[disposedChallan]]+TrafficData[[#This Row],[pendingChallan]]=TrafficData[[#This Row],[totalChallan]]</f>
        <v>1</v>
      </c>
      <c r="L877" t="b">
        <f>TrafficData[[#This Row],[pendingAmount]]+TrafficData[[#This Row],[disposedAmount]]=TrafficData[[#This Row],[totalAmount]]</f>
        <v>1</v>
      </c>
      <c r="M877" t="b">
        <f>TrafficData[[#This Row],[pendingCourt]]+TrafficData[[#This Row],[disposedCourt]]=TrafficData[[#This Row],[totalCourt]]</f>
        <v>1</v>
      </c>
      <c r="N877" s="8" t="b">
        <f>AND(TrafficData[[#This Row],[disposedChallan]]&lt;=TrafficData[[#This Row],[totalChallan]],TrafficData[[#This Row],[pendingChallan]]&lt;=TrafficData[[#This Row],[totalChallan]])</f>
        <v>1</v>
      </c>
      <c r="O877" s="8" t="b">
        <f>AND(TrafficData[[#This Row],[pendingAmount]]&lt;=TrafficData[[#This Row],[totalAmount]],TrafficData[[#This Row],[disposedAmount]]&lt;=TrafficData[[#This Row],[totalAmount]])</f>
        <v>1</v>
      </c>
      <c r="P877" s="8" t="b">
        <f>AND(TrafficData[[#This Row],[pendingCourt]]&lt;=TrafficData[[#This Row],[totalCourt]],TrafficData[[#This Row],[disposedCourt]]&lt;=TrafficData[[#This Row],[totalCourt]])</f>
        <v>1</v>
      </c>
    </row>
    <row r="878" spans="1:16">
      <c r="A878" s="1">
        <v>42881</v>
      </c>
      <c r="B878">
        <v>1474</v>
      </c>
      <c r="C878">
        <v>699</v>
      </c>
      <c r="D878">
        <v>775</v>
      </c>
      <c r="E878">
        <v>1280650</v>
      </c>
      <c r="F878">
        <v>1999075</v>
      </c>
      <c r="G878">
        <v>3279725</v>
      </c>
      <c r="H878">
        <v>526</v>
      </c>
      <c r="I878">
        <v>64</v>
      </c>
      <c r="J878">
        <v>590</v>
      </c>
      <c r="K878" t="b">
        <f>TrafficData[[#This Row],[disposedChallan]]+TrafficData[[#This Row],[pendingChallan]]=TrafficData[[#This Row],[totalChallan]]</f>
        <v>1</v>
      </c>
      <c r="L878" t="b">
        <f>TrafficData[[#This Row],[pendingAmount]]+TrafficData[[#This Row],[disposedAmount]]=TrafficData[[#This Row],[totalAmount]]</f>
        <v>1</v>
      </c>
      <c r="M878" t="b">
        <f>TrafficData[[#This Row],[pendingCourt]]+TrafficData[[#This Row],[disposedCourt]]=TrafficData[[#This Row],[totalCourt]]</f>
        <v>1</v>
      </c>
      <c r="N878" s="8" t="b">
        <f>AND(TrafficData[[#This Row],[disposedChallan]]&lt;=TrafficData[[#This Row],[totalChallan]],TrafficData[[#This Row],[pendingChallan]]&lt;=TrafficData[[#This Row],[totalChallan]])</f>
        <v>1</v>
      </c>
      <c r="O878" s="8" t="b">
        <f>AND(TrafficData[[#This Row],[pendingAmount]]&lt;=TrafficData[[#This Row],[totalAmount]],TrafficData[[#This Row],[disposedAmount]]&lt;=TrafficData[[#This Row],[totalAmount]])</f>
        <v>1</v>
      </c>
      <c r="P878" s="8" t="b">
        <f>AND(TrafficData[[#This Row],[pendingCourt]]&lt;=TrafficData[[#This Row],[totalCourt]],TrafficData[[#This Row],[disposedCourt]]&lt;=TrafficData[[#This Row],[totalCourt]])</f>
        <v>1</v>
      </c>
    </row>
    <row r="879" spans="1:16">
      <c r="A879" s="1">
        <v>42882</v>
      </c>
      <c r="B879">
        <v>1638</v>
      </c>
      <c r="C879">
        <v>975</v>
      </c>
      <c r="D879">
        <v>663</v>
      </c>
      <c r="E879">
        <v>1164800</v>
      </c>
      <c r="F879">
        <v>2521712</v>
      </c>
      <c r="G879">
        <v>3686512</v>
      </c>
      <c r="H879">
        <v>516</v>
      </c>
      <c r="I879">
        <v>122</v>
      </c>
      <c r="J879">
        <v>638</v>
      </c>
      <c r="K879" t="b">
        <f>TrafficData[[#This Row],[disposedChallan]]+TrafficData[[#This Row],[pendingChallan]]=TrafficData[[#This Row],[totalChallan]]</f>
        <v>1</v>
      </c>
      <c r="L879" t="b">
        <f>TrafficData[[#This Row],[pendingAmount]]+TrafficData[[#This Row],[disposedAmount]]=TrafficData[[#This Row],[totalAmount]]</f>
        <v>1</v>
      </c>
      <c r="M879" t="b">
        <f>TrafficData[[#This Row],[pendingCourt]]+TrafficData[[#This Row],[disposedCourt]]=TrafficData[[#This Row],[totalCourt]]</f>
        <v>1</v>
      </c>
      <c r="N879" s="8" t="b">
        <f>AND(TrafficData[[#This Row],[disposedChallan]]&lt;=TrafficData[[#This Row],[totalChallan]],TrafficData[[#This Row],[pendingChallan]]&lt;=TrafficData[[#This Row],[totalChallan]])</f>
        <v>1</v>
      </c>
      <c r="O879" s="8" t="b">
        <f>AND(TrafficData[[#This Row],[pendingAmount]]&lt;=TrafficData[[#This Row],[totalAmount]],TrafficData[[#This Row],[disposedAmount]]&lt;=TrafficData[[#This Row],[totalAmount]])</f>
        <v>1</v>
      </c>
      <c r="P879" s="8" t="b">
        <f>AND(TrafficData[[#This Row],[pendingCourt]]&lt;=TrafficData[[#This Row],[totalCourt]],TrafficData[[#This Row],[disposedCourt]]&lt;=TrafficData[[#This Row],[totalCourt]])</f>
        <v>1</v>
      </c>
    </row>
    <row r="880" spans="1:16">
      <c r="A880" s="1">
        <v>42883</v>
      </c>
      <c r="B880">
        <v>975</v>
      </c>
      <c r="C880">
        <v>590</v>
      </c>
      <c r="D880">
        <v>385</v>
      </c>
      <c r="E880">
        <v>1123096</v>
      </c>
      <c r="F880">
        <v>1664299</v>
      </c>
      <c r="G880">
        <v>2787395</v>
      </c>
      <c r="H880">
        <v>290</v>
      </c>
      <c r="I880">
        <v>78</v>
      </c>
      <c r="J880">
        <v>368</v>
      </c>
      <c r="K880" t="b">
        <f>TrafficData[[#This Row],[disposedChallan]]+TrafficData[[#This Row],[pendingChallan]]=TrafficData[[#This Row],[totalChallan]]</f>
        <v>1</v>
      </c>
      <c r="L880" t="b">
        <f>TrafficData[[#This Row],[pendingAmount]]+TrafficData[[#This Row],[disposedAmount]]=TrafficData[[#This Row],[totalAmount]]</f>
        <v>1</v>
      </c>
      <c r="M880" t="b">
        <f>TrafficData[[#This Row],[pendingCourt]]+TrafficData[[#This Row],[disposedCourt]]=TrafficData[[#This Row],[totalCourt]]</f>
        <v>1</v>
      </c>
      <c r="N880" s="8" t="b">
        <f>AND(TrafficData[[#This Row],[disposedChallan]]&lt;=TrafficData[[#This Row],[totalChallan]],TrafficData[[#This Row],[pendingChallan]]&lt;=TrafficData[[#This Row],[totalChallan]])</f>
        <v>1</v>
      </c>
      <c r="O880" s="8" t="b">
        <f>AND(TrafficData[[#This Row],[pendingAmount]]&lt;=TrafficData[[#This Row],[totalAmount]],TrafficData[[#This Row],[disposedAmount]]&lt;=TrafficData[[#This Row],[totalAmount]])</f>
        <v>1</v>
      </c>
      <c r="P880" s="8" t="b">
        <f>AND(TrafficData[[#This Row],[pendingCourt]]&lt;=TrafficData[[#This Row],[totalCourt]],TrafficData[[#This Row],[disposedCourt]]&lt;=TrafficData[[#This Row],[totalCourt]])</f>
        <v>1</v>
      </c>
    </row>
    <row r="881" spans="1:16">
      <c r="A881" s="1">
        <v>42884</v>
      </c>
      <c r="B881">
        <v>2073</v>
      </c>
      <c r="C881">
        <v>1230</v>
      </c>
      <c r="D881">
        <v>843</v>
      </c>
      <c r="E881">
        <v>1640835</v>
      </c>
      <c r="F881">
        <v>2781940</v>
      </c>
      <c r="G881">
        <v>4422775</v>
      </c>
      <c r="H881">
        <v>642</v>
      </c>
      <c r="I881">
        <v>141</v>
      </c>
      <c r="J881">
        <v>783</v>
      </c>
      <c r="K881" t="b">
        <f>TrafficData[[#This Row],[disposedChallan]]+TrafficData[[#This Row],[pendingChallan]]=TrafficData[[#This Row],[totalChallan]]</f>
        <v>1</v>
      </c>
      <c r="L881" t="b">
        <f>TrafficData[[#This Row],[pendingAmount]]+TrafficData[[#This Row],[disposedAmount]]=TrafficData[[#This Row],[totalAmount]]</f>
        <v>1</v>
      </c>
      <c r="M881" t="b">
        <f>TrafficData[[#This Row],[pendingCourt]]+TrafficData[[#This Row],[disposedCourt]]=TrafficData[[#This Row],[totalCourt]]</f>
        <v>1</v>
      </c>
      <c r="N881" s="8" t="b">
        <f>AND(TrafficData[[#This Row],[disposedChallan]]&lt;=TrafficData[[#This Row],[totalChallan]],TrafficData[[#This Row],[pendingChallan]]&lt;=TrafficData[[#This Row],[totalChallan]])</f>
        <v>1</v>
      </c>
      <c r="O881" s="8" t="b">
        <f>AND(TrafficData[[#This Row],[pendingAmount]]&lt;=TrafficData[[#This Row],[totalAmount]],TrafficData[[#This Row],[disposedAmount]]&lt;=TrafficData[[#This Row],[totalAmount]])</f>
        <v>1</v>
      </c>
      <c r="P881" s="8" t="b">
        <f>AND(TrafficData[[#This Row],[pendingCourt]]&lt;=TrafficData[[#This Row],[totalCourt]],TrafficData[[#This Row],[disposedCourt]]&lt;=TrafficData[[#This Row],[totalCourt]])</f>
        <v>1</v>
      </c>
    </row>
    <row r="882" spans="1:16">
      <c r="A882" s="1">
        <v>42885</v>
      </c>
      <c r="B882">
        <v>2435</v>
      </c>
      <c r="C882">
        <v>1298</v>
      </c>
      <c r="D882">
        <v>1137</v>
      </c>
      <c r="E882">
        <v>1609780</v>
      </c>
      <c r="F882">
        <v>3597782</v>
      </c>
      <c r="G882">
        <v>5207562</v>
      </c>
      <c r="H882">
        <v>916</v>
      </c>
      <c r="I882">
        <v>124</v>
      </c>
      <c r="J882">
        <v>1040</v>
      </c>
      <c r="K882" t="b">
        <f>TrafficData[[#This Row],[disposedChallan]]+TrafficData[[#This Row],[pendingChallan]]=TrafficData[[#This Row],[totalChallan]]</f>
        <v>1</v>
      </c>
      <c r="L882" t="b">
        <f>TrafficData[[#This Row],[pendingAmount]]+TrafficData[[#This Row],[disposedAmount]]=TrafficData[[#This Row],[totalAmount]]</f>
        <v>1</v>
      </c>
      <c r="M882" t="b">
        <f>TrafficData[[#This Row],[pendingCourt]]+TrafficData[[#This Row],[disposedCourt]]=TrafficData[[#This Row],[totalCourt]]</f>
        <v>1</v>
      </c>
      <c r="N882" s="8" t="b">
        <f>AND(TrafficData[[#This Row],[disposedChallan]]&lt;=TrafficData[[#This Row],[totalChallan]],TrafficData[[#This Row],[pendingChallan]]&lt;=TrafficData[[#This Row],[totalChallan]])</f>
        <v>1</v>
      </c>
      <c r="O882" s="8" t="b">
        <f>AND(TrafficData[[#This Row],[pendingAmount]]&lt;=TrafficData[[#This Row],[totalAmount]],TrafficData[[#This Row],[disposedAmount]]&lt;=TrafficData[[#This Row],[totalAmount]])</f>
        <v>1</v>
      </c>
      <c r="P882" s="8" t="b">
        <f>AND(TrafficData[[#This Row],[pendingCourt]]&lt;=TrafficData[[#This Row],[totalCourt]],TrafficData[[#This Row],[disposedCourt]]&lt;=TrafficData[[#This Row],[totalCourt]])</f>
        <v>1</v>
      </c>
    </row>
    <row r="883" spans="1:16">
      <c r="A883" s="1">
        <v>42886</v>
      </c>
      <c r="B883">
        <v>2348</v>
      </c>
      <c r="C883">
        <v>1539</v>
      </c>
      <c r="D883">
        <v>809</v>
      </c>
      <c r="E883">
        <v>2037868</v>
      </c>
      <c r="F883">
        <v>3734875</v>
      </c>
      <c r="G883">
        <v>5772743</v>
      </c>
      <c r="H883">
        <v>671</v>
      </c>
      <c r="I883">
        <v>142</v>
      </c>
      <c r="J883">
        <v>813</v>
      </c>
      <c r="K883" t="b">
        <f>TrafficData[[#This Row],[disposedChallan]]+TrafficData[[#This Row],[pendingChallan]]=TrafficData[[#This Row],[totalChallan]]</f>
        <v>1</v>
      </c>
      <c r="L883" t="b">
        <f>TrafficData[[#This Row],[pendingAmount]]+TrafficData[[#This Row],[disposedAmount]]=TrafficData[[#This Row],[totalAmount]]</f>
        <v>1</v>
      </c>
      <c r="M883" t="b">
        <f>TrafficData[[#This Row],[pendingCourt]]+TrafficData[[#This Row],[disposedCourt]]=TrafficData[[#This Row],[totalCourt]]</f>
        <v>1</v>
      </c>
      <c r="N883" s="8" t="b">
        <f>AND(TrafficData[[#This Row],[disposedChallan]]&lt;=TrafficData[[#This Row],[totalChallan]],TrafficData[[#This Row],[pendingChallan]]&lt;=TrafficData[[#This Row],[totalChallan]])</f>
        <v>1</v>
      </c>
      <c r="O883" s="8" t="b">
        <f>AND(TrafficData[[#This Row],[pendingAmount]]&lt;=TrafficData[[#This Row],[totalAmount]],TrafficData[[#This Row],[disposedAmount]]&lt;=TrafficData[[#This Row],[totalAmount]])</f>
        <v>1</v>
      </c>
      <c r="P883" s="8" t="b">
        <f>AND(TrafficData[[#This Row],[pendingCourt]]&lt;=TrafficData[[#This Row],[totalCourt]],TrafficData[[#This Row],[disposedCourt]]&lt;=TrafficData[[#This Row],[totalCourt]])</f>
        <v>1</v>
      </c>
    </row>
    <row r="884" spans="1:16">
      <c r="A884" s="1">
        <v>42887</v>
      </c>
      <c r="B884">
        <v>1699</v>
      </c>
      <c r="C884">
        <v>870</v>
      </c>
      <c r="D884">
        <v>829</v>
      </c>
      <c r="E884">
        <v>1456750</v>
      </c>
      <c r="F884">
        <v>4898823</v>
      </c>
      <c r="G884">
        <v>6355573</v>
      </c>
      <c r="H884">
        <v>663</v>
      </c>
      <c r="I884">
        <v>130</v>
      </c>
      <c r="J884">
        <v>793</v>
      </c>
      <c r="K884" t="b">
        <f>TrafficData[[#This Row],[disposedChallan]]+TrafficData[[#This Row],[pendingChallan]]=TrafficData[[#This Row],[totalChallan]]</f>
        <v>1</v>
      </c>
      <c r="L884" t="b">
        <f>TrafficData[[#This Row],[pendingAmount]]+TrafficData[[#This Row],[disposedAmount]]=TrafficData[[#This Row],[totalAmount]]</f>
        <v>1</v>
      </c>
      <c r="M884" t="b">
        <f>TrafficData[[#This Row],[pendingCourt]]+TrafficData[[#This Row],[disposedCourt]]=TrafficData[[#This Row],[totalCourt]]</f>
        <v>1</v>
      </c>
      <c r="N884" s="8" t="b">
        <f>AND(TrafficData[[#This Row],[disposedChallan]]&lt;=TrafficData[[#This Row],[totalChallan]],TrafficData[[#This Row],[pendingChallan]]&lt;=TrafficData[[#This Row],[totalChallan]])</f>
        <v>1</v>
      </c>
      <c r="O884" s="8" t="b">
        <f>AND(TrafficData[[#This Row],[pendingAmount]]&lt;=TrafficData[[#This Row],[totalAmount]],TrafficData[[#This Row],[disposedAmount]]&lt;=TrafficData[[#This Row],[totalAmount]])</f>
        <v>1</v>
      </c>
      <c r="P884" s="8" t="b">
        <f>AND(TrafficData[[#This Row],[pendingCourt]]&lt;=TrafficData[[#This Row],[totalCourt]],TrafficData[[#This Row],[disposedCourt]]&lt;=TrafficData[[#This Row],[totalCourt]])</f>
        <v>1</v>
      </c>
    </row>
    <row r="885" spans="1:16">
      <c r="A885" s="1">
        <v>42888</v>
      </c>
      <c r="B885">
        <v>1533</v>
      </c>
      <c r="C885">
        <v>869</v>
      </c>
      <c r="D885">
        <v>664</v>
      </c>
      <c r="E885">
        <v>1641804</v>
      </c>
      <c r="F885">
        <v>4150980</v>
      </c>
      <c r="G885">
        <v>5792784</v>
      </c>
      <c r="H885">
        <v>517</v>
      </c>
      <c r="I885">
        <v>128</v>
      </c>
      <c r="J885">
        <v>645</v>
      </c>
      <c r="K885" t="b">
        <f>TrafficData[[#This Row],[disposedChallan]]+TrafficData[[#This Row],[pendingChallan]]=TrafficData[[#This Row],[totalChallan]]</f>
        <v>1</v>
      </c>
      <c r="L885" t="b">
        <f>TrafficData[[#This Row],[pendingAmount]]+TrafficData[[#This Row],[disposedAmount]]=TrafficData[[#This Row],[totalAmount]]</f>
        <v>1</v>
      </c>
      <c r="M885" t="b">
        <f>TrafficData[[#This Row],[pendingCourt]]+TrafficData[[#This Row],[disposedCourt]]=TrafficData[[#This Row],[totalCourt]]</f>
        <v>1</v>
      </c>
      <c r="N885" s="8" t="b">
        <f>AND(TrafficData[[#This Row],[disposedChallan]]&lt;=TrafficData[[#This Row],[totalChallan]],TrafficData[[#This Row],[pendingChallan]]&lt;=TrafficData[[#This Row],[totalChallan]])</f>
        <v>1</v>
      </c>
      <c r="O885" s="8" t="b">
        <f>AND(TrafficData[[#This Row],[pendingAmount]]&lt;=TrafficData[[#This Row],[totalAmount]],TrafficData[[#This Row],[disposedAmount]]&lt;=TrafficData[[#This Row],[totalAmount]])</f>
        <v>1</v>
      </c>
      <c r="P885" s="8" t="b">
        <f>AND(TrafficData[[#This Row],[pendingCourt]]&lt;=TrafficData[[#This Row],[totalCourt]],TrafficData[[#This Row],[disposedCourt]]&lt;=TrafficData[[#This Row],[totalCourt]])</f>
        <v>1</v>
      </c>
    </row>
    <row r="886" spans="1:16">
      <c r="A886" s="1">
        <v>42889</v>
      </c>
      <c r="B886">
        <v>1599</v>
      </c>
      <c r="C886">
        <v>872</v>
      </c>
      <c r="D886">
        <v>727</v>
      </c>
      <c r="E886">
        <v>1761946</v>
      </c>
      <c r="F886">
        <v>4129636</v>
      </c>
      <c r="G886">
        <v>5891582</v>
      </c>
      <c r="H886">
        <v>543</v>
      </c>
      <c r="I886">
        <v>137</v>
      </c>
      <c r="J886">
        <v>680</v>
      </c>
      <c r="K886" t="b">
        <f>TrafficData[[#This Row],[disposedChallan]]+TrafficData[[#This Row],[pendingChallan]]=TrafficData[[#This Row],[totalChallan]]</f>
        <v>1</v>
      </c>
      <c r="L886" t="b">
        <f>TrafficData[[#This Row],[pendingAmount]]+TrafficData[[#This Row],[disposedAmount]]=TrafficData[[#This Row],[totalAmount]]</f>
        <v>1</v>
      </c>
      <c r="M886" t="b">
        <f>TrafficData[[#This Row],[pendingCourt]]+TrafficData[[#This Row],[disposedCourt]]=TrafficData[[#This Row],[totalCourt]]</f>
        <v>1</v>
      </c>
      <c r="N886" s="8" t="b">
        <f>AND(TrafficData[[#This Row],[disposedChallan]]&lt;=TrafficData[[#This Row],[totalChallan]],TrafficData[[#This Row],[pendingChallan]]&lt;=TrafficData[[#This Row],[totalChallan]])</f>
        <v>1</v>
      </c>
      <c r="O886" s="8" t="b">
        <f>AND(TrafficData[[#This Row],[pendingAmount]]&lt;=TrafficData[[#This Row],[totalAmount]],TrafficData[[#This Row],[disposedAmount]]&lt;=TrafficData[[#This Row],[totalAmount]])</f>
        <v>1</v>
      </c>
      <c r="P886" s="8" t="b">
        <f>AND(TrafficData[[#This Row],[pendingCourt]]&lt;=TrafficData[[#This Row],[totalCourt]],TrafficData[[#This Row],[disposedCourt]]&lt;=TrafficData[[#This Row],[totalCourt]])</f>
        <v>1</v>
      </c>
    </row>
    <row r="887" spans="1:16">
      <c r="A887" s="1">
        <v>42890</v>
      </c>
      <c r="B887">
        <v>701</v>
      </c>
      <c r="C887">
        <v>375</v>
      </c>
      <c r="D887">
        <v>326</v>
      </c>
      <c r="E887">
        <v>812330</v>
      </c>
      <c r="F887">
        <v>2333760</v>
      </c>
      <c r="G887">
        <v>3146090</v>
      </c>
      <c r="H887">
        <v>245</v>
      </c>
      <c r="I887">
        <v>36</v>
      </c>
      <c r="J887">
        <v>281</v>
      </c>
      <c r="K887" t="b">
        <f>TrafficData[[#This Row],[disposedChallan]]+TrafficData[[#This Row],[pendingChallan]]=TrafficData[[#This Row],[totalChallan]]</f>
        <v>1</v>
      </c>
      <c r="L887" t="b">
        <f>TrafficData[[#This Row],[pendingAmount]]+TrafficData[[#This Row],[disposedAmount]]=TrafficData[[#This Row],[totalAmount]]</f>
        <v>1</v>
      </c>
      <c r="M887" t="b">
        <f>TrafficData[[#This Row],[pendingCourt]]+TrafficData[[#This Row],[disposedCourt]]=TrafficData[[#This Row],[totalCourt]]</f>
        <v>1</v>
      </c>
      <c r="N887" s="8" t="b">
        <f>AND(TrafficData[[#This Row],[disposedChallan]]&lt;=TrafficData[[#This Row],[totalChallan]],TrafficData[[#This Row],[pendingChallan]]&lt;=TrafficData[[#This Row],[totalChallan]])</f>
        <v>1</v>
      </c>
      <c r="O887" s="8" t="b">
        <f>AND(TrafficData[[#This Row],[pendingAmount]]&lt;=TrafficData[[#This Row],[totalAmount]],TrafficData[[#This Row],[disposedAmount]]&lt;=TrafficData[[#This Row],[totalAmount]])</f>
        <v>1</v>
      </c>
      <c r="P887" s="8" t="b">
        <f>AND(TrafficData[[#This Row],[pendingCourt]]&lt;=TrafficData[[#This Row],[totalCourt]],TrafficData[[#This Row],[disposedCourt]]&lt;=TrafficData[[#This Row],[totalCourt]])</f>
        <v>1</v>
      </c>
    </row>
    <row r="888" spans="1:16">
      <c r="A888" s="1">
        <v>42891</v>
      </c>
      <c r="B888">
        <v>1746</v>
      </c>
      <c r="C888">
        <v>966</v>
      </c>
      <c r="D888">
        <v>780</v>
      </c>
      <c r="E888">
        <v>1358050</v>
      </c>
      <c r="F888">
        <v>5828830</v>
      </c>
      <c r="G888">
        <v>7186880</v>
      </c>
      <c r="H888">
        <v>589</v>
      </c>
      <c r="I888">
        <v>114</v>
      </c>
      <c r="J888">
        <v>703</v>
      </c>
      <c r="K888" t="b">
        <f>TrafficData[[#This Row],[disposedChallan]]+TrafficData[[#This Row],[pendingChallan]]=TrafficData[[#This Row],[totalChallan]]</f>
        <v>1</v>
      </c>
      <c r="L888" t="b">
        <f>TrafficData[[#This Row],[pendingAmount]]+TrafficData[[#This Row],[disposedAmount]]=TrafficData[[#This Row],[totalAmount]]</f>
        <v>1</v>
      </c>
      <c r="M888" t="b">
        <f>TrafficData[[#This Row],[pendingCourt]]+TrafficData[[#This Row],[disposedCourt]]=TrafficData[[#This Row],[totalCourt]]</f>
        <v>1</v>
      </c>
      <c r="N888" s="8" t="b">
        <f>AND(TrafficData[[#This Row],[disposedChallan]]&lt;=TrafficData[[#This Row],[totalChallan]],TrafficData[[#This Row],[pendingChallan]]&lt;=TrafficData[[#This Row],[totalChallan]])</f>
        <v>1</v>
      </c>
      <c r="O888" s="8" t="b">
        <f>AND(TrafficData[[#This Row],[pendingAmount]]&lt;=TrafficData[[#This Row],[totalAmount]],TrafficData[[#This Row],[disposedAmount]]&lt;=TrafficData[[#This Row],[totalAmount]])</f>
        <v>1</v>
      </c>
      <c r="P888" s="8" t="b">
        <f>AND(TrafficData[[#This Row],[pendingCourt]]&lt;=TrafficData[[#This Row],[totalCourt]],TrafficData[[#This Row],[disposedCourt]]&lt;=TrafficData[[#This Row],[totalCourt]])</f>
        <v>1</v>
      </c>
    </row>
    <row r="889" spans="1:16">
      <c r="A889" s="1">
        <v>42892</v>
      </c>
      <c r="B889">
        <v>1735</v>
      </c>
      <c r="C889">
        <v>952</v>
      </c>
      <c r="D889">
        <v>783</v>
      </c>
      <c r="E889">
        <v>1964886</v>
      </c>
      <c r="F889">
        <v>4538130</v>
      </c>
      <c r="G889">
        <v>6503016</v>
      </c>
      <c r="H889">
        <v>573</v>
      </c>
      <c r="I889">
        <v>136</v>
      </c>
      <c r="J889">
        <v>709</v>
      </c>
      <c r="K889" t="b">
        <f>TrafficData[[#This Row],[disposedChallan]]+TrafficData[[#This Row],[pendingChallan]]=TrafficData[[#This Row],[totalChallan]]</f>
        <v>1</v>
      </c>
      <c r="L889" t="b">
        <f>TrafficData[[#This Row],[pendingAmount]]+TrafficData[[#This Row],[disposedAmount]]=TrafficData[[#This Row],[totalAmount]]</f>
        <v>1</v>
      </c>
      <c r="M889" t="b">
        <f>TrafficData[[#This Row],[pendingCourt]]+TrafficData[[#This Row],[disposedCourt]]=TrafficData[[#This Row],[totalCourt]]</f>
        <v>1</v>
      </c>
      <c r="N889" s="8" t="b">
        <f>AND(TrafficData[[#This Row],[disposedChallan]]&lt;=TrafficData[[#This Row],[totalChallan]],TrafficData[[#This Row],[pendingChallan]]&lt;=TrafficData[[#This Row],[totalChallan]])</f>
        <v>1</v>
      </c>
      <c r="O889" s="8" t="b">
        <f>AND(TrafficData[[#This Row],[pendingAmount]]&lt;=TrafficData[[#This Row],[totalAmount]],TrafficData[[#This Row],[disposedAmount]]&lt;=TrafficData[[#This Row],[totalAmount]])</f>
        <v>1</v>
      </c>
      <c r="P889" s="8" t="b">
        <f>AND(TrafficData[[#This Row],[pendingCourt]]&lt;=TrafficData[[#This Row],[totalCourt]],TrafficData[[#This Row],[disposedCourt]]&lt;=TrafficData[[#This Row],[totalCourt]])</f>
        <v>1</v>
      </c>
    </row>
    <row r="890" spans="1:16">
      <c r="A890" s="1">
        <v>42893</v>
      </c>
      <c r="B890">
        <v>2148</v>
      </c>
      <c r="C890">
        <v>1143</v>
      </c>
      <c r="D890">
        <v>1005</v>
      </c>
      <c r="E890">
        <v>1951980</v>
      </c>
      <c r="F890">
        <v>5587265</v>
      </c>
      <c r="G890">
        <v>7539245</v>
      </c>
      <c r="H890">
        <v>787</v>
      </c>
      <c r="I890">
        <v>127</v>
      </c>
      <c r="J890">
        <v>914</v>
      </c>
      <c r="K890" t="b">
        <f>TrafficData[[#This Row],[disposedChallan]]+TrafficData[[#This Row],[pendingChallan]]=TrafficData[[#This Row],[totalChallan]]</f>
        <v>1</v>
      </c>
      <c r="L890" t="b">
        <f>TrafficData[[#This Row],[pendingAmount]]+TrafficData[[#This Row],[disposedAmount]]=TrafficData[[#This Row],[totalAmount]]</f>
        <v>1</v>
      </c>
      <c r="M890" t="b">
        <f>TrafficData[[#This Row],[pendingCourt]]+TrafficData[[#This Row],[disposedCourt]]=TrafficData[[#This Row],[totalCourt]]</f>
        <v>1</v>
      </c>
      <c r="N890" s="8" t="b">
        <f>AND(TrafficData[[#This Row],[disposedChallan]]&lt;=TrafficData[[#This Row],[totalChallan]],TrafficData[[#This Row],[pendingChallan]]&lt;=TrafficData[[#This Row],[totalChallan]])</f>
        <v>1</v>
      </c>
      <c r="O890" s="8" t="b">
        <f>AND(TrafficData[[#This Row],[pendingAmount]]&lt;=TrafficData[[#This Row],[totalAmount]],TrafficData[[#This Row],[disposedAmount]]&lt;=TrafficData[[#This Row],[totalAmount]])</f>
        <v>1</v>
      </c>
      <c r="P890" s="8" t="b">
        <f>AND(TrafficData[[#This Row],[pendingCourt]]&lt;=TrafficData[[#This Row],[totalCourt]],TrafficData[[#This Row],[disposedCourt]]&lt;=TrafficData[[#This Row],[totalCourt]])</f>
        <v>1</v>
      </c>
    </row>
    <row r="891" spans="1:16">
      <c r="A891" s="1">
        <v>42894</v>
      </c>
      <c r="B891">
        <v>1827</v>
      </c>
      <c r="C891">
        <v>1090</v>
      </c>
      <c r="D891">
        <v>737</v>
      </c>
      <c r="E891">
        <v>1722341</v>
      </c>
      <c r="F891">
        <v>5608185</v>
      </c>
      <c r="G891">
        <v>7330526</v>
      </c>
      <c r="H891">
        <v>585</v>
      </c>
      <c r="I891">
        <v>126</v>
      </c>
      <c r="J891">
        <v>711</v>
      </c>
      <c r="K891" t="b">
        <f>TrafficData[[#This Row],[disposedChallan]]+TrafficData[[#This Row],[pendingChallan]]=TrafficData[[#This Row],[totalChallan]]</f>
        <v>1</v>
      </c>
      <c r="L891" t="b">
        <f>TrafficData[[#This Row],[pendingAmount]]+TrafficData[[#This Row],[disposedAmount]]=TrafficData[[#This Row],[totalAmount]]</f>
        <v>1</v>
      </c>
      <c r="M891" t="b">
        <f>TrafficData[[#This Row],[pendingCourt]]+TrafficData[[#This Row],[disposedCourt]]=TrafficData[[#This Row],[totalCourt]]</f>
        <v>1</v>
      </c>
      <c r="N891" s="8" t="b">
        <f>AND(TrafficData[[#This Row],[disposedChallan]]&lt;=TrafficData[[#This Row],[totalChallan]],TrafficData[[#This Row],[pendingChallan]]&lt;=TrafficData[[#This Row],[totalChallan]])</f>
        <v>1</v>
      </c>
      <c r="O891" s="8" t="b">
        <f>AND(TrafficData[[#This Row],[pendingAmount]]&lt;=TrafficData[[#This Row],[totalAmount]],TrafficData[[#This Row],[disposedAmount]]&lt;=TrafficData[[#This Row],[totalAmount]])</f>
        <v>1</v>
      </c>
      <c r="P891" s="8" t="b">
        <f>AND(TrafficData[[#This Row],[pendingCourt]]&lt;=TrafficData[[#This Row],[totalCourt]],TrafficData[[#This Row],[disposedCourt]]&lt;=TrafficData[[#This Row],[totalCourt]])</f>
        <v>1</v>
      </c>
    </row>
    <row r="892" spans="1:16">
      <c r="A892" s="1">
        <v>42895</v>
      </c>
      <c r="B892">
        <v>1864</v>
      </c>
      <c r="C892">
        <v>1031</v>
      </c>
      <c r="D892">
        <v>833</v>
      </c>
      <c r="E892">
        <v>1997060</v>
      </c>
      <c r="F892">
        <v>6078943</v>
      </c>
      <c r="G892">
        <v>8076003</v>
      </c>
      <c r="H892">
        <v>655</v>
      </c>
      <c r="I892">
        <v>106</v>
      </c>
      <c r="J892">
        <v>761</v>
      </c>
      <c r="K892" t="b">
        <f>TrafficData[[#This Row],[disposedChallan]]+TrafficData[[#This Row],[pendingChallan]]=TrafficData[[#This Row],[totalChallan]]</f>
        <v>1</v>
      </c>
      <c r="L892" t="b">
        <f>TrafficData[[#This Row],[pendingAmount]]+TrafficData[[#This Row],[disposedAmount]]=TrafficData[[#This Row],[totalAmount]]</f>
        <v>1</v>
      </c>
      <c r="M892" t="b">
        <f>TrafficData[[#This Row],[pendingCourt]]+TrafficData[[#This Row],[disposedCourt]]=TrafficData[[#This Row],[totalCourt]]</f>
        <v>1</v>
      </c>
      <c r="N892" s="8" t="b">
        <f>AND(TrafficData[[#This Row],[disposedChallan]]&lt;=TrafficData[[#This Row],[totalChallan]],TrafficData[[#This Row],[pendingChallan]]&lt;=TrafficData[[#This Row],[totalChallan]])</f>
        <v>1</v>
      </c>
      <c r="O892" s="8" t="b">
        <f>AND(TrafficData[[#This Row],[pendingAmount]]&lt;=TrafficData[[#This Row],[totalAmount]],TrafficData[[#This Row],[disposedAmount]]&lt;=TrafficData[[#This Row],[totalAmount]])</f>
        <v>1</v>
      </c>
      <c r="P892" s="8" t="b">
        <f>AND(TrafficData[[#This Row],[pendingCourt]]&lt;=TrafficData[[#This Row],[totalCourt]],TrafficData[[#This Row],[disposedCourt]]&lt;=TrafficData[[#This Row],[totalCourt]])</f>
        <v>1</v>
      </c>
    </row>
    <row r="893" spans="1:16">
      <c r="A893" s="1">
        <v>42896</v>
      </c>
      <c r="B893">
        <v>1457</v>
      </c>
      <c r="C893">
        <v>769</v>
      </c>
      <c r="D893">
        <v>688</v>
      </c>
      <c r="E893">
        <v>1094600</v>
      </c>
      <c r="F893">
        <v>4044610</v>
      </c>
      <c r="G893">
        <v>5139210</v>
      </c>
      <c r="H893">
        <v>528</v>
      </c>
      <c r="I893">
        <v>89</v>
      </c>
      <c r="J893">
        <v>617</v>
      </c>
      <c r="K893" t="b">
        <f>TrafficData[[#This Row],[disposedChallan]]+TrafficData[[#This Row],[pendingChallan]]=TrafficData[[#This Row],[totalChallan]]</f>
        <v>1</v>
      </c>
      <c r="L893" t="b">
        <f>TrafficData[[#This Row],[pendingAmount]]+TrafficData[[#This Row],[disposedAmount]]=TrafficData[[#This Row],[totalAmount]]</f>
        <v>1</v>
      </c>
      <c r="M893" t="b">
        <f>TrafficData[[#This Row],[pendingCourt]]+TrafficData[[#This Row],[disposedCourt]]=TrafficData[[#This Row],[totalCourt]]</f>
        <v>1</v>
      </c>
      <c r="N893" s="8" t="b">
        <f>AND(TrafficData[[#This Row],[disposedChallan]]&lt;=TrafficData[[#This Row],[totalChallan]],TrafficData[[#This Row],[pendingChallan]]&lt;=TrafficData[[#This Row],[totalChallan]])</f>
        <v>1</v>
      </c>
      <c r="O893" s="8" t="b">
        <f>AND(TrafficData[[#This Row],[pendingAmount]]&lt;=TrafficData[[#This Row],[totalAmount]],TrafficData[[#This Row],[disposedAmount]]&lt;=TrafficData[[#This Row],[totalAmount]])</f>
        <v>1</v>
      </c>
      <c r="P893" s="8" t="b">
        <f>AND(TrafficData[[#This Row],[pendingCourt]]&lt;=TrafficData[[#This Row],[totalCourt]],TrafficData[[#This Row],[disposedCourt]]&lt;=TrafficData[[#This Row],[totalCourt]])</f>
        <v>1</v>
      </c>
    </row>
    <row r="894" spans="1:16">
      <c r="A894" s="1">
        <v>42897</v>
      </c>
      <c r="B894">
        <v>809</v>
      </c>
      <c r="C894">
        <v>488</v>
      </c>
      <c r="D894">
        <v>321</v>
      </c>
      <c r="E894">
        <v>851930</v>
      </c>
      <c r="F894">
        <v>2692663</v>
      </c>
      <c r="G894">
        <v>3544593</v>
      </c>
      <c r="H894">
        <v>217</v>
      </c>
      <c r="I894">
        <v>51</v>
      </c>
      <c r="J894">
        <v>268</v>
      </c>
      <c r="K894" t="b">
        <f>TrafficData[[#This Row],[disposedChallan]]+TrafficData[[#This Row],[pendingChallan]]=TrafficData[[#This Row],[totalChallan]]</f>
        <v>1</v>
      </c>
      <c r="L894" t="b">
        <f>TrafficData[[#This Row],[pendingAmount]]+TrafficData[[#This Row],[disposedAmount]]=TrafficData[[#This Row],[totalAmount]]</f>
        <v>1</v>
      </c>
      <c r="M894" t="b">
        <f>TrafficData[[#This Row],[pendingCourt]]+TrafficData[[#This Row],[disposedCourt]]=TrafficData[[#This Row],[totalCourt]]</f>
        <v>1</v>
      </c>
      <c r="N894" s="8" t="b">
        <f>AND(TrafficData[[#This Row],[disposedChallan]]&lt;=TrafficData[[#This Row],[totalChallan]],TrafficData[[#This Row],[pendingChallan]]&lt;=TrafficData[[#This Row],[totalChallan]])</f>
        <v>1</v>
      </c>
      <c r="O894" s="8" t="b">
        <f>AND(TrafficData[[#This Row],[pendingAmount]]&lt;=TrafficData[[#This Row],[totalAmount]],TrafficData[[#This Row],[disposedAmount]]&lt;=TrafficData[[#This Row],[totalAmount]])</f>
        <v>1</v>
      </c>
      <c r="P894" s="8" t="b">
        <f>AND(TrafficData[[#This Row],[pendingCourt]]&lt;=TrafficData[[#This Row],[totalCourt]],TrafficData[[#This Row],[disposedCourt]]&lt;=TrafficData[[#This Row],[totalCourt]])</f>
        <v>1</v>
      </c>
    </row>
    <row r="895" spans="1:16">
      <c r="A895" s="1">
        <v>42898</v>
      </c>
      <c r="B895">
        <v>1780</v>
      </c>
      <c r="C895">
        <v>943</v>
      </c>
      <c r="D895">
        <v>837</v>
      </c>
      <c r="E895">
        <v>1434300</v>
      </c>
      <c r="F895">
        <v>5062826</v>
      </c>
      <c r="G895">
        <v>6497126</v>
      </c>
      <c r="H895">
        <v>628</v>
      </c>
      <c r="I895">
        <v>129</v>
      </c>
      <c r="J895">
        <v>757</v>
      </c>
      <c r="K895" t="b">
        <f>TrafficData[[#This Row],[disposedChallan]]+TrafficData[[#This Row],[pendingChallan]]=TrafficData[[#This Row],[totalChallan]]</f>
        <v>1</v>
      </c>
      <c r="L895" t="b">
        <f>TrafficData[[#This Row],[pendingAmount]]+TrafficData[[#This Row],[disposedAmount]]=TrafficData[[#This Row],[totalAmount]]</f>
        <v>1</v>
      </c>
      <c r="M895" t="b">
        <f>TrafficData[[#This Row],[pendingCourt]]+TrafficData[[#This Row],[disposedCourt]]=TrafficData[[#This Row],[totalCourt]]</f>
        <v>1</v>
      </c>
      <c r="N895" s="8" t="b">
        <f>AND(TrafficData[[#This Row],[disposedChallan]]&lt;=TrafficData[[#This Row],[totalChallan]],TrafficData[[#This Row],[pendingChallan]]&lt;=TrafficData[[#This Row],[totalChallan]])</f>
        <v>1</v>
      </c>
      <c r="O895" s="8" t="b">
        <f>AND(TrafficData[[#This Row],[pendingAmount]]&lt;=TrafficData[[#This Row],[totalAmount]],TrafficData[[#This Row],[disposedAmount]]&lt;=TrafficData[[#This Row],[totalAmount]])</f>
        <v>1</v>
      </c>
      <c r="P895" s="8" t="b">
        <f>AND(TrafficData[[#This Row],[pendingCourt]]&lt;=TrafficData[[#This Row],[totalCourt]],TrafficData[[#This Row],[disposedCourt]]&lt;=TrafficData[[#This Row],[totalCourt]])</f>
        <v>1</v>
      </c>
    </row>
    <row r="896" spans="1:16">
      <c r="A896" s="1">
        <v>42899</v>
      </c>
      <c r="B896">
        <v>2017</v>
      </c>
      <c r="C896">
        <v>1110</v>
      </c>
      <c r="D896">
        <v>907</v>
      </c>
      <c r="E896">
        <v>1711800</v>
      </c>
      <c r="F896">
        <v>6604064</v>
      </c>
      <c r="G896">
        <v>8315864</v>
      </c>
      <c r="H896">
        <v>705</v>
      </c>
      <c r="I896">
        <v>119</v>
      </c>
      <c r="J896">
        <v>824</v>
      </c>
      <c r="K896" t="b">
        <f>TrafficData[[#This Row],[disposedChallan]]+TrafficData[[#This Row],[pendingChallan]]=TrafficData[[#This Row],[totalChallan]]</f>
        <v>1</v>
      </c>
      <c r="L896" t="b">
        <f>TrafficData[[#This Row],[pendingAmount]]+TrafficData[[#This Row],[disposedAmount]]=TrafficData[[#This Row],[totalAmount]]</f>
        <v>1</v>
      </c>
      <c r="M896" t="b">
        <f>TrafficData[[#This Row],[pendingCourt]]+TrafficData[[#This Row],[disposedCourt]]=TrafficData[[#This Row],[totalCourt]]</f>
        <v>1</v>
      </c>
      <c r="N896" s="8" t="b">
        <f>AND(TrafficData[[#This Row],[disposedChallan]]&lt;=TrafficData[[#This Row],[totalChallan]],TrafficData[[#This Row],[pendingChallan]]&lt;=TrafficData[[#This Row],[totalChallan]])</f>
        <v>1</v>
      </c>
      <c r="O896" s="8" t="b">
        <f>AND(TrafficData[[#This Row],[pendingAmount]]&lt;=TrafficData[[#This Row],[totalAmount]],TrafficData[[#This Row],[disposedAmount]]&lt;=TrafficData[[#This Row],[totalAmount]])</f>
        <v>1</v>
      </c>
      <c r="P896" s="8" t="b">
        <f>AND(TrafficData[[#This Row],[pendingCourt]]&lt;=TrafficData[[#This Row],[totalCourt]],TrafficData[[#This Row],[disposedCourt]]&lt;=TrafficData[[#This Row],[totalCourt]])</f>
        <v>1</v>
      </c>
    </row>
    <row r="897" spans="1:16">
      <c r="A897" s="1">
        <v>42900</v>
      </c>
      <c r="B897">
        <v>1791</v>
      </c>
      <c r="C897">
        <v>999</v>
      </c>
      <c r="D897">
        <v>792</v>
      </c>
      <c r="E897">
        <v>1979250</v>
      </c>
      <c r="F897">
        <v>5243893</v>
      </c>
      <c r="G897">
        <v>7223143</v>
      </c>
      <c r="H897">
        <v>556</v>
      </c>
      <c r="I897">
        <v>112</v>
      </c>
      <c r="J897">
        <v>668</v>
      </c>
      <c r="K897" t="b">
        <f>TrafficData[[#This Row],[disposedChallan]]+TrafficData[[#This Row],[pendingChallan]]=TrafficData[[#This Row],[totalChallan]]</f>
        <v>1</v>
      </c>
      <c r="L897" t="b">
        <f>TrafficData[[#This Row],[pendingAmount]]+TrafficData[[#This Row],[disposedAmount]]=TrafficData[[#This Row],[totalAmount]]</f>
        <v>1</v>
      </c>
      <c r="M897" t="b">
        <f>TrafficData[[#This Row],[pendingCourt]]+TrafficData[[#This Row],[disposedCourt]]=TrafficData[[#This Row],[totalCourt]]</f>
        <v>1</v>
      </c>
      <c r="N897" s="8" t="b">
        <f>AND(TrafficData[[#This Row],[disposedChallan]]&lt;=TrafficData[[#This Row],[totalChallan]],TrafficData[[#This Row],[pendingChallan]]&lt;=TrafficData[[#This Row],[totalChallan]])</f>
        <v>1</v>
      </c>
      <c r="O897" s="8" t="b">
        <f>AND(TrafficData[[#This Row],[pendingAmount]]&lt;=TrafficData[[#This Row],[totalAmount]],TrafficData[[#This Row],[disposedAmount]]&lt;=TrafficData[[#This Row],[totalAmount]])</f>
        <v>1</v>
      </c>
      <c r="P897" s="8" t="b">
        <f>AND(TrafficData[[#This Row],[pendingCourt]]&lt;=TrafficData[[#This Row],[totalCourt]],TrafficData[[#This Row],[disposedCourt]]&lt;=TrafficData[[#This Row],[totalCourt]])</f>
        <v>1</v>
      </c>
    </row>
    <row r="898" spans="1:16">
      <c r="A898" s="1">
        <v>42901</v>
      </c>
      <c r="B898">
        <v>1929</v>
      </c>
      <c r="C898">
        <v>1143</v>
      </c>
      <c r="D898">
        <v>786</v>
      </c>
      <c r="E898">
        <v>1927140</v>
      </c>
      <c r="F898">
        <v>6112900</v>
      </c>
      <c r="G898">
        <v>8040040</v>
      </c>
      <c r="H898">
        <v>558</v>
      </c>
      <c r="I898">
        <v>101</v>
      </c>
      <c r="J898">
        <v>659</v>
      </c>
      <c r="K898" t="b">
        <f>TrafficData[[#This Row],[disposedChallan]]+TrafficData[[#This Row],[pendingChallan]]=TrafficData[[#This Row],[totalChallan]]</f>
        <v>1</v>
      </c>
      <c r="L898" t="b">
        <f>TrafficData[[#This Row],[pendingAmount]]+TrafficData[[#This Row],[disposedAmount]]=TrafficData[[#This Row],[totalAmount]]</f>
        <v>1</v>
      </c>
      <c r="M898" t="b">
        <f>TrafficData[[#This Row],[pendingCourt]]+TrafficData[[#This Row],[disposedCourt]]=TrafficData[[#This Row],[totalCourt]]</f>
        <v>1</v>
      </c>
      <c r="N898" s="8" t="b">
        <f>AND(TrafficData[[#This Row],[disposedChallan]]&lt;=TrafficData[[#This Row],[totalChallan]],TrafficData[[#This Row],[pendingChallan]]&lt;=TrafficData[[#This Row],[totalChallan]])</f>
        <v>1</v>
      </c>
      <c r="O898" s="8" t="b">
        <f>AND(TrafficData[[#This Row],[pendingAmount]]&lt;=TrafficData[[#This Row],[totalAmount]],TrafficData[[#This Row],[disposedAmount]]&lt;=TrafficData[[#This Row],[totalAmount]])</f>
        <v>1</v>
      </c>
      <c r="P898" s="8" t="b">
        <f>AND(TrafficData[[#This Row],[pendingCourt]]&lt;=TrafficData[[#This Row],[totalCourt]],TrafficData[[#This Row],[disposedCourt]]&lt;=TrafficData[[#This Row],[totalCourt]])</f>
        <v>1</v>
      </c>
    </row>
    <row r="899" spans="1:16">
      <c r="A899" s="1">
        <v>42902</v>
      </c>
      <c r="B899">
        <v>1732</v>
      </c>
      <c r="C899">
        <v>1036</v>
      </c>
      <c r="D899">
        <v>696</v>
      </c>
      <c r="E899">
        <v>1598350</v>
      </c>
      <c r="F899">
        <v>5584870</v>
      </c>
      <c r="G899">
        <v>7183220</v>
      </c>
      <c r="H899">
        <v>501</v>
      </c>
      <c r="I899">
        <v>99</v>
      </c>
      <c r="J899">
        <v>600</v>
      </c>
      <c r="K899" t="b">
        <f>TrafficData[[#This Row],[disposedChallan]]+TrafficData[[#This Row],[pendingChallan]]=TrafficData[[#This Row],[totalChallan]]</f>
        <v>1</v>
      </c>
      <c r="L899" t="b">
        <f>TrafficData[[#This Row],[pendingAmount]]+TrafficData[[#This Row],[disposedAmount]]=TrafficData[[#This Row],[totalAmount]]</f>
        <v>1</v>
      </c>
      <c r="M899" t="b">
        <f>TrafficData[[#This Row],[pendingCourt]]+TrafficData[[#This Row],[disposedCourt]]=TrafficData[[#This Row],[totalCourt]]</f>
        <v>1</v>
      </c>
      <c r="N899" s="8" t="b">
        <f>AND(TrafficData[[#This Row],[disposedChallan]]&lt;=TrafficData[[#This Row],[totalChallan]],TrafficData[[#This Row],[pendingChallan]]&lt;=TrafficData[[#This Row],[totalChallan]])</f>
        <v>1</v>
      </c>
      <c r="O899" s="8" t="b">
        <f>AND(TrafficData[[#This Row],[pendingAmount]]&lt;=TrafficData[[#This Row],[totalAmount]],TrafficData[[#This Row],[disposedAmount]]&lt;=TrafficData[[#This Row],[totalAmount]])</f>
        <v>1</v>
      </c>
      <c r="P899" s="8" t="b">
        <f>AND(TrafficData[[#This Row],[pendingCourt]]&lt;=TrafficData[[#This Row],[totalCourt]],TrafficData[[#This Row],[disposedCourt]]&lt;=TrafficData[[#This Row],[totalCourt]])</f>
        <v>1</v>
      </c>
    </row>
    <row r="900" spans="1:16">
      <c r="A900" s="1">
        <v>42903</v>
      </c>
      <c r="B900">
        <v>1689</v>
      </c>
      <c r="C900">
        <v>918</v>
      </c>
      <c r="D900">
        <v>771</v>
      </c>
      <c r="E900">
        <v>2018872</v>
      </c>
      <c r="F900">
        <v>4733145</v>
      </c>
      <c r="G900">
        <v>6752017</v>
      </c>
      <c r="H900">
        <v>542</v>
      </c>
      <c r="I900">
        <v>97</v>
      </c>
      <c r="J900">
        <v>639</v>
      </c>
      <c r="K900" t="b">
        <f>TrafficData[[#This Row],[disposedChallan]]+TrafficData[[#This Row],[pendingChallan]]=TrafficData[[#This Row],[totalChallan]]</f>
        <v>1</v>
      </c>
      <c r="L900" t="b">
        <f>TrafficData[[#This Row],[pendingAmount]]+TrafficData[[#This Row],[disposedAmount]]=TrafficData[[#This Row],[totalAmount]]</f>
        <v>1</v>
      </c>
      <c r="M900" t="b">
        <f>TrafficData[[#This Row],[pendingCourt]]+TrafficData[[#This Row],[disposedCourt]]=TrafficData[[#This Row],[totalCourt]]</f>
        <v>1</v>
      </c>
      <c r="N900" s="8" t="b">
        <f>AND(TrafficData[[#This Row],[disposedChallan]]&lt;=TrafficData[[#This Row],[totalChallan]],TrafficData[[#This Row],[pendingChallan]]&lt;=TrafficData[[#This Row],[totalChallan]])</f>
        <v>1</v>
      </c>
      <c r="O900" s="8" t="b">
        <f>AND(TrafficData[[#This Row],[pendingAmount]]&lt;=TrafficData[[#This Row],[totalAmount]],TrafficData[[#This Row],[disposedAmount]]&lt;=TrafficData[[#This Row],[totalAmount]])</f>
        <v>1</v>
      </c>
      <c r="P900" s="8" t="b">
        <f>AND(TrafficData[[#This Row],[pendingCourt]]&lt;=TrafficData[[#This Row],[totalCourt]],TrafficData[[#This Row],[disposedCourt]]&lt;=TrafficData[[#This Row],[totalCourt]])</f>
        <v>1</v>
      </c>
    </row>
    <row r="901" spans="1:16">
      <c r="A901" s="1">
        <v>42904</v>
      </c>
      <c r="B901">
        <v>370</v>
      </c>
      <c r="C901">
        <v>144</v>
      </c>
      <c r="D901">
        <v>226</v>
      </c>
      <c r="E901">
        <v>982852</v>
      </c>
      <c r="F901">
        <v>1410500</v>
      </c>
      <c r="G901">
        <v>2393352</v>
      </c>
      <c r="H901">
        <v>146</v>
      </c>
      <c r="I901">
        <v>10</v>
      </c>
      <c r="J901">
        <v>156</v>
      </c>
      <c r="K901" t="b">
        <f>TrafficData[[#This Row],[disposedChallan]]+TrafficData[[#This Row],[pendingChallan]]=TrafficData[[#This Row],[totalChallan]]</f>
        <v>1</v>
      </c>
      <c r="L901" t="b">
        <f>TrafficData[[#This Row],[pendingAmount]]+TrafficData[[#This Row],[disposedAmount]]=TrafficData[[#This Row],[totalAmount]]</f>
        <v>1</v>
      </c>
      <c r="M901" t="b">
        <f>TrafficData[[#This Row],[pendingCourt]]+TrafficData[[#This Row],[disposedCourt]]=TrafficData[[#This Row],[totalCourt]]</f>
        <v>1</v>
      </c>
      <c r="N901" s="8" t="b">
        <f>AND(TrafficData[[#This Row],[disposedChallan]]&lt;=TrafficData[[#This Row],[totalChallan]],TrafficData[[#This Row],[pendingChallan]]&lt;=TrafficData[[#This Row],[totalChallan]])</f>
        <v>1</v>
      </c>
      <c r="O901" s="8" t="b">
        <f>AND(TrafficData[[#This Row],[pendingAmount]]&lt;=TrafficData[[#This Row],[totalAmount]],TrafficData[[#This Row],[disposedAmount]]&lt;=TrafficData[[#This Row],[totalAmount]])</f>
        <v>1</v>
      </c>
      <c r="P901" s="8" t="b">
        <f>AND(TrafficData[[#This Row],[pendingCourt]]&lt;=TrafficData[[#This Row],[totalCourt]],TrafficData[[#This Row],[disposedCourt]]&lt;=TrafficData[[#This Row],[totalCourt]])</f>
        <v>1</v>
      </c>
    </row>
    <row r="902" spans="1:16">
      <c r="A902" s="1">
        <v>42905</v>
      </c>
      <c r="B902">
        <v>1070</v>
      </c>
      <c r="C902">
        <v>486</v>
      </c>
      <c r="D902">
        <v>584</v>
      </c>
      <c r="E902">
        <v>929200</v>
      </c>
      <c r="F902">
        <v>1685505</v>
      </c>
      <c r="G902">
        <v>2614705</v>
      </c>
      <c r="H902">
        <v>418</v>
      </c>
      <c r="I902">
        <v>43</v>
      </c>
      <c r="J902">
        <v>461</v>
      </c>
      <c r="K902" t="b">
        <f>TrafficData[[#This Row],[disposedChallan]]+TrafficData[[#This Row],[pendingChallan]]=TrafficData[[#This Row],[totalChallan]]</f>
        <v>1</v>
      </c>
      <c r="L902" t="b">
        <f>TrafficData[[#This Row],[pendingAmount]]+TrafficData[[#This Row],[disposedAmount]]=TrafficData[[#This Row],[totalAmount]]</f>
        <v>1</v>
      </c>
      <c r="M902" t="b">
        <f>TrafficData[[#This Row],[pendingCourt]]+TrafficData[[#This Row],[disposedCourt]]=TrafficData[[#This Row],[totalCourt]]</f>
        <v>1</v>
      </c>
      <c r="N902" s="8" t="b">
        <f>AND(TrafficData[[#This Row],[disposedChallan]]&lt;=TrafficData[[#This Row],[totalChallan]],TrafficData[[#This Row],[pendingChallan]]&lt;=TrafficData[[#This Row],[totalChallan]])</f>
        <v>1</v>
      </c>
      <c r="O902" s="8" t="b">
        <f>AND(TrafficData[[#This Row],[pendingAmount]]&lt;=TrafficData[[#This Row],[totalAmount]],TrafficData[[#This Row],[disposedAmount]]&lt;=TrafficData[[#This Row],[totalAmount]])</f>
        <v>1</v>
      </c>
      <c r="P902" s="8" t="b">
        <f>AND(TrafficData[[#This Row],[pendingCourt]]&lt;=TrafficData[[#This Row],[totalCourt]],TrafficData[[#This Row],[disposedCourt]]&lt;=TrafficData[[#This Row],[totalCourt]])</f>
        <v>1</v>
      </c>
    </row>
    <row r="903" spans="1:16">
      <c r="A903" s="1">
        <v>42906</v>
      </c>
      <c r="B903">
        <v>1149</v>
      </c>
      <c r="C903">
        <v>439</v>
      </c>
      <c r="D903">
        <v>710</v>
      </c>
      <c r="E903">
        <v>1399300</v>
      </c>
      <c r="F903">
        <v>1791850</v>
      </c>
      <c r="G903">
        <v>3191150</v>
      </c>
      <c r="H903">
        <v>506</v>
      </c>
      <c r="I903">
        <v>60</v>
      </c>
      <c r="J903">
        <v>566</v>
      </c>
      <c r="K903" t="b">
        <f>TrafficData[[#This Row],[disposedChallan]]+TrafficData[[#This Row],[pendingChallan]]=TrafficData[[#This Row],[totalChallan]]</f>
        <v>1</v>
      </c>
      <c r="L903" t="b">
        <f>TrafficData[[#This Row],[pendingAmount]]+TrafficData[[#This Row],[disposedAmount]]=TrafficData[[#This Row],[totalAmount]]</f>
        <v>1</v>
      </c>
      <c r="M903" t="b">
        <f>TrafficData[[#This Row],[pendingCourt]]+TrafficData[[#This Row],[disposedCourt]]=TrafficData[[#This Row],[totalCourt]]</f>
        <v>1</v>
      </c>
      <c r="N903" s="8" t="b">
        <f>AND(TrafficData[[#This Row],[disposedChallan]]&lt;=TrafficData[[#This Row],[totalChallan]],TrafficData[[#This Row],[pendingChallan]]&lt;=TrafficData[[#This Row],[totalChallan]])</f>
        <v>1</v>
      </c>
      <c r="O903" s="8" t="b">
        <f>AND(TrafficData[[#This Row],[pendingAmount]]&lt;=TrafficData[[#This Row],[totalAmount]],TrafficData[[#This Row],[disposedAmount]]&lt;=TrafficData[[#This Row],[totalAmount]])</f>
        <v>1</v>
      </c>
      <c r="P903" s="8" t="b">
        <f>AND(TrafficData[[#This Row],[pendingCourt]]&lt;=TrafficData[[#This Row],[totalCourt]],TrafficData[[#This Row],[disposedCourt]]&lt;=TrafficData[[#This Row],[totalCourt]])</f>
        <v>1</v>
      </c>
    </row>
    <row r="904" spans="1:16">
      <c r="A904" s="1">
        <v>42907</v>
      </c>
      <c r="B904">
        <v>1009</v>
      </c>
      <c r="C904">
        <v>388</v>
      </c>
      <c r="D904">
        <v>621</v>
      </c>
      <c r="E904">
        <v>1230550</v>
      </c>
      <c r="F904">
        <v>1771789</v>
      </c>
      <c r="G904">
        <v>3002339</v>
      </c>
      <c r="H904">
        <v>459</v>
      </c>
      <c r="I904">
        <v>75</v>
      </c>
      <c r="J904">
        <v>534</v>
      </c>
      <c r="K904" t="b">
        <f>TrafficData[[#This Row],[disposedChallan]]+TrafficData[[#This Row],[pendingChallan]]=TrafficData[[#This Row],[totalChallan]]</f>
        <v>1</v>
      </c>
      <c r="L904" t="b">
        <f>TrafficData[[#This Row],[pendingAmount]]+TrafficData[[#This Row],[disposedAmount]]=TrafficData[[#This Row],[totalAmount]]</f>
        <v>1</v>
      </c>
      <c r="M904" t="b">
        <f>TrafficData[[#This Row],[pendingCourt]]+TrafficData[[#This Row],[disposedCourt]]=TrafficData[[#This Row],[totalCourt]]</f>
        <v>1</v>
      </c>
      <c r="N904" s="8" t="b">
        <f>AND(TrafficData[[#This Row],[disposedChallan]]&lt;=TrafficData[[#This Row],[totalChallan]],TrafficData[[#This Row],[pendingChallan]]&lt;=TrafficData[[#This Row],[totalChallan]])</f>
        <v>1</v>
      </c>
      <c r="O904" s="8" t="b">
        <f>AND(TrafficData[[#This Row],[pendingAmount]]&lt;=TrafficData[[#This Row],[totalAmount]],TrafficData[[#This Row],[disposedAmount]]&lt;=TrafficData[[#This Row],[totalAmount]])</f>
        <v>1</v>
      </c>
      <c r="P904" s="8" t="b">
        <f>AND(TrafficData[[#This Row],[pendingCourt]]&lt;=TrafficData[[#This Row],[totalCourt]],TrafficData[[#This Row],[disposedCourt]]&lt;=TrafficData[[#This Row],[totalCourt]])</f>
        <v>1</v>
      </c>
    </row>
    <row r="905" spans="1:16">
      <c r="A905" s="1">
        <v>42908</v>
      </c>
      <c r="B905">
        <v>1728</v>
      </c>
      <c r="C905">
        <v>875</v>
      </c>
      <c r="D905">
        <v>853</v>
      </c>
      <c r="E905">
        <v>1405200</v>
      </c>
      <c r="F905">
        <v>3072714</v>
      </c>
      <c r="G905">
        <v>4477914</v>
      </c>
      <c r="H905">
        <v>661</v>
      </c>
      <c r="I905">
        <v>119</v>
      </c>
      <c r="J905">
        <v>780</v>
      </c>
      <c r="K905" t="b">
        <f>TrafficData[[#This Row],[disposedChallan]]+TrafficData[[#This Row],[pendingChallan]]=TrafficData[[#This Row],[totalChallan]]</f>
        <v>1</v>
      </c>
      <c r="L905" t="b">
        <f>TrafficData[[#This Row],[pendingAmount]]+TrafficData[[#This Row],[disposedAmount]]=TrafficData[[#This Row],[totalAmount]]</f>
        <v>1</v>
      </c>
      <c r="M905" t="b">
        <f>TrafficData[[#This Row],[pendingCourt]]+TrafficData[[#This Row],[disposedCourt]]=TrafficData[[#This Row],[totalCourt]]</f>
        <v>1</v>
      </c>
      <c r="N905" s="8" t="b">
        <f>AND(TrafficData[[#This Row],[disposedChallan]]&lt;=TrafficData[[#This Row],[totalChallan]],TrafficData[[#This Row],[pendingChallan]]&lt;=TrafficData[[#This Row],[totalChallan]])</f>
        <v>1</v>
      </c>
      <c r="O905" s="8" t="b">
        <f>AND(TrafficData[[#This Row],[pendingAmount]]&lt;=TrafficData[[#This Row],[totalAmount]],TrafficData[[#This Row],[disposedAmount]]&lt;=TrafficData[[#This Row],[totalAmount]])</f>
        <v>1</v>
      </c>
      <c r="P905" s="8" t="b">
        <f>AND(TrafficData[[#This Row],[pendingCourt]]&lt;=TrafficData[[#This Row],[totalCourt]],TrafficData[[#This Row],[disposedCourt]]&lt;=TrafficData[[#This Row],[totalCourt]])</f>
        <v>1</v>
      </c>
    </row>
    <row r="906" spans="1:16">
      <c r="A906" s="1">
        <v>42909</v>
      </c>
      <c r="B906">
        <v>1742</v>
      </c>
      <c r="C906">
        <v>1016</v>
      </c>
      <c r="D906">
        <v>726</v>
      </c>
      <c r="E906">
        <v>1780560</v>
      </c>
      <c r="F906">
        <v>4903115</v>
      </c>
      <c r="G906">
        <v>6683675</v>
      </c>
      <c r="H906">
        <v>569</v>
      </c>
      <c r="I906">
        <v>106</v>
      </c>
      <c r="J906">
        <v>675</v>
      </c>
      <c r="K906" t="b">
        <f>TrafficData[[#This Row],[disposedChallan]]+TrafficData[[#This Row],[pendingChallan]]=TrafficData[[#This Row],[totalChallan]]</f>
        <v>1</v>
      </c>
      <c r="L906" t="b">
        <f>TrafficData[[#This Row],[pendingAmount]]+TrafficData[[#This Row],[disposedAmount]]=TrafficData[[#This Row],[totalAmount]]</f>
        <v>1</v>
      </c>
      <c r="M906" t="b">
        <f>TrafficData[[#This Row],[pendingCourt]]+TrafficData[[#This Row],[disposedCourt]]=TrafficData[[#This Row],[totalCourt]]</f>
        <v>1</v>
      </c>
      <c r="N906" s="8" t="b">
        <f>AND(TrafficData[[#This Row],[disposedChallan]]&lt;=TrafficData[[#This Row],[totalChallan]],TrafficData[[#This Row],[pendingChallan]]&lt;=TrafficData[[#This Row],[totalChallan]])</f>
        <v>1</v>
      </c>
      <c r="O906" s="8" t="b">
        <f>AND(TrafficData[[#This Row],[pendingAmount]]&lt;=TrafficData[[#This Row],[totalAmount]],TrafficData[[#This Row],[disposedAmount]]&lt;=TrafficData[[#This Row],[totalAmount]])</f>
        <v>1</v>
      </c>
      <c r="P906" s="8" t="b">
        <f>AND(TrafficData[[#This Row],[pendingCourt]]&lt;=TrafficData[[#This Row],[totalCourt]],TrafficData[[#This Row],[disposedCourt]]&lt;=TrafficData[[#This Row],[totalCourt]])</f>
        <v>1</v>
      </c>
    </row>
    <row r="907" spans="1:16">
      <c r="A907" s="1">
        <v>42910</v>
      </c>
      <c r="B907">
        <v>1797</v>
      </c>
      <c r="C907">
        <v>1178</v>
      </c>
      <c r="D907">
        <v>619</v>
      </c>
      <c r="E907">
        <v>2066727</v>
      </c>
      <c r="F907">
        <v>7901806</v>
      </c>
      <c r="G907">
        <v>9968533</v>
      </c>
      <c r="H907">
        <v>484</v>
      </c>
      <c r="I907">
        <v>128</v>
      </c>
      <c r="J907">
        <v>612</v>
      </c>
      <c r="K907" t="b">
        <f>TrafficData[[#This Row],[disposedChallan]]+TrafficData[[#This Row],[pendingChallan]]=TrafficData[[#This Row],[totalChallan]]</f>
        <v>1</v>
      </c>
      <c r="L907" t="b">
        <f>TrafficData[[#This Row],[pendingAmount]]+TrafficData[[#This Row],[disposedAmount]]=TrafficData[[#This Row],[totalAmount]]</f>
        <v>1</v>
      </c>
      <c r="M907" t="b">
        <f>TrafficData[[#This Row],[pendingCourt]]+TrafficData[[#This Row],[disposedCourt]]=TrafficData[[#This Row],[totalCourt]]</f>
        <v>1</v>
      </c>
      <c r="N907" s="8" t="b">
        <f>AND(TrafficData[[#This Row],[disposedChallan]]&lt;=TrafficData[[#This Row],[totalChallan]],TrafficData[[#This Row],[pendingChallan]]&lt;=TrafficData[[#This Row],[totalChallan]])</f>
        <v>1</v>
      </c>
      <c r="O907" s="8" t="b">
        <f>AND(TrafficData[[#This Row],[pendingAmount]]&lt;=TrafficData[[#This Row],[totalAmount]],TrafficData[[#This Row],[disposedAmount]]&lt;=TrafficData[[#This Row],[totalAmount]])</f>
        <v>1</v>
      </c>
      <c r="P907" s="8" t="b">
        <f>AND(TrafficData[[#This Row],[pendingCourt]]&lt;=TrafficData[[#This Row],[totalCourt]],TrafficData[[#This Row],[disposedCourt]]&lt;=TrafficData[[#This Row],[totalCourt]])</f>
        <v>1</v>
      </c>
    </row>
    <row r="908" spans="1:16">
      <c r="A908" s="1">
        <v>42911</v>
      </c>
      <c r="B908">
        <v>1003</v>
      </c>
      <c r="C908">
        <v>760</v>
      </c>
      <c r="D908">
        <v>243</v>
      </c>
      <c r="E908">
        <v>818000</v>
      </c>
      <c r="F908">
        <v>5445735</v>
      </c>
      <c r="G908">
        <v>6263735</v>
      </c>
      <c r="H908">
        <v>191</v>
      </c>
      <c r="I908">
        <v>84</v>
      </c>
      <c r="J908">
        <v>275</v>
      </c>
      <c r="K908" t="b">
        <f>TrafficData[[#This Row],[disposedChallan]]+TrafficData[[#This Row],[pendingChallan]]=TrafficData[[#This Row],[totalChallan]]</f>
        <v>1</v>
      </c>
      <c r="L908" t="b">
        <f>TrafficData[[#This Row],[pendingAmount]]+TrafficData[[#This Row],[disposedAmount]]=TrafficData[[#This Row],[totalAmount]]</f>
        <v>1</v>
      </c>
      <c r="M908" t="b">
        <f>TrafficData[[#This Row],[pendingCourt]]+TrafficData[[#This Row],[disposedCourt]]=TrafficData[[#This Row],[totalCourt]]</f>
        <v>1</v>
      </c>
      <c r="N908" s="8" t="b">
        <f>AND(TrafficData[[#This Row],[disposedChallan]]&lt;=TrafficData[[#This Row],[totalChallan]],TrafficData[[#This Row],[pendingChallan]]&lt;=TrafficData[[#This Row],[totalChallan]])</f>
        <v>1</v>
      </c>
      <c r="O908" s="8" t="b">
        <f>AND(TrafficData[[#This Row],[pendingAmount]]&lt;=TrafficData[[#This Row],[totalAmount]],TrafficData[[#This Row],[disposedAmount]]&lt;=TrafficData[[#This Row],[totalAmount]])</f>
        <v>1</v>
      </c>
      <c r="P908" s="8" t="b">
        <f>AND(TrafficData[[#This Row],[pendingCourt]]&lt;=TrafficData[[#This Row],[totalCourt]],TrafficData[[#This Row],[disposedCourt]]&lt;=TrafficData[[#This Row],[totalCourt]])</f>
        <v>1</v>
      </c>
    </row>
    <row r="909" spans="1:16">
      <c r="A909" s="1">
        <v>42912</v>
      </c>
      <c r="B909">
        <v>739</v>
      </c>
      <c r="C909">
        <v>371</v>
      </c>
      <c r="D909">
        <v>368</v>
      </c>
      <c r="E909">
        <v>898151</v>
      </c>
      <c r="F909">
        <v>2088410</v>
      </c>
      <c r="G909">
        <v>2986561</v>
      </c>
      <c r="H909">
        <v>247</v>
      </c>
      <c r="I909">
        <v>42</v>
      </c>
      <c r="J909">
        <v>289</v>
      </c>
      <c r="K909" t="b">
        <f>TrafficData[[#This Row],[disposedChallan]]+TrafficData[[#This Row],[pendingChallan]]=TrafficData[[#This Row],[totalChallan]]</f>
        <v>1</v>
      </c>
      <c r="L909" t="b">
        <f>TrafficData[[#This Row],[pendingAmount]]+TrafficData[[#This Row],[disposedAmount]]=TrafficData[[#This Row],[totalAmount]]</f>
        <v>1</v>
      </c>
      <c r="M909" t="b">
        <f>TrafficData[[#This Row],[pendingCourt]]+TrafficData[[#This Row],[disposedCourt]]=TrafficData[[#This Row],[totalCourt]]</f>
        <v>1</v>
      </c>
      <c r="N909" s="8" t="b">
        <f>AND(TrafficData[[#This Row],[disposedChallan]]&lt;=TrafficData[[#This Row],[totalChallan]],TrafficData[[#This Row],[pendingChallan]]&lt;=TrafficData[[#This Row],[totalChallan]])</f>
        <v>1</v>
      </c>
      <c r="O909" s="8" t="b">
        <f>AND(TrafficData[[#This Row],[pendingAmount]]&lt;=TrafficData[[#This Row],[totalAmount]],TrafficData[[#This Row],[disposedAmount]]&lt;=TrafficData[[#This Row],[totalAmount]])</f>
        <v>1</v>
      </c>
      <c r="P909" s="8" t="b">
        <f>AND(TrafficData[[#This Row],[pendingCourt]]&lt;=TrafficData[[#This Row],[totalCourt]],TrafficData[[#This Row],[disposedCourt]]&lt;=TrafficData[[#This Row],[totalCourt]])</f>
        <v>1</v>
      </c>
    </row>
    <row r="910" spans="1:16">
      <c r="A910" s="1">
        <v>42913</v>
      </c>
      <c r="B910">
        <v>1739</v>
      </c>
      <c r="C910">
        <v>1022</v>
      </c>
      <c r="D910">
        <v>717</v>
      </c>
      <c r="E910">
        <v>1446150</v>
      </c>
      <c r="F910">
        <v>5011802</v>
      </c>
      <c r="G910">
        <v>6457952</v>
      </c>
      <c r="H910">
        <v>569</v>
      </c>
      <c r="I910">
        <v>161</v>
      </c>
      <c r="J910">
        <v>730</v>
      </c>
      <c r="K910" t="b">
        <f>TrafficData[[#This Row],[disposedChallan]]+TrafficData[[#This Row],[pendingChallan]]=TrafficData[[#This Row],[totalChallan]]</f>
        <v>1</v>
      </c>
      <c r="L910" t="b">
        <f>TrafficData[[#This Row],[pendingAmount]]+TrafficData[[#This Row],[disposedAmount]]=TrafficData[[#This Row],[totalAmount]]</f>
        <v>1</v>
      </c>
      <c r="M910" t="b">
        <f>TrafficData[[#This Row],[pendingCourt]]+TrafficData[[#This Row],[disposedCourt]]=TrafficData[[#This Row],[totalCourt]]</f>
        <v>1</v>
      </c>
      <c r="N910" s="8" t="b">
        <f>AND(TrafficData[[#This Row],[disposedChallan]]&lt;=TrafficData[[#This Row],[totalChallan]],TrafficData[[#This Row],[pendingChallan]]&lt;=TrafficData[[#This Row],[totalChallan]])</f>
        <v>1</v>
      </c>
      <c r="O910" s="8" t="b">
        <f>AND(TrafficData[[#This Row],[pendingAmount]]&lt;=TrafficData[[#This Row],[totalAmount]],TrafficData[[#This Row],[disposedAmount]]&lt;=TrafficData[[#This Row],[totalAmount]])</f>
        <v>1</v>
      </c>
      <c r="P910" s="8" t="b">
        <f>AND(TrafficData[[#This Row],[pendingCourt]]&lt;=TrafficData[[#This Row],[totalCourt]],TrafficData[[#This Row],[disposedCourt]]&lt;=TrafficData[[#This Row],[totalCourt]])</f>
        <v>1</v>
      </c>
    </row>
    <row r="911" spans="1:16">
      <c r="A911" s="1">
        <v>42914</v>
      </c>
      <c r="B911">
        <v>2245</v>
      </c>
      <c r="C911">
        <v>1442</v>
      </c>
      <c r="D911">
        <v>803</v>
      </c>
      <c r="E911">
        <v>1708460</v>
      </c>
      <c r="F911">
        <v>6835777</v>
      </c>
      <c r="G911">
        <v>8544237</v>
      </c>
      <c r="H911">
        <v>627</v>
      </c>
      <c r="I911">
        <v>112</v>
      </c>
      <c r="J911">
        <v>739</v>
      </c>
      <c r="K911" t="b">
        <f>TrafficData[[#This Row],[disposedChallan]]+TrafficData[[#This Row],[pendingChallan]]=TrafficData[[#This Row],[totalChallan]]</f>
        <v>1</v>
      </c>
      <c r="L911" t="b">
        <f>TrafficData[[#This Row],[pendingAmount]]+TrafficData[[#This Row],[disposedAmount]]=TrafficData[[#This Row],[totalAmount]]</f>
        <v>1</v>
      </c>
      <c r="M911" t="b">
        <f>TrafficData[[#This Row],[pendingCourt]]+TrafficData[[#This Row],[disposedCourt]]=TrafficData[[#This Row],[totalCourt]]</f>
        <v>1</v>
      </c>
      <c r="N911" s="8" t="b">
        <f>AND(TrafficData[[#This Row],[disposedChallan]]&lt;=TrafficData[[#This Row],[totalChallan]],TrafficData[[#This Row],[pendingChallan]]&lt;=TrafficData[[#This Row],[totalChallan]])</f>
        <v>1</v>
      </c>
      <c r="O911" s="8" t="b">
        <f>AND(TrafficData[[#This Row],[pendingAmount]]&lt;=TrafficData[[#This Row],[totalAmount]],TrafficData[[#This Row],[disposedAmount]]&lt;=TrafficData[[#This Row],[totalAmount]])</f>
        <v>1</v>
      </c>
      <c r="P911" s="8" t="b">
        <f>AND(TrafficData[[#This Row],[pendingCourt]]&lt;=TrafficData[[#This Row],[totalCourt]],TrafficData[[#This Row],[disposedCourt]]&lt;=TrafficData[[#This Row],[totalCourt]])</f>
        <v>1</v>
      </c>
    </row>
    <row r="912" spans="1:16">
      <c r="A912" s="1">
        <v>42915</v>
      </c>
      <c r="B912">
        <v>2090</v>
      </c>
      <c r="C912">
        <v>1190</v>
      </c>
      <c r="D912">
        <v>900</v>
      </c>
      <c r="E912">
        <v>1960292</v>
      </c>
      <c r="F912">
        <v>6625160</v>
      </c>
      <c r="G912">
        <v>8585452</v>
      </c>
      <c r="H912">
        <v>746</v>
      </c>
      <c r="I912">
        <v>163</v>
      </c>
      <c r="J912">
        <v>909</v>
      </c>
      <c r="K912" t="b">
        <f>TrafficData[[#This Row],[disposedChallan]]+TrafficData[[#This Row],[pendingChallan]]=TrafficData[[#This Row],[totalChallan]]</f>
        <v>1</v>
      </c>
      <c r="L912" t="b">
        <f>TrafficData[[#This Row],[pendingAmount]]+TrafficData[[#This Row],[disposedAmount]]=TrafficData[[#This Row],[totalAmount]]</f>
        <v>1</v>
      </c>
      <c r="M912" t="b">
        <f>TrafficData[[#This Row],[pendingCourt]]+TrafficData[[#This Row],[disposedCourt]]=TrafficData[[#This Row],[totalCourt]]</f>
        <v>1</v>
      </c>
      <c r="N912" s="8" t="b">
        <f>AND(TrafficData[[#This Row],[disposedChallan]]&lt;=TrafficData[[#This Row],[totalChallan]],TrafficData[[#This Row],[pendingChallan]]&lt;=TrafficData[[#This Row],[totalChallan]])</f>
        <v>1</v>
      </c>
      <c r="O912" s="8" t="b">
        <f>AND(TrafficData[[#This Row],[pendingAmount]]&lt;=TrafficData[[#This Row],[totalAmount]],TrafficData[[#This Row],[disposedAmount]]&lt;=TrafficData[[#This Row],[totalAmount]])</f>
        <v>1</v>
      </c>
      <c r="P912" s="8" t="b">
        <f>AND(TrafficData[[#This Row],[pendingCourt]]&lt;=TrafficData[[#This Row],[totalCourt]],TrafficData[[#This Row],[disposedCourt]]&lt;=TrafficData[[#This Row],[totalCourt]])</f>
        <v>1</v>
      </c>
    </row>
    <row r="913" spans="1:16">
      <c r="A913" s="1">
        <v>42916</v>
      </c>
      <c r="B913">
        <v>1966</v>
      </c>
      <c r="C913">
        <v>1305</v>
      </c>
      <c r="D913">
        <v>661</v>
      </c>
      <c r="E913">
        <v>1903150</v>
      </c>
      <c r="F913">
        <v>5546413</v>
      </c>
      <c r="G913">
        <v>7449563</v>
      </c>
      <c r="H913">
        <v>548</v>
      </c>
      <c r="I913">
        <v>184</v>
      </c>
      <c r="J913">
        <v>732</v>
      </c>
      <c r="K913" t="b">
        <f>TrafficData[[#This Row],[disposedChallan]]+TrafficData[[#This Row],[pendingChallan]]=TrafficData[[#This Row],[totalChallan]]</f>
        <v>1</v>
      </c>
      <c r="L913" t="b">
        <f>TrafficData[[#This Row],[pendingAmount]]+TrafficData[[#This Row],[disposedAmount]]=TrafficData[[#This Row],[totalAmount]]</f>
        <v>1</v>
      </c>
      <c r="M913" t="b">
        <f>TrafficData[[#This Row],[pendingCourt]]+TrafficData[[#This Row],[disposedCourt]]=TrafficData[[#This Row],[totalCourt]]</f>
        <v>1</v>
      </c>
      <c r="N913" s="8" t="b">
        <f>AND(TrafficData[[#This Row],[disposedChallan]]&lt;=TrafficData[[#This Row],[totalChallan]],TrafficData[[#This Row],[pendingChallan]]&lt;=TrafficData[[#This Row],[totalChallan]])</f>
        <v>1</v>
      </c>
      <c r="O913" s="8" t="b">
        <f>AND(TrafficData[[#This Row],[pendingAmount]]&lt;=TrafficData[[#This Row],[totalAmount]],TrafficData[[#This Row],[disposedAmount]]&lt;=TrafficData[[#This Row],[totalAmount]])</f>
        <v>1</v>
      </c>
      <c r="P913" s="8" t="b">
        <f>AND(TrafficData[[#This Row],[pendingCourt]]&lt;=TrafficData[[#This Row],[totalCourt]],TrafficData[[#This Row],[disposedCourt]]&lt;=TrafficData[[#This Row],[totalCourt]])</f>
        <v>1</v>
      </c>
    </row>
    <row r="914" spans="1:16">
      <c r="A914" s="1">
        <v>42917</v>
      </c>
      <c r="B914">
        <v>746</v>
      </c>
      <c r="C914">
        <v>426</v>
      </c>
      <c r="D914">
        <v>320</v>
      </c>
      <c r="E914">
        <v>1622550</v>
      </c>
      <c r="F914">
        <v>4398520</v>
      </c>
      <c r="G914">
        <v>6021070</v>
      </c>
      <c r="H914">
        <v>178</v>
      </c>
      <c r="I914">
        <v>49</v>
      </c>
      <c r="J914">
        <v>227</v>
      </c>
      <c r="K914" t="b">
        <f>TrafficData[[#This Row],[disposedChallan]]+TrafficData[[#This Row],[pendingChallan]]=TrafficData[[#This Row],[totalChallan]]</f>
        <v>1</v>
      </c>
      <c r="L914" t="b">
        <f>TrafficData[[#This Row],[pendingAmount]]+TrafficData[[#This Row],[disposedAmount]]=TrafficData[[#This Row],[totalAmount]]</f>
        <v>1</v>
      </c>
      <c r="M914" t="b">
        <f>TrafficData[[#This Row],[pendingCourt]]+TrafficData[[#This Row],[disposedCourt]]=TrafficData[[#This Row],[totalCourt]]</f>
        <v>1</v>
      </c>
      <c r="N914" s="8" t="b">
        <f>AND(TrafficData[[#This Row],[disposedChallan]]&lt;=TrafficData[[#This Row],[totalChallan]],TrafficData[[#This Row],[pendingChallan]]&lt;=TrafficData[[#This Row],[totalChallan]])</f>
        <v>1</v>
      </c>
      <c r="O914" s="8" t="b">
        <f>AND(TrafficData[[#This Row],[pendingAmount]]&lt;=TrafficData[[#This Row],[totalAmount]],TrafficData[[#This Row],[disposedAmount]]&lt;=TrafficData[[#This Row],[totalAmount]])</f>
        <v>1</v>
      </c>
      <c r="P914" s="8" t="b">
        <f>AND(TrafficData[[#This Row],[pendingCourt]]&lt;=TrafficData[[#This Row],[totalCourt]],TrafficData[[#This Row],[disposedCourt]]&lt;=TrafficData[[#This Row],[totalCourt]])</f>
        <v>1</v>
      </c>
    </row>
    <row r="915" spans="1:16">
      <c r="A915" s="1">
        <v>42918</v>
      </c>
      <c r="B915">
        <v>452</v>
      </c>
      <c r="C915">
        <v>229</v>
      </c>
      <c r="D915">
        <v>223</v>
      </c>
      <c r="E915">
        <v>847146</v>
      </c>
      <c r="F915">
        <v>1565460</v>
      </c>
      <c r="G915">
        <v>2412606</v>
      </c>
      <c r="H915">
        <v>138</v>
      </c>
      <c r="I915">
        <v>30</v>
      </c>
      <c r="J915">
        <v>168</v>
      </c>
      <c r="K915" t="b">
        <f>TrafficData[[#This Row],[disposedChallan]]+TrafficData[[#This Row],[pendingChallan]]=TrafficData[[#This Row],[totalChallan]]</f>
        <v>1</v>
      </c>
      <c r="L915" t="b">
        <f>TrafficData[[#This Row],[pendingAmount]]+TrafficData[[#This Row],[disposedAmount]]=TrafficData[[#This Row],[totalAmount]]</f>
        <v>1</v>
      </c>
      <c r="M915" t="b">
        <f>TrafficData[[#This Row],[pendingCourt]]+TrafficData[[#This Row],[disposedCourt]]=TrafficData[[#This Row],[totalCourt]]</f>
        <v>1</v>
      </c>
      <c r="N915" s="8" t="b">
        <f>AND(TrafficData[[#This Row],[disposedChallan]]&lt;=TrafficData[[#This Row],[totalChallan]],TrafficData[[#This Row],[pendingChallan]]&lt;=TrafficData[[#This Row],[totalChallan]])</f>
        <v>1</v>
      </c>
      <c r="O915" s="8" t="b">
        <f>AND(TrafficData[[#This Row],[pendingAmount]]&lt;=TrafficData[[#This Row],[totalAmount]],TrafficData[[#This Row],[disposedAmount]]&lt;=TrafficData[[#This Row],[totalAmount]])</f>
        <v>1</v>
      </c>
      <c r="P915" s="8" t="b">
        <f>AND(TrafficData[[#This Row],[pendingCourt]]&lt;=TrafficData[[#This Row],[totalCourt]],TrafficData[[#This Row],[disposedCourt]]&lt;=TrafficData[[#This Row],[totalCourt]])</f>
        <v>1</v>
      </c>
    </row>
    <row r="916" spans="1:16">
      <c r="A916" s="1">
        <v>42919</v>
      </c>
      <c r="B916">
        <v>1385</v>
      </c>
      <c r="C916">
        <v>667</v>
      </c>
      <c r="D916">
        <v>718</v>
      </c>
      <c r="E916">
        <v>1424700</v>
      </c>
      <c r="F916">
        <v>4280339</v>
      </c>
      <c r="G916">
        <v>5705039</v>
      </c>
      <c r="H916">
        <v>519</v>
      </c>
      <c r="I916">
        <v>83</v>
      </c>
      <c r="J916">
        <v>602</v>
      </c>
      <c r="K916" t="b">
        <f>TrafficData[[#This Row],[disposedChallan]]+TrafficData[[#This Row],[pendingChallan]]=TrafficData[[#This Row],[totalChallan]]</f>
        <v>1</v>
      </c>
      <c r="L916" t="b">
        <f>TrafficData[[#This Row],[pendingAmount]]+TrafficData[[#This Row],[disposedAmount]]=TrafficData[[#This Row],[totalAmount]]</f>
        <v>1</v>
      </c>
      <c r="M916" t="b">
        <f>TrafficData[[#This Row],[pendingCourt]]+TrafficData[[#This Row],[disposedCourt]]=TrafficData[[#This Row],[totalCourt]]</f>
        <v>1</v>
      </c>
      <c r="N916" s="8" t="b">
        <f>AND(TrafficData[[#This Row],[disposedChallan]]&lt;=TrafficData[[#This Row],[totalChallan]],TrafficData[[#This Row],[pendingChallan]]&lt;=TrafficData[[#This Row],[totalChallan]])</f>
        <v>1</v>
      </c>
      <c r="O916" s="8" t="b">
        <f>AND(TrafficData[[#This Row],[pendingAmount]]&lt;=TrafficData[[#This Row],[totalAmount]],TrafficData[[#This Row],[disposedAmount]]&lt;=TrafficData[[#This Row],[totalAmount]])</f>
        <v>1</v>
      </c>
      <c r="P916" s="8" t="b">
        <f>AND(TrafficData[[#This Row],[pendingCourt]]&lt;=TrafficData[[#This Row],[totalCourt]],TrafficData[[#This Row],[disposedCourt]]&lt;=TrafficData[[#This Row],[totalCourt]])</f>
        <v>1</v>
      </c>
    </row>
    <row r="917" spans="1:16">
      <c r="A917" s="1">
        <v>42920</v>
      </c>
      <c r="B917">
        <v>1461</v>
      </c>
      <c r="C917">
        <v>765</v>
      </c>
      <c r="D917">
        <v>696</v>
      </c>
      <c r="E917">
        <v>1891357</v>
      </c>
      <c r="F917">
        <v>4962161</v>
      </c>
      <c r="G917">
        <v>6853518</v>
      </c>
      <c r="H917">
        <v>539</v>
      </c>
      <c r="I917">
        <v>100</v>
      </c>
      <c r="J917">
        <v>639</v>
      </c>
      <c r="K917" t="b">
        <f>TrafficData[[#This Row],[disposedChallan]]+TrafficData[[#This Row],[pendingChallan]]=TrafficData[[#This Row],[totalChallan]]</f>
        <v>1</v>
      </c>
      <c r="L917" t="b">
        <f>TrafficData[[#This Row],[pendingAmount]]+TrafficData[[#This Row],[disposedAmount]]=TrafficData[[#This Row],[totalAmount]]</f>
        <v>1</v>
      </c>
      <c r="M917" t="b">
        <f>TrafficData[[#This Row],[pendingCourt]]+TrafficData[[#This Row],[disposedCourt]]=TrafficData[[#This Row],[totalCourt]]</f>
        <v>1</v>
      </c>
      <c r="N917" s="8" t="b">
        <f>AND(TrafficData[[#This Row],[disposedChallan]]&lt;=TrafficData[[#This Row],[totalChallan]],TrafficData[[#This Row],[pendingChallan]]&lt;=TrafficData[[#This Row],[totalChallan]])</f>
        <v>1</v>
      </c>
      <c r="O917" s="8" t="b">
        <f>AND(TrafficData[[#This Row],[pendingAmount]]&lt;=TrafficData[[#This Row],[totalAmount]],TrafficData[[#This Row],[disposedAmount]]&lt;=TrafficData[[#This Row],[totalAmount]])</f>
        <v>1</v>
      </c>
      <c r="P917" s="8" t="b">
        <f>AND(TrafficData[[#This Row],[pendingCourt]]&lt;=TrafficData[[#This Row],[totalCourt]],TrafficData[[#This Row],[disposedCourt]]&lt;=TrafficData[[#This Row],[totalCourt]])</f>
        <v>1</v>
      </c>
    </row>
    <row r="918" spans="1:16">
      <c r="A918" s="1">
        <v>42921</v>
      </c>
      <c r="B918">
        <v>1532</v>
      </c>
      <c r="C918">
        <v>759</v>
      </c>
      <c r="D918">
        <v>773</v>
      </c>
      <c r="E918">
        <v>1567300</v>
      </c>
      <c r="F918">
        <v>4720736</v>
      </c>
      <c r="G918">
        <v>6288036</v>
      </c>
      <c r="H918">
        <v>546</v>
      </c>
      <c r="I918">
        <v>86</v>
      </c>
      <c r="J918">
        <v>632</v>
      </c>
      <c r="K918" t="b">
        <f>TrafficData[[#This Row],[disposedChallan]]+TrafficData[[#This Row],[pendingChallan]]=TrafficData[[#This Row],[totalChallan]]</f>
        <v>1</v>
      </c>
      <c r="L918" t="b">
        <f>TrafficData[[#This Row],[pendingAmount]]+TrafficData[[#This Row],[disposedAmount]]=TrafficData[[#This Row],[totalAmount]]</f>
        <v>1</v>
      </c>
      <c r="M918" t="b">
        <f>TrafficData[[#This Row],[pendingCourt]]+TrafficData[[#This Row],[disposedCourt]]=TrafficData[[#This Row],[totalCourt]]</f>
        <v>1</v>
      </c>
      <c r="N918" s="8" t="b">
        <f>AND(TrafficData[[#This Row],[disposedChallan]]&lt;=TrafficData[[#This Row],[totalChallan]],TrafficData[[#This Row],[pendingChallan]]&lt;=TrafficData[[#This Row],[totalChallan]])</f>
        <v>1</v>
      </c>
      <c r="O918" s="8" t="b">
        <f>AND(TrafficData[[#This Row],[pendingAmount]]&lt;=TrafficData[[#This Row],[totalAmount]],TrafficData[[#This Row],[disposedAmount]]&lt;=TrafficData[[#This Row],[totalAmount]])</f>
        <v>1</v>
      </c>
      <c r="P918" s="8" t="b">
        <f>AND(TrafficData[[#This Row],[pendingCourt]]&lt;=TrafficData[[#This Row],[totalCourt]],TrafficData[[#This Row],[disposedCourt]]&lt;=TrafficData[[#This Row],[totalCourt]])</f>
        <v>1</v>
      </c>
    </row>
    <row r="919" spans="1:16">
      <c r="A919" s="1">
        <v>42922</v>
      </c>
      <c r="B919">
        <v>1719</v>
      </c>
      <c r="C919">
        <v>926</v>
      </c>
      <c r="D919">
        <v>793</v>
      </c>
      <c r="E919">
        <v>1943800</v>
      </c>
      <c r="F919">
        <v>5191885</v>
      </c>
      <c r="G919">
        <v>7135685</v>
      </c>
      <c r="H919">
        <v>581</v>
      </c>
      <c r="I919">
        <v>112</v>
      </c>
      <c r="J919">
        <v>693</v>
      </c>
      <c r="K919" t="b">
        <f>TrafficData[[#This Row],[disposedChallan]]+TrafficData[[#This Row],[pendingChallan]]=TrafficData[[#This Row],[totalChallan]]</f>
        <v>1</v>
      </c>
      <c r="L919" t="b">
        <f>TrafficData[[#This Row],[pendingAmount]]+TrafficData[[#This Row],[disposedAmount]]=TrafficData[[#This Row],[totalAmount]]</f>
        <v>1</v>
      </c>
      <c r="M919" t="b">
        <f>TrafficData[[#This Row],[pendingCourt]]+TrafficData[[#This Row],[disposedCourt]]=TrafficData[[#This Row],[totalCourt]]</f>
        <v>1</v>
      </c>
      <c r="N919" s="8" t="b">
        <f>AND(TrafficData[[#This Row],[disposedChallan]]&lt;=TrafficData[[#This Row],[totalChallan]],TrafficData[[#This Row],[pendingChallan]]&lt;=TrafficData[[#This Row],[totalChallan]])</f>
        <v>1</v>
      </c>
      <c r="O919" s="8" t="b">
        <f>AND(TrafficData[[#This Row],[pendingAmount]]&lt;=TrafficData[[#This Row],[totalAmount]],TrafficData[[#This Row],[disposedAmount]]&lt;=TrafficData[[#This Row],[totalAmount]])</f>
        <v>1</v>
      </c>
      <c r="P919" s="8" t="b">
        <f>AND(TrafficData[[#This Row],[pendingCourt]]&lt;=TrafficData[[#This Row],[totalCourt]],TrafficData[[#This Row],[disposedCourt]]&lt;=TrafficData[[#This Row],[totalCourt]])</f>
        <v>1</v>
      </c>
    </row>
    <row r="920" spans="1:16">
      <c r="A920" s="1">
        <v>42923</v>
      </c>
      <c r="B920">
        <v>1967</v>
      </c>
      <c r="C920">
        <v>1107</v>
      </c>
      <c r="D920">
        <v>860</v>
      </c>
      <c r="E920">
        <v>2011554</v>
      </c>
      <c r="F920">
        <v>6953154</v>
      </c>
      <c r="G920">
        <v>8964708</v>
      </c>
      <c r="H920">
        <v>609</v>
      </c>
      <c r="I920">
        <v>154</v>
      </c>
      <c r="J920">
        <v>763</v>
      </c>
      <c r="K920" t="b">
        <f>TrafficData[[#This Row],[disposedChallan]]+TrafficData[[#This Row],[pendingChallan]]=TrafficData[[#This Row],[totalChallan]]</f>
        <v>1</v>
      </c>
      <c r="L920" t="b">
        <f>TrafficData[[#This Row],[pendingAmount]]+TrafficData[[#This Row],[disposedAmount]]=TrafficData[[#This Row],[totalAmount]]</f>
        <v>1</v>
      </c>
      <c r="M920" t="b">
        <f>TrafficData[[#This Row],[pendingCourt]]+TrafficData[[#This Row],[disposedCourt]]=TrafficData[[#This Row],[totalCourt]]</f>
        <v>1</v>
      </c>
      <c r="N920" s="8" t="b">
        <f>AND(TrafficData[[#This Row],[disposedChallan]]&lt;=TrafficData[[#This Row],[totalChallan]],TrafficData[[#This Row],[pendingChallan]]&lt;=TrafficData[[#This Row],[totalChallan]])</f>
        <v>1</v>
      </c>
      <c r="O920" s="8" t="b">
        <f>AND(TrafficData[[#This Row],[pendingAmount]]&lt;=TrafficData[[#This Row],[totalAmount]],TrafficData[[#This Row],[disposedAmount]]&lt;=TrafficData[[#This Row],[totalAmount]])</f>
        <v>1</v>
      </c>
      <c r="P920" s="8" t="b">
        <f>AND(TrafficData[[#This Row],[pendingCourt]]&lt;=TrafficData[[#This Row],[totalCourt]],TrafficData[[#This Row],[disposedCourt]]&lt;=TrafficData[[#This Row],[totalCourt]])</f>
        <v>1</v>
      </c>
    </row>
    <row r="921" spans="1:16">
      <c r="A921" s="1">
        <v>42924</v>
      </c>
      <c r="B921">
        <v>1477</v>
      </c>
      <c r="C921">
        <v>705</v>
      </c>
      <c r="D921">
        <v>772</v>
      </c>
      <c r="E921">
        <v>1333650</v>
      </c>
      <c r="F921">
        <v>3900270</v>
      </c>
      <c r="G921">
        <v>5233920</v>
      </c>
      <c r="H921">
        <v>553</v>
      </c>
      <c r="I921">
        <v>131</v>
      </c>
      <c r="J921">
        <v>684</v>
      </c>
      <c r="K921" t="b">
        <f>TrafficData[[#This Row],[disposedChallan]]+TrafficData[[#This Row],[pendingChallan]]=TrafficData[[#This Row],[totalChallan]]</f>
        <v>1</v>
      </c>
      <c r="L921" t="b">
        <f>TrafficData[[#This Row],[pendingAmount]]+TrafficData[[#This Row],[disposedAmount]]=TrafficData[[#This Row],[totalAmount]]</f>
        <v>1</v>
      </c>
      <c r="M921" t="b">
        <f>TrafficData[[#This Row],[pendingCourt]]+TrafficData[[#This Row],[disposedCourt]]=TrafficData[[#This Row],[totalCourt]]</f>
        <v>1</v>
      </c>
      <c r="N921" s="8" t="b">
        <f>AND(TrafficData[[#This Row],[disposedChallan]]&lt;=TrafficData[[#This Row],[totalChallan]],TrafficData[[#This Row],[pendingChallan]]&lt;=TrafficData[[#This Row],[totalChallan]])</f>
        <v>1</v>
      </c>
      <c r="O921" s="8" t="b">
        <f>AND(TrafficData[[#This Row],[pendingAmount]]&lt;=TrafficData[[#This Row],[totalAmount]],TrafficData[[#This Row],[disposedAmount]]&lt;=TrafficData[[#This Row],[totalAmount]])</f>
        <v>1</v>
      </c>
      <c r="P921" s="8" t="b">
        <f>AND(TrafficData[[#This Row],[pendingCourt]]&lt;=TrafficData[[#This Row],[totalCourt]],TrafficData[[#This Row],[disposedCourt]]&lt;=TrafficData[[#This Row],[totalCourt]])</f>
        <v>1</v>
      </c>
    </row>
    <row r="922" spans="1:16">
      <c r="A922" s="1">
        <v>42925</v>
      </c>
      <c r="B922">
        <v>619</v>
      </c>
      <c r="C922">
        <v>281</v>
      </c>
      <c r="D922">
        <v>338</v>
      </c>
      <c r="E922">
        <v>981470</v>
      </c>
      <c r="F922">
        <v>1604945</v>
      </c>
      <c r="G922">
        <v>2586415</v>
      </c>
      <c r="H922">
        <v>195</v>
      </c>
      <c r="I922">
        <v>42</v>
      </c>
      <c r="J922">
        <v>237</v>
      </c>
      <c r="K922" t="b">
        <f>TrafficData[[#This Row],[disposedChallan]]+TrafficData[[#This Row],[pendingChallan]]=TrafficData[[#This Row],[totalChallan]]</f>
        <v>1</v>
      </c>
      <c r="L922" t="b">
        <f>TrafficData[[#This Row],[pendingAmount]]+TrafficData[[#This Row],[disposedAmount]]=TrafficData[[#This Row],[totalAmount]]</f>
        <v>1</v>
      </c>
      <c r="M922" t="b">
        <f>TrafficData[[#This Row],[pendingCourt]]+TrafficData[[#This Row],[disposedCourt]]=TrafficData[[#This Row],[totalCourt]]</f>
        <v>1</v>
      </c>
      <c r="N922" s="8" t="b">
        <f>AND(TrafficData[[#This Row],[disposedChallan]]&lt;=TrafficData[[#This Row],[totalChallan]],TrafficData[[#This Row],[pendingChallan]]&lt;=TrafficData[[#This Row],[totalChallan]])</f>
        <v>1</v>
      </c>
      <c r="O922" s="8" t="b">
        <f>AND(TrafficData[[#This Row],[pendingAmount]]&lt;=TrafficData[[#This Row],[totalAmount]],TrafficData[[#This Row],[disposedAmount]]&lt;=TrafficData[[#This Row],[totalAmount]])</f>
        <v>1</v>
      </c>
      <c r="P922" s="8" t="b">
        <f>AND(TrafficData[[#This Row],[pendingCourt]]&lt;=TrafficData[[#This Row],[totalCourt]],TrafficData[[#This Row],[disposedCourt]]&lt;=TrafficData[[#This Row],[totalCourt]])</f>
        <v>1</v>
      </c>
    </row>
    <row r="923" spans="1:16">
      <c r="A923" s="1">
        <v>42926</v>
      </c>
      <c r="B923">
        <v>1468</v>
      </c>
      <c r="C923">
        <v>736</v>
      </c>
      <c r="D923">
        <v>732</v>
      </c>
      <c r="E923">
        <v>1697350</v>
      </c>
      <c r="F923">
        <v>3990375</v>
      </c>
      <c r="G923">
        <v>5687725</v>
      </c>
      <c r="H923">
        <v>497</v>
      </c>
      <c r="I923">
        <v>66</v>
      </c>
      <c r="J923">
        <v>563</v>
      </c>
      <c r="K923" t="b">
        <f>TrafficData[[#This Row],[disposedChallan]]+TrafficData[[#This Row],[pendingChallan]]=TrafficData[[#This Row],[totalChallan]]</f>
        <v>1</v>
      </c>
      <c r="L923" t="b">
        <f>TrafficData[[#This Row],[pendingAmount]]+TrafficData[[#This Row],[disposedAmount]]=TrafficData[[#This Row],[totalAmount]]</f>
        <v>1</v>
      </c>
      <c r="M923" t="b">
        <f>TrafficData[[#This Row],[pendingCourt]]+TrafficData[[#This Row],[disposedCourt]]=TrafficData[[#This Row],[totalCourt]]</f>
        <v>1</v>
      </c>
      <c r="N923" s="8" t="b">
        <f>AND(TrafficData[[#This Row],[disposedChallan]]&lt;=TrafficData[[#This Row],[totalChallan]],TrafficData[[#This Row],[pendingChallan]]&lt;=TrafficData[[#This Row],[totalChallan]])</f>
        <v>1</v>
      </c>
      <c r="O923" s="8" t="b">
        <f>AND(TrafficData[[#This Row],[pendingAmount]]&lt;=TrafficData[[#This Row],[totalAmount]],TrafficData[[#This Row],[disposedAmount]]&lt;=TrafficData[[#This Row],[totalAmount]])</f>
        <v>1</v>
      </c>
      <c r="P923" s="8" t="b">
        <f>AND(TrafficData[[#This Row],[pendingCourt]]&lt;=TrafficData[[#This Row],[totalCourt]],TrafficData[[#This Row],[disposedCourt]]&lt;=TrafficData[[#This Row],[totalCourt]])</f>
        <v>1</v>
      </c>
    </row>
    <row r="924" spans="1:16">
      <c r="A924" s="1">
        <v>42927</v>
      </c>
      <c r="B924">
        <v>1894</v>
      </c>
      <c r="C924">
        <v>1032</v>
      </c>
      <c r="D924">
        <v>862</v>
      </c>
      <c r="E924">
        <v>1428680</v>
      </c>
      <c r="F924">
        <v>6238004</v>
      </c>
      <c r="G924">
        <v>7666684</v>
      </c>
      <c r="H924">
        <v>656</v>
      </c>
      <c r="I924">
        <v>116</v>
      </c>
      <c r="J924">
        <v>772</v>
      </c>
      <c r="K924" t="b">
        <f>TrafficData[[#This Row],[disposedChallan]]+TrafficData[[#This Row],[pendingChallan]]=TrafficData[[#This Row],[totalChallan]]</f>
        <v>1</v>
      </c>
      <c r="L924" t="b">
        <f>TrafficData[[#This Row],[pendingAmount]]+TrafficData[[#This Row],[disposedAmount]]=TrafficData[[#This Row],[totalAmount]]</f>
        <v>1</v>
      </c>
      <c r="M924" t="b">
        <f>TrafficData[[#This Row],[pendingCourt]]+TrafficData[[#This Row],[disposedCourt]]=TrafficData[[#This Row],[totalCourt]]</f>
        <v>1</v>
      </c>
      <c r="N924" s="8" t="b">
        <f>AND(TrafficData[[#This Row],[disposedChallan]]&lt;=TrafficData[[#This Row],[totalChallan]],TrafficData[[#This Row],[pendingChallan]]&lt;=TrafficData[[#This Row],[totalChallan]])</f>
        <v>1</v>
      </c>
      <c r="O924" s="8" t="b">
        <f>AND(TrafficData[[#This Row],[pendingAmount]]&lt;=TrafficData[[#This Row],[totalAmount]],TrafficData[[#This Row],[disposedAmount]]&lt;=TrafficData[[#This Row],[totalAmount]])</f>
        <v>1</v>
      </c>
      <c r="P924" s="8" t="b">
        <f>AND(TrafficData[[#This Row],[pendingCourt]]&lt;=TrafficData[[#This Row],[totalCourt]],TrafficData[[#This Row],[disposedCourt]]&lt;=TrafficData[[#This Row],[totalCourt]])</f>
        <v>1</v>
      </c>
    </row>
    <row r="925" spans="1:16">
      <c r="A925" s="1">
        <v>42928</v>
      </c>
      <c r="B925">
        <v>2214</v>
      </c>
      <c r="C925">
        <v>1106</v>
      </c>
      <c r="D925">
        <v>1108</v>
      </c>
      <c r="E925">
        <v>2019350</v>
      </c>
      <c r="F925">
        <v>5782158</v>
      </c>
      <c r="G925">
        <v>7801508</v>
      </c>
      <c r="H925">
        <v>847</v>
      </c>
      <c r="I925">
        <v>143</v>
      </c>
      <c r="J925">
        <v>990</v>
      </c>
      <c r="K925" t="b">
        <f>TrafficData[[#This Row],[disposedChallan]]+TrafficData[[#This Row],[pendingChallan]]=TrafficData[[#This Row],[totalChallan]]</f>
        <v>1</v>
      </c>
      <c r="L925" t="b">
        <f>TrafficData[[#This Row],[pendingAmount]]+TrafficData[[#This Row],[disposedAmount]]=TrafficData[[#This Row],[totalAmount]]</f>
        <v>1</v>
      </c>
      <c r="M925" t="b">
        <f>TrafficData[[#This Row],[pendingCourt]]+TrafficData[[#This Row],[disposedCourt]]=TrafficData[[#This Row],[totalCourt]]</f>
        <v>1</v>
      </c>
      <c r="N925" s="8" t="b">
        <f>AND(TrafficData[[#This Row],[disposedChallan]]&lt;=TrafficData[[#This Row],[totalChallan]],TrafficData[[#This Row],[pendingChallan]]&lt;=TrafficData[[#This Row],[totalChallan]])</f>
        <v>1</v>
      </c>
      <c r="O925" s="8" t="b">
        <f>AND(TrafficData[[#This Row],[pendingAmount]]&lt;=TrafficData[[#This Row],[totalAmount]],TrafficData[[#This Row],[disposedAmount]]&lt;=TrafficData[[#This Row],[totalAmount]])</f>
        <v>1</v>
      </c>
      <c r="P925" s="8" t="b">
        <f>AND(TrafficData[[#This Row],[pendingCourt]]&lt;=TrafficData[[#This Row],[totalCourt]],TrafficData[[#This Row],[disposedCourt]]&lt;=TrafficData[[#This Row],[totalCourt]])</f>
        <v>1</v>
      </c>
    </row>
    <row r="926" spans="1:16">
      <c r="A926" s="1">
        <v>42929</v>
      </c>
      <c r="B926">
        <v>2206</v>
      </c>
      <c r="C926">
        <v>1228</v>
      </c>
      <c r="D926">
        <v>978</v>
      </c>
      <c r="E926">
        <v>2063150</v>
      </c>
      <c r="F926">
        <v>6608948</v>
      </c>
      <c r="G926">
        <v>8672098</v>
      </c>
      <c r="H926">
        <v>743</v>
      </c>
      <c r="I926">
        <v>175</v>
      </c>
      <c r="J926">
        <v>918</v>
      </c>
      <c r="K926" t="b">
        <f>TrafficData[[#This Row],[disposedChallan]]+TrafficData[[#This Row],[pendingChallan]]=TrafficData[[#This Row],[totalChallan]]</f>
        <v>1</v>
      </c>
      <c r="L926" t="b">
        <f>TrafficData[[#This Row],[pendingAmount]]+TrafficData[[#This Row],[disposedAmount]]=TrafficData[[#This Row],[totalAmount]]</f>
        <v>1</v>
      </c>
      <c r="M926" t="b">
        <f>TrafficData[[#This Row],[pendingCourt]]+TrafficData[[#This Row],[disposedCourt]]=TrafficData[[#This Row],[totalCourt]]</f>
        <v>1</v>
      </c>
      <c r="N926" s="8" t="b">
        <f>AND(TrafficData[[#This Row],[disposedChallan]]&lt;=TrafficData[[#This Row],[totalChallan]],TrafficData[[#This Row],[pendingChallan]]&lt;=TrafficData[[#This Row],[totalChallan]])</f>
        <v>1</v>
      </c>
      <c r="O926" s="8" t="b">
        <f>AND(TrafficData[[#This Row],[pendingAmount]]&lt;=TrafficData[[#This Row],[totalAmount]],TrafficData[[#This Row],[disposedAmount]]&lt;=TrafficData[[#This Row],[totalAmount]])</f>
        <v>1</v>
      </c>
      <c r="P926" s="8" t="b">
        <f>AND(TrafficData[[#This Row],[pendingCourt]]&lt;=TrafficData[[#This Row],[totalCourt]],TrafficData[[#This Row],[disposedCourt]]&lt;=TrafficData[[#This Row],[totalCourt]])</f>
        <v>1</v>
      </c>
    </row>
    <row r="927" spans="1:16">
      <c r="A927" s="1">
        <v>42930</v>
      </c>
      <c r="B927">
        <v>1959</v>
      </c>
      <c r="C927">
        <v>1110</v>
      </c>
      <c r="D927">
        <v>849</v>
      </c>
      <c r="E927">
        <v>2299631</v>
      </c>
      <c r="F927">
        <v>6984097</v>
      </c>
      <c r="G927">
        <v>9283728</v>
      </c>
      <c r="H927">
        <v>566</v>
      </c>
      <c r="I927">
        <v>148</v>
      </c>
      <c r="J927">
        <v>714</v>
      </c>
      <c r="K927" t="b">
        <f>TrafficData[[#This Row],[disposedChallan]]+TrafficData[[#This Row],[pendingChallan]]=TrafficData[[#This Row],[totalChallan]]</f>
        <v>1</v>
      </c>
      <c r="L927" t="b">
        <f>TrafficData[[#This Row],[pendingAmount]]+TrafficData[[#This Row],[disposedAmount]]=TrafficData[[#This Row],[totalAmount]]</f>
        <v>1</v>
      </c>
      <c r="M927" t="b">
        <f>TrafficData[[#This Row],[pendingCourt]]+TrafficData[[#This Row],[disposedCourt]]=TrafficData[[#This Row],[totalCourt]]</f>
        <v>1</v>
      </c>
      <c r="N927" s="8" t="b">
        <f>AND(TrafficData[[#This Row],[disposedChallan]]&lt;=TrafficData[[#This Row],[totalChallan]],TrafficData[[#This Row],[pendingChallan]]&lt;=TrafficData[[#This Row],[totalChallan]])</f>
        <v>1</v>
      </c>
      <c r="O927" s="8" t="b">
        <f>AND(TrafficData[[#This Row],[pendingAmount]]&lt;=TrafficData[[#This Row],[totalAmount]],TrafficData[[#This Row],[disposedAmount]]&lt;=TrafficData[[#This Row],[totalAmount]])</f>
        <v>1</v>
      </c>
      <c r="P927" s="8" t="b">
        <f>AND(TrafficData[[#This Row],[pendingCourt]]&lt;=TrafficData[[#This Row],[totalCourt]],TrafficData[[#This Row],[disposedCourt]]&lt;=TrafficData[[#This Row],[totalCourt]])</f>
        <v>1</v>
      </c>
    </row>
    <row r="928" spans="1:16">
      <c r="A928" s="1">
        <v>42931</v>
      </c>
      <c r="B928">
        <v>2313</v>
      </c>
      <c r="C928">
        <v>1372</v>
      </c>
      <c r="D928">
        <v>941</v>
      </c>
      <c r="E928">
        <v>1953880</v>
      </c>
      <c r="F928">
        <v>5436191</v>
      </c>
      <c r="G928">
        <v>7390071</v>
      </c>
      <c r="H928">
        <v>736</v>
      </c>
      <c r="I928">
        <v>167</v>
      </c>
      <c r="J928">
        <v>903</v>
      </c>
      <c r="K928" t="b">
        <f>TrafficData[[#This Row],[disposedChallan]]+TrafficData[[#This Row],[pendingChallan]]=TrafficData[[#This Row],[totalChallan]]</f>
        <v>1</v>
      </c>
      <c r="L928" t="b">
        <f>TrafficData[[#This Row],[pendingAmount]]+TrafficData[[#This Row],[disposedAmount]]=TrafficData[[#This Row],[totalAmount]]</f>
        <v>1</v>
      </c>
      <c r="M928" t="b">
        <f>TrafficData[[#This Row],[pendingCourt]]+TrafficData[[#This Row],[disposedCourt]]=TrafficData[[#This Row],[totalCourt]]</f>
        <v>1</v>
      </c>
      <c r="N928" s="8" t="b">
        <f>AND(TrafficData[[#This Row],[disposedChallan]]&lt;=TrafficData[[#This Row],[totalChallan]],TrafficData[[#This Row],[pendingChallan]]&lt;=TrafficData[[#This Row],[totalChallan]])</f>
        <v>1</v>
      </c>
      <c r="O928" s="8" t="b">
        <f>AND(TrafficData[[#This Row],[pendingAmount]]&lt;=TrafficData[[#This Row],[totalAmount]],TrafficData[[#This Row],[disposedAmount]]&lt;=TrafficData[[#This Row],[totalAmount]])</f>
        <v>1</v>
      </c>
      <c r="P928" s="8" t="b">
        <f>AND(TrafficData[[#This Row],[pendingCourt]]&lt;=TrafficData[[#This Row],[totalCourt]],TrafficData[[#This Row],[disposedCourt]]&lt;=TrafficData[[#This Row],[totalCourt]])</f>
        <v>1</v>
      </c>
    </row>
    <row r="929" spans="1:16">
      <c r="A929" s="1">
        <v>42932</v>
      </c>
      <c r="B929">
        <v>1143</v>
      </c>
      <c r="C929">
        <v>736</v>
      </c>
      <c r="D929">
        <v>407</v>
      </c>
      <c r="E929">
        <v>1073850</v>
      </c>
      <c r="F929">
        <v>3037216</v>
      </c>
      <c r="G929">
        <v>4111066</v>
      </c>
      <c r="H929">
        <v>286</v>
      </c>
      <c r="I929">
        <v>112</v>
      </c>
      <c r="J929">
        <v>398</v>
      </c>
      <c r="K929" t="b">
        <f>TrafficData[[#This Row],[disposedChallan]]+TrafficData[[#This Row],[pendingChallan]]=TrafficData[[#This Row],[totalChallan]]</f>
        <v>1</v>
      </c>
      <c r="L929" t="b">
        <f>TrafficData[[#This Row],[pendingAmount]]+TrafficData[[#This Row],[disposedAmount]]=TrafficData[[#This Row],[totalAmount]]</f>
        <v>1</v>
      </c>
      <c r="M929" t="b">
        <f>TrafficData[[#This Row],[pendingCourt]]+TrafficData[[#This Row],[disposedCourt]]=TrafficData[[#This Row],[totalCourt]]</f>
        <v>1</v>
      </c>
      <c r="N929" s="8" t="b">
        <f>AND(TrafficData[[#This Row],[disposedChallan]]&lt;=TrafficData[[#This Row],[totalChallan]],TrafficData[[#This Row],[pendingChallan]]&lt;=TrafficData[[#This Row],[totalChallan]])</f>
        <v>1</v>
      </c>
      <c r="O929" s="8" t="b">
        <f>AND(TrafficData[[#This Row],[pendingAmount]]&lt;=TrafficData[[#This Row],[totalAmount]],TrafficData[[#This Row],[disposedAmount]]&lt;=TrafficData[[#This Row],[totalAmount]])</f>
        <v>1</v>
      </c>
      <c r="P929" s="8" t="b">
        <f>AND(TrafficData[[#This Row],[pendingCourt]]&lt;=TrafficData[[#This Row],[totalCourt]],TrafficData[[#This Row],[disposedCourt]]&lt;=TrafficData[[#This Row],[totalCourt]])</f>
        <v>1</v>
      </c>
    </row>
    <row r="930" spans="1:16">
      <c r="A930" s="1">
        <v>42933</v>
      </c>
      <c r="B930">
        <v>2282</v>
      </c>
      <c r="C930">
        <v>1312</v>
      </c>
      <c r="D930">
        <v>970</v>
      </c>
      <c r="E930">
        <v>2067700</v>
      </c>
      <c r="F930">
        <v>4539970</v>
      </c>
      <c r="G930">
        <v>6607670</v>
      </c>
      <c r="H930">
        <v>737</v>
      </c>
      <c r="I930">
        <v>161</v>
      </c>
      <c r="J930">
        <v>898</v>
      </c>
      <c r="K930" t="b">
        <f>TrafficData[[#This Row],[disposedChallan]]+TrafficData[[#This Row],[pendingChallan]]=TrafficData[[#This Row],[totalChallan]]</f>
        <v>1</v>
      </c>
      <c r="L930" t="b">
        <f>TrafficData[[#This Row],[pendingAmount]]+TrafficData[[#This Row],[disposedAmount]]=TrafficData[[#This Row],[totalAmount]]</f>
        <v>1</v>
      </c>
      <c r="M930" t="b">
        <f>TrafficData[[#This Row],[pendingCourt]]+TrafficData[[#This Row],[disposedCourt]]=TrafficData[[#This Row],[totalCourt]]</f>
        <v>1</v>
      </c>
      <c r="N930" s="8" t="b">
        <f>AND(TrafficData[[#This Row],[disposedChallan]]&lt;=TrafficData[[#This Row],[totalChallan]],TrafficData[[#This Row],[pendingChallan]]&lt;=TrafficData[[#This Row],[totalChallan]])</f>
        <v>1</v>
      </c>
      <c r="O930" s="8" t="b">
        <f>AND(TrafficData[[#This Row],[pendingAmount]]&lt;=TrafficData[[#This Row],[totalAmount]],TrafficData[[#This Row],[disposedAmount]]&lt;=TrafficData[[#This Row],[totalAmount]])</f>
        <v>1</v>
      </c>
      <c r="P930" s="8" t="b">
        <f>AND(TrafficData[[#This Row],[pendingCourt]]&lt;=TrafficData[[#This Row],[totalCourt]],TrafficData[[#This Row],[disposedCourt]]&lt;=TrafficData[[#This Row],[totalCourt]])</f>
        <v>1</v>
      </c>
    </row>
    <row r="931" spans="1:16">
      <c r="A931" s="1">
        <v>42934</v>
      </c>
      <c r="B931">
        <v>2672</v>
      </c>
      <c r="C931">
        <v>1419</v>
      </c>
      <c r="D931">
        <v>1253</v>
      </c>
      <c r="E931">
        <v>2690800</v>
      </c>
      <c r="F931">
        <v>6857802</v>
      </c>
      <c r="G931">
        <v>9548602</v>
      </c>
      <c r="H931">
        <v>950</v>
      </c>
      <c r="I931">
        <v>170</v>
      </c>
      <c r="J931">
        <v>1120</v>
      </c>
      <c r="K931" t="b">
        <f>TrafficData[[#This Row],[disposedChallan]]+TrafficData[[#This Row],[pendingChallan]]=TrafficData[[#This Row],[totalChallan]]</f>
        <v>1</v>
      </c>
      <c r="L931" t="b">
        <f>TrafficData[[#This Row],[pendingAmount]]+TrafficData[[#This Row],[disposedAmount]]=TrafficData[[#This Row],[totalAmount]]</f>
        <v>1</v>
      </c>
      <c r="M931" t="b">
        <f>TrafficData[[#This Row],[pendingCourt]]+TrafficData[[#This Row],[disposedCourt]]=TrafficData[[#This Row],[totalCourt]]</f>
        <v>1</v>
      </c>
      <c r="N931" s="8" t="b">
        <f>AND(TrafficData[[#This Row],[disposedChallan]]&lt;=TrafficData[[#This Row],[totalChallan]],TrafficData[[#This Row],[pendingChallan]]&lt;=TrafficData[[#This Row],[totalChallan]])</f>
        <v>1</v>
      </c>
      <c r="O931" s="8" t="b">
        <f>AND(TrafficData[[#This Row],[pendingAmount]]&lt;=TrafficData[[#This Row],[totalAmount]],TrafficData[[#This Row],[disposedAmount]]&lt;=TrafficData[[#This Row],[totalAmount]])</f>
        <v>1</v>
      </c>
      <c r="P931" s="8" t="b">
        <f>AND(TrafficData[[#This Row],[pendingCourt]]&lt;=TrafficData[[#This Row],[totalCourt]],TrafficData[[#This Row],[disposedCourt]]&lt;=TrafficData[[#This Row],[totalCourt]])</f>
        <v>1</v>
      </c>
    </row>
    <row r="932" spans="1:16">
      <c r="A932" s="1">
        <v>42935</v>
      </c>
      <c r="B932">
        <v>2142</v>
      </c>
      <c r="C932">
        <v>1087</v>
      </c>
      <c r="D932">
        <v>1055</v>
      </c>
      <c r="E932">
        <v>2371650</v>
      </c>
      <c r="F932">
        <v>4503945</v>
      </c>
      <c r="G932">
        <v>6875595</v>
      </c>
      <c r="H932">
        <v>789</v>
      </c>
      <c r="I932">
        <v>142</v>
      </c>
      <c r="J932">
        <v>931</v>
      </c>
      <c r="K932" t="b">
        <f>TrafficData[[#This Row],[disposedChallan]]+TrafficData[[#This Row],[pendingChallan]]=TrafficData[[#This Row],[totalChallan]]</f>
        <v>1</v>
      </c>
      <c r="L932" t="b">
        <f>TrafficData[[#This Row],[pendingAmount]]+TrafficData[[#This Row],[disposedAmount]]=TrafficData[[#This Row],[totalAmount]]</f>
        <v>1</v>
      </c>
      <c r="M932" t="b">
        <f>TrafficData[[#This Row],[pendingCourt]]+TrafficData[[#This Row],[disposedCourt]]=TrafficData[[#This Row],[totalCourt]]</f>
        <v>1</v>
      </c>
      <c r="N932" s="8" t="b">
        <f>AND(TrafficData[[#This Row],[disposedChallan]]&lt;=TrafficData[[#This Row],[totalChallan]],TrafficData[[#This Row],[pendingChallan]]&lt;=TrafficData[[#This Row],[totalChallan]])</f>
        <v>1</v>
      </c>
      <c r="O932" s="8" t="b">
        <f>AND(TrafficData[[#This Row],[pendingAmount]]&lt;=TrafficData[[#This Row],[totalAmount]],TrafficData[[#This Row],[disposedAmount]]&lt;=TrafficData[[#This Row],[totalAmount]])</f>
        <v>1</v>
      </c>
      <c r="P932" s="8" t="b">
        <f>AND(TrafficData[[#This Row],[pendingCourt]]&lt;=TrafficData[[#This Row],[totalCourt]],TrafficData[[#This Row],[disposedCourt]]&lt;=TrafficData[[#This Row],[totalCourt]])</f>
        <v>1</v>
      </c>
    </row>
    <row r="933" spans="1:16">
      <c r="A933" s="1">
        <v>42936</v>
      </c>
      <c r="B933">
        <v>2110</v>
      </c>
      <c r="C933">
        <v>1077</v>
      </c>
      <c r="D933">
        <v>1033</v>
      </c>
      <c r="E933">
        <v>2060761</v>
      </c>
      <c r="F933">
        <v>3975607</v>
      </c>
      <c r="G933">
        <v>6036368</v>
      </c>
      <c r="H933">
        <v>786</v>
      </c>
      <c r="I933">
        <v>148</v>
      </c>
      <c r="J933">
        <v>934</v>
      </c>
      <c r="K933" t="b">
        <f>TrafficData[[#This Row],[disposedChallan]]+TrafficData[[#This Row],[pendingChallan]]=TrafficData[[#This Row],[totalChallan]]</f>
        <v>1</v>
      </c>
      <c r="L933" t="b">
        <f>TrafficData[[#This Row],[pendingAmount]]+TrafficData[[#This Row],[disposedAmount]]=TrafficData[[#This Row],[totalAmount]]</f>
        <v>1</v>
      </c>
      <c r="M933" t="b">
        <f>TrafficData[[#This Row],[pendingCourt]]+TrafficData[[#This Row],[disposedCourt]]=TrafficData[[#This Row],[totalCourt]]</f>
        <v>1</v>
      </c>
      <c r="N933" s="8" t="b">
        <f>AND(TrafficData[[#This Row],[disposedChallan]]&lt;=TrafficData[[#This Row],[totalChallan]],TrafficData[[#This Row],[pendingChallan]]&lt;=TrafficData[[#This Row],[totalChallan]])</f>
        <v>1</v>
      </c>
      <c r="O933" s="8" t="b">
        <f>AND(TrafficData[[#This Row],[pendingAmount]]&lt;=TrafficData[[#This Row],[totalAmount]],TrafficData[[#This Row],[disposedAmount]]&lt;=TrafficData[[#This Row],[totalAmount]])</f>
        <v>1</v>
      </c>
      <c r="P933" s="8" t="b">
        <f>AND(TrafficData[[#This Row],[pendingCourt]]&lt;=TrafficData[[#This Row],[totalCourt]],TrafficData[[#This Row],[disposedCourt]]&lt;=TrafficData[[#This Row],[totalCourt]])</f>
        <v>1</v>
      </c>
    </row>
    <row r="934" spans="1:16">
      <c r="A934" s="1">
        <v>42937</v>
      </c>
      <c r="B934">
        <v>1844</v>
      </c>
      <c r="C934">
        <v>990</v>
      </c>
      <c r="D934">
        <v>854</v>
      </c>
      <c r="E934">
        <v>1978190</v>
      </c>
      <c r="F934">
        <v>3819602</v>
      </c>
      <c r="G934">
        <v>5797792</v>
      </c>
      <c r="H934">
        <v>654</v>
      </c>
      <c r="I934">
        <v>152</v>
      </c>
      <c r="J934">
        <v>806</v>
      </c>
      <c r="K934" t="b">
        <f>TrafficData[[#This Row],[disposedChallan]]+TrafficData[[#This Row],[pendingChallan]]=TrafficData[[#This Row],[totalChallan]]</f>
        <v>1</v>
      </c>
      <c r="L934" t="b">
        <f>TrafficData[[#This Row],[pendingAmount]]+TrafficData[[#This Row],[disposedAmount]]=TrafficData[[#This Row],[totalAmount]]</f>
        <v>1</v>
      </c>
      <c r="M934" t="b">
        <f>TrafficData[[#This Row],[pendingCourt]]+TrafficData[[#This Row],[disposedCourt]]=TrafficData[[#This Row],[totalCourt]]</f>
        <v>1</v>
      </c>
      <c r="N934" s="8" t="b">
        <f>AND(TrafficData[[#This Row],[disposedChallan]]&lt;=TrafficData[[#This Row],[totalChallan]],TrafficData[[#This Row],[pendingChallan]]&lt;=TrafficData[[#This Row],[totalChallan]])</f>
        <v>1</v>
      </c>
      <c r="O934" s="8" t="b">
        <f>AND(TrafficData[[#This Row],[pendingAmount]]&lt;=TrafficData[[#This Row],[totalAmount]],TrafficData[[#This Row],[disposedAmount]]&lt;=TrafficData[[#This Row],[totalAmount]])</f>
        <v>1</v>
      </c>
      <c r="P934" s="8" t="b">
        <f>AND(TrafficData[[#This Row],[pendingCourt]]&lt;=TrafficData[[#This Row],[totalCourt]],TrafficData[[#This Row],[disposedCourt]]&lt;=TrafficData[[#This Row],[totalCourt]])</f>
        <v>1</v>
      </c>
    </row>
    <row r="935" spans="1:16">
      <c r="A935" s="1">
        <v>42938</v>
      </c>
      <c r="B935">
        <v>2026</v>
      </c>
      <c r="C935">
        <v>1087</v>
      </c>
      <c r="D935">
        <v>939</v>
      </c>
      <c r="E935">
        <v>2238762</v>
      </c>
      <c r="F935">
        <v>4824807</v>
      </c>
      <c r="G935">
        <v>7063569</v>
      </c>
      <c r="H935">
        <v>708</v>
      </c>
      <c r="I935">
        <v>139</v>
      </c>
      <c r="J935">
        <v>847</v>
      </c>
      <c r="K935" t="b">
        <f>TrafficData[[#This Row],[disposedChallan]]+TrafficData[[#This Row],[pendingChallan]]=TrafficData[[#This Row],[totalChallan]]</f>
        <v>1</v>
      </c>
      <c r="L935" t="b">
        <f>TrafficData[[#This Row],[pendingAmount]]+TrafficData[[#This Row],[disposedAmount]]=TrafficData[[#This Row],[totalAmount]]</f>
        <v>1</v>
      </c>
      <c r="M935" t="b">
        <f>TrafficData[[#This Row],[pendingCourt]]+TrafficData[[#This Row],[disposedCourt]]=TrafficData[[#This Row],[totalCourt]]</f>
        <v>1</v>
      </c>
      <c r="N935" s="8" t="b">
        <f>AND(TrafficData[[#This Row],[disposedChallan]]&lt;=TrafficData[[#This Row],[totalChallan]],TrafficData[[#This Row],[pendingChallan]]&lt;=TrafficData[[#This Row],[totalChallan]])</f>
        <v>1</v>
      </c>
      <c r="O935" s="8" t="b">
        <f>AND(TrafficData[[#This Row],[pendingAmount]]&lt;=TrafficData[[#This Row],[totalAmount]],TrafficData[[#This Row],[disposedAmount]]&lt;=TrafficData[[#This Row],[totalAmount]])</f>
        <v>1</v>
      </c>
      <c r="P935" s="8" t="b">
        <f>AND(TrafficData[[#This Row],[pendingCourt]]&lt;=TrafficData[[#This Row],[totalCourt]],TrafficData[[#This Row],[disposedCourt]]&lt;=TrafficData[[#This Row],[totalCourt]])</f>
        <v>1</v>
      </c>
    </row>
    <row r="936" spans="1:16">
      <c r="A936" s="1">
        <v>42939</v>
      </c>
      <c r="B936">
        <v>728</v>
      </c>
      <c r="C936">
        <v>401</v>
      </c>
      <c r="D936">
        <v>327</v>
      </c>
      <c r="E936">
        <v>521400</v>
      </c>
      <c r="F936">
        <v>2305170</v>
      </c>
      <c r="G936">
        <v>2826570</v>
      </c>
      <c r="H936">
        <v>269</v>
      </c>
      <c r="I936">
        <v>62</v>
      </c>
      <c r="J936">
        <v>331</v>
      </c>
      <c r="K936" t="b">
        <f>TrafficData[[#This Row],[disposedChallan]]+TrafficData[[#This Row],[pendingChallan]]=TrafficData[[#This Row],[totalChallan]]</f>
        <v>1</v>
      </c>
      <c r="L936" t="b">
        <f>TrafficData[[#This Row],[pendingAmount]]+TrafficData[[#This Row],[disposedAmount]]=TrafficData[[#This Row],[totalAmount]]</f>
        <v>1</v>
      </c>
      <c r="M936" t="b">
        <f>TrafficData[[#This Row],[pendingCourt]]+TrafficData[[#This Row],[disposedCourt]]=TrafficData[[#This Row],[totalCourt]]</f>
        <v>1</v>
      </c>
      <c r="N936" s="8" t="b">
        <f>AND(TrafficData[[#This Row],[disposedChallan]]&lt;=TrafficData[[#This Row],[totalChallan]],TrafficData[[#This Row],[pendingChallan]]&lt;=TrafficData[[#This Row],[totalChallan]])</f>
        <v>1</v>
      </c>
      <c r="O936" s="8" t="b">
        <f>AND(TrafficData[[#This Row],[pendingAmount]]&lt;=TrafficData[[#This Row],[totalAmount]],TrafficData[[#This Row],[disposedAmount]]&lt;=TrafficData[[#This Row],[totalAmount]])</f>
        <v>1</v>
      </c>
      <c r="P936" s="8" t="b">
        <f>AND(TrafficData[[#This Row],[pendingCourt]]&lt;=TrafficData[[#This Row],[totalCourt]],TrafficData[[#This Row],[disposedCourt]]&lt;=TrafficData[[#This Row],[totalCourt]])</f>
        <v>1</v>
      </c>
    </row>
    <row r="937" spans="1:16">
      <c r="A937" s="1">
        <v>42940</v>
      </c>
      <c r="B937">
        <v>1868</v>
      </c>
      <c r="C937">
        <v>894</v>
      </c>
      <c r="D937">
        <v>974</v>
      </c>
      <c r="E937">
        <v>1577833</v>
      </c>
      <c r="F937">
        <v>3772743</v>
      </c>
      <c r="G937">
        <v>5350576</v>
      </c>
      <c r="H937">
        <v>772</v>
      </c>
      <c r="I937">
        <v>100</v>
      </c>
      <c r="J937">
        <v>872</v>
      </c>
      <c r="K937" t="b">
        <f>TrafficData[[#This Row],[disposedChallan]]+TrafficData[[#This Row],[pendingChallan]]=TrafficData[[#This Row],[totalChallan]]</f>
        <v>1</v>
      </c>
      <c r="L937" t="b">
        <f>TrafficData[[#This Row],[pendingAmount]]+TrafficData[[#This Row],[disposedAmount]]=TrafficData[[#This Row],[totalAmount]]</f>
        <v>1</v>
      </c>
      <c r="M937" t="b">
        <f>TrafficData[[#This Row],[pendingCourt]]+TrafficData[[#This Row],[disposedCourt]]=TrafficData[[#This Row],[totalCourt]]</f>
        <v>1</v>
      </c>
      <c r="N937" s="8" t="b">
        <f>AND(TrafficData[[#This Row],[disposedChallan]]&lt;=TrafficData[[#This Row],[totalChallan]],TrafficData[[#This Row],[pendingChallan]]&lt;=TrafficData[[#This Row],[totalChallan]])</f>
        <v>1</v>
      </c>
      <c r="O937" s="8" t="b">
        <f>AND(TrafficData[[#This Row],[pendingAmount]]&lt;=TrafficData[[#This Row],[totalAmount]],TrafficData[[#This Row],[disposedAmount]]&lt;=TrafficData[[#This Row],[totalAmount]])</f>
        <v>1</v>
      </c>
      <c r="P937" s="8" t="b">
        <f>AND(TrafficData[[#This Row],[pendingCourt]]&lt;=TrafficData[[#This Row],[totalCourt]],TrafficData[[#This Row],[disposedCourt]]&lt;=TrafficData[[#This Row],[totalCourt]])</f>
        <v>1</v>
      </c>
    </row>
    <row r="938" spans="1:16">
      <c r="A938" s="1">
        <v>42941</v>
      </c>
      <c r="B938">
        <v>2059</v>
      </c>
      <c r="C938">
        <v>1127</v>
      </c>
      <c r="D938">
        <v>932</v>
      </c>
      <c r="E938">
        <v>1465178</v>
      </c>
      <c r="F938">
        <v>6044226</v>
      </c>
      <c r="G938">
        <v>7509404</v>
      </c>
      <c r="H938">
        <v>744</v>
      </c>
      <c r="I938">
        <v>119</v>
      </c>
      <c r="J938">
        <v>863</v>
      </c>
      <c r="K938" t="b">
        <f>TrafficData[[#This Row],[disposedChallan]]+TrafficData[[#This Row],[pendingChallan]]=TrafficData[[#This Row],[totalChallan]]</f>
        <v>1</v>
      </c>
      <c r="L938" t="b">
        <f>TrafficData[[#This Row],[pendingAmount]]+TrafficData[[#This Row],[disposedAmount]]=TrafficData[[#This Row],[totalAmount]]</f>
        <v>1</v>
      </c>
      <c r="M938" t="b">
        <f>TrafficData[[#This Row],[pendingCourt]]+TrafficData[[#This Row],[disposedCourt]]=TrafficData[[#This Row],[totalCourt]]</f>
        <v>1</v>
      </c>
      <c r="N938" s="8" t="b">
        <f>AND(TrafficData[[#This Row],[disposedChallan]]&lt;=TrafficData[[#This Row],[totalChallan]],TrafficData[[#This Row],[pendingChallan]]&lt;=TrafficData[[#This Row],[totalChallan]])</f>
        <v>1</v>
      </c>
      <c r="O938" s="8" t="b">
        <f>AND(TrafficData[[#This Row],[pendingAmount]]&lt;=TrafficData[[#This Row],[totalAmount]],TrafficData[[#This Row],[disposedAmount]]&lt;=TrafficData[[#This Row],[totalAmount]])</f>
        <v>1</v>
      </c>
      <c r="P938" s="8" t="b">
        <f>AND(TrafficData[[#This Row],[pendingCourt]]&lt;=TrafficData[[#This Row],[totalCourt]],TrafficData[[#This Row],[disposedCourt]]&lt;=TrafficData[[#This Row],[totalCourt]])</f>
        <v>1</v>
      </c>
    </row>
    <row r="939" spans="1:16">
      <c r="A939" s="1">
        <v>42942</v>
      </c>
      <c r="B939">
        <v>3051</v>
      </c>
      <c r="C939">
        <v>1761</v>
      </c>
      <c r="D939">
        <v>1290</v>
      </c>
      <c r="E939">
        <v>3056800</v>
      </c>
      <c r="F939">
        <v>7006651</v>
      </c>
      <c r="G939">
        <v>10063451</v>
      </c>
      <c r="H939">
        <v>990</v>
      </c>
      <c r="I939">
        <v>204</v>
      </c>
      <c r="J939">
        <v>1194</v>
      </c>
      <c r="K939" t="b">
        <f>TrafficData[[#This Row],[disposedChallan]]+TrafficData[[#This Row],[pendingChallan]]=TrafficData[[#This Row],[totalChallan]]</f>
        <v>1</v>
      </c>
      <c r="L939" t="b">
        <f>TrafficData[[#This Row],[pendingAmount]]+TrafficData[[#This Row],[disposedAmount]]=TrafficData[[#This Row],[totalAmount]]</f>
        <v>1</v>
      </c>
      <c r="M939" t="b">
        <f>TrafficData[[#This Row],[pendingCourt]]+TrafficData[[#This Row],[disposedCourt]]=TrafficData[[#This Row],[totalCourt]]</f>
        <v>1</v>
      </c>
      <c r="N939" s="8" t="b">
        <f>AND(TrafficData[[#This Row],[disposedChallan]]&lt;=TrafficData[[#This Row],[totalChallan]],TrafficData[[#This Row],[pendingChallan]]&lt;=TrafficData[[#This Row],[totalChallan]])</f>
        <v>1</v>
      </c>
      <c r="O939" s="8" t="b">
        <f>AND(TrafficData[[#This Row],[pendingAmount]]&lt;=TrafficData[[#This Row],[totalAmount]],TrafficData[[#This Row],[disposedAmount]]&lt;=TrafficData[[#This Row],[totalAmount]])</f>
        <v>1</v>
      </c>
      <c r="P939" s="8" t="b">
        <f>AND(TrafficData[[#This Row],[pendingCourt]]&lt;=TrafficData[[#This Row],[totalCourt]],TrafficData[[#This Row],[disposedCourt]]&lt;=TrafficData[[#This Row],[totalCourt]])</f>
        <v>1</v>
      </c>
    </row>
    <row r="940" spans="1:16">
      <c r="A940" s="1">
        <v>42943</v>
      </c>
      <c r="B940">
        <v>2522</v>
      </c>
      <c r="C940">
        <v>1438</v>
      </c>
      <c r="D940">
        <v>1084</v>
      </c>
      <c r="E940">
        <v>1867430</v>
      </c>
      <c r="F940">
        <v>6817058</v>
      </c>
      <c r="G940">
        <v>8684488</v>
      </c>
      <c r="H940">
        <v>898</v>
      </c>
      <c r="I940">
        <v>199</v>
      </c>
      <c r="J940">
        <v>1097</v>
      </c>
      <c r="K940" t="b">
        <f>TrafficData[[#This Row],[disposedChallan]]+TrafficData[[#This Row],[pendingChallan]]=TrafficData[[#This Row],[totalChallan]]</f>
        <v>1</v>
      </c>
      <c r="L940" t="b">
        <f>TrafficData[[#This Row],[pendingAmount]]+TrafficData[[#This Row],[disposedAmount]]=TrafficData[[#This Row],[totalAmount]]</f>
        <v>1</v>
      </c>
      <c r="M940" t="b">
        <f>TrafficData[[#This Row],[pendingCourt]]+TrafficData[[#This Row],[disposedCourt]]=TrafficData[[#This Row],[totalCourt]]</f>
        <v>1</v>
      </c>
      <c r="N940" s="8" t="b">
        <f>AND(TrafficData[[#This Row],[disposedChallan]]&lt;=TrafficData[[#This Row],[totalChallan]],TrafficData[[#This Row],[pendingChallan]]&lt;=TrafficData[[#This Row],[totalChallan]])</f>
        <v>1</v>
      </c>
      <c r="O940" s="8" t="b">
        <f>AND(TrafficData[[#This Row],[pendingAmount]]&lt;=TrafficData[[#This Row],[totalAmount]],TrafficData[[#This Row],[disposedAmount]]&lt;=TrafficData[[#This Row],[totalAmount]])</f>
        <v>1</v>
      </c>
      <c r="P940" s="8" t="b">
        <f>AND(TrafficData[[#This Row],[pendingCourt]]&lt;=TrafficData[[#This Row],[totalCourt]],TrafficData[[#This Row],[disposedCourt]]&lt;=TrafficData[[#This Row],[totalCourt]])</f>
        <v>1</v>
      </c>
    </row>
    <row r="941" spans="1:16">
      <c r="A941" s="1">
        <v>42944</v>
      </c>
      <c r="B941">
        <v>2853</v>
      </c>
      <c r="C941">
        <v>1638</v>
      </c>
      <c r="D941">
        <v>1215</v>
      </c>
      <c r="E941">
        <v>1965600</v>
      </c>
      <c r="F941">
        <v>6821035</v>
      </c>
      <c r="G941">
        <v>8786635</v>
      </c>
      <c r="H941">
        <v>962</v>
      </c>
      <c r="I941">
        <v>204</v>
      </c>
      <c r="J941">
        <v>1166</v>
      </c>
      <c r="K941" t="b">
        <f>TrafficData[[#This Row],[disposedChallan]]+TrafficData[[#This Row],[pendingChallan]]=TrafficData[[#This Row],[totalChallan]]</f>
        <v>1</v>
      </c>
      <c r="L941" t="b">
        <f>TrafficData[[#This Row],[pendingAmount]]+TrafficData[[#This Row],[disposedAmount]]=TrafficData[[#This Row],[totalAmount]]</f>
        <v>1</v>
      </c>
      <c r="M941" t="b">
        <f>TrafficData[[#This Row],[pendingCourt]]+TrafficData[[#This Row],[disposedCourt]]=TrafficData[[#This Row],[totalCourt]]</f>
        <v>1</v>
      </c>
      <c r="N941" s="8" t="b">
        <f>AND(TrafficData[[#This Row],[disposedChallan]]&lt;=TrafficData[[#This Row],[totalChallan]],TrafficData[[#This Row],[pendingChallan]]&lt;=TrafficData[[#This Row],[totalChallan]])</f>
        <v>1</v>
      </c>
      <c r="O941" s="8" t="b">
        <f>AND(TrafficData[[#This Row],[pendingAmount]]&lt;=TrafficData[[#This Row],[totalAmount]],TrafficData[[#This Row],[disposedAmount]]&lt;=TrafficData[[#This Row],[totalAmount]])</f>
        <v>1</v>
      </c>
      <c r="P941" s="8" t="b">
        <f>AND(TrafficData[[#This Row],[pendingCourt]]&lt;=TrafficData[[#This Row],[totalCourt]],TrafficData[[#This Row],[disposedCourt]]&lt;=TrafficData[[#This Row],[totalCourt]])</f>
        <v>1</v>
      </c>
    </row>
    <row r="942" spans="1:16">
      <c r="A942" s="1">
        <v>42945</v>
      </c>
      <c r="B942">
        <v>2846</v>
      </c>
      <c r="C942">
        <v>1529</v>
      </c>
      <c r="D942">
        <v>1317</v>
      </c>
      <c r="E942">
        <v>1912250</v>
      </c>
      <c r="F942">
        <v>5383223</v>
      </c>
      <c r="G942">
        <v>7295473</v>
      </c>
      <c r="H942">
        <v>1004</v>
      </c>
      <c r="I942">
        <v>197</v>
      </c>
      <c r="J942">
        <v>1201</v>
      </c>
      <c r="K942" t="b">
        <f>TrafficData[[#This Row],[disposedChallan]]+TrafficData[[#This Row],[pendingChallan]]=TrafficData[[#This Row],[totalChallan]]</f>
        <v>1</v>
      </c>
      <c r="L942" t="b">
        <f>TrafficData[[#This Row],[pendingAmount]]+TrafficData[[#This Row],[disposedAmount]]=TrafficData[[#This Row],[totalAmount]]</f>
        <v>1</v>
      </c>
      <c r="M942" t="b">
        <f>TrafficData[[#This Row],[pendingCourt]]+TrafficData[[#This Row],[disposedCourt]]=TrafficData[[#This Row],[totalCourt]]</f>
        <v>1</v>
      </c>
      <c r="N942" s="8" t="b">
        <f>AND(TrafficData[[#This Row],[disposedChallan]]&lt;=TrafficData[[#This Row],[totalChallan]],TrafficData[[#This Row],[pendingChallan]]&lt;=TrafficData[[#This Row],[totalChallan]])</f>
        <v>1</v>
      </c>
      <c r="O942" s="8" t="b">
        <f>AND(TrafficData[[#This Row],[pendingAmount]]&lt;=TrafficData[[#This Row],[totalAmount]],TrafficData[[#This Row],[disposedAmount]]&lt;=TrafficData[[#This Row],[totalAmount]])</f>
        <v>1</v>
      </c>
      <c r="P942" s="8" t="b">
        <f>AND(TrafficData[[#This Row],[pendingCourt]]&lt;=TrafficData[[#This Row],[totalCourt]],TrafficData[[#This Row],[disposedCourt]]&lt;=TrafficData[[#This Row],[totalCourt]])</f>
        <v>1</v>
      </c>
    </row>
    <row r="943" spans="1:16">
      <c r="A943" s="1">
        <v>42946</v>
      </c>
      <c r="B943">
        <v>1251</v>
      </c>
      <c r="C943">
        <v>742</v>
      </c>
      <c r="D943">
        <v>509</v>
      </c>
      <c r="E943">
        <v>1147700</v>
      </c>
      <c r="F943">
        <v>2476682</v>
      </c>
      <c r="G943">
        <v>3624382</v>
      </c>
      <c r="H943">
        <v>366</v>
      </c>
      <c r="I943">
        <v>88</v>
      </c>
      <c r="J943">
        <v>454</v>
      </c>
      <c r="K943" t="b">
        <f>TrafficData[[#This Row],[disposedChallan]]+TrafficData[[#This Row],[pendingChallan]]=TrafficData[[#This Row],[totalChallan]]</f>
        <v>1</v>
      </c>
      <c r="L943" t="b">
        <f>TrafficData[[#This Row],[pendingAmount]]+TrafficData[[#This Row],[disposedAmount]]=TrafficData[[#This Row],[totalAmount]]</f>
        <v>1</v>
      </c>
      <c r="M943" t="b">
        <f>TrafficData[[#This Row],[pendingCourt]]+TrafficData[[#This Row],[disposedCourt]]=TrafficData[[#This Row],[totalCourt]]</f>
        <v>1</v>
      </c>
      <c r="N943" s="8" t="b">
        <f>AND(TrafficData[[#This Row],[disposedChallan]]&lt;=TrafficData[[#This Row],[totalChallan]],TrafficData[[#This Row],[pendingChallan]]&lt;=TrafficData[[#This Row],[totalChallan]])</f>
        <v>1</v>
      </c>
      <c r="O943" s="8" t="b">
        <f>AND(TrafficData[[#This Row],[pendingAmount]]&lt;=TrafficData[[#This Row],[totalAmount]],TrafficData[[#This Row],[disposedAmount]]&lt;=TrafficData[[#This Row],[totalAmount]])</f>
        <v>1</v>
      </c>
      <c r="P943" s="8" t="b">
        <f>AND(TrafficData[[#This Row],[pendingCourt]]&lt;=TrafficData[[#This Row],[totalCourt]],TrafficData[[#This Row],[disposedCourt]]&lt;=TrafficData[[#This Row],[totalCourt]])</f>
        <v>1</v>
      </c>
    </row>
    <row r="944" spans="1:16">
      <c r="A944" s="1">
        <v>42947</v>
      </c>
      <c r="B944">
        <v>1740</v>
      </c>
      <c r="C944">
        <v>1005</v>
      </c>
      <c r="D944">
        <v>735</v>
      </c>
      <c r="E944">
        <v>1522850</v>
      </c>
      <c r="F944">
        <v>5399364</v>
      </c>
      <c r="G944">
        <v>6922214</v>
      </c>
      <c r="H944">
        <v>569</v>
      </c>
      <c r="I944">
        <v>134</v>
      </c>
      <c r="J944">
        <v>703</v>
      </c>
      <c r="K944" t="b">
        <f>TrafficData[[#This Row],[disposedChallan]]+TrafficData[[#This Row],[pendingChallan]]=TrafficData[[#This Row],[totalChallan]]</f>
        <v>1</v>
      </c>
      <c r="L944" t="b">
        <f>TrafficData[[#This Row],[pendingAmount]]+TrafficData[[#This Row],[disposedAmount]]=TrafficData[[#This Row],[totalAmount]]</f>
        <v>1</v>
      </c>
      <c r="M944" t="b">
        <f>TrafficData[[#This Row],[pendingCourt]]+TrafficData[[#This Row],[disposedCourt]]=TrafficData[[#This Row],[totalCourt]]</f>
        <v>1</v>
      </c>
      <c r="N944" s="8" t="b">
        <f>AND(TrafficData[[#This Row],[disposedChallan]]&lt;=TrafficData[[#This Row],[totalChallan]],TrafficData[[#This Row],[pendingChallan]]&lt;=TrafficData[[#This Row],[totalChallan]])</f>
        <v>1</v>
      </c>
      <c r="O944" s="8" t="b">
        <f>AND(TrafficData[[#This Row],[pendingAmount]]&lt;=TrafficData[[#This Row],[totalAmount]],TrafficData[[#This Row],[disposedAmount]]&lt;=TrafficData[[#This Row],[totalAmount]])</f>
        <v>1</v>
      </c>
      <c r="P944" s="8" t="b">
        <f>AND(TrafficData[[#This Row],[pendingCourt]]&lt;=TrafficData[[#This Row],[totalCourt]],TrafficData[[#This Row],[disposedCourt]]&lt;=TrafficData[[#This Row],[totalCourt]])</f>
        <v>1</v>
      </c>
    </row>
    <row r="945" spans="1:16">
      <c r="A945" s="1">
        <v>42948</v>
      </c>
      <c r="B945">
        <v>2079</v>
      </c>
      <c r="C945">
        <v>920</v>
      </c>
      <c r="D945">
        <v>1159</v>
      </c>
      <c r="E945">
        <v>1921850</v>
      </c>
      <c r="F945">
        <v>6324202</v>
      </c>
      <c r="G945">
        <v>8246052</v>
      </c>
      <c r="H945">
        <v>908</v>
      </c>
      <c r="I945">
        <v>141</v>
      </c>
      <c r="J945">
        <v>1049</v>
      </c>
      <c r="K945" t="b">
        <f>TrafficData[[#This Row],[disposedChallan]]+TrafficData[[#This Row],[pendingChallan]]=TrafficData[[#This Row],[totalChallan]]</f>
        <v>1</v>
      </c>
      <c r="L945" t="b">
        <f>TrafficData[[#This Row],[pendingAmount]]+TrafficData[[#This Row],[disposedAmount]]=TrafficData[[#This Row],[totalAmount]]</f>
        <v>1</v>
      </c>
      <c r="M945" t="b">
        <f>TrafficData[[#This Row],[pendingCourt]]+TrafficData[[#This Row],[disposedCourt]]=TrafficData[[#This Row],[totalCourt]]</f>
        <v>1</v>
      </c>
      <c r="N945" s="8" t="b">
        <f>AND(TrafficData[[#This Row],[disposedChallan]]&lt;=TrafficData[[#This Row],[totalChallan]],TrafficData[[#This Row],[pendingChallan]]&lt;=TrafficData[[#This Row],[totalChallan]])</f>
        <v>1</v>
      </c>
      <c r="O945" s="8" t="b">
        <f>AND(TrafficData[[#This Row],[pendingAmount]]&lt;=TrafficData[[#This Row],[totalAmount]],TrafficData[[#This Row],[disposedAmount]]&lt;=TrafficData[[#This Row],[totalAmount]])</f>
        <v>1</v>
      </c>
      <c r="P945" s="8" t="b">
        <f>AND(TrafficData[[#This Row],[pendingCourt]]&lt;=TrafficData[[#This Row],[totalCourt]],TrafficData[[#This Row],[disposedCourt]]&lt;=TrafficData[[#This Row],[totalCourt]])</f>
        <v>1</v>
      </c>
    </row>
    <row r="946" spans="1:16">
      <c r="A946" s="1">
        <v>42949</v>
      </c>
      <c r="B946">
        <v>3234</v>
      </c>
      <c r="C946">
        <v>2018</v>
      </c>
      <c r="D946">
        <v>1216</v>
      </c>
      <c r="E946">
        <v>2820940</v>
      </c>
      <c r="F946">
        <v>6340507</v>
      </c>
      <c r="G946">
        <v>9161447</v>
      </c>
      <c r="H946">
        <v>953</v>
      </c>
      <c r="I946">
        <v>271</v>
      </c>
      <c r="J946">
        <v>1224</v>
      </c>
      <c r="K946" t="b">
        <f>TrafficData[[#This Row],[disposedChallan]]+TrafficData[[#This Row],[pendingChallan]]=TrafficData[[#This Row],[totalChallan]]</f>
        <v>1</v>
      </c>
      <c r="L946" t="b">
        <f>TrafficData[[#This Row],[pendingAmount]]+TrafficData[[#This Row],[disposedAmount]]=TrafficData[[#This Row],[totalAmount]]</f>
        <v>1</v>
      </c>
      <c r="M946" t="b">
        <f>TrafficData[[#This Row],[pendingCourt]]+TrafficData[[#This Row],[disposedCourt]]=TrafficData[[#This Row],[totalCourt]]</f>
        <v>1</v>
      </c>
      <c r="N946" s="8" t="b">
        <f>AND(TrafficData[[#This Row],[disposedChallan]]&lt;=TrafficData[[#This Row],[totalChallan]],TrafficData[[#This Row],[pendingChallan]]&lt;=TrafficData[[#This Row],[totalChallan]])</f>
        <v>1</v>
      </c>
      <c r="O946" s="8" t="b">
        <f>AND(TrafficData[[#This Row],[pendingAmount]]&lt;=TrafficData[[#This Row],[totalAmount]],TrafficData[[#This Row],[disposedAmount]]&lt;=TrafficData[[#This Row],[totalAmount]])</f>
        <v>1</v>
      </c>
      <c r="P946" s="8" t="b">
        <f>AND(TrafficData[[#This Row],[pendingCourt]]&lt;=TrafficData[[#This Row],[totalCourt]],TrafficData[[#This Row],[disposedCourt]]&lt;=TrafficData[[#This Row],[totalCourt]])</f>
        <v>1</v>
      </c>
    </row>
    <row r="947" spans="1:16">
      <c r="A947" s="1">
        <v>42950</v>
      </c>
      <c r="B947">
        <v>2353</v>
      </c>
      <c r="C947">
        <v>1147</v>
      </c>
      <c r="D947">
        <v>1206</v>
      </c>
      <c r="E947">
        <v>1975100</v>
      </c>
      <c r="F947">
        <v>5748269</v>
      </c>
      <c r="G947">
        <v>7723369</v>
      </c>
      <c r="H947">
        <v>922</v>
      </c>
      <c r="I947">
        <v>184</v>
      </c>
      <c r="J947">
        <v>1106</v>
      </c>
      <c r="K947" t="b">
        <f>TrafficData[[#This Row],[disposedChallan]]+TrafficData[[#This Row],[pendingChallan]]=TrafficData[[#This Row],[totalChallan]]</f>
        <v>1</v>
      </c>
      <c r="L947" t="b">
        <f>TrafficData[[#This Row],[pendingAmount]]+TrafficData[[#This Row],[disposedAmount]]=TrafficData[[#This Row],[totalAmount]]</f>
        <v>1</v>
      </c>
      <c r="M947" t="b">
        <f>TrafficData[[#This Row],[pendingCourt]]+TrafficData[[#This Row],[disposedCourt]]=TrafficData[[#This Row],[totalCourt]]</f>
        <v>1</v>
      </c>
      <c r="N947" s="8" t="b">
        <f>AND(TrafficData[[#This Row],[disposedChallan]]&lt;=TrafficData[[#This Row],[totalChallan]],TrafficData[[#This Row],[pendingChallan]]&lt;=TrafficData[[#This Row],[totalChallan]])</f>
        <v>1</v>
      </c>
      <c r="O947" s="8" t="b">
        <f>AND(TrafficData[[#This Row],[pendingAmount]]&lt;=TrafficData[[#This Row],[totalAmount]],TrafficData[[#This Row],[disposedAmount]]&lt;=TrafficData[[#This Row],[totalAmount]])</f>
        <v>1</v>
      </c>
      <c r="P947" s="8" t="b">
        <f>AND(TrafficData[[#This Row],[pendingCourt]]&lt;=TrafficData[[#This Row],[totalCourt]],TrafficData[[#This Row],[disposedCourt]]&lt;=TrafficData[[#This Row],[totalCourt]])</f>
        <v>1</v>
      </c>
    </row>
    <row r="948" spans="1:16">
      <c r="A948" s="1">
        <v>42951</v>
      </c>
      <c r="B948">
        <v>2417</v>
      </c>
      <c r="C948">
        <v>1138</v>
      </c>
      <c r="D948">
        <v>1279</v>
      </c>
      <c r="E948">
        <v>1819700</v>
      </c>
      <c r="F948">
        <v>5830849</v>
      </c>
      <c r="G948">
        <v>7650549</v>
      </c>
      <c r="H948">
        <v>1036</v>
      </c>
      <c r="I948">
        <v>165</v>
      </c>
      <c r="J948">
        <v>1201</v>
      </c>
      <c r="K948" t="b">
        <f>TrafficData[[#This Row],[disposedChallan]]+TrafficData[[#This Row],[pendingChallan]]=TrafficData[[#This Row],[totalChallan]]</f>
        <v>1</v>
      </c>
      <c r="L948" t="b">
        <f>TrafficData[[#This Row],[pendingAmount]]+TrafficData[[#This Row],[disposedAmount]]=TrafficData[[#This Row],[totalAmount]]</f>
        <v>1</v>
      </c>
      <c r="M948" t="b">
        <f>TrafficData[[#This Row],[pendingCourt]]+TrafficData[[#This Row],[disposedCourt]]=TrafficData[[#This Row],[totalCourt]]</f>
        <v>1</v>
      </c>
      <c r="N948" s="8" t="b">
        <f>AND(TrafficData[[#This Row],[disposedChallan]]&lt;=TrafficData[[#This Row],[totalChallan]],TrafficData[[#This Row],[pendingChallan]]&lt;=TrafficData[[#This Row],[totalChallan]])</f>
        <v>1</v>
      </c>
      <c r="O948" s="8" t="b">
        <f>AND(TrafficData[[#This Row],[pendingAmount]]&lt;=TrafficData[[#This Row],[totalAmount]],TrafficData[[#This Row],[disposedAmount]]&lt;=TrafficData[[#This Row],[totalAmount]])</f>
        <v>1</v>
      </c>
      <c r="P948" s="8" t="b">
        <f>AND(TrafficData[[#This Row],[pendingCourt]]&lt;=TrafficData[[#This Row],[totalCourt]],TrafficData[[#This Row],[disposedCourt]]&lt;=TrafficData[[#This Row],[totalCourt]])</f>
        <v>1</v>
      </c>
    </row>
    <row r="949" spans="1:16">
      <c r="A949" s="1">
        <v>42952</v>
      </c>
      <c r="B949">
        <v>1934</v>
      </c>
      <c r="C949">
        <v>930</v>
      </c>
      <c r="D949">
        <v>1004</v>
      </c>
      <c r="E949">
        <v>1704618</v>
      </c>
      <c r="F949">
        <v>5856623</v>
      </c>
      <c r="G949">
        <v>7561241</v>
      </c>
      <c r="H949">
        <v>745</v>
      </c>
      <c r="I949">
        <v>153</v>
      </c>
      <c r="J949">
        <v>898</v>
      </c>
      <c r="K949" t="b">
        <f>TrafficData[[#This Row],[disposedChallan]]+TrafficData[[#This Row],[pendingChallan]]=TrafficData[[#This Row],[totalChallan]]</f>
        <v>1</v>
      </c>
      <c r="L949" t="b">
        <f>TrafficData[[#This Row],[pendingAmount]]+TrafficData[[#This Row],[disposedAmount]]=TrafficData[[#This Row],[totalAmount]]</f>
        <v>1</v>
      </c>
      <c r="M949" t="b">
        <f>TrafficData[[#This Row],[pendingCourt]]+TrafficData[[#This Row],[disposedCourt]]=TrafficData[[#This Row],[totalCourt]]</f>
        <v>1</v>
      </c>
      <c r="N949" s="8" t="b">
        <f>AND(TrafficData[[#This Row],[disposedChallan]]&lt;=TrafficData[[#This Row],[totalChallan]],TrafficData[[#This Row],[pendingChallan]]&lt;=TrafficData[[#This Row],[totalChallan]])</f>
        <v>1</v>
      </c>
      <c r="O949" s="8" t="b">
        <f>AND(TrafficData[[#This Row],[pendingAmount]]&lt;=TrafficData[[#This Row],[totalAmount]],TrafficData[[#This Row],[disposedAmount]]&lt;=TrafficData[[#This Row],[totalAmount]])</f>
        <v>1</v>
      </c>
      <c r="P949" s="8" t="b">
        <f>AND(TrafficData[[#This Row],[pendingCourt]]&lt;=TrafficData[[#This Row],[totalCourt]],TrafficData[[#This Row],[disposedCourt]]&lt;=TrafficData[[#This Row],[totalCourt]])</f>
        <v>1</v>
      </c>
    </row>
    <row r="950" spans="1:16">
      <c r="A950" s="1">
        <v>42953</v>
      </c>
      <c r="B950">
        <v>624</v>
      </c>
      <c r="C950">
        <v>278</v>
      </c>
      <c r="D950">
        <v>346</v>
      </c>
      <c r="E950">
        <v>785150</v>
      </c>
      <c r="F950">
        <v>1364140</v>
      </c>
      <c r="G950">
        <v>2149290</v>
      </c>
      <c r="H950">
        <v>223</v>
      </c>
      <c r="I950">
        <v>31</v>
      </c>
      <c r="J950">
        <v>254</v>
      </c>
      <c r="K950" t="b">
        <f>TrafficData[[#This Row],[disposedChallan]]+TrafficData[[#This Row],[pendingChallan]]=TrafficData[[#This Row],[totalChallan]]</f>
        <v>1</v>
      </c>
      <c r="L950" t="b">
        <f>TrafficData[[#This Row],[pendingAmount]]+TrafficData[[#This Row],[disposedAmount]]=TrafficData[[#This Row],[totalAmount]]</f>
        <v>1</v>
      </c>
      <c r="M950" t="b">
        <f>TrafficData[[#This Row],[pendingCourt]]+TrafficData[[#This Row],[disposedCourt]]=TrafficData[[#This Row],[totalCourt]]</f>
        <v>1</v>
      </c>
      <c r="N950" s="8" t="b">
        <f>AND(TrafficData[[#This Row],[disposedChallan]]&lt;=TrafficData[[#This Row],[totalChallan]],TrafficData[[#This Row],[pendingChallan]]&lt;=TrafficData[[#This Row],[totalChallan]])</f>
        <v>1</v>
      </c>
      <c r="O950" s="8" t="b">
        <f>AND(TrafficData[[#This Row],[pendingAmount]]&lt;=TrafficData[[#This Row],[totalAmount]],TrafficData[[#This Row],[disposedAmount]]&lt;=TrafficData[[#This Row],[totalAmount]])</f>
        <v>1</v>
      </c>
      <c r="P950" s="8" t="b">
        <f>AND(TrafficData[[#This Row],[pendingCourt]]&lt;=TrafficData[[#This Row],[totalCourt]],TrafficData[[#This Row],[disposedCourt]]&lt;=TrafficData[[#This Row],[totalCourt]])</f>
        <v>1</v>
      </c>
    </row>
    <row r="951" spans="1:16">
      <c r="A951" s="1">
        <v>42954</v>
      </c>
      <c r="B951">
        <v>644</v>
      </c>
      <c r="C951">
        <v>109</v>
      </c>
      <c r="D951">
        <v>535</v>
      </c>
      <c r="E951">
        <v>502100</v>
      </c>
      <c r="F951">
        <v>160590</v>
      </c>
      <c r="G951">
        <v>662690</v>
      </c>
      <c r="H951">
        <v>379</v>
      </c>
      <c r="I951">
        <v>20</v>
      </c>
      <c r="J951">
        <v>399</v>
      </c>
      <c r="K951" t="b">
        <f>TrafficData[[#This Row],[disposedChallan]]+TrafficData[[#This Row],[pendingChallan]]=TrafficData[[#This Row],[totalChallan]]</f>
        <v>1</v>
      </c>
      <c r="L951" t="b">
        <f>TrafficData[[#This Row],[pendingAmount]]+TrafficData[[#This Row],[disposedAmount]]=TrafficData[[#This Row],[totalAmount]]</f>
        <v>1</v>
      </c>
      <c r="M951" t="b">
        <f>TrafficData[[#This Row],[pendingCourt]]+TrafficData[[#This Row],[disposedCourt]]=TrafficData[[#This Row],[totalCourt]]</f>
        <v>1</v>
      </c>
      <c r="N951" s="8" t="b">
        <f>AND(TrafficData[[#This Row],[disposedChallan]]&lt;=TrafficData[[#This Row],[totalChallan]],TrafficData[[#This Row],[pendingChallan]]&lt;=TrafficData[[#This Row],[totalChallan]])</f>
        <v>1</v>
      </c>
      <c r="O951" s="8" t="b">
        <f>AND(TrafficData[[#This Row],[pendingAmount]]&lt;=TrafficData[[#This Row],[totalAmount]],TrafficData[[#This Row],[disposedAmount]]&lt;=TrafficData[[#This Row],[totalAmount]])</f>
        <v>1</v>
      </c>
      <c r="P951" s="8" t="b">
        <f>AND(TrafficData[[#This Row],[pendingCourt]]&lt;=TrafficData[[#This Row],[totalCourt]],TrafficData[[#This Row],[disposedCourt]]&lt;=TrafficData[[#This Row],[totalCourt]])</f>
        <v>1</v>
      </c>
    </row>
    <row r="952" spans="1:16">
      <c r="A952" s="1">
        <v>42955</v>
      </c>
      <c r="B952">
        <v>2185</v>
      </c>
      <c r="C952">
        <v>830</v>
      </c>
      <c r="D952">
        <v>1355</v>
      </c>
      <c r="E952">
        <v>1943550</v>
      </c>
      <c r="F952">
        <v>2811801</v>
      </c>
      <c r="G952">
        <v>4755351</v>
      </c>
      <c r="H952">
        <v>985</v>
      </c>
      <c r="I952">
        <v>139</v>
      </c>
      <c r="J952">
        <v>1124</v>
      </c>
      <c r="K952" t="b">
        <f>TrafficData[[#This Row],[disposedChallan]]+TrafficData[[#This Row],[pendingChallan]]=TrafficData[[#This Row],[totalChallan]]</f>
        <v>1</v>
      </c>
      <c r="L952" t="b">
        <f>TrafficData[[#This Row],[pendingAmount]]+TrafficData[[#This Row],[disposedAmount]]=TrafficData[[#This Row],[totalAmount]]</f>
        <v>1</v>
      </c>
      <c r="M952" t="b">
        <f>TrafficData[[#This Row],[pendingCourt]]+TrafficData[[#This Row],[disposedCourt]]=TrafficData[[#This Row],[totalCourt]]</f>
        <v>1</v>
      </c>
      <c r="N952" s="8" t="b">
        <f>AND(TrafficData[[#This Row],[disposedChallan]]&lt;=TrafficData[[#This Row],[totalChallan]],TrafficData[[#This Row],[pendingChallan]]&lt;=TrafficData[[#This Row],[totalChallan]])</f>
        <v>1</v>
      </c>
      <c r="O952" s="8" t="b">
        <f>AND(TrafficData[[#This Row],[pendingAmount]]&lt;=TrafficData[[#This Row],[totalAmount]],TrafficData[[#This Row],[disposedAmount]]&lt;=TrafficData[[#This Row],[totalAmount]])</f>
        <v>1</v>
      </c>
      <c r="P952" s="8" t="b">
        <f>AND(TrafficData[[#This Row],[pendingCourt]]&lt;=TrafficData[[#This Row],[totalCourt]],TrafficData[[#This Row],[disposedCourt]]&lt;=TrafficData[[#This Row],[totalCourt]])</f>
        <v>1</v>
      </c>
    </row>
    <row r="953" spans="1:16">
      <c r="A953" s="1">
        <v>42956</v>
      </c>
      <c r="B953">
        <v>2956</v>
      </c>
      <c r="C953">
        <v>1655</v>
      </c>
      <c r="D953">
        <v>1301</v>
      </c>
      <c r="E953">
        <v>3334600</v>
      </c>
      <c r="F953">
        <v>6074500</v>
      </c>
      <c r="G953">
        <v>9409100</v>
      </c>
      <c r="H953">
        <v>1007</v>
      </c>
      <c r="I953">
        <v>186</v>
      </c>
      <c r="J953">
        <v>1193</v>
      </c>
      <c r="K953" t="b">
        <f>TrafficData[[#This Row],[disposedChallan]]+TrafficData[[#This Row],[pendingChallan]]=TrafficData[[#This Row],[totalChallan]]</f>
        <v>1</v>
      </c>
      <c r="L953" t="b">
        <f>TrafficData[[#This Row],[pendingAmount]]+TrafficData[[#This Row],[disposedAmount]]=TrafficData[[#This Row],[totalAmount]]</f>
        <v>1</v>
      </c>
      <c r="M953" t="b">
        <f>TrafficData[[#This Row],[pendingCourt]]+TrafficData[[#This Row],[disposedCourt]]=TrafficData[[#This Row],[totalCourt]]</f>
        <v>1</v>
      </c>
      <c r="N953" s="8" t="b">
        <f>AND(TrafficData[[#This Row],[disposedChallan]]&lt;=TrafficData[[#This Row],[totalChallan]],TrafficData[[#This Row],[pendingChallan]]&lt;=TrafficData[[#This Row],[totalChallan]])</f>
        <v>1</v>
      </c>
      <c r="O953" s="8" t="b">
        <f>AND(TrafficData[[#This Row],[pendingAmount]]&lt;=TrafficData[[#This Row],[totalAmount]],TrafficData[[#This Row],[disposedAmount]]&lt;=TrafficData[[#This Row],[totalAmount]])</f>
        <v>1</v>
      </c>
      <c r="P953" s="8" t="b">
        <f>AND(TrafficData[[#This Row],[pendingCourt]]&lt;=TrafficData[[#This Row],[totalCourt]],TrafficData[[#This Row],[disposedCourt]]&lt;=TrafficData[[#This Row],[totalCourt]])</f>
        <v>1</v>
      </c>
    </row>
    <row r="954" spans="1:16">
      <c r="A954" s="1">
        <v>42957</v>
      </c>
      <c r="B954">
        <v>2294</v>
      </c>
      <c r="C954">
        <v>1274</v>
      </c>
      <c r="D954">
        <v>1020</v>
      </c>
      <c r="E954">
        <v>2049598</v>
      </c>
      <c r="F954">
        <v>7625272</v>
      </c>
      <c r="G954">
        <v>9674870</v>
      </c>
      <c r="H954">
        <v>765</v>
      </c>
      <c r="I954">
        <v>144</v>
      </c>
      <c r="J954">
        <v>909</v>
      </c>
      <c r="K954" t="b">
        <f>TrafficData[[#This Row],[disposedChallan]]+TrafficData[[#This Row],[pendingChallan]]=TrafficData[[#This Row],[totalChallan]]</f>
        <v>1</v>
      </c>
      <c r="L954" t="b">
        <f>TrafficData[[#This Row],[pendingAmount]]+TrafficData[[#This Row],[disposedAmount]]=TrafficData[[#This Row],[totalAmount]]</f>
        <v>1</v>
      </c>
      <c r="M954" t="b">
        <f>TrafficData[[#This Row],[pendingCourt]]+TrafficData[[#This Row],[disposedCourt]]=TrafficData[[#This Row],[totalCourt]]</f>
        <v>1</v>
      </c>
      <c r="N954" s="8" t="b">
        <f>AND(TrafficData[[#This Row],[disposedChallan]]&lt;=TrafficData[[#This Row],[totalChallan]],TrafficData[[#This Row],[pendingChallan]]&lt;=TrafficData[[#This Row],[totalChallan]])</f>
        <v>1</v>
      </c>
      <c r="O954" s="8" t="b">
        <f>AND(TrafficData[[#This Row],[pendingAmount]]&lt;=TrafficData[[#This Row],[totalAmount]],TrafficData[[#This Row],[disposedAmount]]&lt;=TrafficData[[#This Row],[totalAmount]])</f>
        <v>1</v>
      </c>
      <c r="P954" s="8" t="b">
        <f>AND(TrafficData[[#This Row],[pendingCourt]]&lt;=TrafficData[[#This Row],[totalCourt]],TrafficData[[#This Row],[disposedCourt]]&lt;=TrafficData[[#This Row],[totalCourt]])</f>
        <v>1</v>
      </c>
    </row>
    <row r="955" spans="1:16">
      <c r="A955" s="1">
        <v>42958</v>
      </c>
      <c r="B955">
        <v>2455</v>
      </c>
      <c r="C955">
        <v>1150</v>
      </c>
      <c r="D955">
        <v>1305</v>
      </c>
      <c r="E955">
        <v>2066500</v>
      </c>
      <c r="F955">
        <v>5975755</v>
      </c>
      <c r="G955">
        <v>8042255</v>
      </c>
      <c r="H955">
        <v>988</v>
      </c>
      <c r="I955">
        <v>206</v>
      </c>
      <c r="J955">
        <v>1194</v>
      </c>
      <c r="K955" t="b">
        <f>TrafficData[[#This Row],[disposedChallan]]+TrafficData[[#This Row],[pendingChallan]]=TrafficData[[#This Row],[totalChallan]]</f>
        <v>1</v>
      </c>
      <c r="L955" t="b">
        <f>TrafficData[[#This Row],[pendingAmount]]+TrafficData[[#This Row],[disposedAmount]]=TrafficData[[#This Row],[totalAmount]]</f>
        <v>1</v>
      </c>
      <c r="M955" t="b">
        <f>TrafficData[[#This Row],[pendingCourt]]+TrafficData[[#This Row],[disposedCourt]]=TrafficData[[#This Row],[totalCourt]]</f>
        <v>1</v>
      </c>
      <c r="N955" s="8" t="b">
        <f>AND(TrafficData[[#This Row],[disposedChallan]]&lt;=TrafficData[[#This Row],[totalChallan]],TrafficData[[#This Row],[pendingChallan]]&lt;=TrafficData[[#This Row],[totalChallan]])</f>
        <v>1</v>
      </c>
      <c r="O955" s="8" t="b">
        <f>AND(TrafficData[[#This Row],[pendingAmount]]&lt;=TrafficData[[#This Row],[totalAmount]],TrafficData[[#This Row],[disposedAmount]]&lt;=TrafficData[[#This Row],[totalAmount]])</f>
        <v>1</v>
      </c>
      <c r="P955" s="8" t="b">
        <f>AND(TrafficData[[#This Row],[pendingCourt]]&lt;=TrafficData[[#This Row],[totalCourt]],TrafficData[[#This Row],[disposedCourt]]&lt;=TrafficData[[#This Row],[totalCourt]])</f>
        <v>1</v>
      </c>
    </row>
    <row r="956" spans="1:16">
      <c r="A956" s="1">
        <v>42959</v>
      </c>
      <c r="B956">
        <v>1966</v>
      </c>
      <c r="C956">
        <v>935</v>
      </c>
      <c r="D956">
        <v>1031</v>
      </c>
      <c r="E956">
        <v>2276313</v>
      </c>
      <c r="F956">
        <v>5483249</v>
      </c>
      <c r="G956">
        <v>7759562</v>
      </c>
      <c r="H956">
        <v>781</v>
      </c>
      <c r="I956">
        <v>152</v>
      </c>
      <c r="J956">
        <v>933</v>
      </c>
      <c r="K956" t="b">
        <f>TrafficData[[#This Row],[disposedChallan]]+TrafficData[[#This Row],[pendingChallan]]=TrafficData[[#This Row],[totalChallan]]</f>
        <v>1</v>
      </c>
      <c r="L956" t="b">
        <f>TrafficData[[#This Row],[pendingAmount]]+TrafficData[[#This Row],[disposedAmount]]=TrafficData[[#This Row],[totalAmount]]</f>
        <v>1</v>
      </c>
      <c r="M956" t="b">
        <f>TrafficData[[#This Row],[pendingCourt]]+TrafficData[[#This Row],[disposedCourt]]=TrafficData[[#This Row],[totalCourt]]</f>
        <v>1</v>
      </c>
      <c r="N956" s="8" t="b">
        <f>AND(TrafficData[[#This Row],[disposedChallan]]&lt;=TrafficData[[#This Row],[totalChallan]],TrafficData[[#This Row],[pendingChallan]]&lt;=TrafficData[[#This Row],[totalChallan]])</f>
        <v>1</v>
      </c>
      <c r="O956" s="8" t="b">
        <f>AND(TrafficData[[#This Row],[pendingAmount]]&lt;=TrafficData[[#This Row],[totalAmount]],TrafficData[[#This Row],[disposedAmount]]&lt;=TrafficData[[#This Row],[totalAmount]])</f>
        <v>1</v>
      </c>
      <c r="P956" s="8" t="b">
        <f>AND(TrafficData[[#This Row],[pendingCourt]]&lt;=TrafficData[[#This Row],[totalCourt]],TrafficData[[#This Row],[disposedCourt]]&lt;=TrafficData[[#This Row],[totalCourt]])</f>
        <v>1</v>
      </c>
    </row>
    <row r="957" spans="1:16">
      <c r="A957" s="1">
        <v>42960</v>
      </c>
      <c r="B957">
        <v>1165</v>
      </c>
      <c r="C957">
        <v>594</v>
      </c>
      <c r="D957">
        <v>571</v>
      </c>
      <c r="E957">
        <v>1198730</v>
      </c>
      <c r="F957">
        <v>3684513</v>
      </c>
      <c r="G957">
        <v>4883243</v>
      </c>
      <c r="H957">
        <v>391</v>
      </c>
      <c r="I957">
        <v>74</v>
      </c>
      <c r="J957">
        <v>465</v>
      </c>
      <c r="K957" t="b">
        <f>TrafficData[[#This Row],[disposedChallan]]+TrafficData[[#This Row],[pendingChallan]]=TrafficData[[#This Row],[totalChallan]]</f>
        <v>1</v>
      </c>
      <c r="L957" t="b">
        <f>TrafficData[[#This Row],[pendingAmount]]+TrafficData[[#This Row],[disposedAmount]]=TrafficData[[#This Row],[totalAmount]]</f>
        <v>1</v>
      </c>
      <c r="M957" t="b">
        <f>TrafficData[[#This Row],[pendingCourt]]+TrafficData[[#This Row],[disposedCourt]]=TrafficData[[#This Row],[totalCourt]]</f>
        <v>1</v>
      </c>
      <c r="N957" s="8" t="b">
        <f>AND(TrafficData[[#This Row],[disposedChallan]]&lt;=TrafficData[[#This Row],[totalChallan]],TrafficData[[#This Row],[pendingChallan]]&lt;=TrafficData[[#This Row],[totalChallan]])</f>
        <v>1</v>
      </c>
      <c r="O957" s="8" t="b">
        <f>AND(TrafficData[[#This Row],[pendingAmount]]&lt;=TrafficData[[#This Row],[totalAmount]],TrafficData[[#This Row],[disposedAmount]]&lt;=TrafficData[[#This Row],[totalAmount]])</f>
        <v>1</v>
      </c>
      <c r="P957" s="8" t="b">
        <f>AND(TrafficData[[#This Row],[pendingCourt]]&lt;=TrafficData[[#This Row],[totalCourt]],TrafficData[[#This Row],[disposedCourt]]&lt;=TrafficData[[#This Row],[totalCourt]])</f>
        <v>1</v>
      </c>
    </row>
    <row r="958" spans="1:16">
      <c r="A958" s="1">
        <v>42961</v>
      </c>
      <c r="B958">
        <v>1605</v>
      </c>
      <c r="C958">
        <v>783</v>
      </c>
      <c r="D958">
        <v>822</v>
      </c>
      <c r="E958">
        <v>1576578</v>
      </c>
      <c r="F958">
        <v>4147535</v>
      </c>
      <c r="G958">
        <v>5724113</v>
      </c>
      <c r="H958">
        <v>645</v>
      </c>
      <c r="I958">
        <v>92</v>
      </c>
      <c r="J958">
        <v>737</v>
      </c>
      <c r="K958" t="b">
        <f>TrafficData[[#This Row],[disposedChallan]]+TrafficData[[#This Row],[pendingChallan]]=TrafficData[[#This Row],[totalChallan]]</f>
        <v>1</v>
      </c>
      <c r="L958" t="b">
        <f>TrafficData[[#This Row],[pendingAmount]]+TrafficData[[#This Row],[disposedAmount]]=TrafficData[[#This Row],[totalAmount]]</f>
        <v>1</v>
      </c>
      <c r="M958" t="b">
        <f>TrafficData[[#This Row],[pendingCourt]]+TrafficData[[#This Row],[disposedCourt]]=TrafficData[[#This Row],[totalCourt]]</f>
        <v>1</v>
      </c>
      <c r="N958" s="8" t="b">
        <f>AND(TrafficData[[#This Row],[disposedChallan]]&lt;=TrafficData[[#This Row],[totalChallan]],TrafficData[[#This Row],[pendingChallan]]&lt;=TrafficData[[#This Row],[totalChallan]])</f>
        <v>1</v>
      </c>
      <c r="O958" s="8" t="b">
        <f>AND(TrafficData[[#This Row],[pendingAmount]]&lt;=TrafficData[[#This Row],[totalAmount]],TrafficData[[#This Row],[disposedAmount]]&lt;=TrafficData[[#This Row],[totalAmount]])</f>
        <v>1</v>
      </c>
      <c r="P958" s="8" t="b">
        <f>AND(TrafficData[[#This Row],[pendingCourt]]&lt;=TrafficData[[#This Row],[totalCourt]],TrafficData[[#This Row],[disposedCourt]]&lt;=TrafficData[[#This Row],[totalCourt]])</f>
        <v>1</v>
      </c>
    </row>
    <row r="959" spans="1:16">
      <c r="A959" s="1">
        <v>42962</v>
      </c>
      <c r="B959">
        <v>350</v>
      </c>
      <c r="C959">
        <v>93</v>
      </c>
      <c r="D959">
        <v>257</v>
      </c>
      <c r="E959">
        <v>242260</v>
      </c>
      <c r="F959">
        <v>959690</v>
      </c>
      <c r="G959">
        <v>1201950</v>
      </c>
      <c r="H959">
        <v>166</v>
      </c>
      <c r="I959">
        <v>9</v>
      </c>
      <c r="J959">
        <v>175</v>
      </c>
      <c r="K959" t="b">
        <f>TrafficData[[#This Row],[disposedChallan]]+TrafficData[[#This Row],[pendingChallan]]=TrafficData[[#This Row],[totalChallan]]</f>
        <v>1</v>
      </c>
      <c r="L959" t="b">
        <f>TrafficData[[#This Row],[pendingAmount]]+TrafficData[[#This Row],[disposedAmount]]=TrafficData[[#This Row],[totalAmount]]</f>
        <v>1</v>
      </c>
      <c r="M959" t="b">
        <f>TrafficData[[#This Row],[pendingCourt]]+TrafficData[[#This Row],[disposedCourt]]=TrafficData[[#This Row],[totalCourt]]</f>
        <v>1</v>
      </c>
      <c r="N959" s="8" t="b">
        <f>AND(TrafficData[[#This Row],[disposedChallan]]&lt;=TrafficData[[#This Row],[totalChallan]],TrafficData[[#This Row],[pendingChallan]]&lt;=TrafficData[[#This Row],[totalChallan]])</f>
        <v>1</v>
      </c>
      <c r="O959" s="8" t="b">
        <f>AND(TrafficData[[#This Row],[pendingAmount]]&lt;=TrafficData[[#This Row],[totalAmount]],TrafficData[[#This Row],[disposedAmount]]&lt;=TrafficData[[#This Row],[totalAmount]])</f>
        <v>1</v>
      </c>
      <c r="P959" s="8" t="b">
        <f>AND(TrafficData[[#This Row],[pendingCourt]]&lt;=TrafficData[[#This Row],[totalCourt]],TrafficData[[#This Row],[disposedCourt]]&lt;=TrafficData[[#This Row],[totalCourt]])</f>
        <v>1</v>
      </c>
    </row>
    <row r="960" spans="1:16">
      <c r="A960" s="1">
        <v>42963</v>
      </c>
      <c r="B960">
        <v>2464</v>
      </c>
      <c r="C960">
        <v>1035</v>
      </c>
      <c r="D960">
        <v>1429</v>
      </c>
      <c r="E960">
        <v>1784940</v>
      </c>
      <c r="F960">
        <v>2726763</v>
      </c>
      <c r="G960">
        <v>4511703</v>
      </c>
      <c r="H960">
        <v>1041</v>
      </c>
      <c r="I960">
        <v>158</v>
      </c>
      <c r="J960">
        <v>1199</v>
      </c>
      <c r="K960" t="b">
        <f>TrafficData[[#This Row],[disposedChallan]]+TrafficData[[#This Row],[pendingChallan]]=TrafficData[[#This Row],[totalChallan]]</f>
        <v>1</v>
      </c>
      <c r="L960" t="b">
        <f>TrafficData[[#This Row],[pendingAmount]]+TrafficData[[#This Row],[disposedAmount]]=TrafficData[[#This Row],[totalAmount]]</f>
        <v>1</v>
      </c>
      <c r="M960" t="b">
        <f>TrafficData[[#This Row],[pendingCourt]]+TrafficData[[#This Row],[disposedCourt]]=TrafficData[[#This Row],[totalCourt]]</f>
        <v>1</v>
      </c>
      <c r="N960" s="8" t="b">
        <f>AND(TrafficData[[#This Row],[disposedChallan]]&lt;=TrafficData[[#This Row],[totalChallan]],TrafficData[[#This Row],[pendingChallan]]&lt;=TrafficData[[#This Row],[totalChallan]])</f>
        <v>1</v>
      </c>
      <c r="O960" s="8" t="b">
        <f>AND(TrafficData[[#This Row],[pendingAmount]]&lt;=TrafficData[[#This Row],[totalAmount]],TrafficData[[#This Row],[disposedAmount]]&lt;=TrafficData[[#This Row],[totalAmount]])</f>
        <v>1</v>
      </c>
      <c r="P960" s="8" t="b">
        <f>AND(TrafficData[[#This Row],[pendingCourt]]&lt;=TrafficData[[#This Row],[totalCourt]],TrafficData[[#This Row],[disposedCourt]]&lt;=TrafficData[[#This Row],[totalCourt]])</f>
        <v>1</v>
      </c>
    </row>
    <row r="961" spans="1:16">
      <c r="A961" s="1">
        <v>42964</v>
      </c>
      <c r="B961">
        <v>1993</v>
      </c>
      <c r="C961">
        <v>993</v>
      </c>
      <c r="D961">
        <v>1000</v>
      </c>
      <c r="E961">
        <v>1962320</v>
      </c>
      <c r="F961">
        <v>4395715</v>
      </c>
      <c r="G961">
        <v>6358035</v>
      </c>
      <c r="H961">
        <v>714</v>
      </c>
      <c r="I961">
        <v>96</v>
      </c>
      <c r="J961">
        <v>810</v>
      </c>
      <c r="K961" t="b">
        <f>TrafficData[[#This Row],[disposedChallan]]+TrafficData[[#This Row],[pendingChallan]]=TrafficData[[#This Row],[totalChallan]]</f>
        <v>1</v>
      </c>
      <c r="L961" t="b">
        <f>TrafficData[[#This Row],[pendingAmount]]+TrafficData[[#This Row],[disposedAmount]]=TrafficData[[#This Row],[totalAmount]]</f>
        <v>1</v>
      </c>
      <c r="M961" t="b">
        <f>TrafficData[[#This Row],[pendingCourt]]+TrafficData[[#This Row],[disposedCourt]]=TrafficData[[#This Row],[totalCourt]]</f>
        <v>1</v>
      </c>
      <c r="N961" s="8" t="b">
        <f>AND(TrafficData[[#This Row],[disposedChallan]]&lt;=TrafficData[[#This Row],[totalChallan]],TrafficData[[#This Row],[pendingChallan]]&lt;=TrafficData[[#This Row],[totalChallan]])</f>
        <v>1</v>
      </c>
      <c r="O961" s="8" t="b">
        <f>AND(TrafficData[[#This Row],[pendingAmount]]&lt;=TrafficData[[#This Row],[totalAmount]],TrafficData[[#This Row],[disposedAmount]]&lt;=TrafficData[[#This Row],[totalAmount]])</f>
        <v>1</v>
      </c>
      <c r="P961" s="8" t="b">
        <f>AND(TrafficData[[#This Row],[pendingCourt]]&lt;=TrafficData[[#This Row],[totalCourt]],TrafficData[[#This Row],[disposedCourt]]&lt;=TrafficData[[#This Row],[totalCourt]])</f>
        <v>1</v>
      </c>
    </row>
    <row r="962" spans="1:16">
      <c r="A962" s="1">
        <v>42965</v>
      </c>
      <c r="B962">
        <v>2286</v>
      </c>
      <c r="C962">
        <v>930</v>
      </c>
      <c r="D962">
        <v>1356</v>
      </c>
      <c r="E962">
        <v>1573300</v>
      </c>
      <c r="F962">
        <v>4865864</v>
      </c>
      <c r="G962">
        <v>6439164</v>
      </c>
      <c r="H962">
        <v>1091</v>
      </c>
      <c r="I962">
        <v>130</v>
      </c>
      <c r="J962">
        <v>1221</v>
      </c>
      <c r="K962" t="b">
        <f>TrafficData[[#This Row],[disposedChallan]]+TrafficData[[#This Row],[pendingChallan]]=TrafficData[[#This Row],[totalChallan]]</f>
        <v>1</v>
      </c>
      <c r="L962" t="b">
        <f>TrafficData[[#This Row],[pendingAmount]]+TrafficData[[#This Row],[disposedAmount]]=TrafficData[[#This Row],[totalAmount]]</f>
        <v>1</v>
      </c>
      <c r="M962" t="b">
        <f>TrafficData[[#This Row],[pendingCourt]]+TrafficData[[#This Row],[disposedCourt]]=TrafficData[[#This Row],[totalCourt]]</f>
        <v>1</v>
      </c>
      <c r="N962" s="8" t="b">
        <f>AND(TrafficData[[#This Row],[disposedChallan]]&lt;=TrafficData[[#This Row],[totalChallan]],TrafficData[[#This Row],[pendingChallan]]&lt;=TrafficData[[#This Row],[totalChallan]])</f>
        <v>1</v>
      </c>
      <c r="O962" s="8" t="b">
        <f>AND(TrafficData[[#This Row],[pendingAmount]]&lt;=TrafficData[[#This Row],[totalAmount]],TrafficData[[#This Row],[disposedAmount]]&lt;=TrafficData[[#This Row],[totalAmount]])</f>
        <v>1</v>
      </c>
      <c r="P962" s="8" t="b">
        <f>AND(TrafficData[[#This Row],[pendingCourt]]&lt;=TrafficData[[#This Row],[totalCourt]],TrafficData[[#This Row],[disposedCourt]]&lt;=TrafficData[[#This Row],[totalCourt]])</f>
        <v>1</v>
      </c>
    </row>
    <row r="963" spans="1:16">
      <c r="A963" s="1">
        <v>42966</v>
      </c>
      <c r="B963">
        <v>1671</v>
      </c>
      <c r="C963">
        <v>768</v>
      </c>
      <c r="D963">
        <v>903</v>
      </c>
      <c r="E963">
        <v>1627000</v>
      </c>
      <c r="F963">
        <v>6022806</v>
      </c>
      <c r="G963">
        <v>7649806</v>
      </c>
      <c r="H963">
        <v>723</v>
      </c>
      <c r="I963">
        <v>116</v>
      </c>
      <c r="J963">
        <v>839</v>
      </c>
      <c r="K963" t="b">
        <f>TrafficData[[#This Row],[disposedChallan]]+TrafficData[[#This Row],[pendingChallan]]=TrafficData[[#This Row],[totalChallan]]</f>
        <v>1</v>
      </c>
      <c r="L963" t="b">
        <f>TrafficData[[#This Row],[pendingAmount]]+TrafficData[[#This Row],[disposedAmount]]=TrafficData[[#This Row],[totalAmount]]</f>
        <v>1</v>
      </c>
      <c r="M963" t="b">
        <f>TrafficData[[#This Row],[pendingCourt]]+TrafficData[[#This Row],[disposedCourt]]=TrafficData[[#This Row],[totalCourt]]</f>
        <v>1</v>
      </c>
      <c r="N963" s="8" t="b">
        <f>AND(TrafficData[[#This Row],[disposedChallan]]&lt;=TrafficData[[#This Row],[totalChallan]],TrafficData[[#This Row],[pendingChallan]]&lt;=TrafficData[[#This Row],[totalChallan]])</f>
        <v>1</v>
      </c>
      <c r="O963" s="8" t="b">
        <f>AND(TrafficData[[#This Row],[pendingAmount]]&lt;=TrafficData[[#This Row],[totalAmount]],TrafficData[[#This Row],[disposedAmount]]&lt;=TrafficData[[#This Row],[totalAmount]])</f>
        <v>1</v>
      </c>
      <c r="P963" s="8" t="b">
        <f>AND(TrafficData[[#This Row],[pendingCourt]]&lt;=TrafficData[[#This Row],[totalCourt]],TrafficData[[#This Row],[disposedCourt]]&lt;=TrafficData[[#This Row],[totalCourt]])</f>
        <v>1</v>
      </c>
    </row>
    <row r="964" spans="1:16">
      <c r="A964" s="1">
        <v>42967</v>
      </c>
      <c r="B964">
        <v>1146</v>
      </c>
      <c r="C964">
        <v>356</v>
      </c>
      <c r="D964">
        <v>790</v>
      </c>
      <c r="E964">
        <v>887300</v>
      </c>
      <c r="F964">
        <v>1929715</v>
      </c>
      <c r="G964">
        <v>2817015</v>
      </c>
      <c r="H964">
        <v>580</v>
      </c>
      <c r="I964">
        <v>72</v>
      </c>
      <c r="J964">
        <v>652</v>
      </c>
      <c r="K964" t="b">
        <f>TrafficData[[#This Row],[disposedChallan]]+TrafficData[[#This Row],[pendingChallan]]=TrafficData[[#This Row],[totalChallan]]</f>
        <v>1</v>
      </c>
      <c r="L964" t="b">
        <f>TrafficData[[#This Row],[pendingAmount]]+TrafficData[[#This Row],[disposedAmount]]=TrafficData[[#This Row],[totalAmount]]</f>
        <v>1</v>
      </c>
      <c r="M964" t="b">
        <f>TrafficData[[#This Row],[pendingCourt]]+TrafficData[[#This Row],[disposedCourt]]=TrafficData[[#This Row],[totalCourt]]</f>
        <v>1</v>
      </c>
      <c r="N964" s="8" t="b">
        <f>AND(TrafficData[[#This Row],[disposedChallan]]&lt;=TrafficData[[#This Row],[totalChallan]],TrafficData[[#This Row],[pendingChallan]]&lt;=TrafficData[[#This Row],[totalChallan]])</f>
        <v>1</v>
      </c>
      <c r="O964" s="8" t="b">
        <f>AND(TrafficData[[#This Row],[pendingAmount]]&lt;=TrafficData[[#This Row],[totalAmount]],TrafficData[[#This Row],[disposedAmount]]&lt;=TrafficData[[#This Row],[totalAmount]])</f>
        <v>1</v>
      </c>
      <c r="P964" s="8" t="b">
        <f>AND(TrafficData[[#This Row],[pendingCourt]]&lt;=TrafficData[[#This Row],[totalCourt]],TrafficData[[#This Row],[disposedCourt]]&lt;=TrafficData[[#This Row],[totalCourt]])</f>
        <v>1</v>
      </c>
    </row>
    <row r="965" spans="1:16">
      <c r="A965" s="1">
        <v>42968</v>
      </c>
      <c r="B965">
        <v>1789</v>
      </c>
      <c r="C965">
        <v>808</v>
      </c>
      <c r="D965">
        <v>981</v>
      </c>
      <c r="E965">
        <v>1815600</v>
      </c>
      <c r="F965">
        <v>4164990</v>
      </c>
      <c r="G965">
        <v>5980590</v>
      </c>
      <c r="H965">
        <v>752</v>
      </c>
      <c r="I965">
        <v>95</v>
      </c>
      <c r="J965">
        <v>847</v>
      </c>
      <c r="K965" t="b">
        <f>TrafficData[[#This Row],[disposedChallan]]+TrafficData[[#This Row],[pendingChallan]]=TrafficData[[#This Row],[totalChallan]]</f>
        <v>1</v>
      </c>
      <c r="L965" t="b">
        <f>TrafficData[[#This Row],[pendingAmount]]+TrafficData[[#This Row],[disposedAmount]]=TrafficData[[#This Row],[totalAmount]]</f>
        <v>1</v>
      </c>
      <c r="M965" t="b">
        <f>TrafficData[[#This Row],[pendingCourt]]+TrafficData[[#This Row],[disposedCourt]]=TrafficData[[#This Row],[totalCourt]]</f>
        <v>1</v>
      </c>
      <c r="N965" s="8" t="b">
        <f>AND(TrafficData[[#This Row],[disposedChallan]]&lt;=TrafficData[[#This Row],[totalChallan]],TrafficData[[#This Row],[pendingChallan]]&lt;=TrafficData[[#This Row],[totalChallan]])</f>
        <v>1</v>
      </c>
      <c r="O965" s="8" t="b">
        <f>AND(TrafficData[[#This Row],[pendingAmount]]&lt;=TrafficData[[#This Row],[totalAmount]],TrafficData[[#This Row],[disposedAmount]]&lt;=TrafficData[[#This Row],[totalAmount]])</f>
        <v>1</v>
      </c>
      <c r="P965" s="8" t="b">
        <f>AND(TrafficData[[#This Row],[pendingCourt]]&lt;=TrafficData[[#This Row],[totalCourt]],TrafficData[[#This Row],[disposedCourt]]&lt;=TrafficData[[#This Row],[totalCourt]])</f>
        <v>1</v>
      </c>
    </row>
    <row r="966" spans="1:16">
      <c r="A966" s="1">
        <v>42969</v>
      </c>
      <c r="B966">
        <v>1718</v>
      </c>
      <c r="C966">
        <v>779</v>
      </c>
      <c r="D966">
        <v>939</v>
      </c>
      <c r="E966">
        <v>1306550</v>
      </c>
      <c r="F966">
        <v>4815886</v>
      </c>
      <c r="G966">
        <v>6122436</v>
      </c>
      <c r="H966">
        <v>733</v>
      </c>
      <c r="I966">
        <v>95</v>
      </c>
      <c r="J966">
        <v>828</v>
      </c>
      <c r="K966" t="b">
        <f>TrafficData[[#This Row],[disposedChallan]]+TrafficData[[#This Row],[pendingChallan]]=TrafficData[[#This Row],[totalChallan]]</f>
        <v>1</v>
      </c>
      <c r="L966" t="b">
        <f>TrafficData[[#This Row],[pendingAmount]]+TrafficData[[#This Row],[disposedAmount]]=TrafficData[[#This Row],[totalAmount]]</f>
        <v>1</v>
      </c>
      <c r="M966" t="b">
        <f>TrafficData[[#This Row],[pendingCourt]]+TrafficData[[#This Row],[disposedCourt]]=TrafficData[[#This Row],[totalCourt]]</f>
        <v>1</v>
      </c>
      <c r="N966" s="8" t="b">
        <f>AND(TrafficData[[#This Row],[disposedChallan]]&lt;=TrafficData[[#This Row],[totalChallan]],TrafficData[[#This Row],[pendingChallan]]&lt;=TrafficData[[#This Row],[totalChallan]])</f>
        <v>1</v>
      </c>
      <c r="O966" s="8" t="b">
        <f>AND(TrafficData[[#This Row],[pendingAmount]]&lt;=TrafficData[[#This Row],[totalAmount]],TrafficData[[#This Row],[disposedAmount]]&lt;=TrafficData[[#This Row],[totalAmount]])</f>
        <v>1</v>
      </c>
      <c r="P966" s="8" t="b">
        <f>AND(TrafficData[[#This Row],[pendingCourt]]&lt;=TrafficData[[#This Row],[totalCourt]],TrafficData[[#This Row],[disposedCourt]]&lt;=TrafficData[[#This Row],[totalCourt]])</f>
        <v>1</v>
      </c>
    </row>
    <row r="967" spans="1:16">
      <c r="A967" s="1">
        <v>42970</v>
      </c>
      <c r="B967">
        <v>2159</v>
      </c>
      <c r="C967">
        <v>1105</v>
      </c>
      <c r="D967">
        <v>1054</v>
      </c>
      <c r="E967">
        <v>1736098</v>
      </c>
      <c r="F967">
        <v>4219875</v>
      </c>
      <c r="G967">
        <v>5955973</v>
      </c>
      <c r="H967">
        <v>799</v>
      </c>
      <c r="I967">
        <v>119</v>
      </c>
      <c r="J967">
        <v>918</v>
      </c>
      <c r="K967" t="b">
        <f>TrafficData[[#This Row],[disposedChallan]]+TrafficData[[#This Row],[pendingChallan]]=TrafficData[[#This Row],[totalChallan]]</f>
        <v>1</v>
      </c>
      <c r="L967" t="b">
        <f>TrafficData[[#This Row],[pendingAmount]]+TrafficData[[#This Row],[disposedAmount]]=TrafficData[[#This Row],[totalAmount]]</f>
        <v>1</v>
      </c>
      <c r="M967" t="b">
        <f>TrafficData[[#This Row],[pendingCourt]]+TrafficData[[#This Row],[disposedCourt]]=TrafficData[[#This Row],[totalCourt]]</f>
        <v>1</v>
      </c>
      <c r="N967" s="8" t="b">
        <f>AND(TrafficData[[#This Row],[disposedChallan]]&lt;=TrafficData[[#This Row],[totalChallan]],TrafficData[[#This Row],[pendingChallan]]&lt;=TrafficData[[#This Row],[totalChallan]])</f>
        <v>1</v>
      </c>
      <c r="O967" s="8" t="b">
        <f>AND(TrafficData[[#This Row],[pendingAmount]]&lt;=TrafficData[[#This Row],[totalAmount]],TrafficData[[#This Row],[disposedAmount]]&lt;=TrafficData[[#This Row],[totalAmount]])</f>
        <v>1</v>
      </c>
      <c r="P967" s="8" t="b">
        <f>AND(TrafficData[[#This Row],[pendingCourt]]&lt;=TrafficData[[#This Row],[totalCourt]],TrafficData[[#This Row],[disposedCourt]]&lt;=TrafficData[[#This Row],[totalCourt]])</f>
        <v>1</v>
      </c>
    </row>
    <row r="968" spans="1:16">
      <c r="A968" s="1">
        <v>42971</v>
      </c>
      <c r="B968">
        <v>2175</v>
      </c>
      <c r="C968">
        <v>982</v>
      </c>
      <c r="D968">
        <v>1193</v>
      </c>
      <c r="E968">
        <v>1831700</v>
      </c>
      <c r="F968">
        <v>5458707</v>
      </c>
      <c r="G968">
        <v>7290407</v>
      </c>
      <c r="H968">
        <v>879</v>
      </c>
      <c r="I968">
        <v>126</v>
      </c>
      <c r="J968">
        <v>1005</v>
      </c>
      <c r="K968" t="b">
        <f>TrafficData[[#This Row],[disposedChallan]]+TrafficData[[#This Row],[pendingChallan]]=TrafficData[[#This Row],[totalChallan]]</f>
        <v>1</v>
      </c>
      <c r="L968" t="b">
        <f>TrafficData[[#This Row],[pendingAmount]]+TrafficData[[#This Row],[disposedAmount]]=TrafficData[[#This Row],[totalAmount]]</f>
        <v>1</v>
      </c>
      <c r="M968" t="b">
        <f>TrafficData[[#This Row],[pendingCourt]]+TrafficData[[#This Row],[disposedCourt]]=TrafficData[[#This Row],[totalCourt]]</f>
        <v>1</v>
      </c>
      <c r="N968" s="8" t="b">
        <f>AND(TrafficData[[#This Row],[disposedChallan]]&lt;=TrafficData[[#This Row],[totalChallan]],TrafficData[[#This Row],[pendingChallan]]&lt;=TrafficData[[#This Row],[totalChallan]])</f>
        <v>1</v>
      </c>
      <c r="O968" s="8" t="b">
        <f>AND(TrafficData[[#This Row],[pendingAmount]]&lt;=TrafficData[[#This Row],[totalAmount]],TrafficData[[#This Row],[disposedAmount]]&lt;=TrafficData[[#This Row],[totalAmount]])</f>
        <v>1</v>
      </c>
      <c r="P968" s="8" t="b">
        <f>AND(TrafficData[[#This Row],[pendingCourt]]&lt;=TrafficData[[#This Row],[totalCourt]],TrafficData[[#This Row],[disposedCourt]]&lt;=TrafficData[[#This Row],[totalCourt]])</f>
        <v>1</v>
      </c>
    </row>
    <row r="969" spans="1:16">
      <c r="A969" s="1">
        <v>42972</v>
      </c>
      <c r="B969">
        <v>1834</v>
      </c>
      <c r="C969">
        <v>843</v>
      </c>
      <c r="D969">
        <v>991</v>
      </c>
      <c r="E969">
        <v>1299098</v>
      </c>
      <c r="F969">
        <v>4170216</v>
      </c>
      <c r="G969">
        <v>5469314</v>
      </c>
      <c r="H969">
        <v>739</v>
      </c>
      <c r="I969">
        <v>94</v>
      </c>
      <c r="J969">
        <v>833</v>
      </c>
      <c r="K969" t="b">
        <f>TrafficData[[#This Row],[disposedChallan]]+TrafficData[[#This Row],[pendingChallan]]=TrafficData[[#This Row],[totalChallan]]</f>
        <v>1</v>
      </c>
      <c r="L969" t="b">
        <f>TrafficData[[#This Row],[pendingAmount]]+TrafficData[[#This Row],[disposedAmount]]=TrafficData[[#This Row],[totalAmount]]</f>
        <v>1</v>
      </c>
      <c r="M969" t="b">
        <f>TrafficData[[#This Row],[pendingCourt]]+TrafficData[[#This Row],[disposedCourt]]=TrafficData[[#This Row],[totalCourt]]</f>
        <v>1</v>
      </c>
      <c r="N969" s="8" t="b">
        <f>AND(TrafficData[[#This Row],[disposedChallan]]&lt;=TrafficData[[#This Row],[totalChallan]],TrafficData[[#This Row],[pendingChallan]]&lt;=TrafficData[[#This Row],[totalChallan]])</f>
        <v>1</v>
      </c>
      <c r="O969" s="8" t="b">
        <f>AND(TrafficData[[#This Row],[pendingAmount]]&lt;=TrafficData[[#This Row],[totalAmount]],TrafficData[[#This Row],[disposedAmount]]&lt;=TrafficData[[#This Row],[totalAmount]])</f>
        <v>1</v>
      </c>
      <c r="P969" s="8" t="b">
        <f>AND(TrafficData[[#This Row],[pendingCourt]]&lt;=TrafficData[[#This Row],[totalCourt]],TrafficData[[#This Row],[disposedCourt]]&lt;=TrafficData[[#This Row],[totalCourt]])</f>
        <v>1</v>
      </c>
    </row>
    <row r="970" spans="1:16">
      <c r="A970" s="1">
        <v>42973</v>
      </c>
      <c r="B970">
        <v>1822</v>
      </c>
      <c r="C970">
        <v>702</v>
      </c>
      <c r="D970">
        <v>1120</v>
      </c>
      <c r="E970">
        <v>1600050</v>
      </c>
      <c r="F970">
        <v>3519020</v>
      </c>
      <c r="G970">
        <v>5119070</v>
      </c>
      <c r="H970">
        <v>839</v>
      </c>
      <c r="I970">
        <v>110</v>
      </c>
      <c r="J970">
        <v>949</v>
      </c>
      <c r="K970" t="b">
        <f>TrafficData[[#This Row],[disposedChallan]]+TrafficData[[#This Row],[pendingChallan]]=TrafficData[[#This Row],[totalChallan]]</f>
        <v>1</v>
      </c>
      <c r="L970" t="b">
        <f>TrafficData[[#This Row],[pendingAmount]]+TrafficData[[#This Row],[disposedAmount]]=TrafficData[[#This Row],[totalAmount]]</f>
        <v>1</v>
      </c>
      <c r="M970" t="b">
        <f>TrafficData[[#This Row],[pendingCourt]]+TrafficData[[#This Row],[disposedCourt]]=TrafficData[[#This Row],[totalCourt]]</f>
        <v>1</v>
      </c>
      <c r="N970" s="8" t="b">
        <f>AND(TrafficData[[#This Row],[disposedChallan]]&lt;=TrafficData[[#This Row],[totalChallan]],TrafficData[[#This Row],[pendingChallan]]&lt;=TrafficData[[#This Row],[totalChallan]])</f>
        <v>1</v>
      </c>
      <c r="O970" s="8" t="b">
        <f>AND(TrafficData[[#This Row],[pendingAmount]]&lt;=TrafficData[[#This Row],[totalAmount]],TrafficData[[#This Row],[disposedAmount]]&lt;=TrafficData[[#This Row],[totalAmount]])</f>
        <v>1</v>
      </c>
      <c r="P970" s="8" t="b">
        <f>AND(TrafficData[[#This Row],[pendingCourt]]&lt;=TrafficData[[#This Row],[totalCourt]],TrafficData[[#This Row],[disposedCourt]]&lt;=TrafficData[[#This Row],[totalCourt]])</f>
        <v>1</v>
      </c>
    </row>
    <row r="971" spans="1:16">
      <c r="A971" s="1">
        <v>42974</v>
      </c>
      <c r="B971">
        <v>844</v>
      </c>
      <c r="C971">
        <v>420</v>
      </c>
      <c r="D971">
        <v>424</v>
      </c>
      <c r="E971">
        <v>527950</v>
      </c>
      <c r="F971">
        <v>2680915</v>
      </c>
      <c r="G971">
        <v>3208865</v>
      </c>
      <c r="H971">
        <v>314</v>
      </c>
      <c r="I971">
        <v>58</v>
      </c>
      <c r="J971">
        <v>372</v>
      </c>
      <c r="K971" t="b">
        <f>TrafficData[[#This Row],[disposedChallan]]+TrafficData[[#This Row],[pendingChallan]]=TrafficData[[#This Row],[totalChallan]]</f>
        <v>1</v>
      </c>
      <c r="L971" t="b">
        <f>TrafficData[[#This Row],[pendingAmount]]+TrafficData[[#This Row],[disposedAmount]]=TrafficData[[#This Row],[totalAmount]]</f>
        <v>1</v>
      </c>
      <c r="M971" t="b">
        <f>TrafficData[[#This Row],[pendingCourt]]+TrafficData[[#This Row],[disposedCourt]]=TrafficData[[#This Row],[totalCourt]]</f>
        <v>1</v>
      </c>
      <c r="N971" s="8" t="b">
        <f>AND(TrafficData[[#This Row],[disposedChallan]]&lt;=TrafficData[[#This Row],[totalChallan]],TrafficData[[#This Row],[pendingChallan]]&lt;=TrafficData[[#This Row],[totalChallan]])</f>
        <v>1</v>
      </c>
      <c r="O971" s="8" t="b">
        <f>AND(TrafficData[[#This Row],[pendingAmount]]&lt;=TrafficData[[#This Row],[totalAmount]],TrafficData[[#This Row],[disposedAmount]]&lt;=TrafficData[[#This Row],[totalAmount]])</f>
        <v>1</v>
      </c>
      <c r="P971" s="8" t="b">
        <f>AND(TrafficData[[#This Row],[pendingCourt]]&lt;=TrafficData[[#This Row],[totalCourt]],TrafficData[[#This Row],[disposedCourt]]&lt;=TrafficData[[#This Row],[totalCourt]])</f>
        <v>1</v>
      </c>
    </row>
    <row r="972" spans="1:16">
      <c r="A972" s="1">
        <v>42975</v>
      </c>
      <c r="B972">
        <v>1834</v>
      </c>
      <c r="C972">
        <v>874</v>
      </c>
      <c r="D972">
        <v>960</v>
      </c>
      <c r="E972">
        <v>1313229</v>
      </c>
      <c r="F972">
        <v>3709934</v>
      </c>
      <c r="G972">
        <v>5023163</v>
      </c>
      <c r="H972">
        <v>715</v>
      </c>
      <c r="I972">
        <v>114</v>
      </c>
      <c r="J972">
        <v>829</v>
      </c>
      <c r="K972" t="b">
        <f>TrafficData[[#This Row],[disposedChallan]]+TrafficData[[#This Row],[pendingChallan]]=TrafficData[[#This Row],[totalChallan]]</f>
        <v>1</v>
      </c>
      <c r="L972" t="b">
        <f>TrafficData[[#This Row],[pendingAmount]]+TrafficData[[#This Row],[disposedAmount]]=TrafficData[[#This Row],[totalAmount]]</f>
        <v>1</v>
      </c>
      <c r="M972" t="b">
        <f>TrafficData[[#This Row],[pendingCourt]]+TrafficData[[#This Row],[disposedCourt]]=TrafficData[[#This Row],[totalCourt]]</f>
        <v>1</v>
      </c>
      <c r="N972" s="8" t="b">
        <f>AND(TrafficData[[#This Row],[disposedChallan]]&lt;=TrafficData[[#This Row],[totalChallan]],TrafficData[[#This Row],[pendingChallan]]&lt;=TrafficData[[#This Row],[totalChallan]])</f>
        <v>1</v>
      </c>
      <c r="O972" s="8" t="b">
        <f>AND(TrafficData[[#This Row],[pendingAmount]]&lt;=TrafficData[[#This Row],[totalAmount]],TrafficData[[#This Row],[disposedAmount]]&lt;=TrafficData[[#This Row],[totalAmount]])</f>
        <v>1</v>
      </c>
      <c r="P972" s="8" t="b">
        <f>AND(TrafficData[[#This Row],[pendingCourt]]&lt;=TrafficData[[#This Row],[totalCourt]],TrafficData[[#This Row],[disposedCourt]]&lt;=TrafficData[[#This Row],[totalCourt]])</f>
        <v>1</v>
      </c>
    </row>
    <row r="973" spans="1:16">
      <c r="A973" s="1">
        <v>42976</v>
      </c>
      <c r="B973">
        <v>2009</v>
      </c>
      <c r="C973">
        <v>948</v>
      </c>
      <c r="D973">
        <v>1061</v>
      </c>
      <c r="E973">
        <v>1945301</v>
      </c>
      <c r="F973">
        <v>4746478</v>
      </c>
      <c r="G973">
        <v>6691779</v>
      </c>
      <c r="H973">
        <v>803</v>
      </c>
      <c r="I973">
        <v>176</v>
      </c>
      <c r="J973">
        <v>979</v>
      </c>
      <c r="K973" t="b">
        <f>TrafficData[[#This Row],[disposedChallan]]+TrafficData[[#This Row],[pendingChallan]]=TrafficData[[#This Row],[totalChallan]]</f>
        <v>1</v>
      </c>
      <c r="L973" t="b">
        <f>TrafficData[[#This Row],[pendingAmount]]+TrafficData[[#This Row],[disposedAmount]]=TrafficData[[#This Row],[totalAmount]]</f>
        <v>1</v>
      </c>
      <c r="M973" t="b">
        <f>TrafficData[[#This Row],[pendingCourt]]+TrafficData[[#This Row],[disposedCourt]]=TrafficData[[#This Row],[totalCourt]]</f>
        <v>1</v>
      </c>
      <c r="N973" s="8" t="b">
        <f>AND(TrafficData[[#This Row],[disposedChallan]]&lt;=TrafficData[[#This Row],[totalChallan]],TrafficData[[#This Row],[pendingChallan]]&lt;=TrafficData[[#This Row],[totalChallan]])</f>
        <v>1</v>
      </c>
      <c r="O973" s="8" t="b">
        <f>AND(TrafficData[[#This Row],[pendingAmount]]&lt;=TrafficData[[#This Row],[totalAmount]],TrafficData[[#This Row],[disposedAmount]]&lt;=TrafficData[[#This Row],[totalAmount]])</f>
        <v>1</v>
      </c>
      <c r="P973" s="8" t="b">
        <f>AND(TrafficData[[#This Row],[pendingCourt]]&lt;=TrafficData[[#This Row],[totalCourt]],TrafficData[[#This Row],[disposedCourt]]&lt;=TrafficData[[#This Row],[totalCourt]])</f>
        <v>1</v>
      </c>
    </row>
    <row r="974" spans="1:16">
      <c r="A974" s="1">
        <v>42977</v>
      </c>
      <c r="B974">
        <v>2601</v>
      </c>
      <c r="C974">
        <v>1517</v>
      </c>
      <c r="D974">
        <v>1084</v>
      </c>
      <c r="E974">
        <v>2059350</v>
      </c>
      <c r="F974">
        <v>4763995</v>
      </c>
      <c r="G974">
        <v>6823345</v>
      </c>
      <c r="H974">
        <v>853</v>
      </c>
      <c r="I974">
        <v>180</v>
      </c>
      <c r="J974">
        <v>1033</v>
      </c>
      <c r="K974" t="b">
        <f>TrafficData[[#This Row],[disposedChallan]]+TrafficData[[#This Row],[pendingChallan]]=TrafficData[[#This Row],[totalChallan]]</f>
        <v>1</v>
      </c>
      <c r="L974" t="b">
        <f>TrafficData[[#This Row],[pendingAmount]]+TrafficData[[#This Row],[disposedAmount]]=TrafficData[[#This Row],[totalAmount]]</f>
        <v>1</v>
      </c>
      <c r="M974" t="b">
        <f>TrafficData[[#This Row],[pendingCourt]]+TrafficData[[#This Row],[disposedCourt]]=TrafficData[[#This Row],[totalCourt]]</f>
        <v>1</v>
      </c>
      <c r="N974" s="8" t="b">
        <f>AND(TrafficData[[#This Row],[disposedChallan]]&lt;=TrafficData[[#This Row],[totalChallan]],TrafficData[[#This Row],[pendingChallan]]&lt;=TrafficData[[#This Row],[totalChallan]])</f>
        <v>1</v>
      </c>
      <c r="O974" s="8" t="b">
        <f>AND(TrafficData[[#This Row],[pendingAmount]]&lt;=TrafficData[[#This Row],[totalAmount]],TrafficData[[#This Row],[disposedAmount]]&lt;=TrafficData[[#This Row],[totalAmount]])</f>
        <v>1</v>
      </c>
      <c r="P974" s="8" t="b">
        <f>AND(TrafficData[[#This Row],[pendingCourt]]&lt;=TrafficData[[#This Row],[totalCourt]],TrafficData[[#This Row],[disposedCourt]]&lt;=TrafficData[[#This Row],[totalCourt]])</f>
        <v>1</v>
      </c>
    </row>
    <row r="975" spans="1:16">
      <c r="A975" s="1">
        <v>42978</v>
      </c>
      <c r="B975">
        <v>1431</v>
      </c>
      <c r="C975">
        <v>890</v>
      </c>
      <c r="D975">
        <v>541</v>
      </c>
      <c r="E975">
        <v>1131354</v>
      </c>
      <c r="F975">
        <v>3231500</v>
      </c>
      <c r="G975">
        <v>4362854</v>
      </c>
      <c r="H975">
        <v>401</v>
      </c>
      <c r="I975">
        <v>138</v>
      </c>
      <c r="J975">
        <v>539</v>
      </c>
      <c r="K975" t="b">
        <f>TrafficData[[#This Row],[disposedChallan]]+TrafficData[[#This Row],[pendingChallan]]=TrafficData[[#This Row],[totalChallan]]</f>
        <v>1</v>
      </c>
      <c r="L975" t="b">
        <f>TrafficData[[#This Row],[pendingAmount]]+TrafficData[[#This Row],[disposedAmount]]=TrafficData[[#This Row],[totalAmount]]</f>
        <v>1</v>
      </c>
      <c r="M975" t="b">
        <f>TrafficData[[#This Row],[pendingCourt]]+TrafficData[[#This Row],[disposedCourt]]=TrafficData[[#This Row],[totalCourt]]</f>
        <v>1</v>
      </c>
      <c r="N975" s="8" t="b">
        <f>AND(TrafficData[[#This Row],[disposedChallan]]&lt;=TrafficData[[#This Row],[totalChallan]],TrafficData[[#This Row],[pendingChallan]]&lt;=TrafficData[[#This Row],[totalChallan]])</f>
        <v>1</v>
      </c>
      <c r="O975" s="8" t="b">
        <f>AND(TrafficData[[#This Row],[pendingAmount]]&lt;=TrafficData[[#This Row],[totalAmount]],TrafficData[[#This Row],[disposedAmount]]&lt;=TrafficData[[#This Row],[totalAmount]])</f>
        <v>1</v>
      </c>
      <c r="P975" s="8" t="b">
        <f>AND(TrafficData[[#This Row],[pendingCourt]]&lt;=TrafficData[[#This Row],[totalCourt]],TrafficData[[#This Row],[disposedCourt]]&lt;=TrafficData[[#This Row],[totalCourt]])</f>
        <v>1</v>
      </c>
    </row>
    <row r="976" spans="1:16">
      <c r="A976" s="1">
        <v>42979</v>
      </c>
      <c r="B976">
        <v>1275</v>
      </c>
      <c r="C976">
        <v>629</v>
      </c>
      <c r="D976">
        <v>646</v>
      </c>
      <c r="E976">
        <v>1721640</v>
      </c>
      <c r="F976">
        <v>3752165</v>
      </c>
      <c r="G976">
        <v>5473805</v>
      </c>
      <c r="H976">
        <v>447</v>
      </c>
      <c r="I976">
        <v>98</v>
      </c>
      <c r="J976">
        <v>545</v>
      </c>
      <c r="K976" t="b">
        <f>TrafficData[[#This Row],[disposedChallan]]+TrafficData[[#This Row],[pendingChallan]]=TrafficData[[#This Row],[totalChallan]]</f>
        <v>1</v>
      </c>
      <c r="L976" t="b">
        <f>TrafficData[[#This Row],[pendingAmount]]+TrafficData[[#This Row],[disposedAmount]]=TrafficData[[#This Row],[totalAmount]]</f>
        <v>1</v>
      </c>
      <c r="M976" t="b">
        <f>TrafficData[[#This Row],[pendingCourt]]+TrafficData[[#This Row],[disposedCourt]]=TrafficData[[#This Row],[totalCourt]]</f>
        <v>1</v>
      </c>
      <c r="N976" s="8" t="b">
        <f>AND(TrafficData[[#This Row],[disposedChallan]]&lt;=TrafficData[[#This Row],[totalChallan]],TrafficData[[#This Row],[pendingChallan]]&lt;=TrafficData[[#This Row],[totalChallan]])</f>
        <v>1</v>
      </c>
      <c r="O976" s="8" t="b">
        <f>AND(TrafficData[[#This Row],[pendingAmount]]&lt;=TrafficData[[#This Row],[totalAmount]],TrafficData[[#This Row],[disposedAmount]]&lt;=TrafficData[[#This Row],[totalAmount]])</f>
        <v>1</v>
      </c>
      <c r="P976" s="8" t="b">
        <f>AND(TrafficData[[#This Row],[pendingCourt]]&lt;=TrafficData[[#This Row],[totalCourt]],TrafficData[[#This Row],[disposedCourt]]&lt;=TrafficData[[#This Row],[totalCourt]])</f>
        <v>1</v>
      </c>
    </row>
    <row r="977" spans="1:16">
      <c r="A977" s="1">
        <v>42980</v>
      </c>
      <c r="B977">
        <v>618</v>
      </c>
      <c r="C977">
        <v>246</v>
      </c>
      <c r="D977">
        <v>372</v>
      </c>
      <c r="E977">
        <v>496500</v>
      </c>
      <c r="F977">
        <v>975430</v>
      </c>
      <c r="G977">
        <v>1471930</v>
      </c>
      <c r="H977">
        <v>264</v>
      </c>
      <c r="I977">
        <v>32</v>
      </c>
      <c r="J977">
        <v>296</v>
      </c>
      <c r="K977" t="b">
        <f>TrafficData[[#This Row],[disposedChallan]]+TrafficData[[#This Row],[pendingChallan]]=TrafficData[[#This Row],[totalChallan]]</f>
        <v>1</v>
      </c>
      <c r="L977" t="b">
        <f>TrafficData[[#This Row],[pendingAmount]]+TrafficData[[#This Row],[disposedAmount]]=TrafficData[[#This Row],[totalAmount]]</f>
        <v>1</v>
      </c>
      <c r="M977" t="b">
        <f>TrafficData[[#This Row],[pendingCourt]]+TrafficData[[#This Row],[disposedCourt]]=TrafficData[[#This Row],[totalCourt]]</f>
        <v>1</v>
      </c>
      <c r="N977" s="8" t="b">
        <f>AND(TrafficData[[#This Row],[disposedChallan]]&lt;=TrafficData[[#This Row],[totalChallan]],TrafficData[[#This Row],[pendingChallan]]&lt;=TrafficData[[#This Row],[totalChallan]])</f>
        <v>1</v>
      </c>
      <c r="O977" s="8" t="b">
        <f>AND(TrafficData[[#This Row],[pendingAmount]]&lt;=TrafficData[[#This Row],[totalAmount]],TrafficData[[#This Row],[disposedAmount]]&lt;=TrafficData[[#This Row],[totalAmount]])</f>
        <v>1</v>
      </c>
      <c r="P977" s="8" t="b">
        <f>AND(TrafficData[[#This Row],[pendingCourt]]&lt;=TrafficData[[#This Row],[totalCourt]],TrafficData[[#This Row],[disposedCourt]]&lt;=TrafficData[[#This Row],[totalCourt]])</f>
        <v>1</v>
      </c>
    </row>
    <row r="978" spans="1:16">
      <c r="A978" s="1">
        <v>42981</v>
      </c>
      <c r="B978">
        <v>497</v>
      </c>
      <c r="C978">
        <v>313</v>
      </c>
      <c r="D978">
        <v>184</v>
      </c>
      <c r="E978">
        <v>755900</v>
      </c>
      <c r="F978">
        <v>2782490</v>
      </c>
      <c r="G978">
        <v>3538390</v>
      </c>
      <c r="H978">
        <v>113</v>
      </c>
      <c r="I978">
        <v>39</v>
      </c>
      <c r="J978">
        <v>152</v>
      </c>
      <c r="K978" t="b">
        <f>TrafficData[[#This Row],[disposedChallan]]+TrafficData[[#This Row],[pendingChallan]]=TrafficData[[#This Row],[totalChallan]]</f>
        <v>1</v>
      </c>
      <c r="L978" t="b">
        <f>TrafficData[[#This Row],[pendingAmount]]+TrafficData[[#This Row],[disposedAmount]]=TrafficData[[#This Row],[totalAmount]]</f>
        <v>1</v>
      </c>
      <c r="M978" t="b">
        <f>TrafficData[[#This Row],[pendingCourt]]+TrafficData[[#This Row],[disposedCourt]]=TrafficData[[#This Row],[totalCourt]]</f>
        <v>1</v>
      </c>
      <c r="N978" s="8" t="b">
        <f>AND(TrafficData[[#This Row],[disposedChallan]]&lt;=TrafficData[[#This Row],[totalChallan]],TrafficData[[#This Row],[pendingChallan]]&lt;=TrafficData[[#This Row],[totalChallan]])</f>
        <v>1</v>
      </c>
      <c r="O978" s="8" t="b">
        <f>AND(TrafficData[[#This Row],[pendingAmount]]&lt;=TrafficData[[#This Row],[totalAmount]],TrafficData[[#This Row],[disposedAmount]]&lt;=TrafficData[[#This Row],[totalAmount]])</f>
        <v>1</v>
      </c>
      <c r="P978" s="8" t="b">
        <f>AND(TrafficData[[#This Row],[pendingCourt]]&lt;=TrafficData[[#This Row],[totalCourt]],TrafficData[[#This Row],[disposedCourt]]&lt;=TrafficData[[#This Row],[totalCourt]])</f>
        <v>1</v>
      </c>
    </row>
    <row r="979" spans="1:16">
      <c r="A979" s="1">
        <v>42982</v>
      </c>
      <c r="B979">
        <v>1663</v>
      </c>
      <c r="C979">
        <v>834</v>
      </c>
      <c r="D979">
        <v>829</v>
      </c>
      <c r="E979">
        <v>1781547</v>
      </c>
      <c r="F979">
        <v>4712856</v>
      </c>
      <c r="G979">
        <v>6494403</v>
      </c>
      <c r="H979">
        <v>642</v>
      </c>
      <c r="I979">
        <v>116</v>
      </c>
      <c r="J979">
        <v>758</v>
      </c>
      <c r="K979" t="b">
        <f>TrafficData[[#This Row],[disposedChallan]]+TrafficData[[#This Row],[pendingChallan]]=TrafficData[[#This Row],[totalChallan]]</f>
        <v>1</v>
      </c>
      <c r="L979" t="b">
        <f>TrafficData[[#This Row],[pendingAmount]]+TrafficData[[#This Row],[disposedAmount]]=TrafficData[[#This Row],[totalAmount]]</f>
        <v>1</v>
      </c>
      <c r="M979" t="b">
        <f>TrafficData[[#This Row],[pendingCourt]]+TrafficData[[#This Row],[disposedCourt]]=TrafficData[[#This Row],[totalCourt]]</f>
        <v>1</v>
      </c>
      <c r="N979" s="8" t="b">
        <f>AND(TrafficData[[#This Row],[disposedChallan]]&lt;=TrafficData[[#This Row],[totalChallan]],TrafficData[[#This Row],[pendingChallan]]&lt;=TrafficData[[#This Row],[totalChallan]])</f>
        <v>1</v>
      </c>
      <c r="O979" s="8" t="b">
        <f>AND(TrafficData[[#This Row],[pendingAmount]]&lt;=TrafficData[[#This Row],[totalAmount]],TrafficData[[#This Row],[disposedAmount]]&lt;=TrafficData[[#This Row],[totalAmount]])</f>
        <v>1</v>
      </c>
      <c r="P979" s="8" t="b">
        <f>AND(TrafficData[[#This Row],[pendingCourt]]&lt;=TrafficData[[#This Row],[totalCourt]],TrafficData[[#This Row],[disposedCourt]]&lt;=TrafficData[[#This Row],[totalCourt]])</f>
        <v>1</v>
      </c>
    </row>
    <row r="980" spans="1:16">
      <c r="A980" s="1">
        <v>42983</v>
      </c>
      <c r="B980">
        <v>1585</v>
      </c>
      <c r="C980">
        <v>837</v>
      </c>
      <c r="D980">
        <v>748</v>
      </c>
      <c r="E980">
        <v>1983290</v>
      </c>
      <c r="F980">
        <v>7224062</v>
      </c>
      <c r="G980">
        <v>9207352</v>
      </c>
      <c r="H980">
        <v>587</v>
      </c>
      <c r="I980">
        <v>105</v>
      </c>
      <c r="J980">
        <v>692</v>
      </c>
      <c r="K980" t="b">
        <f>TrafficData[[#This Row],[disposedChallan]]+TrafficData[[#This Row],[pendingChallan]]=TrafficData[[#This Row],[totalChallan]]</f>
        <v>1</v>
      </c>
      <c r="L980" t="b">
        <f>TrafficData[[#This Row],[pendingAmount]]+TrafficData[[#This Row],[disposedAmount]]=TrafficData[[#This Row],[totalAmount]]</f>
        <v>1</v>
      </c>
      <c r="M980" t="b">
        <f>TrafficData[[#This Row],[pendingCourt]]+TrafficData[[#This Row],[disposedCourt]]=TrafficData[[#This Row],[totalCourt]]</f>
        <v>1</v>
      </c>
      <c r="N980" s="8" t="b">
        <f>AND(TrafficData[[#This Row],[disposedChallan]]&lt;=TrafficData[[#This Row],[totalChallan]],TrafficData[[#This Row],[pendingChallan]]&lt;=TrafficData[[#This Row],[totalChallan]])</f>
        <v>1</v>
      </c>
      <c r="O980" s="8" t="b">
        <f>AND(TrafficData[[#This Row],[pendingAmount]]&lt;=TrafficData[[#This Row],[totalAmount]],TrafficData[[#This Row],[disposedAmount]]&lt;=TrafficData[[#This Row],[totalAmount]])</f>
        <v>1</v>
      </c>
      <c r="P980" s="8" t="b">
        <f>AND(TrafficData[[#This Row],[pendingCourt]]&lt;=TrafficData[[#This Row],[totalCourt]],TrafficData[[#This Row],[disposedCourt]]&lt;=TrafficData[[#This Row],[totalCourt]])</f>
        <v>1</v>
      </c>
    </row>
    <row r="981" spans="1:16">
      <c r="A981" s="1">
        <v>42984</v>
      </c>
      <c r="B981">
        <v>2231</v>
      </c>
      <c r="C981">
        <v>1433</v>
      </c>
      <c r="D981">
        <v>798</v>
      </c>
      <c r="E981">
        <v>2295900</v>
      </c>
      <c r="F981">
        <v>6768732</v>
      </c>
      <c r="G981">
        <v>9064632</v>
      </c>
      <c r="H981">
        <v>606</v>
      </c>
      <c r="I981">
        <v>144</v>
      </c>
      <c r="J981">
        <v>750</v>
      </c>
      <c r="K981" t="b">
        <f>TrafficData[[#This Row],[disposedChallan]]+TrafficData[[#This Row],[pendingChallan]]=TrafficData[[#This Row],[totalChallan]]</f>
        <v>1</v>
      </c>
      <c r="L981" t="b">
        <f>TrafficData[[#This Row],[pendingAmount]]+TrafficData[[#This Row],[disposedAmount]]=TrafficData[[#This Row],[totalAmount]]</f>
        <v>1</v>
      </c>
      <c r="M981" t="b">
        <f>TrafficData[[#This Row],[pendingCourt]]+TrafficData[[#This Row],[disposedCourt]]=TrafficData[[#This Row],[totalCourt]]</f>
        <v>1</v>
      </c>
      <c r="N981" s="8" t="b">
        <f>AND(TrafficData[[#This Row],[disposedChallan]]&lt;=TrafficData[[#This Row],[totalChallan]],TrafficData[[#This Row],[pendingChallan]]&lt;=TrafficData[[#This Row],[totalChallan]])</f>
        <v>1</v>
      </c>
      <c r="O981" s="8" t="b">
        <f>AND(TrafficData[[#This Row],[pendingAmount]]&lt;=TrafficData[[#This Row],[totalAmount]],TrafficData[[#This Row],[disposedAmount]]&lt;=TrafficData[[#This Row],[totalAmount]])</f>
        <v>1</v>
      </c>
      <c r="P981" s="8" t="b">
        <f>AND(TrafficData[[#This Row],[pendingCourt]]&lt;=TrafficData[[#This Row],[totalCourt]],TrafficData[[#This Row],[disposedCourt]]&lt;=TrafficData[[#This Row],[totalCourt]])</f>
        <v>1</v>
      </c>
    </row>
    <row r="982" spans="1:16">
      <c r="A982" s="1">
        <v>42985</v>
      </c>
      <c r="B982">
        <v>1971</v>
      </c>
      <c r="C982">
        <v>969</v>
      </c>
      <c r="D982">
        <v>1002</v>
      </c>
      <c r="E982">
        <v>1798534</v>
      </c>
      <c r="F982">
        <v>5472384</v>
      </c>
      <c r="G982">
        <v>7270918</v>
      </c>
      <c r="H982">
        <v>770</v>
      </c>
      <c r="I982">
        <v>93</v>
      </c>
      <c r="J982">
        <v>863</v>
      </c>
      <c r="K982" t="b">
        <f>TrafficData[[#This Row],[disposedChallan]]+TrafficData[[#This Row],[pendingChallan]]=TrafficData[[#This Row],[totalChallan]]</f>
        <v>1</v>
      </c>
      <c r="L982" t="b">
        <f>TrafficData[[#This Row],[pendingAmount]]+TrafficData[[#This Row],[disposedAmount]]=TrafficData[[#This Row],[totalAmount]]</f>
        <v>1</v>
      </c>
      <c r="M982" t="b">
        <f>TrafficData[[#This Row],[pendingCourt]]+TrafficData[[#This Row],[disposedCourt]]=TrafficData[[#This Row],[totalCourt]]</f>
        <v>1</v>
      </c>
      <c r="N982" s="8" t="b">
        <f>AND(TrafficData[[#This Row],[disposedChallan]]&lt;=TrafficData[[#This Row],[totalChallan]],TrafficData[[#This Row],[pendingChallan]]&lt;=TrafficData[[#This Row],[totalChallan]])</f>
        <v>1</v>
      </c>
      <c r="O982" s="8" t="b">
        <f>AND(TrafficData[[#This Row],[pendingAmount]]&lt;=TrafficData[[#This Row],[totalAmount]],TrafficData[[#This Row],[disposedAmount]]&lt;=TrafficData[[#This Row],[totalAmount]])</f>
        <v>1</v>
      </c>
      <c r="P982" s="8" t="b">
        <f>AND(TrafficData[[#This Row],[pendingCourt]]&lt;=TrafficData[[#This Row],[totalCourt]],TrafficData[[#This Row],[disposedCourt]]&lt;=TrafficData[[#This Row],[totalCourt]])</f>
        <v>1</v>
      </c>
    </row>
    <row r="983" spans="1:16">
      <c r="A983" s="1">
        <v>42986</v>
      </c>
      <c r="B983">
        <v>1583</v>
      </c>
      <c r="C983">
        <v>820</v>
      </c>
      <c r="D983">
        <v>763</v>
      </c>
      <c r="E983">
        <v>1599700</v>
      </c>
      <c r="F983">
        <v>5054146</v>
      </c>
      <c r="G983">
        <v>6653846</v>
      </c>
      <c r="H983">
        <v>586</v>
      </c>
      <c r="I983">
        <v>81</v>
      </c>
      <c r="J983">
        <v>667</v>
      </c>
      <c r="K983" t="b">
        <f>TrafficData[[#This Row],[disposedChallan]]+TrafficData[[#This Row],[pendingChallan]]=TrafficData[[#This Row],[totalChallan]]</f>
        <v>1</v>
      </c>
      <c r="L983" t="b">
        <f>TrafficData[[#This Row],[pendingAmount]]+TrafficData[[#This Row],[disposedAmount]]=TrafficData[[#This Row],[totalAmount]]</f>
        <v>1</v>
      </c>
      <c r="M983" t="b">
        <f>TrafficData[[#This Row],[pendingCourt]]+TrafficData[[#This Row],[disposedCourt]]=TrafficData[[#This Row],[totalCourt]]</f>
        <v>1</v>
      </c>
      <c r="N983" s="8" t="b">
        <f>AND(TrafficData[[#This Row],[disposedChallan]]&lt;=TrafficData[[#This Row],[totalChallan]],TrafficData[[#This Row],[pendingChallan]]&lt;=TrafficData[[#This Row],[totalChallan]])</f>
        <v>1</v>
      </c>
      <c r="O983" s="8" t="b">
        <f>AND(TrafficData[[#This Row],[pendingAmount]]&lt;=TrafficData[[#This Row],[totalAmount]],TrafficData[[#This Row],[disposedAmount]]&lt;=TrafficData[[#This Row],[totalAmount]])</f>
        <v>1</v>
      </c>
      <c r="P983" s="8" t="b">
        <f>AND(TrafficData[[#This Row],[pendingCourt]]&lt;=TrafficData[[#This Row],[totalCourt]],TrafficData[[#This Row],[disposedCourt]]&lt;=TrafficData[[#This Row],[totalCourt]])</f>
        <v>1</v>
      </c>
    </row>
    <row r="984" spans="1:16">
      <c r="A984" s="1">
        <v>42987</v>
      </c>
      <c r="B984">
        <v>1604</v>
      </c>
      <c r="C984">
        <v>677</v>
      </c>
      <c r="D984">
        <v>927</v>
      </c>
      <c r="E984">
        <v>973050</v>
      </c>
      <c r="F984">
        <v>3929691</v>
      </c>
      <c r="G984">
        <v>4902741</v>
      </c>
      <c r="H984">
        <v>746</v>
      </c>
      <c r="I984">
        <v>92</v>
      </c>
      <c r="J984">
        <v>838</v>
      </c>
      <c r="K984" t="b">
        <f>TrafficData[[#This Row],[disposedChallan]]+TrafficData[[#This Row],[pendingChallan]]=TrafficData[[#This Row],[totalChallan]]</f>
        <v>1</v>
      </c>
      <c r="L984" t="b">
        <f>TrafficData[[#This Row],[pendingAmount]]+TrafficData[[#This Row],[disposedAmount]]=TrafficData[[#This Row],[totalAmount]]</f>
        <v>1</v>
      </c>
      <c r="M984" t="b">
        <f>TrafficData[[#This Row],[pendingCourt]]+TrafficData[[#This Row],[disposedCourt]]=TrafficData[[#This Row],[totalCourt]]</f>
        <v>1</v>
      </c>
      <c r="N984" s="8" t="b">
        <f>AND(TrafficData[[#This Row],[disposedChallan]]&lt;=TrafficData[[#This Row],[totalChallan]],TrafficData[[#This Row],[pendingChallan]]&lt;=TrafficData[[#This Row],[totalChallan]])</f>
        <v>1</v>
      </c>
      <c r="O984" s="8" t="b">
        <f>AND(TrafficData[[#This Row],[pendingAmount]]&lt;=TrafficData[[#This Row],[totalAmount]],TrafficData[[#This Row],[disposedAmount]]&lt;=TrafficData[[#This Row],[totalAmount]])</f>
        <v>1</v>
      </c>
      <c r="P984" s="8" t="b">
        <f>AND(TrafficData[[#This Row],[pendingCourt]]&lt;=TrafficData[[#This Row],[totalCourt]],TrafficData[[#This Row],[disposedCourt]]&lt;=TrafficData[[#This Row],[totalCourt]])</f>
        <v>1</v>
      </c>
    </row>
    <row r="985" spans="1:16">
      <c r="A985" s="1">
        <v>42988</v>
      </c>
      <c r="B985">
        <v>1056</v>
      </c>
      <c r="C985">
        <v>468</v>
      </c>
      <c r="D985">
        <v>588</v>
      </c>
      <c r="E985">
        <v>1022160</v>
      </c>
      <c r="F985">
        <v>2330711</v>
      </c>
      <c r="G985">
        <v>3352871</v>
      </c>
      <c r="H985">
        <v>449</v>
      </c>
      <c r="I985">
        <v>70</v>
      </c>
      <c r="J985">
        <v>519</v>
      </c>
      <c r="K985" t="b">
        <f>TrafficData[[#This Row],[disposedChallan]]+TrafficData[[#This Row],[pendingChallan]]=TrafficData[[#This Row],[totalChallan]]</f>
        <v>1</v>
      </c>
      <c r="L985" t="b">
        <f>TrafficData[[#This Row],[pendingAmount]]+TrafficData[[#This Row],[disposedAmount]]=TrafficData[[#This Row],[totalAmount]]</f>
        <v>1</v>
      </c>
      <c r="M985" t="b">
        <f>TrafficData[[#This Row],[pendingCourt]]+TrafficData[[#This Row],[disposedCourt]]=TrafficData[[#This Row],[totalCourt]]</f>
        <v>1</v>
      </c>
      <c r="N985" s="8" t="b">
        <f>AND(TrafficData[[#This Row],[disposedChallan]]&lt;=TrafficData[[#This Row],[totalChallan]],TrafficData[[#This Row],[pendingChallan]]&lt;=TrafficData[[#This Row],[totalChallan]])</f>
        <v>1</v>
      </c>
      <c r="O985" s="8" t="b">
        <f>AND(TrafficData[[#This Row],[pendingAmount]]&lt;=TrafficData[[#This Row],[totalAmount]],TrafficData[[#This Row],[disposedAmount]]&lt;=TrafficData[[#This Row],[totalAmount]])</f>
        <v>1</v>
      </c>
      <c r="P985" s="8" t="b">
        <f>AND(TrafficData[[#This Row],[pendingCourt]]&lt;=TrafficData[[#This Row],[totalCourt]],TrafficData[[#This Row],[disposedCourt]]&lt;=TrafficData[[#This Row],[totalCourt]])</f>
        <v>1</v>
      </c>
    </row>
    <row r="986" spans="1:16">
      <c r="A986" s="1">
        <v>42989</v>
      </c>
      <c r="B986">
        <v>2109</v>
      </c>
      <c r="C986">
        <v>1031</v>
      </c>
      <c r="D986">
        <v>1078</v>
      </c>
      <c r="E986">
        <v>1832375</v>
      </c>
      <c r="F986">
        <v>5443924</v>
      </c>
      <c r="G986">
        <v>7276299</v>
      </c>
      <c r="H986">
        <v>843</v>
      </c>
      <c r="I986">
        <v>188</v>
      </c>
      <c r="J986">
        <v>1031</v>
      </c>
      <c r="K986" t="b">
        <f>TrafficData[[#This Row],[disposedChallan]]+TrafficData[[#This Row],[pendingChallan]]=TrafficData[[#This Row],[totalChallan]]</f>
        <v>1</v>
      </c>
      <c r="L986" t="b">
        <f>TrafficData[[#This Row],[pendingAmount]]+TrafficData[[#This Row],[disposedAmount]]=TrafficData[[#This Row],[totalAmount]]</f>
        <v>1</v>
      </c>
      <c r="M986" t="b">
        <f>TrafficData[[#This Row],[pendingCourt]]+TrafficData[[#This Row],[disposedCourt]]=TrafficData[[#This Row],[totalCourt]]</f>
        <v>1</v>
      </c>
      <c r="N986" s="8" t="b">
        <f>AND(TrafficData[[#This Row],[disposedChallan]]&lt;=TrafficData[[#This Row],[totalChallan]],TrafficData[[#This Row],[pendingChallan]]&lt;=TrafficData[[#This Row],[totalChallan]])</f>
        <v>1</v>
      </c>
      <c r="O986" s="8" t="b">
        <f>AND(TrafficData[[#This Row],[pendingAmount]]&lt;=TrafficData[[#This Row],[totalAmount]],TrafficData[[#This Row],[disposedAmount]]&lt;=TrafficData[[#This Row],[totalAmount]])</f>
        <v>1</v>
      </c>
      <c r="P986" s="8" t="b">
        <f>AND(TrafficData[[#This Row],[pendingCourt]]&lt;=TrafficData[[#This Row],[totalCourt]],TrafficData[[#This Row],[disposedCourt]]&lt;=TrafficData[[#This Row],[totalCourt]])</f>
        <v>1</v>
      </c>
    </row>
    <row r="987" spans="1:16">
      <c r="A987" s="1">
        <v>42990</v>
      </c>
      <c r="B987">
        <v>1995</v>
      </c>
      <c r="C987">
        <v>1076</v>
      </c>
      <c r="D987">
        <v>919</v>
      </c>
      <c r="E987">
        <v>1908759</v>
      </c>
      <c r="F987">
        <v>9379951</v>
      </c>
      <c r="G987">
        <v>11288710</v>
      </c>
      <c r="H987">
        <v>684</v>
      </c>
      <c r="I987">
        <v>141</v>
      </c>
      <c r="J987">
        <v>825</v>
      </c>
      <c r="K987" t="b">
        <f>TrafficData[[#This Row],[disposedChallan]]+TrafficData[[#This Row],[pendingChallan]]=TrafficData[[#This Row],[totalChallan]]</f>
        <v>1</v>
      </c>
      <c r="L987" t="b">
        <f>TrafficData[[#This Row],[pendingAmount]]+TrafficData[[#This Row],[disposedAmount]]=TrafficData[[#This Row],[totalAmount]]</f>
        <v>1</v>
      </c>
      <c r="M987" t="b">
        <f>TrafficData[[#This Row],[pendingCourt]]+TrafficData[[#This Row],[disposedCourt]]=TrafficData[[#This Row],[totalCourt]]</f>
        <v>1</v>
      </c>
      <c r="N987" s="8" t="b">
        <f>AND(TrafficData[[#This Row],[disposedChallan]]&lt;=TrafficData[[#This Row],[totalChallan]],TrafficData[[#This Row],[pendingChallan]]&lt;=TrafficData[[#This Row],[totalChallan]])</f>
        <v>1</v>
      </c>
      <c r="O987" s="8" t="b">
        <f>AND(TrafficData[[#This Row],[pendingAmount]]&lt;=TrafficData[[#This Row],[totalAmount]],TrafficData[[#This Row],[disposedAmount]]&lt;=TrafficData[[#This Row],[totalAmount]])</f>
        <v>1</v>
      </c>
      <c r="P987" s="8" t="b">
        <f>AND(TrafficData[[#This Row],[pendingCourt]]&lt;=TrafficData[[#This Row],[totalCourt]],TrafficData[[#This Row],[disposedCourt]]&lt;=TrafficData[[#This Row],[totalCourt]])</f>
        <v>1</v>
      </c>
    </row>
    <row r="988" spans="1:16">
      <c r="A988" s="1">
        <v>42991</v>
      </c>
      <c r="B988">
        <v>2399</v>
      </c>
      <c r="C988">
        <v>1370</v>
      </c>
      <c r="D988">
        <v>1029</v>
      </c>
      <c r="E988">
        <v>1911403</v>
      </c>
      <c r="F988">
        <v>5531628</v>
      </c>
      <c r="G988">
        <v>7443031</v>
      </c>
      <c r="H988">
        <v>823</v>
      </c>
      <c r="I988">
        <v>160</v>
      </c>
      <c r="J988">
        <v>983</v>
      </c>
      <c r="K988" t="b">
        <f>TrafficData[[#This Row],[disposedChallan]]+TrafficData[[#This Row],[pendingChallan]]=TrafficData[[#This Row],[totalChallan]]</f>
        <v>1</v>
      </c>
      <c r="L988" t="b">
        <f>TrafficData[[#This Row],[pendingAmount]]+TrafficData[[#This Row],[disposedAmount]]=TrafficData[[#This Row],[totalAmount]]</f>
        <v>1</v>
      </c>
      <c r="M988" t="b">
        <f>TrafficData[[#This Row],[pendingCourt]]+TrafficData[[#This Row],[disposedCourt]]=TrafficData[[#This Row],[totalCourt]]</f>
        <v>1</v>
      </c>
      <c r="N988" s="8" t="b">
        <f>AND(TrafficData[[#This Row],[disposedChallan]]&lt;=TrafficData[[#This Row],[totalChallan]],TrafficData[[#This Row],[pendingChallan]]&lt;=TrafficData[[#This Row],[totalChallan]])</f>
        <v>1</v>
      </c>
      <c r="O988" s="8" t="b">
        <f>AND(TrafficData[[#This Row],[pendingAmount]]&lt;=TrafficData[[#This Row],[totalAmount]],TrafficData[[#This Row],[disposedAmount]]&lt;=TrafficData[[#This Row],[totalAmount]])</f>
        <v>1</v>
      </c>
      <c r="P988" s="8" t="b">
        <f>AND(TrafficData[[#This Row],[pendingCourt]]&lt;=TrafficData[[#This Row],[totalCourt]],TrafficData[[#This Row],[disposedCourt]]&lt;=TrafficData[[#This Row],[totalCourt]])</f>
        <v>1</v>
      </c>
    </row>
    <row r="989" spans="1:16">
      <c r="A989" s="1">
        <v>42992</v>
      </c>
      <c r="B989">
        <v>1209</v>
      </c>
      <c r="C989">
        <v>382</v>
      </c>
      <c r="D989">
        <v>827</v>
      </c>
      <c r="E989">
        <v>1188390</v>
      </c>
      <c r="F989">
        <v>2531275</v>
      </c>
      <c r="G989">
        <v>3719665</v>
      </c>
      <c r="H989">
        <v>646</v>
      </c>
      <c r="I989">
        <v>71</v>
      </c>
      <c r="J989">
        <v>717</v>
      </c>
      <c r="K989" t="b">
        <f>TrafficData[[#This Row],[disposedChallan]]+TrafficData[[#This Row],[pendingChallan]]=TrafficData[[#This Row],[totalChallan]]</f>
        <v>1</v>
      </c>
      <c r="L989" t="b">
        <f>TrafficData[[#This Row],[pendingAmount]]+TrafficData[[#This Row],[disposedAmount]]=TrafficData[[#This Row],[totalAmount]]</f>
        <v>1</v>
      </c>
      <c r="M989" t="b">
        <f>TrafficData[[#This Row],[pendingCourt]]+TrafficData[[#This Row],[disposedCourt]]=TrafficData[[#This Row],[totalCourt]]</f>
        <v>1</v>
      </c>
      <c r="N989" s="8" t="b">
        <f>AND(TrafficData[[#This Row],[disposedChallan]]&lt;=TrafficData[[#This Row],[totalChallan]],TrafficData[[#This Row],[pendingChallan]]&lt;=TrafficData[[#This Row],[totalChallan]])</f>
        <v>1</v>
      </c>
      <c r="O989" s="8" t="b">
        <f>AND(TrafficData[[#This Row],[pendingAmount]]&lt;=TrafficData[[#This Row],[totalAmount]],TrafficData[[#This Row],[disposedAmount]]&lt;=TrafficData[[#This Row],[totalAmount]])</f>
        <v>1</v>
      </c>
      <c r="P989" s="8" t="b">
        <f>AND(TrafficData[[#This Row],[pendingCourt]]&lt;=TrafficData[[#This Row],[totalCourt]],TrafficData[[#This Row],[disposedCourt]]&lt;=TrafficData[[#This Row],[totalCourt]])</f>
        <v>1</v>
      </c>
    </row>
    <row r="990" spans="1:16">
      <c r="A990" s="1">
        <v>42993</v>
      </c>
      <c r="B990">
        <v>1686</v>
      </c>
      <c r="C990">
        <v>825</v>
      </c>
      <c r="D990">
        <v>861</v>
      </c>
      <c r="E990">
        <v>1574230</v>
      </c>
      <c r="F990">
        <v>3490690</v>
      </c>
      <c r="G990">
        <v>5064920</v>
      </c>
      <c r="H990">
        <v>685</v>
      </c>
      <c r="I990">
        <v>148</v>
      </c>
      <c r="J990">
        <v>833</v>
      </c>
      <c r="K990" t="b">
        <f>TrafficData[[#This Row],[disposedChallan]]+TrafficData[[#This Row],[pendingChallan]]=TrafficData[[#This Row],[totalChallan]]</f>
        <v>1</v>
      </c>
      <c r="L990" t="b">
        <f>TrafficData[[#This Row],[pendingAmount]]+TrafficData[[#This Row],[disposedAmount]]=TrafficData[[#This Row],[totalAmount]]</f>
        <v>1</v>
      </c>
      <c r="M990" t="b">
        <f>TrafficData[[#This Row],[pendingCourt]]+TrafficData[[#This Row],[disposedCourt]]=TrafficData[[#This Row],[totalCourt]]</f>
        <v>1</v>
      </c>
      <c r="N990" s="8" t="b">
        <f>AND(TrafficData[[#This Row],[disposedChallan]]&lt;=TrafficData[[#This Row],[totalChallan]],TrafficData[[#This Row],[pendingChallan]]&lt;=TrafficData[[#This Row],[totalChallan]])</f>
        <v>1</v>
      </c>
      <c r="O990" s="8" t="b">
        <f>AND(TrafficData[[#This Row],[pendingAmount]]&lt;=TrafficData[[#This Row],[totalAmount]],TrafficData[[#This Row],[disposedAmount]]&lt;=TrafficData[[#This Row],[totalAmount]])</f>
        <v>1</v>
      </c>
      <c r="P990" s="8" t="b">
        <f>AND(TrafficData[[#This Row],[pendingCourt]]&lt;=TrafficData[[#This Row],[totalCourt]],TrafficData[[#This Row],[disposedCourt]]&lt;=TrafficData[[#This Row],[totalCourt]])</f>
        <v>1</v>
      </c>
    </row>
    <row r="991" spans="1:16">
      <c r="A991" s="1">
        <v>42994</v>
      </c>
      <c r="B991">
        <v>1873</v>
      </c>
      <c r="C991">
        <v>976</v>
      </c>
      <c r="D991">
        <v>897</v>
      </c>
      <c r="E991">
        <v>1478150</v>
      </c>
      <c r="F991">
        <v>5782735</v>
      </c>
      <c r="G991">
        <v>7260885</v>
      </c>
      <c r="H991">
        <v>746</v>
      </c>
      <c r="I991">
        <v>158</v>
      </c>
      <c r="J991">
        <v>904</v>
      </c>
      <c r="K991" t="b">
        <f>TrafficData[[#This Row],[disposedChallan]]+TrafficData[[#This Row],[pendingChallan]]=TrafficData[[#This Row],[totalChallan]]</f>
        <v>1</v>
      </c>
      <c r="L991" t="b">
        <f>TrafficData[[#This Row],[pendingAmount]]+TrafficData[[#This Row],[disposedAmount]]=TrafficData[[#This Row],[totalAmount]]</f>
        <v>1</v>
      </c>
      <c r="M991" t="b">
        <f>TrafficData[[#This Row],[pendingCourt]]+TrafficData[[#This Row],[disposedCourt]]=TrafficData[[#This Row],[totalCourt]]</f>
        <v>1</v>
      </c>
      <c r="N991" s="8" t="b">
        <f>AND(TrafficData[[#This Row],[disposedChallan]]&lt;=TrafficData[[#This Row],[totalChallan]],TrafficData[[#This Row],[pendingChallan]]&lt;=TrafficData[[#This Row],[totalChallan]])</f>
        <v>1</v>
      </c>
      <c r="O991" s="8" t="b">
        <f>AND(TrafficData[[#This Row],[pendingAmount]]&lt;=TrafficData[[#This Row],[totalAmount]],TrafficData[[#This Row],[disposedAmount]]&lt;=TrafficData[[#This Row],[totalAmount]])</f>
        <v>1</v>
      </c>
      <c r="P991" s="8" t="b">
        <f>AND(TrafficData[[#This Row],[pendingCourt]]&lt;=TrafficData[[#This Row],[totalCourt]],TrafficData[[#This Row],[disposedCourt]]&lt;=TrafficData[[#This Row],[totalCourt]])</f>
        <v>1</v>
      </c>
    </row>
    <row r="992" spans="1:16">
      <c r="A992" s="1">
        <v>42995</v>
      </c>
      <c r="B992">
        <v>977</v>
      </c>
      <c r="C992">
        <v>527</v>
      </c>
      <c r="D992">
        <v>450</v>
      </c>
      <c r="E992">
        <v>945300</v>
      </c>
      <c r="F992">
        <v>3078706</v>
      </c>
      <c r="G992">
        <v>4024006</v>
      </c>
      <c r="H992">
        <v>348</v>
      </c>
      <c r="I992">
        <v>70</v>
      </c>
      <c r="J992">
        <v>418</v>
      </c>
      <c r="K992" t="b">
        <f>TrafficData[[#This Row],[disposedChallan]]+TrafficData[[#This Row],[pendingChallan]]=TrafficData[[#This Row],[totalChallan]]</f>
        <v>1</v>
      </c>
      <c r="L992" t="b">
        <f>TrafficData[[#This Row],[pendingAmount]]+TrafficData[[#This Row],[disposedAmount]]=TrafficData[[#This Row],[totalAmount]]</f>
        <v>1</v>
      </c>
      <c r="M992" t="b">
        <f>TrafficData[[#This Row],[pendingCourt]]+TrafficData[[#This Row],[disposedCourt]]=TrafficData[[#This Row],[totalCourt]]</f>
        <v>1</v>
      </c>
      <c r="N992" s="8" t="b">
        <f>AND(TrafficData[[#This Row],[disposedChallan]]&lt;=TrafficData[[#This Row],[totalChallan]],TrafficData[[#This Row],[pendingChallan]]&lt;=TrafficData[[#This Row],[totalChallan]])</f>
        <v>1</v>
      </c>
      <c r="O992" s="8" t="b">
        <f>AND(TrafficData[[#This Row],[pendingAmount]]&lt;=TrafficData[[#This Row],[totalAmount]],TrafficData[[#This Row],[disposedAmount]]&lt;=TrafficData[[#This Row],[totalAmount]])</f>
        <v>1</v>
      </c>
      <c r="P992" s="8" t="b">
        <f>AND(TrafficData[[#This Row],[pendingCourt]]&lt;=TrafficData[[#This Row],[totalCourt]],TrafficData[[#This Row],[disposedCourt]]&lt;=TrafficData[[#This Row],[totalCourt]])</f>
        <v>1</v>
      </c>
    </row>
    <row r="993" spans="1:16">
      <c r="A993" s="1">
        <v>42996</v>
      </c>
      <c r="B993">
        <v>2294</v>
      </c>
      <c r="C993">
        <v>1193</v>
      </c>
      <c r="D993">
        <v>1101</v>
      </c>
      <c r="E993">
        <v>2258200</v>
      </c>
      <c r="F993">
        <v>4769057</v>
      </c>
      <c r="G993">
        <v>7027257</v>
      </c>
      <c r="H993">
        <v>844</v>
      </c>
      <c r="I993">
        <v>176</v>
      </c>
      <c r="J993">
        <v>1020</v>
      </c>
      <c r="K993" t="b">
        <f>TrafficData[[#This Row],[disposedChallan]]+TrafficData[[#This Row],[pendingChallan]]=TrafficData[[#This Row],[totalChallan]]</f>
        <v>1</v>
      </c>
      <c r="L993" t="b">
        <f>TrafficData[[#This Row],[pendingAmount]]+TrafficData[[#This Row],[disposedAmount]]=TrafficData[[#This Row],[totalAmount]]</f>
        <v>1</v>
      </c>
      <c r="M993" t="b">
        <f>TrafficData[[#This Row],[pendingCourt]]+TrafficData[[#This Row],[disposedCourt]]=TrafficData[[#This Row],[totalCourt]]</f>
        <v>1</v>
      </c>
      <c r="N993" s="8" t="b">
        <f>AND(TrafficData[[#This Row],[disposedChallan]]&lt;=TrafficData[[#This Row],[totalChallan]],TrafficData[[#This Row],[pendingChallan]]&lt;=TrafficData[[#This Row],[totalChallan]])</f>
        <v>1</v>
      </c>
      <c r="O993" s="8" t="b">
        <f>AND(TrafficData[[#This Row],[pendingAmount]]&lt;=TrafficData[[#This Row],[totalAmount]],TrafficData[[#This Row],[disposedAmount]]&lt;=TrafficData[[#This Row],[totalAmount]])</f>
        <v>1</v>
      </c>
      <c r="P993" s="8" t="b">
        <f>AND(TrafficData[[#This Row],[pendingCourt]]&lt;=TrafficData[[#This Row],[totalCourt]],TrafficData[[#This Row],[disposedCourt]]&lt;=TrafficData[[#This Row],[totalCourt]])</f>
        <v>1</v>
      </c>
    </row>
    <row r="994" spans="1:16">
      <c r="A994" s="1">
        <v>42997</v>
      </c>
      <c r="B994">
        <v>2575</v>
      </c>
      <c r="C994">
        <v>1278</v>
      </c>
      <c r="D994">
        <v>1297</v>
      </c>
      <c r="E994">
        <v>3633254</v>
      </c>
      <c r="F994">
        <v>6461644</v>
      </c>
      <c r="G994">
        <v>10094898</v>
      </c>
      <c r="H994">
        <v>887</v>
      </c>
      <c r="I994">
        <v>209</v>
      </c>
      <c r="J994">
        <v>1096</v>
      </c>
      <c r="K994" t="b">
        <f>TrafficData[[#This Row],[disposedChallan]]+TrafficData[[#This Row],[pendingChallan]]=TrafficData[[#This Row],[totalChallan]]</f>
        <v>1</v>
      </c>
      <c r="L994" t="b">
        <f>TrafficData[[#This Row],[pendingAmount]]+TrafficData[[#This Row],[disposedAmount]]=TrafficData[[#This Row],[totalAmount]]</f>
        <v>1</v>
      </c>
      <c r="M994" t="b">
        <f>TrafficData[[#This Row],[pendingCourt]]+TrafficData[[#This Row],[disposedCourt]]=TrafficData[[#This Row],[totalCourt]]</f>
        <v>1</v>
      </c>
      <c r="N994" s="8" t="b">
        <f>AND(TrafficData[[#This Row],[disposedChallan]]&lt;=TrafficData[[#This Row],[totalChallan]],TrafficData[[#This Row],[pendingChallan]]&lt;=TrafficData[[#This Row],[totalChallan]])</f>
        <v>1</v>
      </c>
      <c r="O994" s="8" t="b">
        <f>AND(TrafficData[[#This Row],[pendingAmount]]&lt;=TrafficData[[#This Row],[totalAmount]],TrafficData[[#This Row],[disposedAmount]]&lt;=TrafficData[[#This Row],[totalAmount]])</f>
        <v>1</v>
      </c>
      <c r="P994" s="8" t="b">
        <f>AND(TrafficData[[#This Row],[pendingCourt]]&lt;=TrafficData[[#This Row],[totalCourt]],TrafficData[[#This Row],[disposedCourt]]&lt;=TrafficData[[#This Row],[totalCourt]])</f>
        <v>1</v>
      </c>
    </row>
    <row r="995" spans="1:16">
      <c r="A995" s="1">
        <v>42998</v>
      </c>
      <c r="B995">
        <v>4129</v>
      </c>
      <c r="C995">
        <v>2637</v>
      </c>
      <c r="D995">
        <v>1492</v>
      </c>
      <c r="E995">
        <v>3991700</v>
      </c>
      <c r="F995">
        <v>5600425</v>
      </c>
      <c r="G995">
        <v>9592125</v>
      </c>
      <c r="H995">
        <v>1154</v>
      </c>
      <c r="I995">
        <v>288</v>
      </c>
      <c r="J995">
        <v>1442</v>
      </c>
      <c r="K995" t="b">
        <f>TrafficData[[#This Row],[disposedChallan]]+TrafficData[[#This Row],[pendingChallan]]=TrafficData[[#This Row],[totalChallan]]</f>
        <v>1</v>
      </c>
      <c r="L995" t="b">
        <f>TrafficData[[#This Row],[pendingAmount]]+TrafficData[[#This Row],[disposedAmount]]=TrafficData[[#This Row],[totalAmount]]</f>
        <v>1</v>
      </c>
      <c r="M995" t="b">
        <f>TrafficData[[#This Row],[pendingCourt]]+TrafficData[[#This Row],[disposedCourt]]=TrafficData[[#This Row],[totalCourt]]</f>
        <v>1</v>
      </c>
      <c r="N995" s="8" t="b">
        <f>AND(TrafficData[[#This Row],[disposedChallan]]&lt;=TrafficData[[#This Row],[totalChallan]],TrafficData[[#This Row],[pendingChallan]]&lt;=TrafficData[[#This Row],[totalChallan]])</f>
        <v>1</v>
      </c>
      <c r="O995" s="8" t="b">
        <f>AND(TrafficData[[#This Row],[pendingAmount]]&lt;=TrafficData[[#This Row],[totalAmount]],TrafficData[[#This Row],[disposedAmount]]&lt;=TrafficData[[#This Row],[totalAmount]])</f>
        <v>1</v>
      </c>
      <c r="P995" s="8" t="b">
        <f>AND(TrafficData[[#This Row],[pendingCourt]]&lt;=TrafficData[[#This Row],[totalCourt]],TrafficData[[#This Row],[disposedCourt]]&lt;=TrafficData[[#This Row],[totalCourt]])</f>
        <v>1</v>
      </c>
    </row>
    <row r="996" spans="1:16">
      <c r="A996" s="1">
        <v>42999</v>
      </c>
      <c r="B996">
        <v>2599</v>
      </c>
      <c r="C996">
        <v>1374</v>
      </c>
      <c r="D996">
        <v>1225</v>
      </c>
      <c r="E996">
        <v>2735775</v>
      </c>
      <c r="F996">
        <v>3761244</v>
      </c>
      <c r="G996">
        <v>6497019</v>
      </c>
      <c r="H996">
        <v>918</v>
      </c>
      <c r="I996">
        <v>186</v>
      </c>
      <c r="J996">
        <v>1104</v>
      </c>
      <c r="K996" t="b">
        <f>TrafficData[[#This Row],[disposedChallan]]+TrafficData[[#This Row],[pendingChallan]]=TrafficData[[#This Row],[totalChallan]]</f>
        <v>1</v>
      </c>
      <c r="L996" t="b">
        <f>TrafficData[[#This Row],[pendingAmount]]+TrafficData[[#This Row],[disposedAmount]]=TrafficData[[#This Row],[totalAmount]]</f>
        <v>1</v>
      </c>
      <c r="M996" t="b">
        <f>TrafficData[[#This Row],[pendingCourt]]+TrafficData[[#This Row],[disposedCourt]]=TrafficData[[#This Row],[totalCourt]]</f>
        <v>1</v>
      </c>
      <c r="N996" s="8" t="b">
        <f>AND(TrafficData[[#This Row],[disposedChallan]]&lt;=TrafficData[[#This Row],[totalChallan]],TrafficData[[#This Row],[pendingChallan]]&lt;=TrafficData[[#This Row],[totalChallan]])</f>
        <v>1</v>
      </c>
      <c r="O996" s="8" t="b">
        <f>AND(TrafficData[[#This Row],[pendingAmount]]&lt;=TrafficData[[#This Row],[totalAmount]],TrafficData[[#This Row],[disposedAmount]]&lt;=TrafficData[[#This Row],[totalAmount]])</f>
        <v>1</v>
      </c>
      <c r="P996" s="8" t="b">
        <f>AND(TrafficData[[#This Row],[pendingCourt]]&lt;=TrafficData[[#This Row],[totalCourt]],TrafficData[[#This Row],[disposedCourt]]&lt;=TrafficData[[#This Row],[totalCourt]])</f>
        <v>1</v>
      </c>
    </row>
    <row r="997" spans="1:16">
      <c r="A997" s="1">
        <v>43000</v>
      </c>
      <c r="B997">
        <v>2018</v>
      </c>
      <c r="C997">
        <v>1155</v>
      </c>
      <c r="D997">
        <v>863</v>
      </c>
      <c r="E997">
        <v>2801550</v>
      </c>
      <c r="F997">
        <v>4296268</v>
      </c>
      <c r="G997">
        <v>7097818</v>
      </c>
      <c r="H997">
        <v>566</v>
      </c>
      <c r="I997">
        <v>173</v>
      </c>
      <c r="J997">
        <v>739</v>
      </c>
      <c r="K997" t="b">
        <f>TrafficData[[#This Row],[disposedChallan]]+TrafficData[[#This Row],[pendingChallan]]=TrafficData[[#This Row],[totalChallan]]</f>
        <v>1</v>
      </c>
      <c r="L997" t="b">
        <f>TrafficData[[#This Row],[pendingAmount]]+TrafficData[[#This Row],[disposedAmount]]=TrafficData[[#This Row],[totalAmount]]</f>
        <v>1</v>
      </c>
      <c r="M997" t="b">
        <f>TrafficData[[#This Row],[pendingCourt]]+TrafficData[[#This Row],[disposedCourt]]=TrafficData[[#This Row],[totalCourt]]</f>
        <v>1</v>
      </c>
      <c r="N997" s="8" t="b">
        <f>AND(TrafficData[[#This Row],[disposedChallan]]&lt;=TrafficData[[#This Row],[totalChallan]],TrafficData[[#This Row],[pendingChallan]]&lt;=TrafficData[[#This Row],[totalChallan]])</f>
        <v>1</v>
      </c>
      <c r="O997" s="8" t="b">
        <f>AND(TrafficData[[#This Row],[pendingAmount]]&lt;=TrafficData[[#This Row],[totalAmount]],TrafficData[[#This Row],[disposedAmount]]&lt;=TrafficData[[#This Row],[totalAmount]])</f>
        <v>1</v>
      </c>
      <c r="P997" s="8" t="b">
        <f>AND(TrafficData[[#This Row],[pendingCourt]]&lt;=TrafficData[[#This Row],[totalCourt]],TrafficData[[#This Row],[disposedCourt]]&lt;=TrafficData[[#This Row],[totalCourt]])</f>
        <v>1</v>
      </c>
    </row>
    <row r="998" spans="1:16">
      <c r="A998" s="1">
        <v>43001</v>
      </c>
      <c r="B998">
        <v>2042</v>
      </c>
      <c r="C998">
        <v>1185</v>
      </c>
      <c r="D998">
        <v>857</v>
      </c>
      <c r="E998">
        <v>2087425</v>
      </c>
      <c r="F998">
        <v>3941666</v>
      </c>
      <c r="G998">
        <v>6029091</v>
      </c>
      <c r="H998">
        <v>683</v>
      </c>
      <c r="I998">
        <v>174</v>
      </c>
      <c r="J998">
        <v>857</v>
      </c>
      <c r="K998" t="b">
        <f>TrafficData[[#This Row],[disposedChallan]]+TrafficData[[#This Row],[pendingChallan]]=TrafficData[[#This Row],[totalChallan]]</f>
        <v>1</v>
      </c>
      <c r="L998" t="b">
        <f>TrafficData[[#This Row],[pendingAmount]]+TrafficData[[#This Row],[disposedAmount]]=TrafficData[[#This Row],[totalAmount]]</f>
        <v>1</v>
      </c>
      <c r="M998" t="b">
        <f>TrafficData[[#This Row],[pendingCourt]]+TrafficData[[#This Row],[disposedCourt]]=TrafficData[[#This Row],[totalCourt]]</f>
        <v>1</v>
      </c>
      <c r="N998" s="8" t="b">
        <f>AND(TrafficData[[#This Row],[disposedChallan]]&lt;=TrafficData[[#This Row],[totalChallan]],TrafficData[[#This Row],[pendingChallan]]&lt;=TrafficData[[#This Row],[totalChallan]])</f>
        <v>1</v>
      </c>
      <c r="O998" s="8" t="b">
        <f>AND(TrafficData[[#This Row],[pendingAmount]]&lt;=TrafficData[[#This Row],[totalAmount]],TrafficData[[#This Row],[disposedAmount]]&lt;=TrafficData[[#This Row],[totalAmount]])</f>
        <v>1</v>
      </c>
      <c r="P998" s="8" t="b">
        <f>AND(TrafficData[[#This Row],[pendingCourt]]&lt;=TrafficData[[#This Row],[totalCourt]],TrafficData[[#This Row],[disposedCourt]]&lt;=TrafficData[[#This Row],[totalCourt]])</f>
        <v>1</v>
      </c>
    </row>
    <row r="999" spans="1:16">
      <c r="A999" s="1">
        <v>43002</v>
      </c>
      <c r="B999">
        <v>1258</v>
      </c>
      <c r="C999">
        <v>860</v>
      </c>
      <c r="D999">
        <v>398</v>
      </c>
      <c r="E999">
        <v>1383264</v>
      </c>
      <c r="F999">
        <v>3024312</v>
      </c>
      <c r="G999">
        <v>4407576</v>
      </c>
      <c r="H999">
        <v>283</v>
      </c>
      <c r="I999">
        <v>82</v>
      </c>
      <c r="J999">
        <v>365</v>
      </c>
      <c r="K999" t="b">
        <f>TrafficData[[#This Row],[disposedChallan]]+TrafficData[[#This Row],[pendingChallan]]=TrafficData[[#This Row],[totalChallan]]</f>
        <v>1</v>
      </c>
      <c r="L999" t="b">
        <f>TrafficData[[#This Row],[pendingAmount]]+TrafficData[[#This Row],[disposedAmount]]=TrafficData[[#This Row],[totalAmount]]</f>
        <v>1</v>
      </c>
      <c r="M999" t="b">
        <f>TrafficData[[#This Row],[pendingCourt]]+TrafficData[[#This Row],[disposedCourt]]=TrafficData[[#This Row],[totalCourt]]</f>
        <v>1</v>
      </c>
      <c r="N999" s="8" t="b">
        <f>AND(TrafficData[[#This Row],[disposedChallan]]&lt;=TrafficData[[#This Row],[totalChallan]],TrafficData[[#This Row],[pendingChallan]]&lt;=TrafficData[[#This Row],[totalChallan]])</f>
        <v>1</v>
      </c>
      <c r="O999" s="8" t="b">
        <f>AND(TrafficData[[#This Row],[pendingAmount]]&lt;=TrafficData[[#This Row],[totalAmount]],TrafficData[[#This Row],[disposedAmount]]&lt;=TrafficData[[#This Row],[totalAmount]])</f>
        <v>1</v>
      </c>
      <c r="P999" s="8" t="b">
        <f>AND(TrafficData[[#This Row],[pendingCourt]]&lt;=TrafficData[[#This Row],[totalCourt]],TrafficData[[#This Row],[disposedCourt]]&lt;=TrafficData[[#This Row],[totalCourt]])</f>
        <v>1</v>
      </c>
    </row>
    <row r="1000" spans="1:16">
      <c r="A1000" s="1">
        <v>43003</v>
      </c>
      <c r="B1000">
        <v>2195</v>
      </c>
      <c r="C1000">
        <v>1320</v>
      </c>
      <c r="D1000">
        <v>875</v>
      </c>
      <c r="E1000">
        <v>2204150</v>
      </c>
      <c r="F1000">
        <v>5638373</v>
      </c>
      <c r="G1000">
        <v>7842523</v>
      </c>
      <c r="H1000">
        <v>699</v>
      </c>
      <c r="I1000">
        <v>203</v>
      </c>
      <c r="J1000">
        <v>902</v>
      </c>
      <c r="K1000" t="b">
        <f>TrafficData[[#This Row],[disposedChallan]]+TrafficData[[#This Row],[pendingChallan]]=TrafficData[[#This Row],[totalChallan]]</f>
        <v>1</v>
      </c>
      <c r="L1000" t="b">
        <f>TrafficData[[#This Row],[pendingAmount]]+TrafficData[[#This Row],[disposedAmount]]=TrafficData[[#This Row],[totalAmount]]</f>
        <v>1</v>
      </c>
      <c r="M1000" t="b">
        <f>TrafficData[[#This Row],[pendingCourt]]+TrafficData[[#This Row],[disposedCourt]]=TrafficData[[#This Row],[totalCourt]]</f>
        <v>1</v>
      </c>
      <c r="N1000" s="8" t="b">
        <f>AND(TrafficData[[#This Row],[disposedChallan]]&lt;=TrafficData[[#This Row],[totalChallan]],TrafficData[[#This Row],[pendingChallan]]&lt;=TrafficData[[#This Row],[totalChallan]])</f>
        <v>1</v>
      </c>
      <c r="O1000" s="8" t="b">
        <f>AND(TrafficData[[#This Row],[pendingAmount]]&lt;=TrafficData[[#This Row],[totalAmount]],TrafficData[[#This Row],[disposedAmount]]&lt;=TrafficData[[#This Row],[totalAmount]])</f>
        <v>1</v>
      </c>
      <c r="P1000" s="8" t="b">
        <f>AND(TrafficData[[#This Row],[pendingCourt]]&lt;=TrafficData[[#This Row],[totalCourt]],TrafficData[[#This Row],[disposedCourt]]&lt;=TrafficData[[#This Row],[totalCourt]])</f>
        <v>1</v>
      </c>
    </row>
    <row r="1001" spans="1:16">
      <c r="A1001" s="1">
        <v>43004</v>
      </c>
      <c r="B1001">
        <v>2540</v>
      </c>
      <c r="C1001">
        <v>1571</v>
      </c>
      <c r="D1001">
        <v>969</v>
      </c>
      <c r="E1001">
        <v>2029102</v>
      </c>
      <c r="F1001">
        <v>6852940</v>
      </c>
      <c r="G1001">
        <v>8882042</v>
      </c>
      <c r="H1001">
        <v>785</v>
      </c>
      <c r="I1001">
        <v>219</v>
      </c>
      <c r="J1001">
        <v>1004</v>
      </c>
      <c r="K1001" t="b">
        <f>TrafficData[[#This Row],[disposedChallan]]+TrafficData[[#This Row],[pendingChallan]]=TrafficData[[#This Row],[totalChallan]]</f>
        <v>1</v>
      </c>
      <c r="L1001" t="b">
        <f>TrafficData[[#This Row],[pendingAmount]]+TrafficData[[#This Row],[disposedAmount]]=TrafficData[[#This Row],[totalAmount]]</f>
        <v>1</v>
      </c>
      <c r="M1001" t="b">
        <f>TrafficData[[#This Row],[pendingCourt]]+TrafficData[[#This Row],[disposedCourt]]=TrafficData[[#This Row],[totalCourt]]</f>
        <v>1</v>
      </c>
      <c r="N1001" s="8" t="b">
        <f>AND(TrafficData[[#This Row],[disposedChallan]]&lt;=TrafficData[[#This Row],[totalChallan]],TrafficData[[#This Row],[pendingChallan]]&lt;=TrafficData[[#This Row],[totalChallan]])</f>
        <v>1</v>
      </c>
      <c r="O1001" s="8" t="b">
        <f>AND(TrafficData[[#This Row],[pendingAmount]]&lt;=TrafficData[[#This Row],[totalAmount]],TrafficData[[#This Row],[disposedAmount]]&lt;=TrafficData[[#This Row],[totalAmount]])</f>
        <v>1</v>
      </c>
      <c r="P1001" s="8" t="b">
        <f>AND(TrafficData[[#This Row],[pendingCourt]]&lt;=TrafficData[[#This Row],[totalCourt]],TrafficData[[#This Row],[disposedCourt]]&lt;=TrafficData[[#This Row],[totalCourt]])</f>
        <v>1</v>
      </c>
    </row>
    <row r="1002" spans="1:16">
      <c r="A1002" s="1">
        <v>43005</v>
      </c>
      <c r="B1002">
        <v>3676</v>
      </c>
      <c r="C1002">
        <v>2514</v>
      </c>
      <c r="D1002">
        <v>1162</v>
      </c>
      <c r="E1002">
        <v>3014052</v>
      </c>
      <c r="F1002">
        <v>7074430</v>
      </c>
      <c r="G1002">
        <v>10088482</v>
      </c>
      <c r="H1002">
        <v>962</v>
      </c>
      <c r="I1002">
        <v>375</v>
      </c>
      <c r="J1002">
        <v>1337</v>
      </c>
      <c r="K1002" t="b">
        <f>TrafficData[[#This Row],[disposedChallan]]+TrafficData[[#This Row],[pendingChallan]]=TrafficData[[#This Row],[totalChallan]]</f>
        <v>1</v>
      </c>
      <c r="L1002" t="b">
        <f>TrafficData[[#This Row],[pendingAmount]]+TrafficData[[#This Row],[disposedAmount]]=TrafficData[[#This Row],[totalAmount]]</f>
        <v>1</v>
      </c>
      <c r="M1002" t="b">
        <f>TrafficData[[#This Row],[pendingCourt]]+TrafficData[[#This Row],[disposedCourt]]=TrafficData[[#This Row],[totalCourt]]</f>
        <v>1</v>
      </c>
      <c r="N1002" s="8" t="b">
        <f>AND(TrafficData[[#This Row],[disposedChallan]]&lt;=TrafficData[[#This Row],[totalChallan]],TrafficData[[#This Row],[pendingChallan]]&lt;=TrafficData[[#This Row],[totalChallan]])</f>
        <v>1</v>
      </c>
      <c r="O1002" s="8" t="b">
        <f>AND(TrafficData[[#This Row],[pendingAmount]]&lt;=TrafficData[[#This Row],[totalAmount]],TrafficData[[#This Row],[disposedAmount]]&lt;=TrafficData[[#This Row],[totalAmount]])</f>
        <v>1</v>
      </c>
      <c r="P1002" s="8" t="b">
        <f>AND(TrafficData[[#This Row],[pendingCourt]]&lt;=TrafficData[[#This Row],[totalCourt]],TrafficData[[#This Row],[disposedCourt]]&lt;=TrafficData[[#This Row],[totalCourt]])</f>
        <v>1</v>
      </c>
    </row>
    <row r="1003" spans="1:16">
      <c r="A1003" s="1">
        <v>43006</v>
      </c>
      <c r="B1003">
        <v>2357</v>
      </c>
      <c r="C1003">
        <v>1296</v>
      </c>
      <c r="D1003">
        <v>1061</v>
      </c>
      <c r="E1003">
        <v>2373224</v>
      </c>
      <c r="F1003">
        <v>3588185</v>
      </c>
      <c r="G1003">
        <v>5961409</v>
      </c>
      <c r="H1003">
        <v>860</v>
      </c>
      <c r="I1003">
        <v>150</v>
      </c>
      <c r="J1003">
        <v>1010</v>
      </c>
      <c r="K1003" t="b">
        <f>TrafficData[[#This Row],[disposedChallan]]+TrafficData[[#This Row],[pendingChallan]]=TrafficData[[#This Row],[totalChallan]]</f>
        <v>1</v>
      </c>
      <c r="L1003" t="b">
        <f>TrafficData[[#This Row],[pendingAmount]]+TrafficData[[#This Row],[disposedAmount]]=TrafficData[[#This Row],[totalAmount]]</f>
        <v>1</v>
      </c>
      <c r="M1003" t="b">
        <f>TrafficData[[#This Row],[pendingCourt]]+TrafficData[[#This Row],[disposedCourt]]=TrafficData[[#This Row],[totalCourt]]</f>
        <v>1</v>
      </c>
      <c r="N1003" s="8" t="b">
        <f>AND(TrafficData[[#This Row],[disposedChallan]]&lt;=TrafficData[[#This Row],[totalChallan]],TrafficData[[#This Row],[pendingChallan]]&lt;=TrafficData[[#This Row],[totalChallan]])</f>
        <v>1</v>
      </c>
      <c r="O1003" s="8" t="b">
        <f>AND(TrafficData[[#This Row],[pendingAmount]]&lt;=TrafficData[[#This Row],[totalAmount]],TrafficData[[#This Row],[disposedAmount]]&lt;=TrafficData[[#This Row],[totalAmount]])</f>
        <v>1</v>
      </c>
      <c r="P1003" s="8" t="b">
        <f>AND(TrafficData[[#This Row],[pendingCourt]]&lt;=TrafficData[[#This Row],[totalCourt]],TrafficData[[#This Row],[disposedCourt]]&lt;=TrafficData[[#This Row],[totalCourt]])</f>
        <v>1</v>
      </c>
    </row>
    <row r="1004" spans="1:16">
      <c r="A1004" s="1">
        <v>43007</v>
      </c>
      <c r="B1004">
        <v>1303</v>
      </c>
      <c r="C1004">
        <v>625</v>
      </c>
      <c r="D1004">
        <v>678</v>
      </c>
      <c r="E1004">
        <v>1009250</v>
      </c>
      <c r="F1004">
        <v>1714700</v>
      </c>
      <c r="G1004">
        <v>2723950</v>
      </c>
      <c r="H1004">
        <v>552</v>
      </c>
      <c r="I1004">
        <v>71</v>
      </c>
      <c r="J1004">
        <v>623</v>
      </c>
      <c r="K1004" t="b">
        <f>TrafficData[[#This Row],[disposedChallan]]+TrafficData[[#This Row],[pendingChallan]]=TrafficData[[#This Row],[totalChallan]]</f>
        <v>1</v>
      </c>
      <c r="L1004" t="b">
        <f>TrafficData[[#This Row],[pendingAmount]]+TrafficData[[#This Row],[disposedAmount]]=TrafficData[[#This Row],[totalAmount]]</f>
        <v>1</v>
      </c>
      <c r="M1004" t="b">
        <f>TrafficData[[#This Row],[pendingCourt]]+TrafficData[[#This Row],[disposedCourt]]=TrafficData[[#This Row],[totalCourt]]</f>
        <v>1</v>
      </c>
      <c r="N1004" s="8" t="b">
        <f>AND(TrafficData[[#This Row],[disposedChallan]]&lt;=TrafficData[[#This Row],[totalChallan]],TrafficData[[#This Row],[pendingChallan]]&lt;=TrafficData[[#This Row],[totalChallan]])</f>
        <v>1</v>
      </c>
      <c r="O1004" s="8" t="b">
        <f>AND(TrafficData[[#This Row],[pendingAmount]]&lt;=TrafficData[[#This Row],[totalAmount]],TrafficData[[#This Row],[disposedAmount]]&lt;=TrafficData[[#This Row],[totalAmount]])</f>
        <v>1</v>
      </c>
      <c r="P1004" s="8" t="b">
        <f>AND(TrafficData[[#This Row],[pendingCourt]]&lt;=TrafficData[[#This Row],[totalCourt]],TrafficData[[#This Row],[disposedCourt]]&lt;=TrafficData[[#This Row],[totalCourt]])</f>
        <v>1</v>
      </c>
    </row>
    <row r="1005" spans="1:16">
      <c r="A1005" s="1">
        <v>43008</v>
      </c>
      <c r="B1005">
        <v>693</v>
      </c>
      <c r="C1005">
        <v>270</v>
      </c>
      <c r="D1005">
        <v>423</v>
      </c>
      <c r="E1005">
        <v>455550</v>
      </c>
      <c r="F1005">
        <v>369550</v>
      </c>
      <c r="G1005">
        <v>825100</v>
      </c>
      <c r="H1005">
        <v>318</v>
      </c>
      <c r="I1005">
        <v>43</v>
      </c>
      <c r="J1005">
        <v>361</v>
      </c>
      <c r="K1005" t="b">
        <f>TrafficData[[#This Row],[disposedChallan]]+TrafficData[[#This Row],[pendingChallan]]=TrafficData[[#This Row],[totalChallan]]</f>
        <v>1</v>
      </c>
      <c r="L1005" t="b">
        <f>TrafficData[[#This Row],[pendingAmount]]+TrafficData[[#This Row],[disposedAmount]]=TrafficData[[#This Row],[totalAmount]]</f>
        <v>1</v>
      </c>
      <c r="M1005" t="b">
        <f>TrafficData[[#This Row],[pendingCourt]]+TrafficData[[#This Row],[disposedCourt]]=TrafficData[[#This Row],[totalCourt]]</f>
        <v>1</v>
      </c>
      <c r="N1005" s="8" t="b">
        <f>AND(TrafficData[[#This Row],[disposedChallan]]&lt;=TrafficData[[#This Row],[totalChallan]],TrafficData[[#This Row],[pendingChallan]]&lt;=TrafficData[[#This Row],[totalChallan]])</f>
        <v>1</v>
      </c>
      <c r="O1005" s="8" t="b">
        <f>AND(TrafficData[[#This Row],[pendingAmount]]&lt;=TrafficData[[#This Row],[totalAmount]],TrafficData[[#This Row],[disposedAmount]]&lt;=TrafficData[[#This Row],[totalAmount]])</f>
        <v>1</v>
      </c>
      <c r="P1005" s="8" t="b">
        <f>AND(TrafficData[[#This Row],[pendingCourt]]&lt;=TrafficData[[#This Row],[totalCourt]],TrafficData[[#This Row],[disposedCourt]]&lt;=TrafficData[[#This Row],[totalCourt]])</f>
        <v>1</v>
      </c>
    </row>
    <row r="1006" spans="1:16">
      <c r="A1006" s="1">
        <v>43009</v>
      </c>
      <c r="B1006">
        <v>385</v>
      </c>
      <c r="C1006">
        <v>129</v>
      </c>
      <c r="D1006">
        <v>256</v>
      </c>
      <c r="E1006">
        <v>668350</v>
      </c>
      <c r="F1006">
        <v>724500</v>
      </c>
      <c r="G1006">
        <v>1392850</v>
      </c>
      <c r="H1006">
        <v>168</v>
      </c>
      <c r="I1006">
        <v>16</v>
      </c>
      <c r="J1006">
        <v>184</v>
      </c>
      <c r="K1006" t="b">
        <f>TrafficData[[#This Row],[disposedChallan]]+TrafficData[[#This Row],[pendingChallan]]=TrafficData[[#This Row],[totalChallan]]</f>
        <v>1</v>
      </c>
      <c r="L1006" t="b">
        <f>TrafficData[[#This Row],[pendingAmount]]+TrafficData[[#This Row],[disposedAmount]]=TrafficData[[#This Row],[totalAmount]]</f>
        <v>1</v>
      </c>
      <c r="M1006" t="b">
        <f>TrafficData[[#This Row],[pendingCourt]]+TrafficData[[#This Row],[disposedCourt]]=TrafficData[[#This Row],[totalCourt]]</f>
        <v>1</v>
      </c>
      <c r="N1006" s="8" t="b">
        <f>AND(TrafficData[[#This Row],[disposedChallan]]&lt;=TrafficData[[#This Row],[totalChallan]],TrafficData[[#This Row],[pendingChallan]]&lt;=TrafficData[[#This Row],[totalChallan]])</f>
        <v>1</v>
      </c>
      <c r="O1006" s="8" t="b">
        <f>AND(TrafficData[[#This Row],[pendingAmount]]&lt;=TrafficData[[#This Row],[totalAmount]],TrafficData[[#This Row],[disposedAmount]]&lt;=TrafficData[[#This Row],[totalAmount]])</f>
        <v>1</v>
      </c>
      <c r="P1006" s="8" t="b">
        <f>AND(TrafficData[[#This Row],[pendingCourt]]&lt;=TrafficData[[#This Row],[totalCourt]],TrafficData[[#This Row],[disposedCourt]]&lt;=TrafficData[[#This Row],[totalCourt]])</f>
        <v>1</v>
      </c>
    </row>
    <row r="1007" spans="1:16">
      <c r="A1007" s="1">
        <v>43010</v>
      </c>
      <c r="B1007">
        <v>583</v>
      </c>
      <c r="C1007">
        <v>193</v>
      </c>
      <c r="D1007">
        <v>390</v>
      </c>
      <c r="E1007">
        <v>588750</v>
      </c>
      <c r="F1007">
        <v>1010435</v>
      </c>
      <c r="G1007">
        <v>1599185</v>
      </c>
      <c r="H1007">
        <v>269</v>
      </c>
      <c r="I1007">
        <v>35</v>
      </c>
      <c r="J1007">
        <v>304</v>
      </c>
      <c r="K1007" t="b">
        <f>TrafficData[[#This Row],[disposedChallan]]+TrafficData[[#This Row],[pendingChallan]]=TrafficData[[#This Row],[totalChallan]]</f>
        <v>1</v>
      </c>
      <c r="L1007" t="b">
        <f>TrafficData[[#This Row],[pendingAmount]]+TrafficData[[#This Row],[disposedAmount]]=TrafficData[[#This Row],[totalAmount]]</f>
        <v>1</v>
      </c>
      <c r="M1007" t="b">
        <f>TrafficData[[#This Row],[pendingCourt]]+TrafficData[[#This Row],[disposedCourt]]=TrafficData[[#This Row],[totalCourt]]</f>
        <v>1</v>
      </c>
      <c r="N1007" s="8" t="b">
        <f>AND(TrafficData[[#This Row],[disposedChallan]]&lt;=TrafficData[[#This Row],[totalChallan]],TrafficData[[#This Row],[pendingChallan]]&lt;=TrafficData[[#This Row],[totalChallan]])</f>
        <v>1</v>
      </c>
      <c r="O1007" s="8" t="b">
        <f>AND(TrafficData[[#This Row],[pendingAmount]]&lt;=TrafficData[[#This Row],[totalAmount]],TrafficData[[#This Row],[disposedAmount]]&lt;=TrafficData[[#This Row],[totalAmount]])</f>
        <v>1</v>
      </c>
      <c r="P1007" s="8" t="b">
        <f>AND(TrafficData[[#This Row],[pendingCourt]]&lt;=TrafficData[[#This Row],[totalCourt]],TrafficData[[#This Row],[disposedCourt]]&lt;=TrafficData[[#This Row],[totalCourt]])</f>
        <v>1</v>
      </c>
    </row>
    <row r="1008" spans="1:16">
      <c r="A1008" s="1">
        <v>43011</v>
      </c>
      <c r="B1008">
        <v>1193</v>
      </c>
      <c r="C1008">
        <v>459</v>
      </c>
      <c r="D1008">
        <v>734</v>
      </c>
      <c r="E1008">
        <v>1043750</v>
      </c>
      <c r="F1008">
        <v>3231928</v>
      </c>
      <c r="G1008">
        <v>4275678</v>
      </c>
      <c r="H1008">
        <v>552</v>
      </c>
      <c r="I1008">
        <v>40</v>
      </c>
      <c r="J1008">
        <v>592</v>
      </c>
      <c r="K1008" t="b">
        <f>TrafficData[[#This Row],[disposedChallan]]+TrafficData[[#This Row],[pendingChallan]]=TrafficData[[#This Row],[totalChallan]]</f>
        <v>1</v>
      </c>
      <c r="L1008" t="b">
        <f>TrafficData[[#This Row],[pendingAmount]]+TrafficData[[#This Row],[disposedAmount]]=TrafficData[[#This Row],[totalAmount]]</f>
        <v>1</v>
      </c>
      <c r="M1008" t="b">
        <f>TrafficData[[#This Row],[pendingCourt]]+TrafficData[[#This Row],[disposedCourt]]=TrafficData[[#This Row],[totalCourt]]</f>
        <v>1</v>
      </c>
      <c r="N1008" s="8" t="b">
        <f>AND(TrafficData[[#This Row],[disposedChallan]]&lt;=TrafficData[[#This Row],[totalChallan]],TrafficData[[#This Row],[pendingChallan]]&lt;=TrafficData[[#This Row],[totalChallan]])</f>
        <v>1</v>
      </c>
      <c r="O1008" s="8" t="b">
        <f>AND(TrafficData[[#This Row],[pendingAmount]]&lt;=TrafficData[[#This Row],[totalAmount]],TrafficData[[#This Row],[disposedAmount]]&lt;=TrafficData[[#This Row],[totalAmount]])</f>
        <v>1</v>
      </c>
      <c r="P1008" s="8" t="b">
        <f>AND(TrafficData[[#This Row],[pendingCourt]]&lt;=TrafficData[[#This Row],[totalCourt]],TrafficData[[#This Row],[disposedCourt]]&lt;=TrafficData[[#This Row],[totalCourt]])</f>
        <v>1</v>
      </c>
    </row>
    <row r="1009" spans="1:16">
      <c r="A1009" s="1">
        <v>43012</v>
      </c>
      <c r="B1009">
        <v>1708</v>
      </c>
      <c r="C1009">
        <v>782</v>
      </c>
      <c r="D1009">
        <v>926</v>
      </c>
      <c r="E1009">
        <v>1252400</v>
      </c>
      <c r="F1009">
        <v>3250183</v>
      </c>
      <c r="G1009">
        <v>4502583</v>
      </c>
      <c r="H1009">
        <v>737</v>
      </c>
      <c r="I1009">
        <v>72</v>
      </c>
      <c r="J1009">
        <v>809</v>
      </c>
      <c r="K1009" t="b">
        <f>TrafficData[[#This Row],[disposedChallan]]+TrafficData[[#This Row],[pendingChallan]]=TrafficData[[#This Row],[totalChallan]]</f>
        <v>1</v>
      </c>
      <c r="L1009" t="b">
        <f>TrafficData[[#This Row],[pendingAmount]]+TrafficData[[#This Row],[disposedAmount]]=TrafficData[[#This Row],[totalAmount]]</f>
        <v>1</v>
      </c>
      <c r="M1009" t="b">
        <f>TrafficData[[#This Row],[pendingCourt]]+TrafficData[[#This Row],[disposedCourt]]=TrafficData[[#This Row],[totalCourt]]</f>
        <v>1</v>
      </c>
      <c r="N1009" s="8" t="b">
        <f>AND(TrafficData[[#This Row],[disposedChallan]]&lt;=TrafficData[[#This Row],[totalChallan]],TrafficData[[#This Row],[pendingChallan]]&lt;=TrafficData[[#This Row],[totalChallan]])</f>
        <v>1</v>
      </c>
      <c r="O1009" s="8" t="b">
        <f>AND(TrafficData[[#This Row],[pendingAmount]]&lt;=TrafficData[[#This Row],[totalAmount]],TrafficData[[#This Row],[disposedAmount]]&lt;=TrafficData[[#This Row],[totalAmount]])</f>
        <v>1</v>
      </c>
      <c r="P1009" s="8" t="b">
        <f>AND(TrafficData[[#This Row],[pendingCourt]]&lt;=TrafficData[[#This Row],[totalCourt]],TrafficData[[#This Row],[disposedCourt]]&lt;=TrafficData[[#This Row],[totalCourt]])</f>
        <v>1</v>
      </c>
    </row>
    <row r="1010" spans="1:16">
      <c r="A1010" s="1">
        <v>43013</v>
      </c>
      <c r="B1010">
        <v>1002</v>
      </c>
      <c r="C1010">
        <v>295</v>
      </c>
      <c r="D1010">
        <v>707</v>
      </c>
      <c r="E1010">
        <v>1243750</v>
      </c>
      <c r="F1010">
        <v>1683792</v>
      </c>
      <c r="G1010">
        <v>2927542</v>
      </c>
      <c r="H1010">
        <v>569</v>
      </c>
      <c r="I1010">
        <v>52</v>
      </c>
      <c r="J1010">
        <v>621</v>
      </c>
      <c r="K1010" t="b">
        <f>TrafficData[[#This Row],[disposedChallan]]+TrafficData[[#This Row],[pendingChallan]]=TrafficData[[#This Row],[totalChallan]]</f>
        <v>1</v>
      </c>
      <c r="L1010" t="b">
        <f>TrafficData[[#This Row],[pendingAmount]]+TrafficData[[#This Row],[disposedAmount]]=TrafficData[[#This Row],[totalAmount]]</f>
        <v>1</v>
      </c>
      <c r="M1010" t="b">
        <f>TrafficData[[#This Row],[pendingCourt]]+TrafficData[[#This Row],[disposedCourt]]=TrafficData[[#This Row],[totalCourt]]</f>
        <v>1</v>
      </c>
      <c r="N1010" s="8" t="b">
        <f>AND(TrafficData[[#This Row],[disposedChallan]]&lt;=TrafficData[[#This Row],[totalChallan]],TrafficData[[#This Row],[pendingChallan]]&lt;=TrafficData[[#This Row],[totalChallan]])</f>
        <v>1</v>
      </c>
      <c r="O1010" s="8" t="b">
        <f>AND(TrafficData[[#This Row],[pendingAmount]]&lt;=TrafficData[[#This Row],[totalAmount]],TrafficData[[#This Row],[disposedAmount]]&lt;=TrafficData[[#This Row],[totalAmount]])</f>
        <v>1</v>
      </c>
      <c r="P1010" s="8" t="b">
        <f>AND(TrafficData[[#This Row],[pendingCourt]]&lt;=TrafficData[[#This Row],[totalCourt]],TrafficData[[#This Row],[disposedCourt]]&lt;=TrafficData[[#This Row],[totalCourt]])</f>
        <v>1</v>
      </c>
    </row>
    <row r="1011" spans="1:16">
      <c r="A1011" s="1">
        <v>43014</v>
      </c>
      <c r="B1011">
        <v>1688</v>
      </c>
      <c r="C1011">
        <v>641</v>
      </c>
      <c r="D1011">
        <v>1047</v>
      </c>
      <c r="E1011">
        <v>1712771</v>
      </c>
      <c r="F1011">
        <v>2219616</v>
      </c>
      <c r="G1011">
        <v>3932387</v>
      </c>
      <c r="H1011">
        <v>874</v>
      </c>
      <c r="I1011">
        <v>72</v>
      </c>
      <c r="J1011">
        <v>946</v>
      </c>
      <c r="K1011" t="b">
        <f>TrafficData[[#This Row],[disposedChallan]]+TrafficData[[#This Row],[pendingChallan]]=TrafficData[[#This Row],[totalChallan]]</f>
        <v>1</v>
      </c>
      <c r="L1011" t="b">
        <f>TrafficData[[#This Row],[pendingAmount]]+TrafficData[[#This Row],[disposedAmount]]=TrafficData[[#This Row],[totalAmount]]</f>
        <v>1</v>
      </c>
      <c r="M1011" t="b">
        <f>TrafficData[[#This Row],[pendingCourt]]+TrafficData[[#This Row],[disposedCourt]]=TrafficData[[#This Row],[totalCourt]]</f>
        <v>1</v>
      </c>
      <c r="N1011" s="8" t="b">
        <f>AND(TrafficData[[#This Row],[disposedChallan]]&lt;=TrafficData[[#This Row],[totalChallan]],TrafficData[[#This Row],[pendingChallan]]&lt;=TrafficData[[#This Row],[totalChallan]])</f>
        <v>1</v>
      </c>
      <c r="O1011" s="8" t="b">
        <f>AND(TrafficData[[#This Row],[pendingAmount]]&lt;=TrafficData[[#This Row],[totalAmount]],TrafficData[[#This Row],[disposedAmount]]&lt;=TrafficData[[#This Row],[totalAmount]])</f>
        <v>1</v>
      </c>
      <c r="P1011" s="8" t="b">
        <f>AND(TrafficData[[#This Row],[pendingCourt]]&lt;=TrafficData[[#This Row],[totalCourt]],TrafficData[[#This Row],[disposedCourt]]&lt;=TrafficData[[#This Row],[totalCourt]])</f>
        <v>1</v>
      </c>
    </row>
    <row r="1012" spans="1:16">
      <c r="A1012" s="1">
        <v>43015</v>
      </c>
      <c r="B1012">
        <v>2263</v>
      </c>
      <c r="C1012">
        <v>1173</v>
      </c>
      <c r="D1012">
        <v>1090</v>
      </c>
      <c r="E1012">
        <v>2245872</v>
      </c>
      <c r="F1012">
        <v>5395969</v>
      </c>
      <c r="G1012">
        <v>7641841</v>
      </c>
      <c r="H1012">
        <v>922</v>
      </c>
      <c r="I1012">
        <v>171</v>
      </c>
      <c r="J1012">
        <v>1093</v>
      </c>
      <c r="K1012" t="b">
        <f>TrafficData[[#This Row],[disposedChallan]]+TrafficData[[#This Row],[pendingChallan]]=TrafficData[[#This Row],[totalChallan]]</f>
        <v>1</v>
      </c>
      <c r="L1012" t="b">
        <f>TrafficData[[#This Row],[pendingAmount]]+TrafficData[[#This Row],[disposedAmount]]=TrafficData[[#This Row],[totalAmount]]</f>
        <v>1</v>
      </c>
      <c r="M1012" t="b">
        <f>TrafficData[[#This Row],[pendingCourt]]+TrafficData[[#This Row],[disposedCourt]]=TrafficData[[#This Row],[totalCourt]]</f>
        <v>1</v>
      </c>
      <c r="N1012" s="8" t="b">
        <f>AND(TrafficData[[#This Row],[disposedChallan]]&lt;=TrafficData[[#This Row],[totalChallan]],TrafficData[[#This Row],[pendingChallan]]&lt;=TrafficData[[#This Row],[totalChallan]])</f>
        <v>1</v>
      </c>
      <c r="O1012" s="8" t="b">
        <f>AND(TrafficData[[#This Row],[pendingAmount]]&lt;=TrafficData[[#This Row],[totalAmount]],TrafficData[[#This Row],[disposedAmount]]&lt;=TrafficData[[#This Row],[totalAmount]])</f>
        <v>1</v>
      </c>
      <c r="P1012" s="8" t="b">
        <f>AND(TrafficData[[#This Row],[pendingCourt]]&lt;=TrafficData[[#This Row],[totalCourt]],TrafficData[[#This Row],[disposedCourt]]&lt;=TrafficData[[#This Row],[totalCourt]])</f>
        <v>1</v>
      </c>
    </row>
    <row r="1013" spans="1:16">
      <c r="A1013" s="1">
        <v>43016</v>
      </c>
      <c r="B1013">
        <v>866</v>
      </c>
      <c r="C1013">
        <v>471</v>
      </c>
      <c r="D1013">
        <v>395</v>
      </c>
      <c r="E1013">
        <v>1040300</v>
      </c>
      <c r="F1013">
        <v>1802300</v>
      </c>
      <c r="G1013">
        <v>2842600</v>
      </c>
      <c r="H1013">
        <v>304</v>
      </c>
      <c r="I1013">
        <v>35</v>
      </c>
      <c r="J1013">
        <v>339</v>
      </c>
      <c r="K1013" t="b">
        <f>TrafficData[[#This Row],[disposedChallan]]+TrafficData[[#This Row],[pendingChallan]]=TrafficData[[#This Row],[totalChallan]]</f>
        <v>1</v>
      </c>
      <c r="L1013" t="b">
        <f>TrafficData[[#This Row],[pendingAmount]]+TrafficData[[#This Row],[disposedAmount]]=TrafficData[[#This Row],[totalAmount]]</f>
        <v>1</v>
      </c>
      <c r="M1013" t="b">
        <f>TrafficData[[#This Row],[pendingCourt]]+TrafficData[[#This Row],[disposedCourt]]=TrafficData[[#This Row],[totalCourt]]</f>
        <v>1</v>
      </c>
      <c r="N1013" s="8" t="b">
        <f>AND(TrafficData[[#This Row],[disposedChallan]]&lt;=TrafficData[[#This Row],[totalChallan]],TrafficData[[#This Row],[pendingChallan]]&lt;=TrafficData[[#This Row],[totalChallan]])</f>
        <v>1</v>
      </c>
      <c r="O1013" s="8" t="b">
        <f>AND(TrafficData[[#This Row],[pendingAmount]]&lt;=TrafficData[[#This Row],[totalAmount]],TrafficData[[#This Row],[disposedAmount]]&lt;=TrafficData[[#This Row],[totalAmount]])</f>
        <v>1</v>
      </c>
      <c r="P1013" s="8" t="b">
        <f>AND(TrafficData[[#This Row],[pendingCourt]]&lt;=TrafficData[[#This Row],[totalCourt]],TrafficData[[#This Row],[disposedCourt]]&lt;=TrafficData[[#This Row],[totalCourt]])</f>
        <v>1</v>
      </c>
    </row>
    <row r="1014" spans="1:16">
      <c r="A1014" s="1">
        <v>43017</v>
      </c>
      <c r="B1014">
        <v>2528</v>
      </c>
      <c r="C1014">
        <v>1159</v>
      </c>
      <c r="D1014">
        <v>1369</v>
      </c>
      <c r="E1014">
        <v>2364981</v>
      </c>
      <c r="F1014">
        <v>4410536</v>
      </c>
      <c r="G1014">
        <v>6775517</v>
      </c>
      <c r="H1014">
        <v>1190</v>
      </c>
      <c r="I1014">
        <v>169</v>
      </c>
      <c r="J1014">
        <v>1359</v>
      </c>
      <c r="K1014" t="b">
        <f>TrafficData[[#This Row],[disposedChallan]]+TrafficData[[#This Row],[pendingChallan]]=TrafficData[[#This Row],[totalChallan]]</f>
        <v>1</v>
      </c>
      <c r="L1014" t="b">
        <f>TrafficData[[#This Row],[pendingAmount]]+TrafficData[[#This Row],[disposedAmount]]=TrafficData[[#This Row],[totalAmount]]</f>
        <v>1</v>
      </c>
      <c r="M1014" t="b">
        <f>TrafficData[[#This Row],[pendingCourt]]+TrafficData[[#This Row],[disposedCourt]]=TrafficData[[#This Row],[totalCourt]]</f>
        <v>1</v>
      </c>
      <c r="N1014" s="8" t="b">
        <f>AND(TrafficData[[#This Row],[disposedChallan]]&lt;=TrafficData[[#This Row],[totalChallan]],TrafficData[[#This Row],[pendingChallan]]&lt;=TrafficData[[#This Row],[totalChallan]])</f>
        <v>1</v>
      </c>
      <c r="O1014" s="8" t="b">
        <f>AND(TrafficData[[#This Row],[pendingAmount]]&lt;=TrafficData[[#This Row],[totalAmount]],TrafficData[[#This Row],[disposedAmount]]&lt;=TrafficData[[#This Row],[totalAmount]])</f>
        <v>1</v>
      </c>
      <c r="P1014" s="8" t="b">
        <f>AND(TrafficData[[#This Row],[pendingCourt]]&lt;=TrafficData[[#This Row],[totalCourt]],TrafficData[[#This Row],[disposedCourt]]&lt;=TrafficData[[#This Row],[totalCourt]])</f>
        <v>1</v>
      </c>
    </row>
    <row r="1015" spans="1:16">
      <c r="A1015" s="1">
        <v>43018</v>
      </c>
      <c r="B1015">
        <v>2734</v>
      </c>
      <c r="C1015">
        <v>1426</v>
      </c>
      <c r="D1015">
        <v>1308</v>
      </c>
      <c r="E1015">
        <v>2586850</v>
      </c>
      <c r="F1015">
        <v>7740250</v>
      </c>
      <c r="G1015">
        <v>10327100</v>
      </c>
      <c r="H1015">
        <v>1056</v>
      </c>
      <c r="I1015">
        <v>168</v>
      </c>
      <c r="J1015">
        <v>1224</v>
      </c>
      <c r="K1015" t="b">
        <f>TrafficData[[#This Row],[disposedChallan]]+TrafficData[[#This Row],[pendingChallan]]=TrafficData[[#This Row],[totalChallan]]</f>
        <v>1</v>
      </c>
      <c r="L1015" t="b">
        <f>TrafficData[[#This Row],[pendingAmount]]+TrafficData[[#This Row],[disposedAmount]]=TrafficData[[#This Row],[totalAmount]]</f>
        <v>1</v>
      </c>
      <c r="M1015" t="b">
        <f>TrafficData[[#This Row],[pendingCourt]]+TrafficData[[#This Row],[disposedCourt]]=TrafficData[[#This Row],[totalCourt]]</f>
        <v>1</v>
      </c>
      <c r="N1015" s="8" t="b">
        <f>AND(TrafficData[[#This Row],[disposedChallan]]&lt;=TrafficData[[#This Row],[totalChallan]],TrafficData[[#This Row],[pendingChallan]]&lt;=TrafficData[[#This Row],[totalChallan]])</f>
        <v>1</v>
      </c>
      <c r="O1015" s="8" t="b">
        <f>AND(TrafficData[[#This Row],[pendingAmount]]&lt;=TrafficData[[#This Row],[totalAmount]],TrafficData[[#This Row],[disposedAmount]]&lt;=TrafficData[[#This Row],[totalAmount]])</f>
        <v>1</v>
      </c>
      <c r="P1015" s="8" t="b">
        <f>AND(TrafficData[[#This Row],[pendingCourt]]&lt;=TrafficData[[#This Row],[totalCourt]],TrafficData[[#This Row],[disposedCourt]]&lt;=TrafficData[[#This Row],[totalCourt]])</f>
        <v>1</v>
      </c>
    </row>
    <row r="1016" spans="1:16">
      <c r="A1016" s="1">
        <v>43019</v>
      </c>
      <c r="B1016">
        <v>3624</v>
      </c>
      <c r="C1016">
        <v>1968</v>
      </c>
      <c r="D1016">
        <v>1656</v>
      </c>
      <c r="E1016">
        <v>3236150</v>
      </c>
      <c r="F1016">
        <v>6814511</v>
      </c>
      <c r="G1016">
        <v>10050661</v>
      </c>
      <c r="H1016">
        <v>1369</v>
      </c>
      <c r="I1016">
        <v>258</v>
      </c>
      <c r="J1016">
        <v>1627</v>
      </c>
      <c r="K1016" t="b">
        <f>TrafficData[[#This Row],[disposedChallan]]+TrafficData[[#This Row],[pendingChallan]]=TrafficData[[#This Row],[totalChallan]]</f>
        <v>1</v>
      </c>
      <c r="L1016" t="b">
        <f>TrafficData[[#This Row],[pendingAmount]]+TrafficData[[#This Row],[disposedAmount]]=TrafficData[[#This Row],[totalAmount]]</f>
        <v>1</v>
      </c>
      <c r="M1016" t="b">
        <f>TrafficData[[#This Row],[pendingCourt]]+TrafficData[[#This Row],[disposedCourt]]=TrafficData[[#This Row],[totalCourt]]</f>
        <v>1</v>
      </c>
      <c r="N1016" s="8" t="b">
        <f>AND(TrafficData[[#This Row],[disposedChallan]]&lt;=TrafficData[[#This Row],[totalChallan]],TrafficData[[#This Row],[pendingChallan]]&lt;=TrafficData[[#This Row],[totalChallan]])</f>
        <v>1</v>
      </c>
      <c r="O1016" s="8" t="b">
        <f>AND(TrafficData[[#This Row],[pendingAmount]]&lt;=TrafficData[[#This Row],[totalAmount]],TrafficData[[#This Row],[disposedAmount]]&lt;=TrafficData[[#This Row],[totalAmount]])</f>
        <v>1</v>
      </c>
      <c r="P1016" s="8" t="b">
        <f>AND(TrafficData[[#This Row],[pendingCourt]]&lt;=TrafficData[[#This Row],[totalCourt]],TrafficData[[#This Row],[disposedCourt]]&lt;=TrafficData[[#This Row],[totalCourt]])</f>
        <v>1</v>
      </c>
    </row>
    <row r="1017" spans="1:16">
      <c r="A1017" s="1">
        <v>43020</v>
      </c>
      <c r="B1017">
        <v>2877</v>
      </c>
      <c r="C1017">
        <v>1496</v>
      </c>
      <c r="D1017">
        <v>1381</v>
      </c>
      <c r="E1017">
        <v>2125850</v>
      </c>
      <c r="F1017">
        <v>7252212</v>
      </c>
      <c r="G1017">
        <v>9378062</v>
      </c>
      <c r="H1017">
        <v>1165</v>
      </c>
      <c r="I1017">
        <v>210</v>
      </c>
      <c r="J1017">
        <v>1375</v>
      </c>
      <c r="K1017" t="b">
        <f>TrafficData[[#This Row],[disposedChallan]]+TrafficData[[#This Row],[pendingChallan]]=TrafficData[[#This Row],[totalChallan]]</f>
        <v>1</v>
      </c>
      <c r="L1017" t="b">
        <f>TrafficData[[#This Row],[pendingAmount]]+TrafficData[[#This Row],[disposedAmount]]=TrafficData[[#This Row],[totalAmount]]</f>
        <v>1</v>
      </c>
      <c r="M1017" t="b">
        <f>TrafficData[[#This Row],[pendingCourt]]+TrafficData[[#This Row],[disposedCourt]]=TrafficData[[#This Row],[totalCourt]]</f>
        <v>1</v>
      </c>
      <c r="N1017" s="8" t="b">
        <f>AND(TrafficData[[#This Row],[disposedChallan]]&lt;=TrafficData[[#This Row],[totalChallan]],TrafficData[[#This Row],[pendingChallan]]&lt;=TrafficData[[#This Row],[totalChallan]])</f>
        <v>1</v>
      </c>
      <c r="O1017" s="8" t="b">
        <f>AND(TrafficData[[#This Row],[pendingAmount]]&lt;=TrafficData[[#This Row],[totalAmount]],TrafficData[[#This Row],[disposedAmount]]&lt;=TrafficData[[#This Row],[totalAmount]])</f>
        <v>1</v>
      </c>
      <c r="P1017" s="8" t="b">
        <f>AND(TrafficData[[#This Row],[pendingCourt]]&lt;=TrafficData[[#This Row],[totalCourt]],TrafficData[[#This Row],[disposedCourt]]&lt;=TrafficData[[#This Row],[totalCourt]])</f>
        <v>1</v>
      </c>
    </row>
    <row r="1018" spans="1:16">
      <c r="A1018" s="1">
        <v>43021</v>
      </c>
      <c r="B1018">
        <v>3027</v>
      </c>
      <c r="C1018">
        <v>1527</v>
      </c>
      <c r="D1018">
        <v>1500</v>
      </c>
      <c r="E1018">
        <v>2887600</v>
      </c>
      <c r="F1018">
        <v>8573613</v>
      </c>
      <c r="G1018">
        <v>11461213</v>
      </c>
      <c r="H1018">
        <v>1258</v>
      </c>
      <c r="I1018">
        <v>208</v>
      </c>
      <c r="J1018">
        <v>1466</v>
      </c>
      <c r="K1018" t="b">
        <f>TrafficData[[#This Row],[disposedChallan]]+TrafficData[[#This Row],[pendingChallan]]=TrafficData[[#This Row],[totalChallan]]</f>
        <v>1</v>
      </c>
      <c r="L1018" t="b">
        <f>TrafficData[[#This Row],[pendingAmount]]+TrafficData[[#This Row],[disposedAmount]]=TrafficData[[#This Row],[totalAmount]]</f>
        <v>1</v>
      </c>
      <c r="M1018" t="b">
        <f>TrafficData[[#This Row],[pendingCourt]]+TrafficData[[#This Row],[disposedCourt]]=TrafficData[[#This Row],[totalCourt]]</f>
        <v>1</v>
      </c>
      <c r="N1018" s="8" t="b">
        <f>AND(TrafficData[[#This Row],[disposedChallan]]&lt;=TrafficData[[#This Row],[totalChallan]],TrafficData[[#This Row],[pendingChallan]]&lt;=TrafficData[[#This Row],[totalChallan]])</f>
        <v>1</v>
      </c>
      <c r="O1018" s="8" t="b">
        <f>AND(TrafficData[[#This Row],[pendingAmount]]&lt;=TrafficData[[#This Row],[totalAmount]],TrafficData[[#This Row],[disposedAmount]]&lt;=TrafficData[[#This Row],[totalAmount]])</f>
        <v>1</v>
      </c>
      <c r="P1018" s="8" t="b">
        <f>AND(TrafficData[[#This Row],[pendingCourt]]&lt;=TrafficData[[#This Row],[totalCourt]],TrafficData[[#This Row],[disposedCourt]]&lt;=TrafficData[[#This Row],[totalCourt]])</f>
        <v>1</v>
      </c>
    </row>
    <row r="1019" spans="1:16">
      <c r="A1019" s="1">
        <v>43022</v>
      </c>
      <c r="B1019">
        <v>2818</v>
      </c>
      <c r="C1019">
        <v>1457</v>
      </c>
      <c r="D1019">
        <v>1361</v>
      </c>
      <c r="E1019">
        <v>2358150</v>
      </c>
      <c r="F1019">
        <v>6429006</v>
      </c>
      <c r="G1019">
        <v>8787156</v>
      </c>
      <c r="H1019">
        <v>1175</v>
      </c>
      <c r="I1019">
        <v>187</v>
      </c>
      <c r="J1019">
        <v>1362</v>
      </c>
      <c r="K1019" t="b">
        <f>TrafficData[[#This Row],[disposedChallan]]+TrafficData[[#This Row],[pendingChallan]]=TrafficData[[#This Row],[totalChallan]]</f>
        <v>1</v>
      </c>
      <c r="L1019" t="b">
        <f>TrafficData[[#This Row],[pendingAmount]]+TrafficData[[#This Row],[disposedAmount]]=TrafficData[[#This Row],[totalAmount]]</f>
        <v>1</v>
      </c>
      <c r="M1019" t="b">
        <f>TrafficData[[#This Row],[pendingCourt]]+TrafficData[[#This Row],[disposedCourt]]=TrafficData[[#This Row],[totalCourt]]</f>
        <v>1</v>
      </c>
      <c r="N1019" s="8" t="b">
        <f>AND(TrafficData[[#This Row],[disposedChallan]]&lt;=TrafficData[[#This Row],[totalChallan]],TrafficData[[#This Row],[pendingChallan]]&lt;=TrafficData[[#This Row],[totalChallan]])</f>
        <v>1</v>
      </c>
      <c r="O1019" s="8" t="b">
        <f>AND(TrafficData[[#This Row],[pendingAmount]]&lt;=TrafficData[[#This Row],[totalAmount]],TrafficData[[#This Row],[disposedAmount]]&lt;=TrafficData[[#This Row],[totalAmount]])</f>
        <v>1</v>
      </c>
      <c r="P1019" s="8" t="b">
        <f>AND(TrafficData[[#This Row],[pendingCourt]]&lt;=TrafficData[[#This Row],[totalCourt]],TrafficData[[#This Row],[disposedCourt]]&lt;=TrafficData[[#This Row],[totalCourt]])</f>
        <v>1</v>
      </c>
    </row>
    <row r="1020" spans="1:16">
      <c r="A1020" s="1">
        <v>43023</v>
      </c>
      <c r="B1020">
        <v>1433</v>
      </c>
      <c r="C1020">
        <v>649</v>
      </c>
      <c r="D1020">
        <v>784</v>
      </c>
      <c r="E1020">
        <v>1113550</v>
      </c>
      <c r="F1020">
        <v>3677585</v>
      </c>
      <c r="G1020">
        <v>4791135</v>
      </c>
      <c r="H1020">
        <v>653</v>
      </c>
      <c r="I1020">
        <v>101</v>
      </c>
      <c r="J1020">
        <v>754</v>
      </c>
      <c r="K1020" t="b">
        <f>TrafficData[[#This Row],[disposedChallan]]+TrafficData[[#This Row],[pendingChallan]]=TrafficData[[#This Row],[totalChallan]]</f>
        <v>1</v>
      </c>
      <c r="L1020" t="b">
        <f>TrafficData[[#This Row],[pendingAmount]]+TrafficData[[#This Row],[disposedAmount]]=TrafficData[[#This Row],[totalAmount]]</f>
        <v>1</v>
      </c>
      <c r="M1020" t="b">
        <f>TrafficData[[#This Row],[pendingCourt]]+TrafficData[[#This Row],[disposedCourt]]=TrafficData[[#This Row],[totalCourt]]</f>
        <v>1</v>
      </c>
      <c r="N1020" s="8" t="b">
        <f>AND(TrafficData[[#This Row],[disposedChallan]]&lt;=TrafficData[[#This Row],[totalChallan]],TrafficData[[#This Row],[pendingChallan]]&lt;=TrafficData[[#This Row],[totalChallan]])</f>
        <v>1</v>
      </c>
      <c r="O1020" s="8" t="b">
        <f>AND(TrafficData[[#This Row],[pendingAmount]]&lt;=TrafficData[[#This Row],[totalAmount]],TrafficData[[#This Row],[disposedAmount]]&lt;=TrafficData[[#This Row],[totalAmount]])</f>
        <v>1</v>
      </c>
      <c r="P1020" s="8" t="b">
        <f>AND(TrafficData[[#This Row],[pendingCourt]]&lt;=TrafficData[[#This Row],[totalCourt]],TrafficData[[#This Row],[disposedCourt]]&lt;=TrafficData[[#This Row],[totalCourt]])</f>
        <v>1</v>
      </c>
    </row>
    <row r="1021" spans="1:16">
      <c r="A1021" s="1">
        <v>43024</v>
      </c>
      <c r="B1021">
        <v>2252</v>
      </c>
      <c r="C1021">
        <v>1180</v>
      </c>
      <c r="D1021">
        <v>1072</v>
      </c>
      <c r="E1021">
        <v>2112112</v>
      </c>
      <c r="F1021">
        <v>4632251</v>
      </c>
      <c r="G1021">
        <v>6744363</v>
      </c>
      <c r="H1021">
        <v>860</v>
      </c>
      <c r="I1021">
        <v>155</v>
      </c>
      <c r="J1021">
        <v>1015</v>
      </c>
      <c r="K1021" t="b">
        <f>TrafficData[[#This Row],[disposedChallan]]+TrafficData[[#This Row],[pendingChallan]]=TrafficData[[#This Row],[totalChallan]]</f>
        <v>1</v>
      </c>
      <c r="L1021" t="b">
        <f>TrafficData[[#This Row],[pendingAmount]]+TrafficData[[#This Row],[disposedAmount]]=TrafficData[[#This Row],[totalAmount]]</f>
        <v>1</v>
      </c>
      <c r="M1021" t="b">
        <f>TrafficData[[#This Row],[pendingCourt]]+TrafficData[[#This Row],[disposedCourt]]=TrafficData[[#This Row],[totalCourt]]</f>
        <v>1</v>
      </c>
      <c r="N1021" s="8" t="b">
        <f>AND(TrafficData[[#This Row],[disposedChallan]]&lt;=TrafficData[[#This Row],[totalChallan]],TrafficData[[#This Row],[pendingChallan]]&lt;=TrafficData[[#This Row],[totalChallan]])</f>
        <v>1</v>
      </c>
      <c r="O1021" s="8" t="b">
        <f>AND(TrafficData[[#This Row],[pendingAmount]]&lt;=TrafficData[[#This Row],[totalAmount]],TrafficData[[#This Row],[disposedAmount]]&lt;=TrafficData[[#This Row],[totalAmount]])</f>
        <v>1</v>
      </c>
      <c r="P1021" s="8" t="b">
        <f>AND(TrafficData[[#This Row],[pendingCourt]]&lt;=TrafficData[[#This Row],[totalCourt]],TrafficData[[#This Row],[disposedCourt]]&lt;=TrafficData[[#This Row],[totalCourt]])</f>
        <v>1</v>
      </c>
    </row>
    <row r="1022" spans="1:16">
      <c r="A1022" s="1">
        <v>43025</v>
      </c>
      <c r="B1022">
        <v>2398</v>
      </c>
      <c r="C1022">
        <v>1215</v>
      </c>
      <c r="D1022">
        <v>1183</v>
      </c>
      <c r="E1022">
        <v>1339226</v>
      </c>
      <c r="F1022">
        <v>4412290</v>
      </c>
      <c r="G1022">
        <v>5751516</v>
      </c>
      <c r="H1022">
        <v>987</v>
      </c>
      <c r="I1022">
        <v>122</v>
      </c>
      <c r="J1022">
        <v>1109</v>
      </c>
      <c r="K1022" t="b">
        <f>TrafficData[[#This Row],[disposedChallan]]+TrafficData[[#This Row],[pendingChallan]]=TrafficData[[#This Row],[totalChallan]]</f>
        <v>1</v>
      </c>
      <c r="L1022" t="b">
        <f>TrafficData[[#This Row],[pendingAmount]]+TrafficData[[#This Row],[disposedAmount]]=TrafficData[[#This Row],[totalAmount]]</f>
        <v>1</v>
      </c>
      <c r="M1022" t="b">
        <f>TrafficData[[#This Row],[pendingCourt]]+TrafficData[[#This Row],[disposedCourt]]=TrafficData[[#This Row],[totalCourt]]</f>
        <v>1</v>
      </c>
      <c r="N1022" s="8" t="b">
        <f>AND(TrafficData[[#This Row],[disposedChallan]]&lt;=TrafficData[[#This Row],[totalChallan]],TrafficData[[#This Row],[pendingChallan]]&lt;=TrafficData[[#This Row],[totalChallan]])</f>
        <v>1</v>
      </c>
      <c r="O1022" s="8" t="b">
        <f>AND(TrafficData[[#This Row],[pendingAmount]]&lt;=TrafficData[[#This Row],[totalAmount]],TrafficData[[#This Row],[disposedAmount]]&lt;=TrafficData[[#This Row],[totalAmount]])</f>
        <v>1</v>
      </c>
      <c r="P1022" s="8" t="b">
        <f>AND(TrafficData[[#This Row],[pendingCourt]]&lt;=TrafficData[[#This Row],[totalCourt]],TrafficData[[#This Row],[disposedCourt]]&lt;=TrafficData[[#This Row],[totalCourt]])</f>
        <v>1</v>
      </c>
    </row>
    <row r="1023" spans="1:16">
      <c r="A1023" s="1">
        <v>43026</v>
      </c>
      <c r="B1023">
        <v>1307</v>
      </c>
      <c r="C1023">
        <v>425</v>
      </c>
      <c r="D1023">
        <v>882</v>
      </c>
      <c r="E1023">
        <v>691250</v>
      </c>
      <c r="F1023">
        <v>931010</v>
      </c>
      <c r="G1023">
        <v>1622260</v>
      </c>
      <c r="H1023">
        <v>668</v>
      </c>
      <c r="I1023">
        <v>71</v>
      </c>
      <c r="J1023">
        <v>739</v>
      </c>
      <c r="K1023" t="b">
        <f>TrafficData[[#This Row],[disposedChallan]]+TrafficData[[#This Row],[pendingChallan]]=TrafficData[[#This Row],[totalChallan]]</f>
        <v>1</v>
      </c>
      <c r="L1023" t="b">
        <f>TrafficData[[#This Row],[pendingAmount]]+TrafficData[[#This Row],[disposedAmount]]=TrafficData[[#This Row],[totalAmount]]</f>
        <v>1</v>
      </c>
      <c r="M1023" t="b">
        <f>TrafficData[[#This Row],[pendingCourt]]+TrafficData[[#This Row],[disposedCourt]]=TrafficData[[#This Row],[totalCourt]]</f>
        <v>1</v>
      </c>
      <c r="N1023" s="8" t="b">
        <f>AND(TrafficData[[#This Row],[disposedChallan]]&lt;=TrafficData[[#This Row],[totalChallan]],TrafficData[[#This Row],[pendingChallan]]&lt;=TrafficData[[#This Row],[totalChallan]])</f>
        <v>1</v>
      </c>
      <c r="O1023" s="8" t="b">
        <f>AND(TrafficData[[#This Row],[pendingAmount]]&lt;=TrafficData[[#This Row],[totalAmount]],TrafficData[[#This Row],[disposedAmount]]&lt;=TrafficData[[#This Row],[totalAmount]])</f>
        <v>1</v>
      </c>
      <c r="P1023" s="8" t="b">
        <f>AND(TrafficData[[#This Row],[pendingCourt]]&lt;=TrafficData[[#This Row],[totalCourt]],TrafficData[[#This Row],[disposedCourt]]&lt;=TrafficData[[#This Row],[totalCourt]])</f>
        <v>1</v>
      </c>
    </row>
    <row r="1024" spans="1:16">
      <c r="A1024" s="1">
        <v>43027</v>
      </c>
      <c r="B1024">
        <v>251</v>
      </c>
      <c r="C1024">
        <v>29</v>
      </c>
      <c r="D1024">
        <v>222</v>
      </c>
      <c r="E1024">
        <v>218150</v>
      </c>
      <c r="F1024">
        <v>37600</v>
      </c>
      <c r="G1024">
        <v>255750</v>
      </c>
      <c r="H1024">
        <v>132</v>
      </c>
      <c r="I1024">
        <v>6</v>
      </c>
      <c r="J1024">
        <v>138</v>
      </c>
      <c r="K1024" t="b">
        <f>TrafficData[[#This Row],[disposedChallan]]+TrafficData[[#This Row],[pendingChallan]]=TrafficData[[#This Row],[totalChallan]]</f>
        <v>1</v>
      </c>
      <c r="L1024" t="b">
        <f>TrafficData[[#This Row],[pendingAmount]]+TrafficData[[#This Row],[disposedAmount]]=TrafficData[[#This Row],[totalAmount]]</f>
        <v>1</v>
      </c>
      <c r="M1024" t="b">
        <f>TrafficData[[#This Row],[pendingCourt]]+TrafficData[[#This Row],[disposedCourt]]=TrafficData[[#This Row],[totalCourt]]</f>
        <v>1</v>
      </c>
      <c r="N1024" s="8" t="b">
        <f>AND(TrafficData[[#This Row],[disposedChallan]]&lt;=TrafficData[[#This Row],[totalChallan]],TrafficData[[#This Row],[pendingChallan]]&lt;=TrafficData[[#This Row],[totalChallan]])</f>
        <v>1</v>
      </c>
      <c r="O1024" s="8" t="b">
        <f>AND(TrafficData[[#This Row],[pendingAmount]]&lt;=TrafficData[[#This Row],[totalAmount]],TrafficData[[#This Row],[disposedAmount]]&lt;=TrafficData[[#This Row],[totalAmount]])</f>
        <v>1</v>
      </c>
      <c r="P1024" s="8" t="b">
        <f>AND(TrafficData[[#This Row],[pendingCourt]]&lt;=TrafficData[[#This Row],[totalCourt]],TrafficData[[#This Row],[disposedCourt]]&lt;=TrafficData[[#This Row],[totalCourt]])</f>
        <v>1</v>
      </c>
    </row>
    <row r="1025" spans="1:16">
      <c r="A1025" s="1">
        <v>43028</v>
      </c>
      <c r="B1025">
        <v>392</v>
      </c>
      <c r="C1025">
        <v>84</v>
      </c>
      <c r="D1025">
        <v>308</v>
      </c>
      <c r="E1025">
        <v>129200</v>
      </c>
      <c r="F1025">
        <v>60300</v>
      </c>
      <c r="G1025">
        <v>189500</v>
      </c>
      <c r="H1025">
        <v>252</v>
      </c>
      <c r="I1025">
        <v>20</v>
      </c>
      <c r="J1025">
        <v>272</v>
      </c>
      <c r="K1025" t="b">
        <f>TrafficData[[#This Row],[disposedChallan]]+TrafficData[[#This Row],[pendingChallan]]=TrafficData[[#This Row],[totalChallan]]</f>
        <v>1</v>
      </c>
      <c r="L1025" t="b">
        <f>TrafficData[[#This Row],[pendingAmount]]+TrafficData[[#This Row],[disposedAmount]]=TrafficData[[#This Row],[totalAmount]]</f>
        <v>1</v>
      </c>
      <c r="M1025" t="b">
        <f>TrafficData[[#This Row],[pendingCourt]]+TrafficData[[#This Row],[disposedCourt]]=TrafficData[[#This Row],[totalCourt]]</f>
        <v>1</v>
      </c>
      <c r="N1025" s="8" t="b">
        <f>AND(TrafficData[[#This Row],[disposedChallan]]&lt;=TrafficData[[#This Row],[totalChallan]],TrafficData[[#This Row],[pendingChallan]]&lt;=TrafficData[[#This Row],[totalChallan]])</f>
        <v>1</v>
      </c>
      <c r="O1025" s="8" t="b">
        <f>AND(TrafficData[[#This Row],[pendingAmount]]&lt;=TrafficData[[#This Row],[totalAmount]],TrafficData[[#This Row],[disposedAmount]]&lt;=TrafficData[[#This Row],[totalAmount]])</f>
        <v>1</v>
      </c>
      <c r="P1025" s="8" t="b">
        <f>AND(TrafficData[[#This Row],[pendingCourt]]&lt;=TrafficData[[#This Row],[totalCourt]],TrafficData[[#This Row],[disposedCourt]]&lt;=TrafficData[[#This Row],[totalCourt]])</f>
        <v>1</v>
      </c>
    </row>
    <row r="1026" spans="1:16">
      <c r="A1026" s="1">
        <v>43029</v>
      </c>
      <c r="B1026">
        <v>695</v>
      </c>
      <c r="C1026">
        <v>185</v>
      </c>
      <c r="D1026">
        <v>510</v>
      </c>
      <c r="E1026">
        <v>290550</v>
      </c>
      <c r="F1026">
        <v>70360</v>
      </c>
      <c r="G1026">
        <v>360910</v>
      </c>
      <c r="H1026">
        <v>412</v>
      </c>
      <c r="I1026">
        <v>45</v>
      </c>
      <c r="J1026">
        <v>457</v>
      </c>
      <c r="K1026" t="b">
        <f>TrafficData[[#This Row],[disposedChallan]]+TrafficData[[#This Row],[pendingChallan]]=TrafficData[[#This Row],[totalChallan]]</f>
        <v>1</v>
      </c>
      <c r="L1026" t="b">
        <f>TrafficData[[#This Row],[pendingAmount]]+TrafficData[[#This Row],[disposedAmount]]=TrafficData[[#This Row],[totalAmount]]</f>
        <v>1</v>
      </c>
      <c r="M1026" t="b">
        <f>TrafficData[[#This Row],[pendingCourt]]+TrafficData[[#This Row],[disposedCourt]]=TrafficData[[#This Row],[totalCourt]]</f>
        <v>1</v>
      </c>
      <c r="N1026" s="8" t="b">
        <f>AND(TrafficData[[#This Row],[disposedChallan]]&lt;=TrafficData[[#This Row],[totalChallan]],TrafficData[[#This Row],[pendingChallan]]&lt;=TrafficData[[#This Row],[totalChallan]])</f>
        <v>1</v>
      </c>
      <c r="O1026" s="8" t="b">
        <f>AND(TrafficData[[#This Row],[pendingAmount]]&lt;=TrafficData[[#This Row],[totalAmount]],TrafficData[[#This Row],[disposedAmount]]&lt;=TrafficData[[#This Row],[totalAmount]])</f>
        <v>1</v>
      </c>
      <c r="P1026" s="8" t="b">
        <f>AND(TrafficData[[#This Row],[pendingCourt]]&lt;=TrafficData[[#This Row],[totalCourt]],TrafficData[[#This Row],[disposedCourt]]&lt;=TrafficData[[#This Row],[totalCourt]])</f>
        <v>1</v>
      </c>
    </row>
    <row r="1027" spans="1:16">
      <c r="A1027" s="1">
        <v>43030</v>
      </c>
      <c r="B1027">
        <v>559</v>
      </c>
      <c r="C1027">
        <v>156</v>
      </c>
      <c r="D1027">
        <v>403</v>
      </c>
      <c r="E1027">
        <v>216600</v>
      </c>
      <c r="F1027">
        <v>509000</v>
      </c>
      <c r="G1027">
        <v>725600</v>
      </c>
      <c r="H1027">
        <v>345</v>
      </c>
      <c r="I1027">
        <v>28</v>
      </c>
      <c r="J1027">
        <v>373</v>
      </c>
      <c r="K1027" t="b">
        <f>TrafficData[[#This Row],[disposedChallan]]+TrafficData[[#This Row],[pendingChallan]]=TrafficData[[#This Row],[totalChallan]]</f>
        <v>1</v>
      </c>
      <c r="L1027" t="b">
        <f>TrafficData[[#This Row],[pendingAmount]]+TrafficData[[#This Row],[disposedAmount]]=TrafficData[[#This Row],[totalAmount]]</f>
        <v>1</v>
      </c>
      <c r="M1027" t="b">
        <f>TrafficData[[#This Row],[pendingCourt]]+TrafficData[[#This Row],[disposedCourt]]=TrafficData[[#This Row],[totalCourt]]</f>
        <v>1</v>
      </c>
      <c r="N1027" s="8" t="b">
        <f>AND(TrafficData[[#This Row],[disposedChallan]]&lt;=TrafficData[[#This Row],[totalChallan]],TrafficData[[#This Row],[pendingChallan]]&lt;=TrafficData[[#This Row],[totalChallan]])</f>
        <v>1</v>
      </c>
      <c r="O1027" s="8" t="b">
        <f>AND(TrafficData[[#This Row],[pendingAmount]]&lt;=TrafficData[[#This Row],[totalAmount]],TrafficData[[#This Row],[disposedAmount]]&lt;=TrafficData[[#This Row],[totalAmount]])</f>
        <v>1</v>
      </c>
      <c r="P1027" s="8" t="b">
        <f>AND(TrafficData[[#This Row],[pendingCourt]]&lt;=TrafficData[[#This Row],[totalCourt]],TrafficData[[#This Row],[disposedCourt]]&lt;=TrafficData[[#This Row],[totalCourt]])</f>
        <v>1</v>
      </c>
    </row>
    <row r="1028" spans="1:16">
      <c r="A1028" s="1">
        <v>43031</v>
      </c>
      <c r="B1028">
        <v>2047</v>
      </c>
      <c r="C1028">
        <v>1164</v>
      </c>
      <c r="D1028">
        <v>883</v>
      </c>
      <c r="E1028">
        <v>1417750</v>
      </c>
      <c r="F1028">
        <v>3241844</v>
      </c>
      <c r="G1028">
        <v>4659594</v>
      </c>
      <c r="H1028">
        <v>739</v>
      </c>
      <c r="I1028">
        <v>153</v>
      </c>
      <c r="J1028">
        <v>892</v>
      </c>
      <c r="K1028" t="b">
        <f>TrafficData[[#This Row],[disposedChallan]]+TrafficData[[#This Row],[pendingChallan]]=TrafficData[[#This Row],[totalChallan]]</f>
        <v>1</v>
      </c>
      <c r="L1028" t="b">
        <f>TrafficData[[#This Row],[pendingAmount]]+TrafficData[[#This Row],[disposedAmount]]=TrafficData[[#This Row],[totalAmount]]</f>
        <v>1</v>
      </c>
      <c r="M1028" t="b">
        <f>TrafficData[[#This Row],[pendingCourt]]+TrafficData[[#This Row],[disposedCourt]]=TrafficData[[#This Row],[totalCourt]]</f>
        <v>1</v>
      </c>
      <c r="N1028" s="8" t="b">
        <f>AND(TrafficData[[#This Row],[disposedChallan]]&lt;=TrafficData[[#This Row],[totalChallan]],TrafficData[[#This Row],[pendingChallan]]&lt;=TrafficData[[#This Row],[totalChallan]])</f>
        <v>1</v>
      </c>
      <c r="O1028" s="8" t="b">
        <f>AND(TrafficData[[#This Row],[pendingAmount]]&lt;=TrafficData[[#This Row],[totalAmount]],TrafficData[[#This Row],[disposedAmount]]&lt;=TrafficData[[#This Row],[totalAmount]])</f>
        <v>1</v>
      </c>
      <c r="P1028" s="8" t="b">
        <f>AND(TrafficData[[#This Row],[pendingCourt]]&lt;=TrafficData[[#This Row],[totalCourt]],TrafficData[[#This Row],[disposedCourt]]&lt;=TrafficData[[#This Row],[totalCourt]])</f>
        <v>1</v>
      </c>
    </row>
    <row r="1029" spans="1:16">
      <c r="A1029" s="1">
        <v>43032</v>
      </c>
      <c r="B1029">
        <v>2736</v>
      </c>
      <c r="C1029">
        <v>1472</v>
      </c>
      <c r="D1029">
        <v>1264</v>
      </c>
      <c r="E1029">
        <v>2090600</v>
      </c>
      <c r="F1029">
        <v>7710763</v>
      </c>
      <c r="G1029">
        <v>9801363</v>
      </c>
      <c r="H1029">
        <v>1002</v>
      </c>
      <c r="I1029">
        <v>205</v>
      </c>
      <c r="J1029">
        <v>1207</v>
      </c>
      <c r="K1029" t="b">
        <f>TrafficData[[#This Row],[disposedChallan]]+TrafficData[[#This Row],[pendingChallan]]=TrafficData[[#This Row],[totalChallan]]</f>
        <v>1</v>
      </c>
      <c r="L1029" t="b">
        <f>TrafficData[[#This Row],[pendingAmount]]+TrafficData[[#This Row],[disposedAmount]]=TrafficData[[#This Row],[totalAmount]]</f>
        <v>1</v>
      </c>
      <c r="M1029" t="b">
        <f>TrafficData[[#This Row],[pendingCourt]]+TrafficData[[#This Row],[disposedCourt]]=TrafficData[[#This Row],[totalCourt]]</f>
        <v>1</v>
      </c>
      <c r="N1029" s="8" t="b">
        <f>AND(TrafficData[[#This Row],[disposedChallan]]&lt;=TrafficData[[#This Row],[totalChallan]],TrafficData[[#This Row],[pendingChallan]]&lt;=TrafficData[[#This Row],[totalChallan]])</f>
        <v>1</v>
      </c>
      <c r="O1029" s="8" t="b">
        <f>AND(TrafficData[[#This Row],[pendingAmount]]&lt;=TrafficData[[#This Row],[totalAmount]],TrafficData[[#This Row],[disposedAmount]]&lt;=TrafficData[[#This Row],[totalAmount]])</f>
        <v>1</v>
      </c>
      <c r="P1029" s="8" t="b">
        <f>AND(TrafficData[[#This Row],[pendingCourt]]&lt;=TrafficData[[#This Row],[totalCourt]],TrafficData[[#This Row],[disposedCourt]]&lt;=TrafficData[[#This Row],[totalCourt]])</f>
        <v>1</v>
      </c>
    </row>
    <row r="1030" spans="1:16">
      <c r="A1030" s="1">
        <v>43033</v>
      </c>
      <c r="B1030">
        <v>3348</v>
      </c>
      <c r="C1030">
        <v>2184</v>
      </c>
      <c r="D1030">
        <v>1164</v>
      </c>
      <c r="E1030">
        <v>2659725</v>
      </c>
      <c r="F1030">
        <v>6693587</v>
      </c>
      <c r="G1030">
        <v>9353312</v>
      </c>
      <c r="H1030">
        <v>930</v>
      </c>
      <c r="I1030">
        <v>221</v>
      </c>
      <c r="J1030">
        <v>1151</v>
      </c>
      <c r="K1030" t="b">
        <f>TrafficData[[#This Row],[disposedChallan]]+TrafficData[[#This Row],[pendingChallan]]=TrafficData[[#This Row],[totalChallan]]</f>
        <v>1</v>
      </c>
      <c r="L1030" t="b">
        <f>TrafficData[[#This Row],[pendingAmount]]+TrafficData[[#This Row],[disposedAmount]]=TrafficData[[#This Row],[totalAmount]]</f>
        <v>1</v>
      </c>
      <c r="M1030" t="b">
        <f>TrafficData[[#This Row],[pendingCourt]]+TrafficData[[#This Row],[disposedCourt]]=TrafficData[[#This Row],[totalCourt]]</f>
        <v>1</v>
      </c>
      <c r="N1030" s="8" t="b">
        <f>AND(TrafficData[[#This Row],[disposedChallan]]&lt;=TrafficData[[#This Row],[totalChallan]],TrafficData[[#This Row],[pendingChallan]]&lt;=TrafficData[[#This Row],[totalChallan]])</f>
        <v>1</v>
      </c>
      <c r="O1030" s="8" t="b">
        <f>AND(TrafficData[[#This Row],[pendingAmount]]&lt;=TrafficData[[#This Row],[totalAmount]],TrafficData[[#This Row],[disposedAmount]]&lt;=TrafficData[[#This Row],[totalAmount]])</f>
        <v>1</v>
      </c>
      <c r="P1030" s="8" t="b">
        <f>AND(TrafficData[[#This Row],[pendingCourt]]&lt;=TrafficData[[#This Row],[totalCourt]],TrafficData[[#This Row],[disposedCourt]]&lt;=TrafficData[[#This Row],[totalCourt]])</f>
        <v>1</v>
      </c>
    </row>
    <row r="1031" spans="1:16">
      <c r="A1031" s="1">
        <v>43034</v>
      </c>
      <c r="B1031">
        <v>2481</v>
      </c>
      <c r="C1031">
        <v>1489</v>
      </c>
      <c r="D1031">
        <v>992</v>
      </c>
      <c r="E1031">
        <v>2568225</v>
      </c>
      <c r="F1031">
        <v>6725164</v>
      </c>
      <c r="G1031">
        <v>9293389</v>
      </c>
      <c r="H1031">
        <v>780</v>
      </c>
      <c r="I1031">
        <v>168</v>
      </c>
      <c r="J1031">
        <v>948</v>
      </c>
      <c r="K1031" t="b">
        <f>TrafficData[[#This Row],[disposedChallan]]+TrafficData[[#This Row],[pendingChallan]]=TrafficData[[#This Row],[totalChallan]]</f>
        <v>1</v>
      </c>
      <c r="L1031" t="b">
        <f>TrafficData[[#This Row],[pendingAmount]]+TrafficData[[#This Row],[disposedAmount]]=TrafficData[[#This Row],[totalAmount]]</f>
        <v>1</v>
      </c>
      <c r="M1031" t="b">
        <f>TrafficData[[#This Row],[pendingCourt]]+TrafficData[[#This Row],[disposedCourt]]=TrafficData[[#This Row],[totalCourt]]</f>
        <v>1</v>
      </c>
      <c r="N1031" s="8" t="b">
        <f>AND(TrafficData[[#This Row],[disposedChallan]]&lt;=TrafficData[[#This Row],[totalChallan]],TrafficData[[#This Row],[pendingChallan]]&lt;=TrafficData[[#This Row],[totalChallan]])</f>
        <v>1</v>
      </c>
      <c r="O1031" s="8" t="b">
        <f>AND(TrafficData[[#This Row],[pendingAmount]]&lt;=TrafficData[[#This Row],[totalAmount]],TrafficData[[#This Row],[disposedAmount]]&lt;=TrafficData[[#This Row],[totalAmount]])</f>
        <v>1</v>
      </c>
      <c r="P1031" s="8" t="b">
        <f>AND(TrafficData[[#This Row],[pendingCourt]]&lt;=TrafficData[[#This Row],[totalCourt]],TrafficData[[#This Row],[disposedCourt]]&lt;=TrafficData[[#This Row],[totalCourt]])</f>
        <v>1</v>
      </c>
    </row>
    <row r="1032" spans="1:16">
      <c r="A1032" s="1">
        <v>43035</v>
      </c>
      <c r="B1032">
        <v>2859</v>
      </c>
      <c r="C1032">
        <v>1618</v>
      </c>
      <c r="D1032">
        <v>1241</v>
      </c>
      <c r="E1032">
        <v>2646240</v>
      </c>
      <c r="F1032">
        <v>6546102</v>
      </c>
      <c r="G1032">
        <v>9192342</v>
      </c>
      <c r="H1032">
        <v>966</v>
      </c>
      <c r="I1032">
        <v>144</v>
      </c>
      <c r="J1032">
        <v>1110</v>
      </c>
      <c r="K1032" t="b">
        <f>TrafficData[[#This Row],[disposedChallan]]+TrafficData[[#This Row],[pendingChallan]]=TrafficData[[#This Row],[totalChallan]]</f>
        <v>1</v>
      </c>
      <c r="L1032" t="b">
        <f>TrafficData[[#This Row],[pendingAmount]]+TrafficData[[#This Row],[disposedAmount]]=TrafficData[[#This Row],[totalAmount]]</f>
        <v>1</v>
      </c>
      <c r="M1032" t="b">
        <f>TrafficData[[#This Row],[pendingCourt]]+TrafficData[[#This Row],[disposedCourt]]=TrafficData[[#This Row],[totalCourt]]</f>
        <v>1</v>
      </c>
      <c r="N1032" s="8" t="b">
        <f>AND(TrafficData[[#This Row],[disposedChallan]]&lt;=TrafficData[[#This Row],[totalChallan]],TrafficData[[#This Row],[pendingChallan]]&lt;=TrafficData[[#This Row],[totalChallan]])</f>
        <v>1</v>
      </c>
      <c r="O1032" s="8" t="b">
        <f>AND(TrafficData[[#This Row],[pendingAmount]]&lt;=TrafficData[[#This Row],[totalAmount]],TrafficData[[#This Row],[disposedAmount]]&lt;=TrafficData[[#This Row],[totalAmount]])</f>
        <v>1</v>
      </c>
      <c r="P1032" s="8" t="b">
        <f>AND(TrafficData[[#This Row],[pendingCourt]]&lt;=TrafficData[[#This Row],[totalCourt]],TrafficData[[#This Row],[disposedCourt]]&lt;=TrafficData[[#This Row],[totalCourt]])</f>
        <v>1</v>
      </c>
    </row>
    <row r="1033" spans="1:16">
      <c r="A1033" s="1">
        <v>43036</v>
      </c>
      <c r="B1033">
        <v>2526</v>
      </c>
      <c r="C1033">
        <v>1579</v>
      </c>
      <c r="D1033">
        <v>947</v>
      </c>
      <c r="E1033">
        <v>1862500</v>
      </c>
      <c r="F1033">
        <v>5268954</v>
      </c>
      <c r="G1033">
        <v>7131454</v>
      </c>
      <c r="H1033">
        <v>786</v>
      </c>
      <c r="I1033">
        <v>159</v>
      </c>
      <c r="J1033">
        <v>945</v>
      </c>
      <c r="K1033" t="b">
        <f>TrafficData[[#This Row],[disposedChallan]]+TrafficData[[#This Row],[pendingChallan]]=TrafficData[[#This Row],[totalChallan]]</f>
        <v>1</v>
      </c>
      <c r="L1033" t="b">
        <f>TrafficData[[#This Row],[pendingAmount]]+TrafficData[[#This Row],[disposedAmount]]=TrafficData[[#This Row],[totalAmount]]</f>
        <v>1</v>
      </c>
      <c r="M1033" t="b">
        <f>TrafficData[[#This Row],[pendingCourt]]+TrafficData[[#This Row],[disposedCourt]]=TrafficData[[#This Row],[totalCourt]]</f>
        <v>1</v>
      </c>
      <c r="N1033" s="8" t="b">
        <f>AND(TrafficData[[#This Row],[disposedChallan]]&lt;=TrafficData[[#This Row],[totalChallan]],TrafficData[[#This Row],[pendingChallan]]&lt;=TrafficData[[#This Row],[totalChallan]])</f>
        <v>1</v>
      </c>
      <c r="O1033" s="8" t="b">
        <f>AND(TrafficData[[#This Row],[pendingAmount]]&lt;=TrafficData[[#This Row],[totalAmount]],TrafficData[[#This Row],[disposedAmount]]&lt;=TrafficData[[#This Row],[totalAmount]])</f>
        <v>1</v>
      </c>
      <c r="P1033" s="8" t="b">
        <f>AND(TrafficData[[#This Row],[pendingCourt]]&lt;=TrafficData[[#This Row],[totalCourt]],TrafficData[[#This Row],[disposedCourt]]&lt;=TrafficData[[#This Row],[totalCourt]])</f>
        <v>1</v>
      </c>
    </row>
    <row r="1034" spans="1:16">
      <c r="A1034" s="1">
        <v>43037</v>
      </c>
      <c r="B1034">
        <v>1550</v>
      </c>
      <c r="C1034">
        <v>965</v>
      </c>
      <c r="D1034">
        <v>585</v>
      </c>
      <c r="E1034">
        <v>1457650</v>
      </c>
      <c r="F1034">
        <v>4462494</v>
      </c>
      <c r="G1034">
        <v>5920144</v>
      </c>
      <c r="H1034">
        <v>437</v>
      </c>
      <c r="I1034">
        <v>103</v>
      </c>
      <c r="J1034">
        <v>540</v>
      </c>
      <c r="K1034" t="b">
        <f>TrafficData[[#This Row],[disposedChallan]]+TrafficData[[#This Row],[pendingChallan]]=TrafficData[[#This Row],[totalChallan]]</f>
        <v>1</v>
      </c>
      <c r="L1034" t="b">
        <f>TrafficData[[#This Row],[pendingAmount]]+TrafficData[[#This Row],[disposedAmount]]=TrafficData[[#This Row],[totalAmount]]</f>
        <v>1</v>
      </c>
      <c r="M1034" t="b">
        <f>TrafficData[[#This Row],[pendingCourt]]+TrafficData[[#This Row],[disposedCourt]]=TrafficData[[#This Row],[totalCourt]]</f>
        <v>1</v>
      </c>
      <c r="N1034" s="8" t="b">
        <f>AND(TrafficData[[#This Row],[disposedChallan]]&lt;=TrafficData[[#This Row],[totalChallan]],TrafficData[[#This Row],[pendingChallan]]&lt;=TrafficData[[#This Row],[totalChallan]])</f>
        <v>1</v>
      </c>
      <c r="O1034" s="8" t="b">
        <f>AND(TrafficData[[#This Row],[pendingAmount]]&lt;=TrafficData[[#This Row],[totalAmount]],TrafficData[[#This Row],[disposedAmount]]&lt;=TrafficData[[#This Row],[totalAmount]])</f>
        <v>1</v>
      </c>
      <c r="P1034" s="8" t="b">
        <f>AND(TrafficData[[#This Row],[pendingCourt]]&lt;=TrafficData[[#This Row],[totalCourt]],TrafficData[[#This Row],[disposedCourt]]&lt;=TrafficData[[#This Row],[totalCourt]])</f>
        <v>1</v>
      </c>
    </row>
    <row r="1035" spans="1:16">
      <c r="A1035" s="1">
        <v>43038</v>
      </c>
      <c r="B1035">
        <v>2537</v>
      </c>
      <c r="C1035">
        <v>1536</v>
      </c>
      <c r="D1035">
        <v>1001</v>
      </c>
      <c r="E1035">
        <v>2658650</v>
      </c>
      <c r="F1035">
        <v>5809456</v>
      </c>
      <c r="G1035">
        <v>8468106</v>
      </c>
      <c r="H1035">
        <v>773</v>
      </c>
      <c r="I1035">
        <v>199</v>
      </c>
      <c r="J1035">
        <v>972</v>
      </c>
      <c r="K1035" t="b">
        <f>TrafficData[[#This Row],[disposedChallan]]+TrafficData[[#This Row],[pendingChallan]]=TrafficData[[#This Row],[totalChallan]]</f>
        <v>1</v>
      </c>
      <c r="L1035" t="b">
        <f>TrafficData[[#This Row],[pendingAmount]]+TrafficData[[#This Row],[disposedAmount]]=TrafficData[[#This Row],[totalAmount]]</f>
        <v>1</v>
      </c>
      <c r="M1035" t="b">
        <f>TrafficData[[#This Row],[pendingCourt]]+TrafficData[[#This Row],[disposedCourt]]=TrafficData[[#This Row],[totalCourt]]</f>
        <v>1</v>
      </c>
      <c r="N1035" s="8" t="b">
        <f>AND(TrafficData[[#This Row],[disposedChallan]]&lt;=TrafficData[[#This Row],[totalChallan]],TrafficData[[#This Row],[pendingChallan]]&lt;=TrafficData[[#This Row],[totalChallan]])</f>
        <v>1</v>
      </c>
      <c r="O1035" s="8" t="b">
        <f>AND(TrafficData[[#This Row],[pendingAmount]]&lt;=TrafficData[[#This Row],[totalAmount]],TrafficData[[#This Row],[disposedAmount]]&lt;=TrafficData[[#This Row],[totalAmount]])</f>
        <v>1</v>
      </c>
      <c r="P1035" s="8" t="b">
        <f>AND(TrafficData[[#This Row],[pendingCourt]]&lt;=TrafficData[[#This Row],[totalCourt]],TrafficData[[#This Row],[disposedCourt]]&lt;=TrafficData[[#This Row],[totalCourt]])</f>
        <v>1</v>
      </c>
    </row>
    <row r="1036" spans="1:16">
      <c r="A1036" s="1">
        <v>43039</v>
      </c>
      <c r="B1036">
        <v>2847</v>
      </c>
      <c r="C1036">
        <v>1767</v>
      </c>
      <c r="D1036">
        <v>1080</v>
      </c>
      <c r="E1036">
        <v>2247850</v>
      </c>
      <c r="F1036">
        <v>6711751</v>
      </c>
      <c r="G1036">
        <v>8959601</v>
      </c>
      <c r="H1036">
        <v>865</v>
      </c>
      <c r="I1036">
        <v>226</v>
      </c>
      <c r="J1036">
        <v>1091</v>
      </c>
      <c r="K1036" t="b">
        <f>TrafficData[[#This Row],[disposedChallan]]+TrafficData[[#This Row],[pendingChallan]]=TrafficData[[#This Row],[totalChallan]]</f>
        <v>1</v>
      </c>
      <c r="L1036" t="b">
        <f>TrafficData[[#This Row],[pendingAmount]]+TrafficData[[#This Row],[disposedAmount]]=TrafficData[[#This Row],[totalAmount]]</f>
        <v>1</v>
      </c>
      <c r="M1036" t="b">
        <f>TrafficData[[#This Row],[pendingCourt]]+TrafficData[[#This Row],[disposedCourt]]=TrafficData[[#This Row],[totalCourt]]</f>
        <v>1</v>
      </c>
      <c r="N1036" s="8" t="b">
        <f>AND(TrafficData[[#This Row],[disposedChallan]]&lt;=TrafficData[[#This Row],[totalChallan]],TrafficData[[#This Row],[pendingChallan]]&lt;=TrafficData[[#This Row],[totalChallan]])</f>
        <v>1</v>
      </c>
      <c r="O1036" s="8" t="b">
        <f>AND(TrafficData[[#This Row],[pendingAmount]]&lt;=TrafficData[[#This Row],[totalAmount]],TrafficData[[#This Row],[disposedAmount]]&lt;=TrafficData[[#This Row],[totalAmount]])</f>
        <v>1</v>
      </c>
      <c r="P1036" s="8" t="b">
        <f>AND(TrafficData[[#This Row],[pendingCourt]]&lt;=TrafficData[[#This Row],[totalCourt]],TrafficData[[#This Row],[disposedCourt]]&lt;=TrafficData[[#This Row],[totalCourt]])</f>
        <v>1</v>
      </c>
    </row>
    <row r="1037" spans="1:16">
      <c r="A1037" s="1">
        <v>43040</v>
      </c>
      <c r="B1037">
        <v>2336</v>
      </c>
      <c r="C1037">
        <v>1446</v>
      </c>
      <c r="D1037">
        <v>890</v>
      </c>
      <c r="E1037">
        <v>1765850</v>
      </c>
      <c r="F1037">
        <v>5127580</v>
      </c>
      <c r="G1037">
        <v>6893430</v>
      </c>
      <c r="H1037">
        <v>737</v>
      </c>
      <c r="I1037">
        <v>201</v>
      </c>
      <c r="J1037">
        <v>938</v>
      </c>
      <c r="K1037" t="b">
        <f>TrafficData[[#This Row],[disposedChallan]]+TrafficData[[#This Row],[pendingChallan]]=TrafficData[[#This Row],[totalChallan]]</f>
        <v>1</v>
      </c>
      <c r="L1037" t="b">
        <f>TrafficData[[#This Row],[pendingAmount]]+TrafficData[[#This Row],[disposedAmount]]=TrafficData[[#This Row],[totalAmount]]</f>
        <v>1</v>
      </c>
      <c r="M1037" t="b">
        <f>TrafficData[[#This Row],[pendingCourt]]+TrafficData[[#This Row],[disposedCourt]]=TrafficData[[#This Row],[totalCourt]]</f>
        <v>1</v>
      </c>
      <c r="N1037" s="8" t="b">
        <f>AND(TrafficData[[#This Row],[disposedChallan]]&lt;=TrafficData[[#This Row],[totalChallan]],TrafficData[[#This Row],[pendingChallan]]&lt;=TrafficData[[#This Row],[totalChallan]])</f>
        <v>1</v>
      </c>
      <c r="O1037" s="8" t="b">
        <f>AND(TrafficData[[#This Row],[pendingAmount]]&lt;=TrafficData[[#This Row],[totalAmount]],TrafficData[[#This Row],[disposedAmount]]&lt;=TrafficData[[#This Row],[totalAmount]])</f>
        <v>1</v>
      </c>
      <c r="P1037" s="8" t="b">
        <f>AND(TrafficData[[#This Row],[pendingCourt]]&lt;=TrafficData[[#This Row],[totalCourt]],TrafficData[[#This Row],[disposedCourt]]&lt;=TrafficData[[#This Row],[totalCourt]])</f>
        <v>1</v>
      </c>
    </row>
    <row r="1038" spans="1:16">
      <c r="A1038" s="1">
        <v>43041</v>
      </c>
      <c r="B1038">
        <v>2262</v>
      </c>
      <c r="C1038">
        <v>1241</v>
      </c>
      <c r="D1038">
        <v>1021</v>
      </c>
      <c r="E1038">
        <v>2085900</v>
      </c>
      <c r="F1038">
        <v>6402974</v>
      </c>
      <c r="G1038">
        <v>8488874</v>
      </c>
      <c r="H1038">
        <v>802</v>
      </c>
      <c r="I1038">
        <v>155</v>
      </c>
      <c r="J1038">
        <v>957</v>
      </c>
      <c r="K1038" t="b">
        <f>TrafficData[[#This Row],[disposedChallan]]+TrafficData[[#This Row],[pendingChallan]]=TrafficData[[#This Row],[totalChallan]]</f>
        <v>1</v>
      </c>
      <c r="L1038" t="b">
        <f>TrafficData[[#This Row],[pendingAmount]]+TrafficData[[#This Row],[disposedAmount]]=TrafficData[[#This Row],[totalAmount]]</f>
        <v>1</v>
      </c>
      <c r="M1038" t="b">
        <f>TrafficData[[#This Row],[pendingCourt]]+TrafficData[[#This Row],[disposedCourt]]=TrafficData[[#This Row],[totalCourt]]</f>
        <v>1</v>
      </c>
      <c r="N1038" s="8" t="b">
        <f>AND(TrafficData[[#This Row],[disposedChallan]]&lt;=TrafficData[[#This Row],[totalChallan]],TrafficData[[#This Row],[pendingChallan]]&lt;=TrafficData[[#This Row],[totalChallan]])</f>
        <v>1</v>
      </c>
      <c r="O1038" s="8" t="b">
        <f>AND(TrafficData[[#This Row],[pendingAmount]]&lt;=TrafficData[[#This Row],[totalAmount]],TrafficData[[#This Row],[disposedAmount]]&lt;=TrafficData[[#This Row],[totalAmount]])</f>
        <v>1</v>
      </c>
      <c r="P1038" s="8" t="b">
        <f>AND(TrafficData[[#This Row],[pendingCourt]]&lt;=TrafficData[[#This Row],[totalCourt]],TrafficData[[#This Row],[disposedCourt]]&lt;=TrafficData[[#This Row],[totalCourt]])</f>
        <v>1</v>
      </c>
    </row>
    <row r="1039" spans="1:16">
      <c r="A1039" s="1">
        <v>43042</v>
      </c>
      <c r="B1039">
        <v>2517</v>
      </c>
      <c r="C1039">
        <v>1460</v>
      </c>
      <c r="D1039">
        <v>1057</v>
      </c>
      <c r="E1039">
        <v>2518320</v>
      </c>
      <c r="F1039">
        <v>6236619</v>
      </c>
      <c r="G1039">
        <v>8754939</v>
      </c>
      <c r="H1039">
        <v>830</v>
      </c>
      <c r="I1039">
        <v>189</v>
      </c>
      <c r="J1039">
        <v>1019</v>
      </c>
      <c r="K1039" t="b">
        <f>TrafficData[[#This Row],[disposedChallan]]+TrafficData[[#This Row],[pendingChallan]]=TrafficData[[#This Row],[totalChallan]]</f>
        <v>1</v>
      </c>
      <c r="L1039" t="b">
        <f>TrafficData[[#This Row],[pendingAmount]]+TrafficData[[#This Row],[disposedAmount]]=TrafficData[[#This Row],[totalAmount]]</f>
        <v>1</v>
      </c>
      <c r="M1039" t="b">
        <f>TrafficData[[#This Row],[pendingCourt]]+TrafficData[[#This Row],[disposedCourt]]=TrafficData[[#This Row],[totalCourt]]</f>
        <v>1</v>
      </c>
      <c r="N1039" s="8" t="b">
        <f>AND(TrafficData[[#This Row],[disposedChallan]]&lt;=TrafficData[[#This Row],[totalChallan]],TrafficData[[#This Row],[pendingChallan]]&lt;=TrafficData[[#This Row],[totalChallan]])</f>
        <v>1</v>
      </c>
      <c r="O1039" s="8" t="b">
        <f>AND(TrafficData[[#This Row],[pendingAmount]]&lt;=TrafficData[[#This Row],[totalAmount]],TrafficData[[#This Row],[disposedAmount]]&lt;=TrafficData[[#This Row],[totalAmount]])</f>
        <v>1</v>
      </c>
      <c r="P1039" s="8" t="b">
        <f>AND(TrafficData[[#This Row],[pendingCourt]]&lt;=TrafficData[[#This Row],[totalCourt]],TrafficData[[#This Row],[disposedCourt]]&lt;=TrafficData[[#This Row],[totalCourt]])</f>
        <v>1</v>
      </c>
    </row>
    <row r="1040" spans="1:16">
      <c r="A1040" s="1">
        <v>43043</v>
      </c>
      <c r="B1040">
        <v>1611</v>
      </c>
      <c r="C1040">
        <v>746</v>
      </c>
      <c r="D1040">
        <v>865</v>
      </c>
      <c r="E1040">
        <v>1563954</v>
      </c>
      <c r="F1040">
        <v>3281400</v>
      </c>
      <c r="G1040">
        <v>4845354</v>
      </c>
      <c r="H1040">
        <v>703</v>
      </c>
      <c r="I1040">
        <v>92</v>
      </c>
      <c r="J1040">
        <v>795</v>
      </c>
      <c r="K1040" t="b">
        <f>TrafficData[[#This Row],[disposedChallan]]+TrafficData[[#This Row],[pendingChallan]]=TrafficData[[#This Row],[totalChallan]]</f>
        <v>1</v>
      </c>
      <c r="L1040" t="b">
        <f>TrafficData[[#This Row],[pendingAmount]]+TrafficData[[#This Row],[disposedAmount]]=TrafficData[[#This Row],[totalAmount]]</f>
        <v>1</v>
      </c>
      <c r="M1040" t="b">
        <f>TrafficData[[#This Row],[pendingCourt]]+TrafficData[[#This Row],[disposedCourt]]=TrafficData[[#This Row],[totalCourt]]</f>
        <v>1</v>
      </c>
      <c r="N1040" s="8" t="b">
        <f>AND(TrafficData[[#This Row],[disposedChallan]]&lt;=TrafficData[[#This Row],[totalChallan]],TrafficData[[#This Row],[pendingChallan]]&lt;=TrafficData[[#This Row],[totalChallan]])</f>
        <v>1</v>
      </c>
      <c r="O1040" s="8" t="b">
        <f>AND(TrafficData[[#This Row],[pendingAmount]]&lt;=TrafficData[[#This Row],[totalAmount]],TrafficData[[#This Row],[disposedAmount]]&lt;=TrafficData[[#This Row],[totalAmount]])</f>
        <v>1</v>
      </c>
      <c r="P1040" s="8" t="b">
        <f>AND(TrafficData[[#This Row],[pendingCourt]]&lt;=TrafficData[[#This Row],[totalCourt]],TrafficData[[#This Row],[disposedCourt]]&lt;=TrafficData[[#This Row],[totalCourt]])</f>
        <v>1</v>
      </c>
    </row>
    <row r="1041" spans="1:16">
      <c r="A1041" s="1">
        <v>43044</v>
      </c>
      <c r="B1041">
        <v>1235</v>
      </c>
      <c r="C1041">
        <v>624</v>
      </c>
      <c r="D1041">
        <v>611</v>
      </c>
      <c r="E1041">
        <v>927900</v>
      </c>
      <c r="F1041">
        <v>2249000</v>
      </c>
      <c r="G1041">
        <v>3176900</v>
      </c>
      <c r="H1041">
        <v>475</v>
      </c>
      <c r="I1041">
        <v>54</v>
      </c>
      <c r="J1041">
        <v>529</v>
      </c>
      <c r="K1041" t="b">
        <f>TrafficData[[#This Row],[disposedChallan]]+TrafficData[[#This Row],[pendingChallan]]=TrafficData[[#This Row],[totalChallan]]</f>
        <v>1</v>
      </c>
      <c r="L1041" t="b">
        <f>TrafficData[[#This Row],[pendingAmount]]+TrafficData[[#This Row],[disposedAmount]]=TrafficData[[#This Row],[totalAmount]]</f>
        <v>1</v>
      </c>
      <c r="M1041" t="b">
        <f>TrafficData[[#This Row],[pendingCourt]]+TrafficData[[#This Row],[disposedCourt]]=TrafficData[[#This Row],[totalCourt]]</f>
        <v>1</v>
      </c>
      <c r="N1041" s="8" t="b">
        <f>AND(TrafficData[[#This Row],[disposedChallan]]&lt;=TrafficData[[#This Row],[totalChallan]],TrafficData[[#This Row],[pendingChallan]]&lt;=TrafficData[[#This Row],[totalChallan]])</f>
        <v>1</v>
      </c>
      <c r="O1041" s="8" t="b">
        <f>AND(TrafficData[[#This Row],[pendingAmount]]&lt;=TrafficData[[#This Row],[totalAmount]],TrafficData[[#This Row],[disposedAmount]]&lt;=TrafficData[[#This Row],[totalAmount]])</f>
        <v>1</v>
      </c>
      <c r="P1041" s="8" t="b">
        <f>AND(TrafficData[[#This Row],[pendingCourt]]&lt;=TrafficData[[#This Row],[totalCourt]],TrafficData[[#This Row],[disposedCourt]]&lt;=TrafficData[[#This Row],[totalCourt]])</f>
        <v>1</v>
      </c>
    </row>
    <row r="1042" spans="1:16">
      <c r="A1042" s="1">
        <v>43045</v>
      </c>
      <c r="B1042">
        <v>2059</v>
      </c>
      <c r="C1042">
        <v>1068</v>
      </c>
      <c r="D1042">
        <v>991</v>
      </c>
      <c r="E1042">
        <v>1905800</v>
      </c>
      <c r="F1042">
        <v>4956992</v>
      </c>
      <c r="G1042">
        <v>6862792</v>
      </c>
      <c r="H1042">
        <v>811</v>
      </c>
      <c r="I1042">
        <v>122</v>
      </c>
      <c r="J1042">
        <v>933</v>
      </c>
      <c r="K1042" t="b">
        <f>TrafficData[[#This Row],[disposedChallan]]+TrafficData[[#This Row],[pendingChallan]]=TrafficData[[#This Row],[totalChallan]]</f>
        <v>1</v>
      </c>
      <c r="L1042" t="b">
        <f>TrafficData[[#This Row],[pendingAmount]]+TrafficData[[#This Row],[disposedAmount]]=TrafficData[[#This Row],[totalAmount]]</f>
        <v>1</v>
      </c>
      <c r="M1042" t="b">
        <f>TrafficData[[#This Row],[pendingCourt]]+TrafficData[[#This Row],[disposedCourt]]=TrafficData[[#This Row],[totalCourt]]</f>
        <v>1</v>
      </c>
      <c r="N1042" s="8" t="b">
        <f>AND(TrafficData[[#This Row],[disposedChallan]]&lt;=TrafficData[[#This Row],[totalChallan]],TrafficData[[#This Row],[pendingChallan]]&lt;=TrafficData[[#This Row],[totalChallan]])</f>
        <v>1</v>
      </c>
      <c r="O1042" s="8" t="b">
        <f>AND(TrafficData[[#This Row],[pendingAmount]]&lt;=TrafficData[[#This Row],[totalAmount]],TrafficData[[#This Row],[disposedAmount]]&lt;=TrafficData[[#This Row],[totalAmount]])</f>
        <v>1</v>
      </c>
      <c r="P1042" s="8" t="b">
        <f>AND(TrafficData[[#This Row],[pendingCourt]]&lt;=TrafficData[[#This Row],[totalCourt]],TrafficData[[#This Row],[disposedCourt]]&lt;=TrafficData[[#This Row],[totalCourt]])</f>
        <v>1</v>
      </c>
    </row>
    <row r="1043" spans="1:16">
      <c r="A1043" s="1">
        <v>43046</v>
      </c>
      <c r="B1043">
        <v>2550</v>
      </c>
      <c r="C1043">
        <v>1384</v>
      </c>
      <c r="D1043">
        <v>1166</v>
      </c>
      <c r="E1043">
        <v>2793302</v>
      </c>
      <c r="F1043">
        <v>6860331</v>
      </c>
      <c r="G1043">
        <v>9653633</v>
      </c>
      <c r="H1043">
        <v>954</v>
      </c>
      <c r="I1043">
        <v>188</v>
      </c>
      <c r="J1043">
        <v>1142</v>
      </c>
      <c r="K1043" t="b">
        <f>TrafficData[[#This Row],[disposedChallan]]+TrafficData[[#This Row],[pendingChallan]]=TrafficData[[#This Row],[totalChallan]]</f>
        <v>1</v>
      </c>
      <c r="L1043" t="b">
        <f>TrafficData[[#This Row],[pendingAmount]]+TrafficData[[#This Row],[disposedAmount]]=TrafficData[[#This Row],[totalAmount]]</f>
        <v>1</v>
      </c>
      <c r="M1043" t="b">
        <f>TrafficData[[#This Row],[pendingCourt]]+TrafficData[[#This Row],[disposedCourt]]=TrafficData[[#This Row],[totalCourt]]</f>
        <v>1</v>
      </c>
      <c r="N1043" s="8" t="b">
        <f>AND(TrafficData[[#This Row],[disposedChallan]]&lt;=TrafficData[[#This Row],[totalChallan]],TrafficData[[#This Row],[pendingChallan]]&lt;=TrafficData[[#This Row],[totalChallan]])</f>
        <v>1</v>
      </c>
      <c r="O1043" s="8" t="b">
        <f>AND(TrafficData[[#This Row],[pendingAmount]]&lt;=TrafficData[[#This Row],[totalAmount]],TrafficData[[#This Row],[disposedAmount]]&lt;=TrafficData[[#This Row],[totalAmount]])</f>
        <v>1</v>
      </c>
      <c r="P1043" s="8" t="b">
        <f>AND(TrafficData[[#This Row],[pendingCourt]]&lt;=TrafficData[[#This Row],[totalCourt]],TrafficData[[#This Row],[disposedCourt]]&lt;=TrafficData[[#This Row],[totalCourt]])</f>
        <v>1</v>
      </c>
    </row>
    <row r="1044" spans="1:16">
      <c r="A1044" s="1">
        <v>43047</v>
      </c>
      <c r="B1044">
        <v>2904</v>
      </c>
      <c r="C1044">
        <v>1886</v>
      </c>
      <c r="D1044">
        <v>1018</v>
      </c>
      <c r="E1044">
        <v>2516525</v>
      </c>
      <c r="F1044">
        <v>6724909</v>
      </c>
      <c r="G1044">
        <v>9241434</v>
      </c>
      <c r="H1044">
        <v>805</v>
      </c>
      <c r="I1044">
        <v>209</v>
      </c>
      <c r="J1044">
        <v>1014</v>
      </c>
      <c r="K1044" t="b">
        <f>TrafficData[[#This Row],[disposedChallan]]+TrafficData[[#This Row],[pendingChallan]]=TrafficData[[#This Row],[totalChallan]]</f>
        <v>1</v>
      </c>
      <c r="L1044" t="b">
        <f>TrafficData[[#This Row],[pendingAmount]]+TrafficData[[#This Row],[disposedAmount]]=TrafficData[[#This Row],[totalAmount]]</f>
        <v>1</v>
      </c>
      <c r="M1044" t="b">
        <f>TrafficData[[#This Row],[pendingCourt]]+TrafficData[[#This Row],[disposedCourt]]=TrafficData[[#This Row],[totalCourt]]</f>
        <v>1</v>
      </c>
      <c r="N1044" s="8" t="b">
        <f>AND(TrafficData[[#This Row],[disposedChallan]]&lt;=TrafficData[[#This Row],[totalChallan]],TrafficData[[#This Row],[pendingChallan]]&lt;=TrafficData[[#This Row],[totalChallan]])</f>
        <v>1</v>
      </c>
      <c r="O1044" s="8" t="b">
        <f>AND(TrafficData[[#This Row],[pendingAmount]]&lt;=TrafficData[[#This Row],[totalAmount]],TrafficData[[#This Row],[disposedAmount]]&lt;=TrafficData[[#This Row],[totalAmount]])</f>
        <v>1</v>
      </c>
      <c r="P1044" s="8" t="b">
        <f>AND(TrafficData[[#This Row],[pendingCourt]]&lt;=TrafficData[[#This Row],[totalCourt]],TrafficData[[#This Row],[disposedCourt]]&lt;=TrafficData[[#This Row],[totalCourt]])</f>
        <v>1</v>
      </c>
    </row>
    <row r="1045" spans="1:16">
      <c r="A1045" s="1">
        <v>43048</v>
      </c>
      <c r="B1045">
        <v>2876</v>
      </c>
      <c r="C1045">
        <v>1698</v>
      </c>
      <c r="D1045">
        <v>1178</v>
      </c>
      <c r="E1045">
        <v>2805282</v>
      </c>
      <c r="F1045">
        <v>9296193</v>
      </c>
      <c r="G1045">
        <v>12101475</v>
      </c>
      <c r="H1045">
        <v>953</v>
      </c>
      <c r="I1045">
        <v>173</v>
      </c>
      <c r="J1045">
        <v>1126</v>
      </c>
      <c r="K1045" t="b">
        <f>TrafficData[[#This Row],[disposedChallan]]+TrafficData[[#This Row],[pendingChallan]]=TrafficData[[#This Row],[totalChallan]]</f>
        <v>1</v>
      </c>
      <c r="L1045" t="b">
        <f>TrafficData[[#This Row],[pendingAmount]]+TrafficData[[#This Row],[disposedAmount]]=TrafficData[[#This Row],[totalAmount]]</f>
        <v>1</v>
      </c>
      <c r="M1045" t="b">
        <f>TrafficData[[#This Row],[pendingCourt]]+TrafficData[[#This Row],[disposedCourt]]=TrafficData[[#This Row],[totalCourt]]</f>
        <v>1</v>
      </c>
      <c r="N1045" s="8" t="b">
        <f>AND(TrafficData[[#This Row],[disposedChallan]]&lt;=TrafficData[[#This Row],[totalChallan]],TrafficData[[#This Row],[pendingChallan]]&lt;=TrafficData[[#This Row],[totalChallan]])</f>
        <v>1</v>
      </c>
      <c r="O1045" s="8" t="b">
        <f>AND(TrafficData[[#This Row],[pendingAmount]]&lt;=TrafficData[[#This Row],[totalAmount]],TrafficData[[#This Row],[disposedAmount]]&lt;=TrafficData[[#This Row],[totalAmount]])</f>
        <v>1</v>
      </c>
      <c r="P1045" s="8" t="b">
        <f>AND(TrafficData[[#This Row],[pendingCourt]]&lt;=TrafficData[[#This Row],[totalCourt]],TrafficData[[#This Row],[disposedCourt]]&lt;=TrafficData[[#This Row],[totalCourt]])</f>
        <v>1</v>
      </c>
    </row>
    <row r="1046" spans="1:16">
      <c r="A1046" s="1">
        <v>43049</v>
      </c>
      <c r="B1046">
        <v>2511</v>
      </c>
      <c r="C1046">
        <v>1349</v>
      </c>
      <c r="D1046">
        <v>1162</v>
      </c>
      <c r="E1046">
        <v>2325580</v>
      </c>
      <c r="F1046">
        <v>5757649</v>
      </c>
      <c r="G1046">
        <v>8083229</v>
      </c>
      <c r="H1046">
        <v>928</v>
      </c>
      <c r="I1046">
        <v>154</v>
      </c>
      <c r="J1046">
        <v>1082</v>
      </c>
      <c r="K1046" t="b">
        <f>TrafficData[[#This Row],[disposedChallan]]+TrafficData[[#This Row],[pendingChallan]]=TrafficData[[#This Row],[totalChallan]]</f>
        <v>1</v>
      </c>
      <c r="L1046" t="b">
        <f>TrafficData[[#This Row],[pendingAmount]]+TrafficData[[#This Row],[disposedAmount]]=TrafficData[[#This Row],[totalAmount]]</f>
        <v>1</v>
      </c>
      <c r="M1046" t="b">
        <f>TrafficData[[#This Row],[pendingCourt]]+TrafficData[[#This Row],[disposedCourt]]=TrafficData[[#This Row],[totalCourt]]</f>
        <v>1</v>
      </c>
      <c r="N1046" s="8" t="b">
        <f>AND(TrafficData[[#This Row],[disposedChallan]]&lt;=TrafficData[[#This Row],[totalChallan]],TrafficData[[#This Row],[pendingChallan]]&lt;=TrafficData[[#This Row],[totalChallan]])</f>
        <v>1</v>
      </c>
      <c r="O1046" s="8" t="b">
        <f>AND(TrafficData[[#This Row],[pendingAmount]]&lt;=TrafficData[[#This Row],[totalAmount]],TrafficData[[#This Row],[disposedAmount]]&lt;=TrafficData[[#This Row],[totalAmount]])</f>
        <v>1</v>
      </c>
      <c r="P1046" s="8" t="b">
        <f>AND(TrafficData[[#This Row],[pendingCourt]]&lt;=TrafficData[[#This Row],[totalCourt]],TrafficData[[#This Row],[disposedCourt]]&lt;=TrafficData[[#This Row],[totalCourt]])</f>
        <v>1</v>
      </c>
    </row>
    <row r="1047" spans="1:16">
      <c r="A1047" s="1">
        <v>43050</v>
      </c>
      <c r="B1047">
        <v>2050</v>
      </c>
      <c r="C1047">
        <v>1060</v>
      </c>
      <c r="D1047">
        <v>990</v>
      </c>
      <c r="E1047">
        <v>1980629</v>
      </c>
      <c r="F1047">
        <v>5531832</v>
      </c>
      <c r="G1047">
        <v>7512461</v>
      </c>
      <c r="H1047">
        <v>855</v>
      </c>
      <c r="I1047">
        <v>160</v>
      </c>
      <c r="J1047">
        <v>1015</v>
      </c>
      <c r="K1047" t="b">
        <f>TrafficData[[#This Row],[disposedChallan]]+TrafficData[[#This Row],[pendingChallan]]=TrafficData[[#This Row],[totalChallan]]</f>
        <v>1</v>
      </c>
      <c r="L1047" t="b">
        <f>TrafficData[[#This Row],[pendingAmount]]+TrafficData[[#This Row],[disposedAmount]]=TrafficData[[#This Row],[totalAmount]]</f>
        <v>1</v>
      </c>
      <c r="M1047" t="b">
        <f>TrafficData[[#This Row],[pendingCourt]]+TrafficData[[#This Row],[disposedCourt]]=TrafficData[[#This Row],[totalCourt]]</f>
        <v>1</v>
      </c>
      <c r="N1047" s="8" t="b">
        <f>AND(TrafficData[[#This Row],[disposedChallan]]&lt;=TrafficData[[#This Row],[totalChallan]],TrafficData[[#This Row],[pendingChallan]]&lt;=TrafficData[[#This Row],[totalChallan]])</f>
        <v>1</v>
      </c>
      <c r="O1047" s="8" t="b">
        <f>AND(TrafficData[[#This Row],[pendingAmount]]&lt;=TrafficData[[#This Row],[totalAmount]],TrafficData[[#This Row],[disposedAmount]]&lt;=TrafficData[[#This Row],[totalAmount]])</f>
        <v>1</v>
      </c>
      <c r="P1047" s="8" t="b">
        <f>AND(TrafficData[[#This Row],[pendingCourt]]&lt;=TrafficData[[#This Row],[totalCourt]],TrafficData[[#This Row],[disposedCourt]]&lt;=TrafficData[[#This Row],[totalCourt]])</f>
        <v>1</v>
      </c>
    </row>
    <row r="1048" spans="1:16">
      <c r="A1048" s="1">
        <v>43051</v>
      </c>
      <c r="B1048">
        <v>1243</v>
      </c>
      <c r="C1048">
        <v>634</v>
      </c>
      <c r="D1048">
        <v>609</v>
      </c>
      <c r="E1048">
        <v>1230100</v>
      </c>
      <c r="F1048">
        <v>2845825</v>
      </c>
      <c r="G1048">
        <v>4075925</v>
      </c>
      <c r="H1048">
        <v>498</v>
      </c>
      <c r="I1048">
        <v>66</v>
      </c>
      <c r="J1048">
        <v>564</v>
      </c>
      <c r="K1048" t="b">
        <f>TrafficData[[#This Row],[disposedChallan]]+TrafficData[[#This Row],[pendingChallan]]=TrafficData[[#This Row],[totalChallan]]</f>
        <v>1</v>
      </c>
      <c r="L1048" t="b">
        <f>TrafficData[[#This Row],[pendingAmount]]+TrafficData[[#This Row],[disposedAmount]]=TrafficData[[#This Row],[totalAmount]]</f>
        <v>1</v>
      </c>
      <c r="M1048" t="b">
        <f>TrafficData[[#This Row],[pendingCourt]]+TrafficData[[#This Row],[disposedCourt]]=TrafficData[[#This Row],[totalCourt]]</f>
        <v>1</v>
      </c>
      <c r="N1048" s="8" t="b">
        <f>AND(TrafficData[[#This Row],[disposedChallan]]&lt;=TrafficData[[#This Row],[totalChallan]],TrafficData[[#This Row],[pendingChallan]]&lt;=TrafficData[[#This Row],[totalChallan]])</f>
        <v>1</v>
      </c>
      <c r="O1048" s="8" t="b">
        <f>AND(TrafficData[[#This Row],[pendingAmount]]&lt;=TrafficData[[#This Row],[totalAmount]],TrafficData[[#This Row],[disposedAmount]]&lt;=TrafficData[[#This Row],[totalAmount]])</f>
        <v>1</v>
      </c>
      <c r="P1048" s="8" t="b">
        <f>AND(TrafficData[[#This Row],[pendingCourt]]&lt;=TrafficData[[#This Row],[totalCourt]],TrafficData[[#This Row],[disposedCourt]]&lt;=TrafficData[[#This Row],[totalCourt]])</f>
        <v>1</v>
      </c>
    </row>
    <row r="1049" spans="1:16">
      <c r="A1049" s="1">
        <v>43052</v>
      </c>
      <c r="B1049">
        <v>2137</v>
      </c>
      <c r="C1049">
        <v>972</v>
      </c>
      <c r="D1049">
        <v>1165</v>
      </c>
      <c r="E1049">
        <v>1963121</v>
      </c>
      <c r="F1049">
        <v>4215243</v>
      </c>
      <c r="G1049">
        <v>6178364</v>
      </c>
      <c r="H1049">
        <v>905</v>
      </c>
      <c r="I1049">
        <v>143</v>
      </c>
      <c r="J1049">
        <v>1048</v>
      </c>
      <c r="K1049" t="b">
        <f>TrafficData[[#This Row],[disposedChallan]]+TrafficData[[#This Row],[pendingChallan]]=TrafficData[[#This Row],[totalChallan]]</f>
        <v>1</v>
      </c>
      <c r="L1049" t="b">
        <f>TrafficData[[#This Row],[pendingAmount]]+TrafficData[[#This Row],[disposedAmount]]=TrafficData[[#This Row],[totalAmount]]</f>
        <v>1</v>
      </c>
      <c r="M1049" t="b">
        <f>TrafficData[[#This Row],[pendingCourt]]+TrafficData[[#This Row],[disposedCourt]]=TrafficData[[#This Row],[totalCourt]]</f>
        <v>1</v>
      </c>
      <c r="N1049" s="8" t="b">
        <f>AND(TrafficData[[#This Row],[disposedChallan]]&lt;=TrafficData[[#This Row],[totalChallan]],TrafficData[[#This Row],[pendingChallan]]&lt;=TrafficData[[#This Row],[totalChallan]])</f>
        <v>1</v>
      </c>
      <c r="O1049" s="8" t="b">
        <f>AND(TrafficData[[#This Row],[pendingAmount]]&lt;=TrafficData[[#This Row],[totalAmount]],TrafficData[[#This Row],[disposedAmount]]&lt;=TrafficData[[#This Row],[totalAmount]])</f>
        <v>1</v>
      </c>
      <c r="P1049" s="8" t="b">
        <f>AND(TrafficData[[#This Row],[pendingCourt]]&lt;=TrafficData[[#This Row],[totalCourt]],TrafficData[[#This Row],[disposedCourt]]&lt;=TrafficData[[#This Row],[totalCourt]])</f>
        <v>1</v>
      </c>
    </row>
    <row r="1050" spans="1:16">
      <c r="A1050" s="1">
        <v>43053</v>
      </c>
      <c r="B1050">
        <v>2446</v>
      </c>
      <c r="C1050">
        <v>1272</v>
      </c>
      <c r="D1050">
        <v>1174</v>
      </c>
      <c r="E1050">
        <v>1530374</v>
      </c>
      <c r="F1050">
        <v>5019739</v>
      </c>
      <c r="G1050">
        <v>6550113</v>
      </c>
      <c r="H1050">
        <v>983</v>
      </c>
      <c r="I1050">
        <v>118</v>
      </c>
      <c r="J1050">
        <v>1101</v>
      </c>
      <c r="K1050" t="b">
        <f>TrafficData[[#This Row],[disposedChallan]]+TrafficData[[#This Row],[pendingChallan]]=TrafficData[[#This Row],[totalChallan]]</f>
        <v>1</v>
      </c>
      <c r="L1050" t="b">
        <f>TrafficData[[#This Row],[pendingAmount]]+TrafficData[[#This Row],[disposedAmount]]=TrafficData[[#This Row],[totalAmount]]</f>
        <v>1</v>
      </c>
      <c r="M1050" t="b">
        <f>TrafficData[[#This Row],[pendingCourt]]+TrafficData[[#This Row],[disposedCourt]]=TrafficData[[#This Row],[totalCourt]]</f>
        <v>1</v>
      </c>
      <c r="N1050" s="8" t="b">
        <f>AND(TrafficData[[#This Row],[disposedChallan]]&lt;=TrafficData[[#This Row],[totalChallan]],TrafficData[[#This Row],[pendingChallan]]&lt;=TrafficData[[#This Row],[totalChallan]])</f>
        <v>1</v>
      </c>
      <c r="O1050" s="8" t="b">
        <f>AND(TrafficData[[#This Row],[pendingAmount]]&lt;=TrafficData[[#This Row],[totalAmount]],TrafficData[[#This Row],[disposedAmount]]&lt;=TrafficData[[#This Row],[totalAmount]])</f>
        <v>1</v>
      </c>
      <c r="P1050" s="8" t="b">
        <f>AND(TrafficData[[#This Row],[pendingCourt]]&lt;=TrafficData[[#This Row],[totalCourt]],TrafficData[[#This Row],[disposedCourt]]&lt;=TrafficData[[#This Row],[totalCourt]])</f>
        <v>1</v>
      </c>
    </row>
    <row r="1051" spans="1:16">
      <c r="A1051" s="1">
        <v>43054</v>
      </c>
      <c r="B1051">
        <v>2339</v>
      </c>
      <c r="C1051">
        <v>1263</v>
      </c>
      <c r="D1051">
        <v>1076</v>
      </c>
      <c r="E1051">
        <v>2234281</v>
      </c>
      <c r="F1051">
        <v>4983986</v>
      </c>
      <c r="G1051">
        <v>7218267</v>
      </c>
      <c r="H1051">
        <v>862</v>
      </c>
      <c r="I1051">
        <v>120</v>
      </c>
      <c r="J1051">
        <v>982</v>
      </c>
      <c r="K1051" t="b">
        <f>TrafficData[[#This Row],[disposedChallan]]+TrafficData[[#This Row],[pendingChallan]]=TrafficData[[#This Row],[totalChallan]]</f>
        <v>1</v>
      </c>
      <c r="L1051" t="b">
        <f>TrafficData[[#This Row],[pendingAmount]]+TrafficData[[#This Row],[disposedAmount]]=TrafficData[[#This Row],[totalAmount]]</f>
        <v>1</v>
      </c>
      <c r="M1051" t="b">
        <f>TrafficData[[#This Row],[pendingCourt]]+TrafficData[[#This Row],[disposedCourt]]=TrafficData[[#This Row],[totalCourt]]</f>
        <v>1</v>
      </c>
      <c r="N1051" s="8" t="b">
        <f>AND(TrafficData[[#This Row],[disposedChallan]]&lt;=TrafficData[[#This Row],[totalChallan]],TrafficData[[#This Row],[pendingChallan]]&lt;=TrafficData[[#This Row],[totalChallan]])</f>
        <v>1</v>
      </c>
      <c r="O1051" s="8" t="b">
        <f>AND(TrafficData[[#This Row],[pendingAmount]]&lt;=TrafficData[[#This Row],[totalAmount]],TrafficData[[#This Row],[disposedAmount]]&lt;=TrafficData[[#This Row],[totalAmount]])</f>
        <v>1</v>
      </c>
      <c r="P1051" s="8" t="b">
        <f>AND(TrafficData[[#This Row],[pendingCourt]]&lt;=TrafficData[[#This Row],[totalCourt]],TrafficData[[#This Row],[disposedCourt]]&lt;=TrafficData[[#This Row],[totalCourt]])</f>
        <v>1</v>
      </c>
    </row>
    <row r="1052" spans="1:16">
      <c r="A1052" s="1">
        <v>43055</v>
      </c>
      <c r="B1052">
        <v>2273</v>
      </c>
      <c r="C1052">
        <v>1181</v>
      </c>
      <c r="D1052">
        <v>1092</v>
      </c>
      <c r="E1052">
        <v>2687204</v>
      </c>
      <c r="F1052">
        <v>4692312</v>
      </c>
      <c r="G1052">
        <v>7379516</v>
      </c>
      <c r="H1052">
        <v>878</v>
      </c>
      <c r="I1052">
        <v>100</v>
      </c>
      <c r="J1052">
        <v>978</v>
      </c>
      <c r="K1052" t="b">
        <f>TrafficData[[#This Row],[disposedChallan]]+TrafficData[[#This Row],[pendingChallan]]=TrafficData[[#This Row],[totalChallan]]</f>
        <v>1</v>
      </c>
      <c r="L1052" t="b">
        <f>TrafficData[[#This Row],[pendingAmount]]+TrafficData[[#This Row],[disposedAmount]]=TrafficData[[#This Row],[totalAmount]]</f>
        <v>1</v>
      </c>
      <c r="M1052" t="b">
        <f>TrafficData[[#This Row],[pendingCourt]]+TrafficData[[#This Row],[disposedCourt]]=TrafficData[[#This Row],[totalCourt]]</f>
        <v>1</v>
      </c>
      <c r="N1052" s="8" t="b">
        <f>AND(TrafficData[[#This Row],[disposedChallan]]&lt;=TrafficData[[#This Row],[totalChallan]],TrafficData[[#This Row],[pendingChallan]]&lt;=TrafficData[[#This Row],[totalChallan]])</f>
        <v>1</v>
      </c>
      <c r="O1052" s="8" t="b">
        <f>AND(TrafficData[[#This Row],[pendingAmount]]&lt;=TrafficData[[#This Row],[totalAmount]],TrafficData[[#This Row],[disposedAmount]]&lt;=TrafficData[[#This Row],[totalAmount]])</f>
        <v>1</v>
      </c>
      <c r="P1052" s="8" t="b">
        <f>AND(TrafficData[[#This Row],[pendingCourt]]&lt;=TrafficData[[#This Row],[totalCourt]],TrafficData[[#This Row],[disposedCourt]]&lt;=TrafficData[[#This Row],[totalCourt]])</f>
        <v>1</v>
      </c>
    </row>
    <row r="1053" spans="1:16">
      <c r="A1053" s="1">
        <v>43056</v>
      </c>
      <c r="B1053">
        <v>2428</v>
      </c>
      <c r="C1053">
        <v>1252</v>
      </c>
      <c r="D1053">
        <v>1176</v>
      </c>
      <c r="E1053">
        <v>2029165</v>
      </c>
      <c r="F1053">
        <v>5269493</v>
      </c>
      <c r="G1053">
        <v>7298658</v>
      </c>
      <c r="H1053">
        <v>928</v>
      </c>
      <c r="I1053">
        <v>183</v>
      </c>
      <c r="J1053">
        <v>1111</v>
      </c>
      <c r="K1053" t="b">
        <f>TrafficData[[#This Row],[disposedChallan]]+TrafficData[[#This Row],[pendingChallan]]=TrafficData[[#This Row],[totalChallan]]</f>
        <v>1</v>
      </c>
      <c r="L1053" t="b">
        <f>TrafficData[[#This Row],[pendingAmount]]+TrafficData[[#This Row],[disposedAmount]]=TrafficData[[#This Row],[totalAmount]]</f>
        <v>1</v>
      </c>
      <c r="M1053" t="b">
        <f>TrafficData[[#This Row],[pendingCourt]]+TrafficData[[#This Row],[disposedCourt]]=TrafficData[[#This Row],[totalCourt]]</f>
        <v>1</v>
      </c>
      <c r="N1053" s="8" t="b">
        <f>AND(TrafficData[[#This Row],[disposedChallan]]&lt;=TrafficData[[#This Row],[totalChallan]],TrafficData[[#This Row],[pendingChallan]]&lt;=TrafficData[[#This Row],[totalChallan]])</f>
        <v>1</v>
      </c>
      <c r="O1053" s="8" t="b">
        <f>AND(TrafficData[[#This Row],[pendingAmount]]&lt;=TrafficData[[#This Row],[totalAmount]],TrafficData[[#This Row],[disposedAmount]]&lt;=TrafficData[[#This Row],[totalAmount]])</f>
        <v>1</v>
      </c>
      <c r="P1053" s="8" t="b">
        <f>AND(TrafficData[[#This Row],[pendingCourt]]&lt;=TrafficData[[#This Row],[totalCourt]],TrafficData[[#This Row],[disposedCourt]]&lt;=TrafficData[[#This Row],[totalCourt]])</f>
        <v>1</v>
      </c>
    </row>
    <row r="1054" spans="1:16">
      <c r="A1054" s="1">
        <v>43057</v>
      </c>
      <c r="B1054">
        <v>1917</v>
      </c>
      <c r="C1054">
        <v>1075</v>
      </c>
      <c r="D1054">
        <v>842</v>
      </c>
      <c r="E1054">
        <v>1875650</v>
      </c>
      <c r="F1054">
        <v>4803395</v>
      </c>
      <c r="G1054">
        <v>6679045</v>
      </c>
      <c r="H1054">
        <v>650</v>
      </c>
      <c r="I1054">
        <v>123</v>
      </c>
      <c r="J1054">
        <v>773</v>
      </c>
      <c r="K1054" t="b">
        <f>TrafficData[[#This Row],[disposedChallan]]+TrafficData[[#This Row],[pendingChallan]]=TrafficData[[#This Row],[totalChallan]]</f>
        <v>1</v>
      </c>
      <c r="L1054" t="b">
        <f>TrafficData[[#This Row],[pendingAmount]]+TrafficData[[#This Row],[disposedAmount]]=TrafficData[[#This Row],[totalAmount]]</f>
        <v>1</v>
      </c>
      <c r="M1054" t="b">
        <f>TrafficData[[#This Row],[pendingCourt]]+TrafficData[[#This Row],[disposedCourt]]=TrafficData[[#This Row],[totalCourt]]</f>
        <v>1</v>
      </c>
      <c r="N1054" s="8" t="b">
        <f>AND(TrafficData[[#This Row],[disposedChallan]]&lt;=TrafficData[[#This Row],[totalChallan]],TrafficData[[#This Row],[pendingChallan]]&lt;=TrafficData[[#This Row],[totalChallan]])</f>
        <v>1</v>
      </c>
      <c r="O1054" s="8" t="b">
        <f>AND(TrafficData[[#This Row],[pendingAmount]]&lt;=TrafficData[[#This Row],[totalAmount]],TrafficData[[#This Row],[disposedAmount]]&lt;=TrafficData[[#This Row],[totalAmount]])</f>
        <v>1</v>
      </c>
      <c r="P1054" s="8" t="b">
        <f>AND(TrafficData[[#This Row],[pendingCourt]]&lt;=TrafficData[[#This Row],[totalCourt]],TrafficData[[#This Row],[disposedCourt]]&lt;=TrafficData[[#This Row],[totalCourt]])</f>
        <v>1</v>
      </c>
    </row>
    <row r="1055" spans="1:16">
      <c r="A1055" s="1">
        <v>43058</v>
      </c>
      <c r="B1055">
        <v>1204</v>
      </c>
      <c r="C1055">
        <v>594</v>
      </c>
      <c r="D1055">
        <v>610</v>
      </c>
      <c r="E1055">
        <v>1298760</v>
      </c>
      <c r="F1055">
        <v>2928322</v>
      </c>
      <c r="G1055">
        <v>4227082</v>
      </c>
      <c r="H1055">
        <v>441</v>
      </c>
      <c r="I1055">
        <v>62</v>
      </c>
      <c r="J1055">
        <v>503</v>
      </c>
      <c r="K1055" t="b">
        <f>TrafficData[[#This Row],[disposedChallan]]+TrafficData[[#This Row],[pendingChallan]]=TrafficData[[#This Row],[totalChallan]]</f>
        <v>1</v>
      </c>
      <c r="L1055" t="b">
        <f>TrafficData[[#This Row],[pendingAmount]]+TrafficData[[#This Row],[disposedAmount]]=TrafficData[[#This Row],[totalAmount]]</f>
        <v>1</v>
      </c>
      <c r="M1055" t="b">
        <f>TrafficData[[#This Row],[pendingCourt]]+TrafficData[[#This Row],[disposedCourt]]=TrafficData[[#This Row],[totalCourt]]</f>
        <v>1</v>
      </c>
      <c r="N1055" s="8" t="b">
        <f>AND(TrafficData[[#This Row],[disposedChallan]]&lt;=TrafficData[[#This Row],[totalChallan]],TrafficData[[#This Row],[pendingChallan]]&lt;=TrafficData[[#This Row],[totalChallan]])</f>
        <v>1</v>
      </c>
      <c r="O1055" s="8" t="b">
        <f>AND(TrafficData[[#This Row],[pendingAmount]]&lt;=TrafficData[[#This Row],[totalAmount]],TrafficData[[#This Row],[disposedAmount]]&lt;=TrafficData[[#This Row],[totalAmount]])</f>
        <v>1</v>
      </c>
      <c r="P1055" s="8" t="b">
        <f>AND(TrafficData[[#This Row],[pendingCourt]]&lt;=TrafficData[[#This Row],[totalCourt]],TrafficData[[#This Row],[disposedCourt]]&lt;=TrafficData[[#This Row],[totalCourt]])</f>
        <v>1</v>
      </c>
    </row>
    <row r="1056" spans="1:16">
      <c r="A1056" s="1">
        <v>43059</v>
      </c>
      <c r="B1056">
        <v>1569</v>
      </c>
      <c r="C1056">
        <v>718</v>
      </c>
      <c r="D1056">
        <v>851</v>
      </c>
      <c r="E1056">
        <v>1699800</v>
      </c>
      <c r="F1056">
        <v>3165302</v>
      </c>
      <c r="G1056">
        <v>4865102</v>
      </c>
      <c r="H1056">
        <v>630</v>
      </c>
      <c r="I1056">
        <v>65</v>
      </c>
      <c r="J1056">
        <v>695</v>
      </c>
      <c r="K1056" t="b">
        <f>TrafficData[[#This Row],[disposedChallan]]+TrafficData[[#This Row],[pendingChallan]]=TrafficData[[#This Row],[totalChallan]]</f>
        <v>1</v>
      </c>
      <c r="L1056" t="b">
        <f>TrafficData[[#This Row],[pendingAmount]]+TrafficData[[#This Row],[disposedAmount]]=TrafficData[[#This Row],[totalAmount]]</f>
        <v>1</v>
      </c>
      <c r="M1056" t="b">
        <f>TrafficData[[#This Row],[pendingCourt]]+TrafficData[[#This Row],[disposedCourt]]=TrafficData[[#This Row],[totalCourt]]</f>
        <v>1</v>
      </c>
      <c r="N1056" s="8" t="b">
        <f>AND(TrafficData[[#This Row],[disposedChallan]]&lt;=TrafficData[[#This Row],[totalChallan]],TrafficData[[#This Row],[pendingChallan]]&lt;=TrafficData[[#This Row],[totalChallan]])</f>
        <v>1</v>
      </c>
      <c r="O1056" s="8" t="b">
        <f>AND(TrafficData[[#This Row],[pendingAmount]]&lt;=TrafficData[[#This Row],[totalAmount]],TrafficData[[#This Row],[disposedAmount]]&lt;=TrafficData[[#This Row],[totalAmount]])</f>
        <v>1</v>
      </c>
      <c r="P1056" s="8" t="b">
        <f>AND(TrafficData[[#This Row],[pendingCourt]]&lt;=TrafficData[[#This Row],[totalCourt]],TrafficData[[#This Row],[disposedCourt]]&lt;=TrafficData[[#This Row],[totalCourt]])</f>
        <v>1</v>
      </c>
    </row>
    <row r="1057" spans="1:16">
      <c r="A1057" s="1">
        <v>43060</v>
      </c>
      <c r="B1057">
        <v>2224</v>
      </c>
      <c r="C1057">
        <v>886</v>
      </c>
      <c r="D1057">
        <v>1338</v>
      </c>
      <c r="E1057">
        <v>2547200</v>
      </c>
      <c r="F1057">
        <v>3153876</v>
      </c>
      <c r="G1057">
        <v>5701076</v>
      </c>
      <c r="H1057">
        <v>892</v>
      </c>
      <c r="I1057">
        <v>111</v>
      </c>
      <c r="J1057">
        <v>1003</v>
      </c>
      <c r="K1057" t="b">
        <f>TrafficData[[#This Row],[disposedChallan]]+TrafficData[[#This Row],[pendingChallan]]=TrafficData[[#This Row],[totalChallan]]</f>
        <v>1</v>
      </c>
      <c r="L1057" t="b">
        <f>TrafficData[[#This Row],[pendingAmount]]+TrafficData[[#This Row],[disposedAmount]]=TrafficData[[#This Row],[totalAmount]]</f>
        <v>1</v>
      </c>
      <c r="M1057" t="b">
        <f>TrafficData[[#This Row],[pendingCourt]]+TrafficData[[#This Row],[disposedCourt]]=TrafficData[[#This Row],[totalCourt]]</f>
        <v>1</v>
      </c>
      <c r="N1057" s="8" t="b">
        <f>AND(TrafficData[[#This Row],[disposedChallan]]&lt;=TrafficData[[#This Row],[totalChallan]],TrafficData[[#This Row],[pendingChallan]]&lt;=TrafficData[[#This Row],[totalChallan]])</f>
        <v>1</v>
      </c>
      <c r="O1057" s="8" t="b">
        <f>AND(TrafficData[[#This Row],[pendingAmount]]&lt;=TrafficData[[#This Row],[totalAmount]],TrafficData[[#This Row],[disposedAmount]]&lt;=TrafficData[[#This Row],[totalAmount]])</f>
        <v>1</v>
      </c>
      <c r="P1057" s="8" t="b">
        <f>AND(TrafficData[[#This Row],[pendingCourt]]&lt;=TrafficData[[#This Row],[totalCourt]],TrafficData[[#This Row],[disposedCourt]]&lt;=TrafficData[[#This Row],[totalCourt]])</f>
        <v>1</v>
      </c>
    </row>
    <row r="1058" spans="1:16">
      <c r="A1058" s="1">
        <v>43061</v>
      </c>
      <c r="B1058">
        <v>2936</v>
      </c>
      <c r="C1058">
        <v>1673</v>
      </c>
      <c r="D1058">
        <v>1263</v>
      </c>
      <c r="E1058">
        <v>2355109</v>
      </c>
      <c r="F1058">
        <v>2833330</v>
      </c>
      <c r="G1058">
        <v>5188439</v>
      </c>
      <c r="H1058">
        <v>1079</v>
      </c>
      <c r="I1058">
        <v>150</v>
      </c>
      <c r="J1058">
        <v>1229</v>
      </c>
      <c r="K1058" t="b">
        <f>TrafficData[[#This Row],[disposedChallan]]+TrafficData[[#This Row],[pendingChallan]]=TrafficData[[#This Row],[totalChallan]]</f>
        <v>1</v>
      </c>
      <c r="L1058" t="b">
        <f>TrafficData[[#This Row],[pendingAmount]]+TrafficData[[#This Row],[disposedAmount]]=TrafficData[[#This Row],[totalAmount]]</f>
        <v>1</v>
      </c>
      <c r="M1058" t="b">
        <f>TrafficData[[#This Row],[pendingCourt]]+TrafficData[[#This Row],[disposedCourt]]=TrafficData[[#This Row],[totalCourt]]</f>
        <v>1</v>
      </c>
      <c r="N1058" s="8" t="b">
        <f>AND(TrafficData[[#This Row],[disposedChallan]]&lt;=TrafficData[[#This Row],[totalChallan]],TrafficData[[#This Row],[pendingChallan]]&lt;=TrafficData[[#This Row],[totalChallan]])</f>
        <v>1</v>
      </c>
      <c r="O1058" s="8" t="b">
        <f>AND(TrafficData[[#This Row],[pendingAmount]]&lt;=TrafficData[[#This Row],[totalAmount]],TrafficData[[#This Row],[disposedAmount]]&lt;=TrafficData[[#This Row],[totalAmount]])</f>
        <v>1</v>
      </c>
      <c r="P1058" s="8" t="b">
        <f>AND(TrafficData[[#This Row],[pendingCourt]]&lt;=TrafficData[[#This Row],[totalCourt]],TrafficData[[#This Row],[disposedCourt]]&lt;=TrafficData[[#This Row],[totalCourt]])</f>
        <v>1</v>
      </c>
    </row>
    <row r="1059" spans="1:16">
      <c r="A1059" s="1">
        <v>43062</v>
      </c>
      <c r="B1059">
        <v>1716</v>
      </c>
      <c r="C1059">
        <v>836</v>
      </c>
      <c r="D1059">
        <v>880</v>
      </c>
      <c r="E1059">
        <v>2094053</v>
      </c>
      <c r="F1059">
        <v>2814525</v>
      </c>
      <c r="G1059">
        <v>4908578</v>
      </c>
      <c r="H1059">
        <v>630</v>
      </c>
      <c r="I1059">
        <v>88</v>
      </c>
      <c r="J1059">
        <v>718</v>
      </c>
      <c r="K1059" t="b">
        <f>TrafficData[[#This Row],[disposedChallan]]+TrafficData[[#This Row],[pendingChallan]]=TrafficData[[#This Row],[totalChallan]]</f>
        <v>1</v>
      </c>
      <c r="L1059" t="b">
        <f>TrafficData[[#This Row],[pendingAmount]]+TrafficData[[#This Row],[disposedAmount]]=TrafficData[[#This Row],[totalAmount]]</f>
        <v>1</v>
      </c>
      <c r="M1059" t="b">
        <f>TrafficData[[#This Row],[pendingCourt]]+TrafficData[[#This Row],[disposedCourt]]=TrafficData[[#This Row],[totalCourt]]</f>
        <v>1</v>
      </c>
      <c r="N1059" s="8" t="b">
        <f>AND(TrafficData[[#This Row],[disposedChallan]]&lt;=TrafficData[[#This Row],[totalChallan]],TrafficData[[#This Row],[pendingChallan]]&lt;=TrafficData[[#This Row],[totalChallan]])</f>
        <v>1</v>
      </c>
      <c r="O1059" s="8" t="b">
        <f>AND(TrafficData[[#This Row],[pendingAmount]]&lt;=TrafficData[[#This Row],[totalAmount]],TrafficData[[#This Row],[disposedAmount]]&lt;=TrafficData[[#This Row],[totalAmount]])</f>
        <v>1</v>
      </c>
      <c r="P1059" s="8" t="b">
        <f>AND(TrafficData[[#This Row],[pendingCourt]]&lt;=TrafficData[[#This Row],[totalCourt]],TrafficData[[#This Row],[disposedCourt]]&lt;=TrafficData[[#This Row],[totalCourt]])</f>
        <v>1</v>
      </c>
    </row>
    <row r="1060" spans="1:16">
      <c r="A1060" s="1">
        <v>43063</v>
      </c>
      <c r="B1060">
        <v>1550</v>
      </c>
      <c r="C1060">
        <v>808</v>
      </c>
      <c r="D1060">
        <v>742</v>
      </c>
      <c r="E1060">
        <v>1523400</v>
      </c>
      <c r="F1060">
        <v>3428229</v>
      </c>
      <c r="G1060">
        <v>4951629</v>
      </c>
      <c r="H1060">
        <v>588</v>
      </c>
      <c r="I1060">
        <v>72</v>
      </c>
      <c r="J1060">
        <v>660</v>
      </c>
      <c r="K1060" t="b">
        <f>TrafficData[[#This Row],[disposedChallan]]+TrafficData[[#This Row],[pendingChallan]]=TrafficData[[#This Row],[totalChallan]]</f>
        <v>1</v>
      </c>
      <c r="L1060" t="b">
        <f>TrafficData[[#This Row],[pendingAmount]]+TrafficData[[#This Row],[disposedAmount]]=TrafficData[[#This Row],[totalAmount]]</f>
        <v>1</v>
      </c>
      <c r="M1060" t="b">
        <f>TrafficData[[#This Row],[pendingCourt]]+TrafficData[[#This Row],[disposedCourt]]=TrafficData[[#This Row],[totalCourt]]</f>
        <v>1</v>
      </c>
      <c r="N1060" s="8" t="b">
        <f>AND(TrafficData[[#This Row],[disposedChallan]]&lt;=TrafficData[[#This Row],[totalChallan]],TrafficData[[#This Row],[pendingChallan]]&lt;=TrafficData[[#This Row],[totalChallan]])</f>
        <v>1</v>
      </c>
      <c r="O1060" s="8" t="b">
        <f>AND(TrafficData[[#This Row],[pendingAmount]]&lt;=TrafficData[[#This Row],[totalAmount]],TrafficData[[#This Row],[disposedAmount]]&lt;=TrafficData[[#This Row],[totalAmount]])</f>
        <v>1</v>
      </c>
      <c r="P1060" s="8" t="b">
        <f>AND(TrafficData[[#This Row],[pendingCourt]]&lt;=TrafficData[[#This Row],[totalCourt]],TrafficData[[#This Row],[disposedCourt]]&lt;=TrafficData[[#This Row],[totalCourt]])</f>
        <v>1</v>
      </c>
    </row>
    <row r="1061" spans="1:16">
      <c r="A1061" s="1">
        <v>43064</v>
      </c>
      <c r="B1061">
        <v>1576</v>
      </c>
      <c r="C1061">
        <v>797</v>
      </c>
      <c r="D1061">
        <v>779</v>
      </c>
      <c r="E1061">
        <v>1356575</v>
      </c>
      <c r="F1061">
        <v>3360790</v>
      </c>
      <c r="G1061">
        <v>4717365</v>
      </c>
      <c r="H1061">
        <v>646</v>
      </c>
      <c r="I1061">
        <v>97</v>
      </c>
      <c r="J1061">
        <v>743</v>
      </c>
      <c r="K1061" t="b">
        <f>TrafficData[[#This Row],[disposedChallan]]+TrafficData[[#This Row],[pendingChallan]]=TrafficData[[#This Row],[totalChallan]]</f>
        <v>1</v>
      </c>
      <c r="L1061" t="b">
        <f>TrafficData[[#This Row],[pendingAmount]]+TrafficData[[#This Row],[disposedAmount]]=TrafficData[[#This Row],[totalAmount]]</f>
        <v>1</v>
      </c>
      <c r="M1061" t="b">
        <f>TrafficData[[#This Row],[pendingCourt]]+TrafficData[[#This Row],[disposedCourt]]=TrafficData[[#This Row],[totalCourt]]</f>
        <v>1</v>
      </c>
      <c r="N1061" s="8" t="b">
        <f>AND(TrafficData[[#This Row],[disposedChallan]]&lt;=TrafficData[[#This Row],[totalChallan]],TrafficData[[#This Row],[pendingChallan]]&lt;=TrafficData[[#This Row],[totalChallan]])</f>
        <v>1</v>
      </c>
      <c r="O1061" s="8" t="b">
        <f>AND(TrafficData[[#This Row],[pendingAmount]]&lt;=TrafficData[[#This Row],[totalAmount]],TrafficData[[#This Row],[disposedAmount]]&lt;=TrafficData[[#This Row],[totalAmount]])</f>
        <v>1</v>
      </c>
      <c r="P1061" s="8" t="b">
        <f>AND(TrafficData[[#This Row],[pendingCourt]]&lt;=TrafficData[[#This Row],[totalCourt]],TrafficData[[#This Row],[disposedCourt]]&lt;=TrafficData[[#This Row],[totalCourt]])</f>
        <v>1</v>
      </c>
    </row>
    <row r="1062" spans="1:16">
      <c r="A1062" s="1">
        <v>43065</v>
      </c>
      <c r="B1062">
        <v>1306</v>
      </c>
      <c r="C1062">
        <v>573</v>
      </c>
      <c r="D1062">
        <v>733</v>
      </c>
      <c r="E1062">
        <v>1127800</v>
      </c>
      <c r="F1062">
        <v>3088505</v>
      </c>
      <c r="G1062">
        <v>4216305</v>
      </c>
      <c r="H1062">
        <v>623</v>
      </c>
      <c r="I1062">
        <v>64</v>
      </c>
      <c r="J1062">
        <v>687</v>
      </c>
      <c r="K1062" t="b">
        <f>TrafficData[[#This Row],[disposedChallan]]+TrafficData[[#This Row],[pendingChallan]]=TrafficData[[#This Row],[totalChallan]]</f>
        <v>1</v>
      </c>
      <c r="L1062" t="b">
        <f>TrafficData[[#This Row],[pendingAmount]]+TrafficData[[#This Row],[disposedAmount]]=TrafficData[[#This Row],[totalAmount]]</f>
        <v>1</v>
      </c>
      <c r="M1062" t="b">
        <f>TrafficData[[#This Row],[pendingCourt]]+TrafficData[[#This Row],[disposedCourt]]=TrafficData[[#This Row],[totalCourt]]</f>
        <v>1</v>
      </c>
      <c r="N1062" s="8" t="b">
        <f>AND(TrafficData[[#This Row],[disposedChallan]]&lt;=TrafficData[[#This Row],[totalChallan]],TrafficData[[#This Row],[pendingChallan]]&lt;=TrafficData[[#This Row],[totalChallan]])</f>
        <v>1</v>
      </c>
      <c r="O1062" s="8" t="b">
        <f>AND(TrafficData[[#This Row],[pendingAmount]]&lt;=TrafficData[[#This Row],[totalAmount]],TrafficData[[#This Row],[disposedAmount]]&lt;=TrafficData[[#This Row],[totalAmount]])</f>
        <v>1</v>
      </c>
      <c r="P1062" s="8" t="b">
        <f>AND(TrafficData[[#This Row],[pendingCourt]]&lt;=TrafficData[[#This Row],[totalCourt]],TrafficData[[#This Row],[disposedCourt]]&lt;=TrafficData[[#This Row],[totalCourt]])</f>
        <v>1</v>
      </c>
    </row>
    <row r="1063" spans="1:16">
      <c r="A1063" s="1">
        <v>43066</v>
      </c>
      <c r="B1063">
        <v>1865</v>
      </c>
      <c r="C1063">
        <v>949</v>
      </c>
      <c r="D1063">
        <v>916</v>
      </c>
      <c r="E1063">
        <v>1269650</v>
      </c>
      <c r="F1063">
        <v>3500796</v>
      </c>
      <c r="G1063">
        <v>4770446</v>
      </c>
      <c r="H1063">
        <v>770</v>
      </c>
      <c r="I1063">
        <v>115</v>
      </c>
      <c r="J1063">
        <v>885</v>
      </c>
      <c r="K1063" t="b">
        <f>TrafficData[[#This Row],[disposedChallan]]+TrafficData[[#This Row],[pendingChallan]]=TrafficData[[#This Row],[totalChallan]]</f>
        <v>1</v>
      </c>
      <c r="L1063" t="b">
        <f>TrafficData[[#This Row],[pendingAmount]]+TrafficData[[#This Row],[disposedAmount]]=TrafficData[[#This Row],[totalAmount]]</f>
        <v>1</v>
      </c>
      <c r="M1063" t="b">
        <f>TrafficData[[#This Row],[pendingCourt]]+TrafficData[[#This Row],[disposedCourt]]=TrafficData[[#This Row],[totalCourt]]</f>
        <v>1</v>
      </c>
      <c r="N1063" s="8" t="b">
        <f>AND(TrafficData[[#This Row],[disposedChallan]]&lt;=TrafficData[[#This Row],[totalChallan]],TrafficData[[#This Row],[pendingChallan]]&lt;=TrafficData[[#This Row],[totalChallan]])</f>
        <v>1</v>
      </c>
      <c r="O1063" s="8" t="b">
        <f>AND(TrafficData[[#This Row],[pendingAmount]]&lt;=TrafficData[[#This Row],[totalAmount]],TrafficData[[#This Row],[disposedAmount]]&lt;=TrafficData[[#This Row],[totalAmount]])</f>
        <v>1</v>
      </c>
      <c r="P1063" s="8" t="b">
        <f>AND(TrafficData[[#This Row],[pendingCourt]]&lt;=TrafficData[[#This Row],[totalCourt]],TrafficData[[#This Row],[disposedCourt]]&lt;=TrafficData[[#This Row],[totalCourt]])</f>
        <v>1</v>
      </c>
    </row>
    <row r="1064" spans="1:16">
      <c r="A1064" s="1">
        <v>43067</v>
      </c>
      <c r="B1064">
        <v>2704</v>
      </c>
      <c r="C1064">
        <v>1437</v>
      </c>
      <c r="D1064">
        <v>1267</v>
      </c>
      <c r="E1064">
        <v>2401550</v>
      </c>
      <c r="F1064">
        <v>5155297</v>
      </c>
      <c r="G1064">
        <v>7556847</v>
      </c>
      <c r="H1064">
        <v>971</v>
      </c>
      <c r="I1064">
        <v>160</v>
      </c>
      <c r="J1064">
        <v>1131</v>
      </c>
      <c r="K1064" t="b">
        <f>TrafficData[[#This Row],[disposedChallan]]+TrafficData[[#This Row],[pendingChallan]]=TrafficData[[#This Row],[totalChallan]]</f>
        <v>1</v>
      </c>
      <c r="L1064" t="b">
        <f>TrafficData[[#This Row],[pendingAmount]]+TrafficData[[#This Row],[disposedAmount]]=TrafficData[[#This Row],[totalAmount]]</f>
        <v>1</v>
      </c>
      <c r="M1064" t="b">
        <f>TrafficData[[#This Row],[pendingCourt]]+TrafficData[[#This Row],[disposedCourt]]=TrafficData[[#This Row],[totalCourt]]</f>
        <v>1</v>
      </c>
      <c r="N1064" s="8" t="b">
        <f>AND(TrafficData[[#This Row],[disposedChallan]]&lt;=TrafficData[[#This Row],[totalChallan]],TrafficData[[#This Row],[pendingChallan]]&lt;=TrafficData[[#This Row],[totalChallan]])</f>
        <v>1</v>
      </c>
      <c r="O1064" s="8" t="b">
        <f>AND(TrafficData[[#This Row],[pendingAmount]]&lt;=TrafficData[[#This Row],[totalAmount]],TrafficData[[#This Row],[disposedAmount]]&lt;=TrafficData[[#This Row],[totalAmount]])</f>
        <v>1</v>
      </c>
      <c r="P1064" s="8" t="b">
        <f>AND(TrafficData[[#This Row],[pendingCourt]]&lt;=TrafficData[[#This Row],[totalCourt]],TrafficData[[#This Row],[disposedCourt]]&lt;=TrafficData[[#This Row],[totalCourt]])</f>
        <v>1</v>
      </c>
    </row>
    <row r="1065" spans="1:16">
      <c r="A1065" s="1">
        <v>43068</v>
      </c>
      <c r="B1065">
        <v>5672</v>
      </c>
      <c r="C1065">
        <v>4021</v>
      </c>
      <c r="D1065">
        <v>1651</v>
      </c>
      <c r="E1065">
        <v>3630200</v>
      </c>
      <c r="F1065">
        <v>4056489</v>
      </c>
      <c r="G1065">
        <v>7686689</v>
      </c>
      <c r="H1065">
        <v>1390</v>
      </c>
      <c r="I1065">
        <v>498</v>
      </c>
      <c r="J1065">
        <v>1888</v>
      </c>
      <c r="K1065" t="b">
        <f>TrafficData[[#This Row],[disposedChallan]]+TrafficData[[#This Row],[pendingChallan]]=TrafficData[[#This Row],[totalChallan]]</f>
        <v>1</v>
      </c>
      <c r="L1065" t="b">
        <f>TrafficData[[#This Row],[pendingAmount]]+TrafficData[[#This Row],[disposedAmount]]=TrafficData[[#This Row],[totalAmount]]</f>
        <v>1</v>
      </c>
      <c r="M1065" t="b">
        <f>TrafficData[[#This Row],[pendingCourt]]+TrafficData[[#This Row],[disposedCourt]]=TrafficData[[#This Row],[totalCourt]]</f>
        <v>1</v>
      </c>
      <c r="N1065" s="8" t="b">
        <f>AND(TrafficData[[#This Row],[disposedChallan]]&lt;=TrafficData[[#This Row],[totalChallan]],TrafficData[[#This Row],[pendingChallan]]&lt;=TrafficData[[#This Row],[totalChallan]])</f>
        <v>1</v>
      </c>
      <c r="O1065" s="8" t="b">
        <f>AND(TrafficData[[#This Row],[pendingAmount]]&lt;=TrafficData[[#This Row],[totalAmount]],TrafficData[[#This Row],[disposedAmount]]&lt;=TrafficData[[#This Row],[totalAmount]])</f>
        <v>1</v>
      </c>
      <c r="P1065" s="8" t="b">
        <f>AND(TrafficData[[#This Row],[pendingCourt]]&lt;=TrafficData[[#This Row],[totalCourt]],TrafficData[[#This Row],[disposedCourt]]&lt;=TrafficData[[#This Row],[totalCourt]])</f>
        <v>1</v>
      </c>
    </row>
    <row r="1066" spans="1:16">
      <c r="A1066" s="1">
        <v>43069</v>
      </c>
      <c r="B1066">
        <v>2165</v>
      </c>
      <c r="C1066">
        <v>1288</v>
      </c>
      <c r="D1066">
        <v>877</v>
      </c>
      <c r="E1066">
        <v>2100114</v>
      </c>
      <c r="F1066">
        <v>3185978</v>
      </c>
      <c r="G1066">
        <v>5286092</v>
      </c>
      <c r="H1066">
        <v>717</v>
      </c>
      <c r="I1066">
        <v>140</v>
      </c>
      <c r="J1066">
        <v>857</v>
      </c>
      <c r="K1066" t="b">
        <f>TrafficData[[#This Row],[disposedChallan]]+TrafficData[[#This Row],[pendingChallan]]=TrafficData[[#This Row],[totalChallan]]</f>
        <v>1</v>
      </c>
      <c r="L1066" t="b">
        <f>TrafficData[[#This Row],[pendingAmount]]+TrafficData[[#This Row],[disposedAmount]]=TrafficData[[#This Row],[totalAmount]]</f>
        <v>1</v>
      </c>
      <c r="M1066" t="b">
        <f>TrafficData[[#This Row],[pendingCourt]]+TrafficData[[#This Row],[disposedCourt]]=TrafficData[[#This Row],[totalCourt]]</f>
        <v>1</v>
      </c>
      <c r="N1066" s="8" t="b">
        <f>AND(TrafficData[[#This Row],[disposedChallan]]&lt;=TrafficData[[#This Row],[totalChallan]],TrafficData[[#This Row],[pendingChallan]]&lt;=TrafficData[[#This Row],[totalChallan]])</f>
        <v>1</v>
      </c>
      <c r="O1066" s="8" t="b">
        <f>AND(TrafficData[[#This Row],[pendingAmount]]&lt;=TrafficData[[#This Row],[totalAmount]],TrafficData[[#This Row],[disposedAmount]]&lt;=TrafficData[[#This Row],[totalAmount]])</f>
        <v>1</v>
      </c>
      <c r="P1066" s="8" t="b">
        <f>AND(TrafficData[[#This Row],[pendingCourt]]&lt;=TrafficData[[#This Row],[totalCourt]],TrafficData[[#This Row],[disposedCourt]]&lt;=TrafficData[[#This Row],[totalCourt]])</f>
        <v>1</v>
      </c>
    </row>
    <row r="1067" spans="1:16">
      <c r="A1067" s="1">
        <v>43070</v>
      </c>
      <c r="B1067">
        <v>1749</v>
      </c>
      <c r="C1067">
        <v>906</v>
      </c>
      <c r="D1067">
        <v>843</v>
      </c>
      <c r="E1067">
        <v>2068350</v>
      </c>
      <c r="F1067">
        <v>4436877</v>
      </c>
      <c r="G1067">
        <v>6505227</v>
      </c>
      <c r="H1067">
        <v>690</v>
      </c>
      <c r="I1067">
        <v>137</v>
      </c>
      <c r="J1067">
        <v>827</v>
      </c>
      <c r="K1067" t="b">
        <f>TrafficData[[#This Row],[disposedChallan]]+TrafficData[[#This Row],[pendingChallan]]=TrafficData[[#This Row],[totalChallan]]</f>
        <v>1</v>
      </c>
      <c r="L1067" t="b">
        <f>TrafficData[[#This Row],[pendingAmount]]+TrafficData[[#This Row],[disposedAmount]]=TrafficData[[#This Row],[totalAmount]]</f>
        <v>1</v>
      </c>
      <c r="M1067" t="b">
        <f>TrafficData[[#This Row],[pendingCourt]]+TrafficData[[#This Row],[disposedCourt]]=TrafficData[[#This Row],[totalCourt]]</f>
        <v>1</v>
      </c>
      <c r="N1067" s="8" t="b">
        <f>AND(TrafficData[[#This Row],[disposedChallan]]&lt;=TrafficData[[#This Row],[totalChallan]],TrafficData[[#This Row],[pendingChallan]]&lt;=TrafficData[[#This Row],[totalChallan]])</f>
        <v>1</v>
      </c>
      <c r="O1067" s="8" t="b">
        <f>AND(TrafficData[[#This Row],[pendingAmount]]&lt;=TrafficData[[#This Row],[totalAmount]],TrafficData[[#This Row],[disposedAmount]]&lt;=TrafficData[[#This Row],[totalAmount]])</f>
        <v>1</v>
      </c>
      <c r="P1067" s="8" t="b">
        <f>AND(TrafficData[[#This Row],[pendingCourt]]&lt;=TrafficData[[#This Row],[totalCourt]],TrafficData[[#This Row],[disposedCourt]]&lt;=TrafficData[[#This Row],[totalCourt]])</f>
        <v>1</v>
      </c>
    </row>
    <row r="1068" spans="1:16">
      <c r="A1068" s="1">
        <v>43071</v>
      </c>
      <c r="B1068">
        <v>1460</v>
      </c>
      <c r="C1068">
        <v>740</v>
      </c>
      <c r="D1068">
        <v>720</v>
      </c>
      <c r="E1068">
        <v>1160475</v>
      </c>
      <c r="F1068">
        <v>3530550</v>
      </c>
      <c r="G1068">
        <v>4691025</v>
      </c>
      <c r="H1068">
        <v>631</v>
      </c>
      <c r="I1068">
        <v>64</v>
      </c>
      <c r="J1068">
        <v>695</v>
      </c>
      <c r="K1068" t="b">
        <f>TrafficData[[#This Row],[disposedChallan]]+TrafficData[[#This Row],[pendingChallan]]=TrafficData[[#This Row],[totalChallan]]</f>
        <v>1</v>
      </c>
      <c r="L1068" t="b">
        <f>TrafficData[[#This Row],[pendingAmount]]+TrafficData[[#This Row],[disposedAmount]]=TrafficData[[#This Row],[totalAmount]]</f>
        <v>1</v>
      </c>
      <c r="M1068" t="b">
        <f>TrafficData[[#This Row],[pendingCourt]]+TrafficData[[#This Row],[disposedCourt]]=TrafficData[[#This Row],[totalCourt]]</f>
        <v>1</v>
      </c>
      <c r="N1068" s="8" t="b">
        <f>AND(TrafficData[[#This Row],[disposedChallan]]&lt;=TrafficData[[#This Row],[totalChallan]],TrafficData[[#This Row],[pendingChallan]]&lt;=TrafficData[[#This Row],[totalChallan]])</f>
        <v>1</v>
      </c>
      <c r="O1068" s="8" t="b">
        <f>AND(TrafficData[[#This Row],[pendingAmount]]&lt;=TrafficData[[#This Row],[totalAmount]],TrafficData[[#This Row],[disposedAmount]]&lt;=TrafficData[[#This Row],[totalAmount]])</f>
        <v>1</v>
      </c>
      <c r="P1068" s="8" t="b">
        <f>AND(TrafficData[[#This Row],[pendingCourt]]&lt;=TrafficData[[#This Row],[totalCourt]],TrafficData[[#This Row],[disposedCourt]]&lt;=TrafficData[[#This Row],[totalCourt]])</f>
        <v>1</v>
      </c>
    </row>
    <row r="1069" spans="1:16">
      <c r="A1069" s="1">
        <v>43072</v>
      </c>
      <c r="B1069">
        <v>1088</v>
      </c>
      <c r="C1069">
        <v>566</v>
      </c>
      <c r="D1069">
        <v>522</v>
      </c>
      <c r="E1069">
        <v>793950</v>
      </c>
      <c r="F1069">
        <v>1849280</v>
      </c>
      <c r="G1069">
        <v>2643230</v>
      </c>
      <c r="H1069">
        <v>409</v>
      </c>
      <c r="I1069">
        <v>38</v>
      </c>
      <c r="J1069">
        <v>447</v>
      </c>
      <c r="K1069" t="b">
        <f>TrafficData[[#This Row],[disposedChallan]]+TrafficData[[#This Row],[pendingChallan]]=TrafficData[[#This Row],[totalChallan]]</f>
        <v>1</v>
      </c>
      <c r="L1069" t="b">
        <f>TrafficData[[#This Row],[pendingAmount]]+TrafficData[[#This Row],[disposedAmount]]=TrafficData[[#This Row],[totalAmount]]</f>
        <v>1</v>
      </c>
      <c r="M1069" t="b">
        <f>TrafficData[[#This Row],[pendingCourt]]+TrafficData[[#This Row],[disposedCourt]]=TrafficData[[#This Row],[totalCourt]]</f>
        <v>1</v>
      </c>
      <c r="N1069" s="8" t="b">
        <f>AND(TrafficData[[#This Row],[disposedChallan]]&lt;=TrafficData[[#This Row],[totalChallan]],TrafficData[[#This Row],[pendingChallan]]&lt;=TrafficData[[#This Row],[totalChallan]])</f>
        <v>1</v>
      </c>
      <c r="O1069" s="8" t="b">
        <f>AND(TrafficData[[#This Row],[pendingAmount]]&lt;=TrafficData[[#This Row],[totalAmount]],TrafficData[[#This Row],[disposedAmount]]&lt;=TrafficData[[#This Row],[totalAmount]])</f>
        <v>1</v>
      </c>
      <c r="P1069" s="8" t="b">
        <f>AND(TrafficData[[#This Row],[pendingCourt]]&lt;=TrafficData[[#This Row],[totalCourt]],TrafficData[[#This Row],[disposedCourt]]&lt;=TrafficData[[#This Row],[totalCourt]])</f>
        <v>1</v>
      </c>
    </row>
    <row r="1070" spans="1:16">
      <c r="A1070" s="1">
        <v>43073</v>
      </c>
      <c r="B1070">
        <v>1598</v>
      </c>
      <c r="C1070">
        <v>971</v>
      </c>
      <c r="D1070">
        <v>627</v>
      </c>
      <c r="E1070">
        <v>1337044</v>
      </c>
      <c r="F1070">
        <v>4003490</v>
      </c>
      <c r="G1070">
        <v>5340534</v>
      </c>
      <c r="H1070">
        <v>522</v>
      </c>
      <c r="I1070">
        <v>101</v>
      </c>
      <c r="J1070">
        <v>623</v>
      </c>
      <c r="K1070" t="b">
        <f>TrafficData[[#This Row],[disposedChallan]]+TrafficData[[#This Row],[pendingChallan]]=TrafficData[[#This Row],[totalChallan]]</f>
        <v>1</v>
      </c>
      <c r="L1070" t="b">
        <f>TrafficData[[#This Row],[pendingAmount]]+TrafficData[[#This Row],[disposedAmount]]=TrafficData[[#This Row],[totalAmount]]</f>
        <v>1</v>
      </c>
      <c r="M1070" t="b">
        <f>TrafficData[[#This Row],[pendingCourt]]+TrafficData[[#This Row],[disposedCourt]]=TrafficData[[#This Row],[totalCourt]]</f>
        <v>1</v>
      </c>
      <c r="N1070" s="8" t="b">
        <f>AND(TrafficData[[#This Row],[disposedChallan]]&lt;=TrafficData[[#This Row],[totalChallan]],TrafficData[[#This Row],[pendingChallan]]&lt;=TrafficData[[#This Row],[totalChallan]])</f>
        <v>1</v>
      </c>
      <c r="O1070" s="8" t="b">
        <f>AND(TrafficData[[#This Row],[pendingAmount]]&lt;=TrafficData[[#This Row],[totalAmount]],TrafficData[[#This Row],[disposedAmount]]&lt;=TrafficData[[#This Row],[totalAmount]])</f>
        <v>1</v>
      </c>
      <c r="P1070" s="8" t="b">
        <f>AND(TrafficData[[#This Row],[pendingCourt]]&lt;=TrafficData[[#This Row],[totalCourt]],TrafficData[[#This Row],[disposedCourt]]&lt;=TrafficData[[#This Row],[totalCourt]])</f>
        <v>1</v>
      </c>
    </row>
    <row r="1071" spans="1:16">
      <c r="A1071" s="1">
        <v>43074</v>
      </c>
      <c r="B1071">
        <v>2302</v>
      </c>
      <c r="C1071">
        <v>1344</v>
      </c>
      <c r="D1071">
        <v>958</v>
      </c>
      <c r="E1071">
        <v>1829308</v>
      </c>
      <c r="F1071">
        <v>7120116</v>
      </c>
      <c r="G1071">
        <v>8949424</v>
      </c>
      <c r="H1071">
        <v>858</v>
      </c>
      <c r="I1071">
        <v>165</v>
      </c>
      <c r="J1071">
        <v>1023</v>
      </c>
      <c r="K1071" t="b">
        <f>TrafficData[[#This Row],[disposedChallan]]+TrafficData[[#This Row],[pendingChallan]]=TrafficData[[#This Row],[totalChallan]]</f>
        <v>1</v>
      </c>
      <c r="L1071" t="b">
        <f>TrafficData[[#This Row],[pendingAmount]]+TrafficData[[#This Row],[disposedAmount]]=TrafficData[[#This Row],[totalAmount]]</f>
        <v>1</v>
      </c>
      <c r="M1071" t="b">
        <f>TrafficData[[#This Row],[pendingCourt]]+TrafficData[[#This Row],[disposedCourt]]=TrafficData[[#This Row],[totalCourt]]</f>
        <v>1</v>
      </c>
      <c r="N1071" s="8" t="b">
        <f>AND(TrafficData[[#This Row],[disposedChallan]]&lt;=TrafficData[[#This Row],[totalChallan]],TrafficData[[#This Row],[pendingChallan]]&lt;=TrafficData[[#This Row],[totalChallan]])</f>
        <v>1</v>
      </c>
      <c r="O1071" s="8" t="b">
        <f>AND(TrafficData[[#This Row],[pendingAmount]]&lt;=TrafficData[[#This Row],[totalAmount]],TrafficData[[#This Row],[disposedAmount]]&lt;=TrafficData[[#This Row],[totalAmount]])</f>
        <v>1</v>
      </c>
      <c r="P1071" s="8" t="b">
        <f>AND(TrafficData[[#This Row],[pendingCourt]]&lt;=TrafficData[[#This Row],[totalCourt]],TrafficData[[#This Row],[disposedCourt]]&lt;=TrafficData[[#This Row],[totalCourt]])</f>
        <v>1</v>
      </c>
    </row>
    <row r="1072" spans="1:16">
      <c r="A1072" s="1">
        <v>43075</v>
      </c>
      <c r="B1072">
        <v>10751</v>
      </c>
      <c r="C1072">
        <v>7711</v>
      </c>
      <c r="D1072">
        <v>3040</v>
      </c>
      <c r="E1072">
        <v>7036000</v>
      </c>
      <c r="F1072">
        <v>8611228</v>
      </c>
      <c r="G1072">
        <v>15647228</v>
      </c>
      <c r="H1072">
        <v>2667</v>
      </c>
      <c r="I1072">
        <v>740</v>
      </c>
      <c r="J1072">
        <v>3407</v>
      </c>
      <c r="K1072" t="b">
        <f>TrafficData[[#This Row],[disposedChallan]]+TrafficData[[#This Row],[pendingChallan]]=TrafficData[[#This Row],[totalChallan]]</f>
        <v>1</v>
      </c>
      <c r="L1072" t="b">
        <f>TrafficData[[#This Row],[pendingAmount]]+TrafficData[[#This Row],[disposedAmount]]=TrafficData[[#This Row],[totalAmount]]</f>
        <v>1</v>
      </c>
      <c r="M1072" t="b">
        <f>TrafficData[[#This Row],[pendingCourt]]+TrafficData[[#This Row],[disposedCourt]]=TrafficData[[#This Row],[totalCourt]]</f>
        <v>1</v>
      </c>
      <c r="N1072" s="8" t="b">
        <f>AND(TrafficData[[#This Row],[disposedChallan]]&lt;=TrafficData[[#This Row],[totalChallan]],TrafficData[[#This Row],[pendingChallan]]&lt;=TrafficData[[#This Row],[totalChallan]])</f>
        <v>1</v>
      </c>
      <c r="O1072" s="8" t="b">
        <f>AND(TrafficData[[#This Row],[pendingAmount]]&lt;=TrafficData[[#This Row],[totalAmount]],TrafficData[[#This Row],[disposedAmount]]&lt;=TrafficData[[#This Row],[totalAmount]])</f>
        <v>1</v>
      </c>
      <c r="P1072" s="8" t="b">
        <f>AND(TrafficData[[#This Row],[pendingCourt]]&lt;=TrafficData[[#This Row],[totalCourt]],TrafficData[[#This Row],[disposedCourt]]&lt;=TrafficData[[#This Row],[totalCourt]])</f>
        <v>1</v>
      </c>
    </row>
    <row r="1073" spans="1:16">
      <c r="A1073" s="1">
        <v>43076</v>
      </c>
      <c r="B1073">
        <v>2084</v>
      </c>
      <c r="C1073">
        <v>1204</v>
      </c>
      <c r="D1073">
        <v>880</v>
      </c>
      <c r="E1073">
        <v>1341050</v>
      </c>
      <c r="F1073">
        <v>6385342</v>
      </c>
      <c r="G1073">
        <v>7726392</v>
      </c>
      <c r="H1073">
        <v>781</v>
      </c>
      <c r="I1073">
        <v>123</v>
      </c>
      <c r="J1073">
        <v>904</v>
      </c>
      <c r="K1073" t="b">
        <f>TrafficData[[#This Row],[disposedChallan]]+TrafficData[[#This Row],[pendingChallan]]=TrafficData[[#This Row],[totalChallan]]</f>
        <v>1</v>
      </c>
      <c r="L1073" t="b">
        <f>TrafficData[[#This Row],[pendingAmount]]+TrafficData[[#This Row],[disposedAmount]]=TrafficData[[#This Row],[totalAmount]]</f>
        <v>1</v>
      </c>
      <c r="M1073" t="b">
        <f>TrafficData[[#This Row],[pendingCourt]]+TrafficData[[#This Row],[disposedCourt]]=TrafficData[[#This Row],[totalCourt]]</f>
        <v>1</v>
      </c>
      <c r="N1073" s="8" t="b">
        <f>AND(TrafficData[[#This Row],[disposedChallan]]&lt;=TrafficData[[#This Row],[totalChallan]],TrafficData[[#This Row],[pendingChallan]]&lt;=TrafficData[[#This Row],[totalChallan]])</f>
        <v>1</v>
      </c>
      <c r="O1073" s="8" t="b">
        <f>AND(TrafficData[[#This Row],[pendingAmount]]&lt;=TrafficData[[#This Row],[totalAmount]],TrafficData[[#This Row],[disposedAmount]]&lt;=TrafficData[[#This Row],[totalAmount]])</f>
        <v>1</v>
      </c>
      <c r="P1073" s="8" t="b">
        <f>AND(TrafficData[[#This Row],[pendingCourt]]&lt;=TrafficData[[#This Row],[totalCourt]],TrafficData[[#This Row],[disposedCourt]]&lt;=TrafficData[[#This Row],[totalCourt]])</f>
        <v>1</v>
      </c>
    </row>
    <row r="1074" spans="1:16">
      <c r="A1074" s="1">
        <v>43077</v>
      </c>
      <c r="B1074">
        <v>1748</v>
      </c>
      <c r="C1074">
        <v>944</v>
      </c>
      <c r="D1074">
        <v>804</v>
      </c>
      <c r="E1074">
        <v>1435350</v>
      </c>
      <c r="F1074">
        <v>6507051</v>
      </c>
      <c r="G1074">
        <v>7942401</v>
      </c>
      <c r="H1074">
        <v>659</v>
      </c>
      <c r="I1074">
        <v>136</v>
      </c>
      <c r="J1074">
        <v>795</v>
      </c>
      <c r="K1074" t="b">
        <f>TrafficData[[#This Row],[disposedChallan]]+TrafficData[[#This Row],[pendingChallan]]=TrafficData[[#This Row],[totalChallan]]</f>
        <v>1</v>
      </c>
      <c r="L1074" t="b">
        <f>TrafficData[[#This Row],[pendingAmount]]+TrafficData[[#This Row],[disposedAmount]]=TrafficData[[#This Row],[totalAmount]]</f>
        <v>1</v>
      </c>
      <c r="M1074" t="b">
        <f>TrafficData[[#This Row],[pendingCourt]]+TrafficData[[#This Row],[disposedCourt]]=TrafficData[[#This Row],[totalCourt]]</f>
        <v>1</v>
      </c>
      <c r="N1074" s="8" t="b">
        <f>AND(TrafficData[[#This Row],[disposedChallan]]&lt;=TrafficData[[#This Row],[totalChallan]],TrafficData[[#This Row],[pendingChallan]]&lt;=TrafficData[[#This Row],[totalChallan]])</f>
        <v>1</v>
      </c>
      <c r="O1074" s="8" t="b">
        <f>AND(TrafficData[[#This Row],[pendingAmount]]&lt;=TrafficData[[#This Row],[totalAmount]],TrafficData[[#This Row],[disposedAmount]]&lt;=TrafficData[[#This Row],[totalAmount]])</f>
        <v>1</v>
      </c>
      <c r="P1074" s="8" t="b">
        <f>AND(TrafficData[[#This Row],[pendingCourt]]&lt;=TrafficData[[#This Row],[totalCourt]],TrafficData[[#This Row],[disposedCourt]]&lt;=TrafficData[[#This Row],[totalCourt]])</f>
        <v>1</v>
      </c>
    </row>
    <row r="1075" spans="1:16">
      <c r="A1075" s="1">
        <v>43078</v>
      </c>
      <c r="B1075">
        <v>1373</v>
      </c>
      <c r="C1075">
        <v>726</v>
      </c>
      <c r="D1075">
        <v>647</v>
      </c>
      <c r="E1075">
        <v>1468400</v>
      </c>
      <c r="F1075">
        <v>7260380</v>
      </c>
      <c r="G1075">
        <v>8728780</v>
      </c>
      <c r="H1075">
        <v>545</v>
      </c>
      <c r="I1075">
        <v>115</v>
      </c>
      <c r="J1075">
        <v>660</v>
      </c>
      <c r="K1075" t="b">
        <f>TrafficData[[#This Row],[disposedChallan]]+TrafficData[[#This Row],[pendingChallan]]=TrafficData[[#This Row],[totalChallan]]</f>
        <v>1</v>
      </c>
      <c r="L1075" t="b">
        <f>TrafficData[[#This Row],[pendingAmount]]+TrafficData[[#This Row],[disposedAmount]]=TrafficData[[#This Row],[totalAmount]]</f>
        <v>1</v>
      </c>
      <c r="M1075" t="b">
        <f>TrafficData[[#This Row],[pendingCourt]]+TrafficData[[#This Row],[disposedCourt]]=TrafficData[[#This Row],[totalCourt]]</f>
        <v>1</v>
      </c>
      <c r="N1075" s="8" t="b">
        <f>AND(TrafficData[[#This Row],[disposedChallan]]&lt;=TrafficData[[#This Row],[totalChallan]],TrafficData[[#This Row],[pendingChallan]]&lt;=TrafficData[[#This Row],[totalChallan]])</f>
        <v>1</v>
      </c>
      <c r="O1075" s="8" t="b">
        <f>AND(TrafficData[[#This Row],[pendingAmount]]&lt;=TrafficData[[#This Row],[totalAmount]],TrafficData[[#This Row],[disposedAmount]]&lt;=TrafficData[[#This Row],[totalAmount]])</f>
        <v>1</v>
      </c>
      <c r="P1075" s="8" t="b">
        <f>AND(TrafficData[[#This Row],[pendingCourt]]&lt;=TrafficData[[#This Row],[totalCourt]],TrafficData[[#This Row],[disposedCourt]]&lt;=TrafficData[[#This Row],[totalCourt]])</f>
        <v>1</v>
      </c>
    </row>
    <row r="1076" spans="1:16">
      <c r="A1076" s="1">
        <v>43079</v>
      </c>
      <c r="B1076">
        <v>863</v>
      </c>
      <c r="C1076">
        <v>466</v>
      </c>
      <c r="D1076">
        <v>397</v>
      </c>
      <c r="E1076">
        <v>541700</v>
      </c>
      <c r="F1076">
        <v>2660632</v>
      </c>
      <c r="G1076">
        <v>3202332</v>
      </c>
      <c r="H1076">
        <v>353</v>
      </c>
      <c r="I1076">
        <v>53</v>
      </c>
      <c r="J1076">
        <v>406</v>
      </c>
      <c r="K1076" t="b">
        <f>TrafficData[[#This Row],[disposedChallan]]+TrafficData[[#This Row],[pendingChallan]]=TrafficData[[#This Row],[totalChallan]]</f>
        <v>1</v>
      </c>
      <c r="L1076" t="b">
        <f>TrafficData[[#This Row],[pendingAmount]]+TrafficData[[#This Row],[disposedAmount]]=TrafficData[[#This Row],[totalAmount]]</f>
        <v>1</v>
      </c>
      <c r="M1076" t="b">
        <f>TrafficData[[#This Row],[pendingCourt]]+TrafficData[[#This Row],[disposedCourt]]=TrafficData[[#This Row],[totalCourt]]</f>
        <v>1</v>
      </c>
      <c r="N1076" s="8" t="b">
        <f>AND(TrafficData[[#This Row],[disposedChallan]]&lt;=TrafficData[[#This Row],[totalChallan]],TrafficData[[#This Row],[pendingChallan]]&lt;=TrafficData[[#This Row],[totalChallan]])</f>
        <v>1</v>
      </c>
      <c r="O1076" s="8" t="b">
        <f>AND(TrafficData[[#This Row],[pendingAmount]]&lt;=TrafficData[[#This Row],[totalAmount]],TrafficData[[#This Row],[disposedAmount]]&lt;=TrafficData[[#This Row],[totalAmount]])</f>
        <v>1</v>
      </c>
      <c r="P1076" s="8" t="b">
        <f>AND(TrafficData[[#This Row],[pendingCourt]]&lt;=TrafficData[[#This Row],[totalCourt]],TrafficData[[#This Row],[disposedCourt]]&lt;=TrafficData[[#This Row],[totalCourt]])</f>
        <v>1</v>
      </c>
    </row>
    <row r="1077" spans="1:16">
      <c r="A1077" s="1">
        <v>43080</v>
      </c>
      <c r="B1077">
        <v>1720</v>
      </c>
      <c r="C1077">
        <v>855</v>
      </c>
      <c r="D1077">
        <v>865</v>
      </c>
      <c r="E1077">
        <v>1452650</v>
      </c>
      <c r="F1077">
        <v>7112407</v>
      </c>
      <c r="G1077">
        <v>8565057</v>
      </c>
      <c r="H1077">
        <v>752</v>
      </c>
      <c r="I1077">
        <v>104</v>
      </c>
      <c r="J1077">
        <v>856</v>
      </c>
      <c r="K1077" t="b">
        <f>TrafficData[[#This Row],[disposedChallan]]+TrafficData[[#This Row],[pendingChallan]]=TrafficData[[#This Row],[totalChallan]]</f>
        <v>1</v>
      </c>
      <c r="L1077" t="b">
        <f>TrafficData[[#This Row],[pendingAmount]]+TrafficData[[#This Row],[disposedAmount]]=TrafficData[[#This Row],[totalAmount]]</f>
        <v>1</v>
      </c>
      <c r="M1077" t="b">
        <f>TrafficData[[#This Row],[pendingCourt]]+TrafficData[[#This Row],[disposedCourt]]=TrafficData[[#This Row],[totalCourt]]</f>
        <v>1</v>
      </c>
      <c r="N1077" s="8" t="b">
        <f>AND(TrafficData[[#This Row],[disposedChallan]]&lt;=TrafficData[[#This Row],[totalChallan]],TrafficData[[#This Row],[pendingChallan]]&lt;=TrafficData[[#This Row],[totalChallan]])</f>
        <v>1</v>
      </c>
      <c r="O1077" s="8" t="b">
        <f>AND(TrafficData[[#This Row],[pendingAmount]]&lt;=TrafficData[[#This Row],[totalAmount]],TrafficData[[#This Row],[disposedAmount]]&lt;=TrafficData[[#This Row],[totalAmount]])</f>
        <v>1</v>
      </c>
      <c r="P1077" s="8" t="b">
        <f>AND(TrafficData[[#This Row],[pendingCourt]]&lt;=TrafficData[[#This Row],[totalCourt]],TrafficData[[#This Row],[disposedCourt]]&lt;=TrafficData[[#This Row],[totalCourt]])</f>
        <v>1</v>
      </c>
    </row>
    <row r="1078" spans="1:16">
      <c r="A1078" s="1">
        <v>43081</v>
      </c>
      <c r="B1078">
        <v>2340</v>
      </c>
      <c r="C1078">
        <v>1209</v>
      </c>
      <c r="D1078">
        <v>1131</v>
      </c>
      <c r="E1078">
        <v>1518850</v>
      </c>
      <c r="F1078">
        <v>6875065</v>
      </c>
      <c r="G1078">
        <v>8393915</v>
      </c>
      <c r="H1078">
        <v>970</v>
      </c>
      <c r="I1078">
        <v>116</v>
      </c>
      <c r="J1078">
        <v>1086</v>
      </c>
      <c r="K1078" t="b">
        <f>TrafficData[[#This Row],[disposedChallan]]+TrafficData[[#This Row],[pendingChallan]]=TrafficData[[#This Row],[totalChallan]]</f>
        <v>1</v>
      </c>
      <c r="L1078" t="b">
        <f>TrafficData[[#This Row],[pendingAmount]]+TrafficData[[#This Row],[disposedAmount]]=TrafficData[[#This Row],[totalAmount]]</f>
        <v>1</v>
      </c>
      <c r="M1078" t="b">
        <f>TrafficData[[#This Row],[pendingCourt]]+TrafficData[[#This Row],[disposedCourt]]=TrafficData[[#This Row],[totalCourt]]</f>
        <v>1</v>
      </c>
      <c r="N1078" s="8" t="b">
        <f>AND(TrafficData[[#This Row],[disposedChallan]]&lt;=TrafficData[[#This Row],[totalChallan]],TrafficData[[#This Row],[pendingChallan]]&lt;=TrafficData[[#This Row],[totalChallan]])</f>
        <v>1</v>
      </c>
      <c r="O1078" s="8" t="b">
        <f>AND(TrafficData[[#This Row],[pendingAmount]]&lt;=TrafficData[[#This Row],[totalAmount]],TrafficData[[#This Row],[disposedAmount]]&lt;=TrafficData[[#This Row],[totalAmount]])</f>
        <v>1</v>
      </c>
      <c r="P1078" s="8" t="b">
        <f>AND(TrafficData[[#This Row],[pendingCourt]]&lt;=TrafficData[[#This Row],[totalCourt]],TrafficData[[#This Row],[disposedCourt]]&lt;=TrafficData[[#This Row],[totalCourt]])</f>
        <v>1</v>
      </c>
    </row>
    <row r="1079" spans="1:16">
      <c r="A1079" s="1">
        <v>43082</v>
      </c>
      <c r="B1079">
        <v>9647</v>
      </c>
      <c r="C1079">
        <v>6805</v>
      </c>
      <c r="D1079">
        <v>2842</v>
      </c>
      <c r="E1079">
        <v>6610425</v>
      </c>
      <c r="F1079">
        <v>7308125</v>
      </c>
      <c r="G1079">
        <v>13918550</v>
      </c>
      <c r="H1079">
        <v>2495</v>
      </c>
      <c r="I1079">
        <v>675</v>
      </c>
      <c r="J1079">
        <v>3170</v>
      </c>
      <c r="K1079" t="b">
        <f>TrafficData[[#This Row],[disposedChallan]]+TrafficData[[#This Row],[pendingChallan]]=TrafficData[[#This Row],[totalChallan]]</f>
        <v>1</v>
      </c>
      <c r="L1079" t="b">
        <f>TrafficData[[#This Row],[pendingAmount]]+TrafficData[[#This Row],[disposedAmount]]=TrafficData[[#This Row],[totalAmount]]</f>
        <v>1</v>
      </c>
      <c r="M1079" t="b">
        <f>TrafficData[[#This Row],[pendingCourt]]+TrafficData[[#This Row],[disposedCourt]]=TrafficData[[#This Row],[totalCourt]]</f>
        <v>1</v>
      </c>
      <c r="N1079" s="8" t="b">
        <f>AND(TrafficData[[#This Row],[disposedChallan]]&lt;=TrafficData[[#This Row],[totalChallan]],TrafficData[[#This Row],[pendingChallan]]&lt;=TrafficData[[#This Row],[totalChallan]])</f>
        <v>1</v>
      </c>
      <c r="O1079" s="8" t="b">
        <f>AND(TrafficData[[#This Row],[pendingAmount]]&lt;=TrafficData[[#This Row],[totalAmount]],TrafficData[[#This Row],[disposedAmount]]&lt;=TrafficData[[#This Row],[totalAmount]])</f>
        <v>1</v>
      </c>
      <c r="P1079" s="8" t="b">
        <f>AND(TrafficData[[#This Row],[pendingCourt]]&lt;=TrafficData[[#This Row],[totalCourt]],TrafficData[[#This Row],[disposedCourt]]&lt;=TrafficData[[#This Row],[totalCourt]])</f>
        <v>1</v>
      </c>
    </row>
    <row r="1080" spans="1:16">
      <c r="A1080" s="1">
        <v>43083</v>
      </c>
      <c r="B1080">
        <v>1984</v>
      </c>
      <c r="C1080">
        <v>949</v>
      </c>
      <c r="D1080">
        <v>1035</v>
      </c>
      <c r="E1080">
        <v>1415450</v>
      </c>
      <c r="F1080">
        <v>6350423</v>
      </c>
      <c r="G1080">
        <v>7765873</v>
      </c>
      <c r="H1080">
        <v>857</v>
      </c>
      <c r="I1080">
        <v>97</v>
      </c>
      <c r="J1080">
        <v>954</v>
      </c>
      <c r="K1080" t="b">
        <f>TrafficData[[#This Row],[disposedChallan]]+TrafficData[[#This Row],[pendingChallan]]=TrafficData[[#This Row],[totalChallan]]</f>
        <v>1</v>
      </c>
      <c r="L1080" t="b">
        <f>TrafficData[[#This Row],[pendingAmount]]+TrafficData[[#This Row],[disposedAmount]]=TrafficData[[#This Row],[totalAmount]]</f>
        <v>1</v>
      </c>
      <c r="M1080" t="b">
        <f>TrafficData[[#This Row],[pendingCourt]]+TrafficData[[#This Row],[disposedCourt]]=TrafficData[[#This Row],[totalCourt]]</f>
        <v>1</v>
      </c>
      <c r="N1080" s="8" t="b">
        <f>AND(TrafficData[[#This Row],[disposedChallan]]&lt;=TrafficData[[#This Row],[totalChallan]],TrafficData[[#This Row],[pendingChallan]]&lt;=TrafficData[[#This Row],[totalChallan]])</f>
        <v>1</v>
      </c>
      <c r="O1080" s="8" t="b">
        <f>AND(TrafficData[[#This Row],[pendingAmount]]&lt;=TrafficData[[#This Row],[totalAmount]],TrafficData[[#This Row],[disposedAmount]]&lt;=TrafficData[[#This Row],[totalAmount]])</f>
        <v>1</v>
      </c>
      <c r="P1080" s="8" t="b">
        <f>AND(TrafficData[[#This Row],[pendingCourt]]&lt;=TrafficData[[#This Row],[totalCourt]],TrafficData[[#This Row],[disposedCourt]]&lt;=TrafficData[[#This Row],[totalCourt]])</f>
        <v>1</v>
      </c>
    </row>
    <row r="1081" spans="1:16">
      <c r="A1081" s="1">
        <v>43084</v>
      </c>
      <c r="B1081">
        <v>2244</v>
      </c>
      <c r="C1081">
        <v>1038</v>
      </c>
      <c r="D1081">
        <v>1206</v>
      </c>
      <c r="E1081">
        <v>2534800</v>
      </c>
      <c r="F1081">
        <v>8205091</v>
      </c>
      <c r="G1081">
        <v>10739891</v>
      </c>
      <c r="H1081">
        <v>827</v>
      </c>
      <c r="I1081">
        <v>109</v>
      </c>
      <c r="J1081">
        <v>936</v>
      </c>
      <c r="K1081" t="b">
        <f>TrafficData[[#This Row],[disposedChallan]]+TrafficData[[#This Row],[pendingChallan]]=TrafficData[[#This Row],[totalChallan]]</f>
        <v>1</v>
      </c>
      <c r="L1081" t="b">
        <f>TrafficData[[#This Row],[pendingAmount]]+TrafficData[[#This Row],[disposedAmount]]=TrafficData[[#This Row],[totalAmount]]</f>
        <v>1</v>
      </c>
      <c r="M1081" t="b">
        <f>TrafficData[[#This Row],[pendingCourt]]+TrafficData[[#This Row],[disposedCourt]]=TrafficData[[#This Row],[totalCourt]]</f>
        <v>1</v>
      </c>
      <c r="N1081" s="8" t="b">
        <f>AND(TrafficData[[#This Row],[disposedChallan]]&lt;=TrafficData[[#This Row],[totalChallan]],TrafficData[[#This Row],[pendingChallan]]&lt;=TrafficData[[#This Row],[totalChallan]])</f>
        <v>1</v>
      </c>
      <c r="O1081" s="8" t="b">
        <f>AND(TrafficData[[#This Row],[pendingAmount]]&lt;=TrafficData[[#This Row],[totalAmount]],TrafficData[[#This Row],[disposedAmount]]&lt;=TrafficData[[#This Row],[totalAmount]])</f>
        <v>1</v>
      </c>
      <c r="P1081" s="8" t="b">
        <f>AND(TrafficData[[#This Row],[pendingCourt]]&lt;=TrafficData[[#This Row],[totalCourt]],TrafficData[[#This Row],[disposedCourt]]&lt;=TrafficData[[#This Row],[totalCourt]])</f>
        <v>1</v>
      </c>
    </row>
    <row r="1082" spans="1:16">
      <c r="A1082" s="1">
        <v>43085</v>
      </c>
      <c r="B1082">
        <v>1565</v>
      </c>
      <c r="C1082">
        <v>889</v>
      </c>
      <c r="D1082">
        <v>676</v>
      </c>
      <c r="E1082">
        <v>1392660</v>
      </c>
      <c r="F1082">
        <v>6769041</v>
      </c>
      <c r="G1082">
        <v>8161701</v>
      </c>
      <c r="H1082">
        <v>563</v>
      </c>
      <c r="I1082">
        <v>111</v>
      </c>
      <c r="J1082">
        <v>674</v>
      </c>
      <c r="K1082" t="b">
        <f>TrafficData[[#This Row],[disposedChallan]]+TrafficData[[#This Row],[pendingChallan]]=TrafficData[[#This Row],[totalChallan]]</f>
        <v>1</v>
      </c>
      <c r="L1082" t="b">
        <f>TrafficData[[#This Row],[pendingAmount]]+TrafficData[[#This Row],[disposedAmount]]=TrafficData[[#This Row],[totalAmount]]</f>
        <v>1</v>
      </c>
      <c r="M1082" t="b">
        <f>TrafficData[[#This Row],[pendingCourt]]+TrafficData[[#This Row],[disposedCourt]]=TrafficData[[#This Row],[totalCourt]]</f>
        <v>1</v>
      </c>
      <c r="N1082" s="8" t="b">
        <f>AND(TrafficData[[#This Row],[disposedChallan]]&lt;=TrafficData[[#This Row],[totalChallan]],TrafficData[[#This Row],[pendingChallan]]&lt;=TrafficData[[#This Row],[totalChallan]])</f>
        <v>1</v>
      </c>
      <c r="O1082" s="8" t="b">
        <f>AND(TrafficData[[#This Row],[pendingAmount]]&lt;=TrafficData[[#This Row],[totalAmount]],TrafficData[[#This Row],[disposedAmount]]&lt;=TrafficData[[#This Row],[totalAmount]])</f>
        <v>1</v>
      </c>
      <c r="P1082" s="8" t="b">
        <f>AND(TrafficData[[#This Row],[pendingCourt]]&lt;=TrafficData[[#This Row],[totalCourt]],TrafficData[[#This Row],[disposedCourt]]&lt;=TrafficData[[#This Row],[totalCourt]])</f>
        <v>1</v>
      </c>
    </row>
    <row r="1083" spans="1:16">
      <c r="A1083" s="1">
        <v>43086</v>
      </c>
      <c r="B1083">
        <v>944</v>
      </c>
      <c r="C1083">
        <v>474</v>
      </c>
      <c r="D1083">
        <v>470</v>
      </c>
      <c r="E1083">
        <v>1074800</v>
      </c>
      <c r="F1083">
        <v>2962500</v>
      </c>
      <c r="G1083">
        <v>4037300</v>
      </c>
      <c r="H1083">
        <v>371</v>
      </c>
      <c r="I1083">
        <v>54</v>
      </c>
      <c r="J1083">
        <v>425</v>
      </c>
      <c r="K1083" t="b">
        <f>TrafficData[[#This Row],[disposedChallan]]+TrafficData[[#This Row],[pendingChallan]]=TrafficData[[#This Row],[totalChallan]]</f>
        <v>1</v>
      </c>
      <c r="L1083" t="b">
        <f>TrafficData[[#This Row],[pendingAmount]]+TrafficData[[#This Row],[disposedAmount]]=TrafficData[[#This Row],[totalAmount]]</f>
        <v>1</v>
      </c>
      <c r="M1083" t="b">
        <f>TrafficData[[#This Row],[pendingCourt]]+TrafficData[[#This Row],[disposedCourt]]=TrafficData[[#This Row],[totalCourt]]</f>
        <v>1</v>
      </c>
      <c r="N1083" s="8" t="b">
        <f>AND(TrafficData[[#This Row],[disposedChallan]]&lt;=TrafficData[[#This Row],[totalChallan]],TrafficData[[#This Row],[pendingChallan]]&lt;=TrafficData[[#This Row],[totalChallan]])</f>
        <v>1</v>
      </c>
      <c r="O1083" s="8" t="b">
        <f>AND(TrafficData[[#This Row],[pendingAmount]]&lt;=TrafficData[[#This Row],[totalAmount]],TrafficData[[#This Row],[disposedAmount]]&lt;=TrafficData[[#This Row],[totalAmount]])</f>
        <v>1</v>
      </c>
      <c r="P1083" s="8" t="b">
        <f>AND(TrafficData[[#This Row],[pendingCourt]]&lt;=TrafficData[[#This Row],[totalCourt]],TrafficData[[#This Row],[disposedCourt]]&lt;=TrafficData[[#This Row],[totalCourt]])</f>
        <v>1</v>
      </c>
    </row>
    <row r="1084" spans="1:16">
      <c r="A1084" s="1">
        <v>43087</v>
      </c>
      <c r="B1084">
        <v>1591</v>
      </c>
      <c r="C1084">
        <v>530</v>
      </c>
      <c r="D1084">
        <v>1061</v>
      </c>
      <c r="E1084">
        <v>1058500</v>
      </c>
      <c r="F1084">
        <v>2571625</v>
      </c>
      <c r="G1084">
        <v>3630125</v>
      </c>
      <c r="H1084">
        <v>881</v>
      </c>
      <c r="I1084">
        <v>91</v>
      </c>
      <c r="J1084">
        <v>972</v>
      </c>
      <c r="K1084" t="b">
        <f>TrafficData[[#This Row],[disposedChallan]]+TrafficData[[#This Row],[pendingChallan]]=TrafficData[[#This Row],[totalChallan]]</f>
        <v>1</v>
      </c>
      <c r="L1084" t="b">
        <f>TrafficData[[#This Row],[pendingAmount]]+TrafficData[[#This Row],[disposedAmount]]=TrafficData[[#This Row],[totalAmount]]</f>
        <v>1</v>
      </c>
      <c r="M1084" t="b">
        <f>TrafficData[[#This Row],[pendingCourt]]+TrafficData[[#This Row],[disposedCourt]]=TrafficData[[#This Row],[totalCourt]]</f>
        <v>1</v>
      </c>
      <c r="N1084" s="8" t="b">
        <f>AND(TrafficData[[#This Row],[disposedChallan]]&lt;=TrafficData[[#This Row],[totalChallan]],TrafficData[[#This Row],[pendingChallan]]&lt;=TrafficData[[#This Row],[totalChallan]])</f>
        <v>1</v>
      </c>
      <c r="O1084" s="8" t="b">
        <f>AND(TrafficData[[#This Row],[pendingAmount]]&lt;=TrafficData[[#This Row],[totalAmount]],TrafficData[[#This Row],[disposedAmount]]&lt;=TrafficData[[#This Row],[totalAmount]])</f>
        <v>1</v>
      </c>
      <c r="P1084" s="8" t="b">
        <f>AND(TrafficData[[#This Row],[pendingCourt]]&lt;=TrafficData[[#This Row],[totalCourt]],TrafficData[[#This Row],[disposedCourt]]&lt;=TrafficData[[#This Row],[totalCourt]])</f>
        <v>1</v>
      </c>
    </row>
    <row r="1085" spans="1:16">
      <c r="A1085" s="1">
        <v>43088</v>
      </c>
      <c r="B1085">
        <v>1766</v>
      </c>
      <c r="C1085">
        <v>858</v>
      </c>
      <c r="D1085">
        <v>908</v>
      </c>
      <c r="E1085">
        <v>1650899</v>
      </c>
      <c r="F1085">
        <v>6936165</v>
      </c>
      <c r="G1085">
        <v>8587064</v>
      </c>
      <c r="H1085">
        <v>730</v>
      </c>
      <c r="I1085">
        <v>119</v>
      </c>
      <c r="J1085">
        <v>849</v>
      </c>
      <c r="K1085" t="b">
        <f>TrafficData[[#This Row],[disposedChallan]]+TrafficData[[#This Row],[pendingChallan]]=TrafficData[[#This Row],[totalChallan]]</f>
        <v>1</v>
      </c>
      <c r="L1085" t="b">
        <f>TrafficData[[#This Row],[pendingAmount]]+TrafficData[[#This Row],[disposedAmount]]=TrafficData[[#This Row],[totalAmount]]</f>
        <v>1</v>
      </c>
      <c r="M1085" t="b">
        <f>TrafficData[[#This Row],[pendingCourt]]+TrafficData[[#This Row],[disposedCourt]]=TrafficData[[#This Row],[totalCourt]]</f>
        <v>1</v>
      </c>
      <c r="N1085" s="8" t="b">
        <f>AND(TrafficData[[#This Row],[disposedChallan]]&lt;=TrafficData[[#This Row],[totalChallan]],TrafficData[[#This Row],[pendingChallan]]&lt;=TrafficData[[#This Row],[totalChallan]])</f>
        <v>1</v>
      </c>
      <c r="O1085" s="8" t="b">
        <f>AND(TrafficData[[#This Row],[pendingAmount]]&lt;=TrafficData[[#This Row],[totalAmount]],TrafficData[[#This Row],[disposedAmount]]&lt;=TrafficData[[#This Row],[totalAmount]])</f>
        <v>1</v>
      </c>
      <c r="P1085" s="8" t="b">
        <f>AND(TrafficData[[#This Row],[pendingCourt]]&lt;=TrafficData[[#This Row],[totalCourt]],TrafficData[[#This Row],[disposedCourt]]&lt;=TrafficData[[#This Row],[totalCourt]])</f>
        <v>1</v>
      </c>
    </row>
    <row r="1086" spans="1:16">
      <c r="A1086" s="1">
        <v>43089</v>
      </c>
      <c r="B1086">
        <v>10795</v>
      </c>
      <c r="C1086">
        <v>7523</v>
      </c>
      <c r="D1086">
        <v>3272</v>
      </c>
      <c r="E1086">
        <v>7149300</v>
      </c>
      <c r="F1086">
        <v>10140551</v>
      </c>
      <c r="G1086">
        <v>17289851</v>
      </c>
      <c r="H1086">
        <v>2770</v>
      </c>
      <c r="I1086">
        <v>641</v>
      </c>
      <c r="J1086">
        <v>3411</v>
      </c>
      <c r="K1086" t="b">
        <f>TrafficData[[#This Row],[disposedChallan]]+TrafficData[[#This Row],[pendingChallan]]=TrafficData[[#This Row],[totalChallan]]</f>
        <v>1</v>
      </c>
      <c r="L1086" t="b">
        <f>TrafficData[[#This Row],[pendingAmount]]+TrafficData[[#This Row],[disposedAmount]]=TrafficData[[#This Row],[totalAmount]]</f>
        <v>1</v>
      </c>
      <c r="M1086" t="b">
        <f>TrafficData[[#This Row],[pendingCourt]]+TrafficData[[#This Row],[disposedCourt]]=TrafficData[[#This Row],[totalCourt]]</f>
        <v>1</v>
      </c>
      <c r="N1086" s="8" t="b">
        <f>AND(TrafficData[[#This Row],[disposedChallan]]&lt;=TrafficData[[#This Row],[totalChallan]],TrafficData[[#This Row],[pendingChallan]]&lt;=TrafficData[[#This Row],[totalChallan]])</f>
        <v>1</v>
      </c>
      <c r="O1086" s="8" t="b">
        <f>AND(TrafficData[[#This Row],[pendingAmount]]&lt;=TrafficData[[#This Row],[totalAmount]],TrafficData[[#This Row],[disposedAmount]]&lt;=TrafficData[[#This Row],[totalAmount]])</f>
        <v>1</v>
      </c>
      <c r="P1086" s="8" t="b">
        <f>AND(TrafficData[[#This Row],[pendingCourt]]&lt;=TrafficData[[#This Row],[totalCourt]],TrafficData[[#This Row],[disposedCourt]]&lt;=TrafficData[[#This Row],[totalCourt]])</f>
        <v>1</v>
      </c>
    </row>
    <row r="1087" spans="1:16">
      <c r="A1087" s="1">
        <v>43090</v>
      </c>
      <c r="B1087">
        <v>2302</v>
      </c>
      <c r="C1087">
        <v>1258</v>
      </c>
      <c r="D1087">
        <v>1044</v>
      </c>
      <c r="E1087">
        <v>2390626</v>
      </c>
      <c r="F1087">
        <v>12242482</v>
      </c>
      <c r="G1087">
        <v>14633108</v>
      </c>
      <c r="H1087">
        <v>753</v>
      </c>
      <c r="I1087">
        <v>185</v>
      </c>
      <c r="J1087">
        <v>938</v>
      </c>
      <c r="K1087" t="b">
        <f>TrafficData[[#This Row],[disposedChallan]]+TrafficData[[#This Row],[pendingChallan]]=TrafficData[[#This Row],[totalChallan]]</f>
        <v>1</v>
      </c>
      <c r="L1087" t="b">
        <f>TrafficData[[#This Row],[pendingAmount]]+TrafficData[[#This Row],[disposedAmount]]=TrafficData[[#This Row],[totalAmount]]</f>
        <v>1</v>
      </c>
      <c r="M1087" t="b">
        <f>TrafficData[[#This Row],[pendingCourt]]+TrafficData[[#This Row],[disposedCourt]]=TrafficData[[#This Row],[totalCourt]]</f>
        <v>1</v>
      </c>
      <c r="N1087" s="8" t="b">
        <f>AND(TrafficData[[#This Row],[disposedChallan]]&lt;=TrafficData[[#This Row],[totalChallan]],TrafficData[[#This Row],[pendingChallan]]&lt;=TrafficData[[#This Row],[totalChallan]])</f>
        <v>1</v>
      </c>
      <c r="O1087" s="8" t="b">
        <f>AND(TrafficData[[#This Row],[pendingAmount]]&lt;=TrafficData[[#This Row],[totalAmount]],TrafficData[[#This Row],[disposedAmount]]&lt;=TrafficData[[#This Row],[totalAmount]])</f>
        <v>1</v>
      </c>
      <c r="P1087" s="8" t="b">
        <f>AND(TrafficData[[#This Row],[pendingCourt]]&lt;=TrafficData[[#This Row],[totalCourt]],TrafficData[[#This Row],[disposedCourt]]&lt;=TrafficData[[#This Row],[totalCourt]])</f>
        <v>1</v>
      </c>
    </row>
    <row r="1088" spans="1:16">
      <c r="A1088" s="1">
        <v>43091</v>
      </c>
      <c r="B1088">
        <v>1828</v>
      </c>
      <c r="C1088">
        <v>1203</v>
      </c>
      <c r="D1088">
        <v>625</v>
      </c>
      <c r="E1088">
        <v>1646948</v>
      </c>
      <c r="F1088">
        <v>9093705</v>
      </c>
      <c r="G1088">
        <v>10740653</v>
      </c>
      <c r="H1088">
        <v>420</v>
      </c>
      <c r="I1088">
        <v>141</v>
      </c>
      <c r="J1088">
        <v>561</v>
      </c>
      <c r="K1088" t="b">
        <f>TrafficData[[#This Row],[disposedChallan]]+TrafficData[[#This Row],[pendingChallan]]=TrafficData[[#This Row],[totalChallan]]</f>
        <v>1</v>
      </c>
      <c r="L1088" t="b">
        <f>TrafficData[[#This Row],[pendingAmount]]+TrafficData[[#This Row],[disposedAmount]]=TrafficData[[#This Row],[totalAmount]]</f>
        <v>1</v>
      </c>
      <c r="M1088" t="b">
        <f>TrafficData[[#This Row],[pendingCourt]]+TrafficData[[#This Row],[disposedCourt]]=TrafficData[[#This Row],[totalCourt]]</f>
        <v>1</v>
      </c>
      <c r="N1088" s="8" t="b">
        <f>AND(TrafficData[[#This Row],[disposedChallan]]&lt;=TrafficData[[#This Row],[totalChallan]],TrafficData[[#This Row],[pendingChallan]]&lt;=TrafficData[[#This Row],[totalChallan]])</f>
        <v>1</v>
      </c>
      <c r="O1088" s="8" t="b">
        <f>AND(TrafficData[[#This Row],[pendingAmount]]&lt;=TrafficData[[#This Row],[totalAmount]],TrafficData[[#This Row],[disposedAmount]]&lt;=TrafficData[[#This Row],[totalAmount]])</f>
        <v>1</v>
      </c>
      <c r="P1088" s="8" t="b">
        <f>AND(TrafficData[[#This Row],[pendingCourt]]&lt;=TrafficData[[#This Row],[totalCourt]],TrafficData[[#This Row],[disposedCourt]]&lt;=TrafficData[[#This Row],[totalCourt]])</f>
        <v>1</v>
      </c>
    </row>
    <row r="1089" spans="1:16">
      <c r="A1089" s="1">
        <v>43092</v>
      </c>
      <c r="B1089">
        <v>1521</v>
      </c>
      <c r="C1089">
        <v>1041</v>
      </c>
      <c r="D1089">
        <v>480</v>
      </c>
      <c r="E1089">
        <v>1977650</v>
      </c>
      <c r="F1089">
        <v>9089165</v>
      </c>
      <c r="G1089">
        <v>11066815</v>
      </c>
      <c r="H1089">
        <v>312</v>
      </c>
      <c r="I1089">
        <v>101</v>
      </c>
      <c r="J1089">
        <v>413</v>
      </c>
      <c r="K1089" t="b">
        <f>TrafficData[[#This Row],[disposedChallan]]+TrafficData[[#This Row],[pendingChallan]]=TrafficData[[#This Row],[totalChallan]]</f>
        <v>1</v>
      </c>
      <c r="L1089" t="b">
        <f>TrafficData[[#This Row],[pendingAmount]]+TrafficData[[#This Row],[disposedAmount]]=TrafficData[[#This Row],[totalAmount]]</f>
        <v>1</v>
      </c>
      <c r="M1089" t="b">
        <f>TrafficData[[#This Row],[pendingCourt]]+TrafficData[[#This Row],[disposedCourt]]=TrafficData[[#This Row],[totalCourt]]</f>
        <v>1</v>
      </c>
      <c r="N1089" s="8" t="b">
        <f>AND(TrafficData[[#This Row],[disposedChallan]]&lt;=TrafficData[[#This Row],[totalChallan]],TrafficData[[#This Row],[pendingChallan]]&lt;=TrafficData[[#This Row],[totalChallan]])</f>
        <v>1</v>
      </c>
      <c r="O1089" s="8" t="b">
        <f>AND(TrafficData[[#This Row],[pendingAmount]]&lt;=TrafficData[[#This Row],[totalAmount]],TrafficData[[#This Row],[disposedAmount]]&lt;=TrafficData[[#This Row],[totalAmount]])</f>
        <v>1</v>
      </c>
      <c r="P1089" s="8" t="b">
        <f>AND(TrafficData[[#This Row],[pendingCourt]]&lt;=TrafficData[[#This Row],[totalCourt]],TrafficData[[#This Row],[disposedCourt]]&lt;=TrafficData[[#This Row],[totalCourt]])</f>
        <v>1</v>
      </c>
    </row>
    <row r="1090" spans="1:16">
      <c r="A1090" s="1">
        <v>43093</v>
      </c>
      <c r="B1090">
        <v>709</v>
      </c>
      <c r="C1090">
        <v>419</v>
      </c>
      <c r="D1090">
        <v>290</v>
      </c>
      <c r="E1090">
        <v>1132200</v>
      </c>
      <c r="F1090">
        <v>3794710</v>
      </c>
      <c r="G1090">
        <v>4926910</v>
      </c>
      <c r="H1090">
        <v>202</v>
      </c>
      <c r="I1090">
        <v>42</v>
      </c>
      <c r="J1090">
        <v>244</v>
      </c>
      <c r="K1090" t="b">
        <f>TrafficData[[#This Row],[disposedChallan]]+TrafficData[[#This Row],[pendingChallan]]=TrafficData[[#This Row],[totalChallan]]</f>
        <v>1</v>
      </c>
      <c r="L1090" t="b">
        <f>TrafficData[[#This Row],[pendingAmount]]+TrafficData[[#This Row],[disposedAmount]]=TrafficData[[#This Row],[totalAmount]]</f>
        <v>1</v>
      </c>
      <c r="M1090" t="b">
        <f>TrafficData[[#This Row],[pendingCourt]]+TrafficData[[#This Row],[disposedCourt]]=TrafficData[[#This Row],[totalCourt]]</f>
        <v>1</v>
      </c>
      <c r="N1090" s="8" t="b">
        <f>AND(TrafficData[[#This Row],[disposedChallan]]&lt;=TrafficData[[#This Row],[totalChallan]],TrafficData[[#This Row],[pendingChallan]]&lt;=TrafficData[[#This Row],[totalChallan]])</f>
        <v>1</v>
      </c>
      <c r="O1090" s="8" t="b">
        <f>AND(TrafficData[[#This Row],[pendingAmount]]&lt;=TrafficData[[#This Row],[totalAmount]],TrafficData[[#This Row],[disposedAmount]]&lt;=TrafficData[[#This Row],[totalAmount]])</f>
        <v>1</v>
      </c>
      <c r="P1090" s="8" t="b">
        <f>AND(TrafficData[[#This Row],[pendingCourt]]&lt;=TrafficData[[#This Row],[totalCourt]],TrafficData[[#This Row],[disposedCourt]]&lt;=TrafficData[[#This Row],[totalCourt]])</f>
        <v>1</v>
      </c>
    </row>
    <row r="1091" spans="1:16">
      <c r="A1091" s="1">
        <v>43094</v>
      </c>
      <c r="B1091">
        <v>763</v>
      </c>
      <c r="C1091">
        <v>474</v>
      </c>
      <c r="D1091">
        <v>289</v>
      </c>
      <c r="E1091">
        <v>710150</v>
      </c>
      <c r="F1091">
        <v>3563430</v>
      </c>
      <c r="G1091">
        <v>4273580</v>
      </c>
      <c r="H1091">
        <v>201</v>
      </c>
      <c r="I1091">
        <v>40</v>
      </c>
      <c r="J1091">
        <v>241</v>
      </c>
      <c r="K1091" t="b">
        <f>TrafficData[[#This Row],[disposedChallan]]+TrafficData[[#This Row],[pendingChallan]]=TrafficData[[#This Row],[totalChallan]]</f>
        <v>1</v>
      </c>
      <c r="L1091" t="b">
        <f>TrafficData[[#This Row],[pendingAmount]]+TrafficData[[#This Row],[disposedAmount]]=TrafficData[[#This Row],[totalAmount]]</f>
        <v>1</v>
      </c>
      <c r="M1091" t="b">
        <f>TrafficData[[#This Row],[pendingCourt]]+TrafficData[[#This Row],[disposedCourt]]=TrafficData[[#This Row],[totalCourt]]</f>
        <v>1</v>
      </c>
      <c r="N1091" s="8" t="b">
        <f>AND(TrafficData[[#This Row],[disposedChallan]]&lt;=TrafficData[[#This Row],[totalChallan]],TrafficData[[#This Row],[pendingChallan]]&lt;=TrafficData[[#This Row],[totalChallan]])</f>
        <v>1</v>
      </c>
      <c r="O1091" s="8" t="b">
        <f>AND(TrafficData[[#This Row],[pendingAmount]]&lt;=TrafficData[[#This Row],[totalAmount]],TrafficData[[#This Row],[disposedAmount]]&lt;=TrafficData[[#This Row],[totalAmount]])</f>
        <v>1</v>
      </c>
      <c r="P1091" s="8" t="b">
        <f>AND(TrafficData[[#This Row],[pendingCourt]]&lt;=TrafficData[[#This Row],[totalCourt]],TrafficData[[#This Row],[disposedCourt]]&lt;=TrafficData[[#This Row],[totalCourt]])</f>
        <v>1</v>
      </c>
    </row>
    <row r="1092" spans="1:16">
      <c r="A1092" s="1">
        <v>43095</v>
      </c>
      <c r="B1092">
        <v>1605</v>
      </c>
      <c r="C1092">
        <v>1021</v>
      </c>
      <c r="D1092">
        <v>584</v>
      </c>
      <c r="E1092">
        <v>1727000</v>
      </c>
      <c r="F1092">
        <v>6403129</v>
      </c>
      <c r="G1092">
        <v>8130129</v>
      </c>
      <c r="H1092">
        <v>450</v>
      </c>
      <c r="I1092">
        <v>112</v>
      </c>
      <c r="J1092">
        <v>562</v>
      </c>
      <c r="K1092" t="b">
        <f>TrafficData[[#This Row],[disposedChallan]]+TrafficData[[#This Row],[pendingChallan]]=TrafficData[[#This Row],[totalChallan]]</f>
        <v>1</v>
      </c>
      <c r="L1092" t="b">
        <f>TrafficData[[#This Row],[pendingAmount]]+TrafficData[[#This Row],[disposedAmount]]=TrafficData[[#This Row],[totalAmount]]</f>
        <v>1</v>
      </c>
      <c r="M1092" t="b">
        <f>TrafficData[[#This Row],[pendingCourt]]+TrafficData[[#This Row],[disposedCourt]]=TrafficData[[#This Row],[totalCourt]]</f>
        <v>1</v>
      </c>
      <c r="N1092" s="8" t="b">
        <f>AND(TrafficData[[#This Row],[disposedChallan]]&lt;=TrafficData[[#This Row],[totalChallan]],TrafficData[[#This Row],[pendingChallan]]&lt;=TrafficData[[#This Row],[totalChallan]])</f>
        <v>1</v>
      </c>
      <c r="O1092" s="8" t="b">
        <f>AND(TrafficData[[#This Row],[pendingAmount]]&lt;=TrafficData[[#This Row],[totalAmount]],TrafficData[[#This Row],[disposedAmount]]&lt;=TrafficData[[#This Row],[totalAmount]])</f>
        <v>1</v>
      </c>
      <c r="P1092" s="8" t="b">
        <f>AND(TrafficData[[#This Row],[pendingCourt]]&lt;=TrafficData[[#This Row],[totalCourt]],TrafficData[[#This Row],[disposedCourt]]&lt;=TrafficData[[#This Row],[totalCourt]])</f>
        <v>1</v>
      </c>
    </row>
    <row r="1093" spans="1:16">
      <c r="A1093" s="1">
        <v>43096</v>
      </c>
      <c r="B1093">
        <v>10447</v>
      </c>
      <c r="C1093">
        <v>7803</v>
      </c>
      <c r="D1093">
        <v>2644</v>
      </c>
      <c r="E1093">
        <v>6920000</v>
      </c>
      <c r="F1093">
        <v>9970999</v>
      </c>
      <c r="G1093">
        <v>16890999</v>
      </c>
      <c r="H1093">
        <v>2219</v>
      </c>
      <c r="I1093">
        <v>712</v>
      </c>
      <c r="J1093">
        <v>2931</v>
      </c>
      <c r="K1093" t="b">
        <f>TrafficData[[#This Row],[disposedChallan]]+TrafficData[[#This Row],[pendingChallan]]=TrafficData[[#This Row],[totalChallan]]</f>
        <v>1</v>
      </c>
      <c r="L1093" t="b">
        <f>TrafficData[[#This Row],[pendingAmount]]+TrafficData[[#This Row],[disposedAmount]]=TrafficData[[#This Row],[totalAmount]]</f>
        <v>1</v>
      </c>
      <c r="M1093" t="b">
        <f>TrafficData[[#This Row],[pendingCourt]]+TrafficData[[#This Row],[disposedCourt]]=TrafficData[[#This Row],[totalCourt]]</f>
        <v>1</v>
      </c>
      <c r="N1093" s="8" t="b">
        <f>AND(TrafficData[[#This Row],[disposedChallan]]&lt;=TrafficData[[#This Row],[totalChallan]],TrafficData[[#This Row],[pendingChallan]]&lt;=TrafficData[[#This Row],[totalChallan]])</f>
        <v>1</v>
      </c>
      <c r="O1093" s="8" t="b">
        <f>AND(TrafficData[[#This Row],[pendingAmount]]&lt;=TrafficData[[#This Row],[totalAmount]],TrafficData[[#This Row],[disposedAmount]]&lt;=TrafficData[[#This Row],[totalAmount]])</f>
        <v>1</v>
      </c>
      <c r="P1093" s="8" t="b">
        <f>AND(TrafficData[[#This Row],[pendingCourt]]&lt;=TrafficData[[#This Row],[totalCourt]],TrafficData[[#This Row],[disposedCourt]]&lt;=TrafficData[[#This Row],[totalCourt]])</f>
        <v>1</v>
      </c>
    </row>
    <row r="1094" spans="1:16">
      <c r="A1094" s="1">
        <v>43097</v>
      </c>
      <c r="B1094">
        <v>1807</v>
      </c>
      <c r="C1094">
        <v>1041</v>
      </c>
      <c r="D1094">
        <v>766</v>
      </c>
      <c r="E1094">
        <v>2200890</v>
      </c>
      <c r="F1094">
        <v>11087606</v>
      </c>
      <c r="G1094">
        <v>13288496</v>
      </c>
      <c r="H1094">
        <v>595</v>
      </c>
      <c r="I1094">
        <v>98</v>
      </c>
      <c r="J1094">
        <v>693</v>
      </c>
      <c r="K1094" t="b">
        <f>TrafficData[[#This Row],[disposedChallan]]+TrafficData[[#This Row],[pendingChallan]]=TrafficData[[#This Row],[totalChallan]]</f>
        <v>1</v>
      </c>
      <c r="L1094" t="b">
        <f>TrafficData[[#This Row],[pendingAmount]]+TrafficData[[#This Row],[disposedAmount]]=TrafficData[[#This Row],[totalAmount]]</f>
        <v>1</v>
      </c>
      <c r="M1094" t="b">
        <f>TrafficData[[#This Row],[pendingCourt]]+TrafficData[[#This Row],[disposedCourt]]=TrafficData[[#This Row],[totalCourt]]</f>
        <v>1</v>
      </c>
      <c r="N1094" s="8" t="b">
        <f>AND(TrafficData[[#This Row],[disposedChallan]]&lt;=TrafficData[[#This Row],[totalChallan]],TrafficData[[#This Row],[pendingChallan]]&lt;=TrafficData[[#This Row],[totalChallan]])</f>
        <v>1</v>
      </c>
      <c r="O1094" s="8" t="b">
        <f>AND(TrafficData[[#This Row],[pendingAmount]]&lt;=TrafficData[[#This Row],[totalAmount]],TrafficData[[#This Row],[disposedAmount]]&lt;=TrafficData[[#This Row],[totalAmount]])</f>
        <v>1</v>
      </c>
      <c r="P1094" s="8" t="b">
        <f>AND(TrafficData[[#This Row],[pendingCourt]]&lt;=TrafficData[[#This Row],[totalCourt]],TrafficData[[#This Row],[disposedCourt]]&lt;=TrafficData[[#This Row],[totalCourt]])</f>
        <v>1</v>
      </c>
    </row>
    <row r="1095" spans="1:16">
      <c r="A1095" s="1">
        <v>43098</v>
      </c>
      <c r="B1095">
        <v>2006</v>
      </c>
      <c r="C1095">
        <v>1227</v>
      </c>
      <c r="D1095">
        <v>779</v>
      </c>
      <c r="E1095">
        <v>2229275</v>
      </c>
      <c r="F1095">
        <v>11897400</v>
      </c>
      <c r="G1095">
        <v>14126675</v>
      </c>
      <c r="H1095">
        <v>620</v>
      </c>
      <c r="I1095">
        <v>114</v>
      </c>
      <c r="J1095">
        <v>734</v>
      </c>
      <c r="K1095" t="b">
        <f>TrafficData[[#This Row],[disposedChallan]]+TrafficData[[#This Row],[pendingChallan]]=TrafficData[[#This Row],[totalChallan]]</f>
        <v>1</v>
      </c>
      <c r="L1095" t="b">
        <f>TrafficData[[#This Row],[pendingAmount]]+TrafficData[[#This Row],[disposedAmount]]=TrafficData[[#This Row],[totalAmount]]</f>
        <v>1</v>
      </c>
      <c r="M1095" t="b">
        <f>TrafficData[[#This Row],[pendingCourt]]+TrafficData[[#This Row],[disposedCourt]]=TrafficData[[#This Row],[totalCourt]]</f>
        <v>1</v>
      </c>
      <c r="N1095" s="8" t="b">
        <f>AND(TrafficData[[#This Row],[disposedChallan]]&lt;=TrafficData[[#This Row],[totalChallan]],TrafficData[[#This Row],[pendingChallan]]&lt;=TrafficData[[#This Row],[totalChallan]])</f>
        <v>1</v>
      </c>
      <c r="O1095" s="8" t="b">
        <f>AND(TrafficData[[#This Row],[pendingAmount]]&lt;=TrafficData[[#This Row],[totalAmount]],TrafficData[[#This Row],[disposedAmount]]&lt;=TrafficData[[#This Row],[totalAmount]])</f>
        <v>1</v>
      </c>
      <c r="P1095" s="8" t="b">
        <f>AND(TrafficData[[#This Row],[pendingCourt]]&lt;=TrafficData[[#This Row],[totalCourt]],TrafficData[[#This Row],[disposedCourt]]&lt;=TrafficData[[#This Row],[totalCourt]])</f>
        <v>1</v>
      </c>
    </row>
    <row r="1096" spans="1:16">
      <c r="A1096" s="1">
        <v>43099</v>
      </c>
      <c r="B1096">
        <v>1487</v>
      </c>
      <c r="C1096">
        <v>810</v>
      </c>
      <c r="D1096">
        <v>677</v>
      </c>
      <c r="E1096">
        <v>1137200</v>
      </c>
      <c r="F1096">
        <v>5924402</v>
      </c>
      <c r="G1096">
        <v>7061602</v>
      </c>
      <c r="H1096">
        <v>545</v>
      </c>
      <c r="I1096">
        <v>129</v>
      </c>
      <c r="J1096">
        <v>674</v>
      </c>
      <c r="K1096" t="b">
        <f>TrafficData[[#This Row],[disposedChallan]]+TrafficData[[#This Row],[pendingChallan]]=TrafficData[[#This Row],[totalChallan]]</f>
        <v>1</v>
      </c>
      <c r="L1096" t="b">
        <f>TrafficData[[#This Row],[pendingAmount]]+TrafficData[[#This Row],[disposedAmount]]=TrafficData[[#This Row],[totalAmount]]</f>
        <v>1</v>
      </c>
      <c r="M1096" t="b">
        <f>TrafficData[[#This Row],[pendingCourt]]+TrafficData[[#This Row],[disposedCourt]]=TrafficData[[#This Row],[totalCourt]]</f>
        <v>1</v>
      </c>
      <c r="N1096" s="8" t="b">
        <f>AND(TrafficData[[#This Row],[disposedChallan]]&lt;=TrafficData[[#This Row],[totalChallan]],TrafficData[[#This Row],[pendingChallan]]&lt;=TrafficData[[#This Row],[totalChallan]])</f>
        <v>1</v>
      </c>
      <c r="O1096" s="8" t="b">
        <f>AND(TrafficData[[#This Row],[pendingAmount]]&lt;=TrafficData[[#This Row],[totalAmount]],TrafficData[[#This Row],[disposedAmount]]&lt;=TrafficData[[#This Row],[totalAmount]])</f>
        <v>1</v>
      </c>
      <c r="P1096" s="8" t="b">
        <f>AND(TrafficData[[#This Row],[pendingCourt]]&lt;=TrafficData[[#This Row],[totalCourt]],TrafficData[[#This Row],[disposedCourt]]&lt;=TrafficData[[#This Row],[totalCourt]])</f>
        <v>1</v>
      </c>
    </row>
    <row r="1097" spans="1:16">
      <c r="A1097" s="1">
        <v>43100</v>
      </c>
      <c r="B1097">
        <v>760</v>
      </c>
      <c r="C1097">
        <v>430</v>
      </c>
      <c r="D1097">
        <v>330</v>
      </c>
      <c r="E1097">
        <v>708510</v>
      </c>
      <c r="F1097">
        <v>2412248</v>
      </c>
      <c r="G1097">
        <v>3120758</v>
      </c>
      <c r="H1097">
        <v>249</v>
      </c>
      <c r="I1097">
        <v>43</v>
      </c>
      <c r="J1097">
        <v>292</v>
      </c>
      <c r="K1097" t="b">
        <f>TrafficData[[#This Row],[disposedChallan]]+TrafficData[[#This Row],[pendingChallan]]=TrafficData[[#This Row],[totalChallan]]</f>
        <v>1</v>
      </c>
      <c r="L1097" t="b">
        <f>TrafficData[[#This Row],[pendingAmount]]+TrafficData[[#This Row],[disposedAmount]]=TrafficData[[#This Row],[totalAmount]]</f>
        <v>1</v>
      </c>
      <c r="M1097" t="b">
        <f>TrafficData[[#This Row],[pendingCourt]]+TrafficData[[#This Row],[disposedCourt]]=TrafficData[[#This Row],[totalCourt]]</f>
        <v>1</v>
      </c>
      <c r="N1097" s="8" t="b">
        <f>AND(TrafficData[[#This Row],[disposedChallan]]&lt;=TrafficData[[#This Row],[totalChallan]],TrafficData[[#This Row],[pendingChallan]]&lt;=TrafficData[[#This Row],[totalChallan]])</f>
        <v>1</v>
      </c>
      <c r="O1097" s="8" t="b">
        <f>AND(TrafficData[[#This Row],[pendingAmount]]&lt;=TrafficData[[#This Row],[totalAmount]],TrafficData[[#This Row],[disposedAmount]]&lt;=TrafficData[[#This Row],[totalAmount]])</f>
        <v>1</v>
      </c>
      <c r="P1097" s="8" t="b">
        <f>AND(TrafficData[[#This Row],[pendingCourt]]&lt;=TrafficData[[#This Row],[totalCourt]],TrafficData[[#This Row],[disposedCourt]]&lt;=TrafficData[[#This Row],[totalCourt]])</f>
        <v>1</v>
      </c>
    </row>
    <row r="1098" spans="1:16">
      <c r="A1098" s="1">
        <v>43101</v>
      </c>
      <c r="B1098">
        <v>853</v>
      </c>
      <c r="C1098">
        <v>484</v>
      </c>
      <c r="D1098">
        <v>369</v>
      </c>
      <c r="E1098">
        <v>1120800</v>
      </c>
      <c r="F1098">
        <v>1992875</v>
      </c>
      <c r="G1098">
        <v>3113675</v>
      </c>
      <c r="H1098">
        <v>247</v>
      </c>
      <c r="I1098">
        <v>46</v>
      </c>
      <c r="J1098">
        <v>293</v>
      </c>
      <c r="K1098" t="b">
        <f>TrafficData[[#This Row],[disposedChallan]]+TrafficData[[#This Row],[pendingChallan]]=TrafficData[[#This Row],[totalChallan]]</f>
        <v>1</v>
      </c>
      <c r="L1098" t="b">
        <f>TrafficData[[#This Row],[pendingAmount]]+TrafficData[[#This Row],[disposedAmount]]=TrafficData[[#This Row],[totalAmount]]</f>
        <v>1</v>
      </c>
      <c r="M1098" t="b">
        <f>TrafficData[[#This Row],[pendingCourt]]+TrafficData[[#This Row],[disposedCourt]]=TrafficData[[#This Row],[totalCourt]]</f>
        <v>1</v>
      </c>
      <c r="N1098" s="8" t="b">
        <f>AND(TrafficData[[#This Row],[disposedChallan]]&lt;=TrafficData[[#This Row],[totalChallan]],TrafficData[[#This Row],[pendingChallan]]&lt;=TrafficData[[#This Row],[totalChallan]])</f>
        <v>1</v>
      </c>
      <c r="O1098" s="8" t="b">
        <f>AND(TrafficData[[#This Row],[pendingAmount]]&lt;=TrafficData[[#This Row],[totalAmount]],TrafficData[[#This Row],[disposedAmount]]&lt;=TrafficData[[#This Row],[totalAmount]])</f>
        <v>1</v>
      </c>
      <c r="P1098" s="8" t="b">
        <f>AND(TrafficData[[#This Row],[pendingCourt]]&lt;=TrafficData[[#This Row],[totalCourt]],TrafficData[[#This Row],[disposedCourt]]&lt;=TrafficData[[#This Row],[totalCourt]])</f>
        <v>1</v>
      </c>
    </row>
    <row r="1099" spans="1:16">
      <c r="A1099" s="1">
        <v>43102</v>
      </c>
      <c r="B1099">
        <v>1630</v>
      </c>
      <c r="C1099">
        <v>1024</v>
      </c>
      <c r="D1099">
        <v>606</v>
      </c>
      <c r="E1099">
        <v>2496849</v>
      </c>
      <c r="F1099">
        <v>7211668</v>
      </c>
      <c r="G1099">
        <v>9708517</v>
      </c>
      <c r="H1099">
        <v>442</v>
      </c>
      <c r="I1099">
        <v>129</v>
      </c>
      <c r="J1099">
        <v>571</v>
      </c>
      <c r="K1099" t="b">
        <f>TrafficData[[#This Row],[disposedChallan]]+TrafficData[[#This Row],[pendingChallan]]=TrafficData[[#This Row],[totalChallan]]</f>
        <v>1</v>
      </c>
      <c r="L1099" t="b">
        <f>TrafficData[[#This Row],[pendingAmount]]+TrafficData[[#This Row],[disposedAmount]]=TrafficData[[#This Row],[totalAmount]]</f>
        <v>1</v>
      </c>
      <c r="M1099" t="b">
        <f>TrafficData[[#This Row],[pendingCourt]]+TrafficData[[#This Row],[disposedCourt]]=TrafficData[[#This Row],[totalCourt]]</f>
        <v>1</v>
      </c>
      <c r="N1099" s="8" t="b">
        <f>AND(TrafficData[[#This Row],[disposedChallan]]&lt;=TrafficData[[#This Row],[totalChallan]],TrafficData[[#This Row],[pendingChallan]]&lt;=TrafficData[[#This Row],[totalChallan]])</f>
        <v>1</v>
      </c>
      <c r="O1099" s="8" t="b">
        <f>AND(TrafficData[[#This Row],[pendingAmount]]&lt;=TrafficData[[#This Row],[totalAmount]],TrafficData[[#This Row],[disposedAmount]]&lt;=TrafficData[[#This Row],[totalAmount]])</f>
        <v>1</v>
      </c>
      <c r="P1099" s="8" t="b">
        <f>AND(TrafficData[[#This Row],[pendingCourt]]&lt;=TrafficData[[#This Row],[totalCourt]],TrafficData[[#This Row],[disposedCourt]]&lt;=TrafficData[[#This Row],[totalCourt]])</f>
        <v>1</v>
      </c>
    </row>
    <row r="1100" spans="1:16">
      <c r="A1100" s="1">
        <v>43103</v>
      </c>
      <c r="B1100">
        <v>9851</v>
      </c>
      <c r="C1100">
        <v>7490</v>
      </c>
      <c r="D1100">
        <v>2361</v>
      </c>
      <c r="E1100">
        <v>6672801</v>
      </c>
      <c r="F1100">
        <v>11313410</v>
      </c>
      <c r="G1100">
        <v>17986211</v>
      </c>
      <c r="H1100">
        <v>2141</v>
      </c>
      <c r="I1100">
        <v>827</v>
      </c>
      <c r="J1100">
        <v>2968</v>
      </c>
      <c r="K1100" t="b">
        <f>TrafficData[[#This Row],[disposedChallan]]+TrafficData[[#This Row],[pendingChallan]]=TrafficData[[#This Row],[totalChallan]]</f>
        <v>1</v>
      </c>
      <c r="L1100" t="b">
        <f>TrafficData[[#This Row],[pendingAmount]]+TrafficData[[#This Row],[disposedAmount]]=TrafficData[[#This Row],[totalAmount]]</f>
        <v>1</v>
      </c>
      <c r="M1100" t="b">
        <f>TrafficData[[#This Row],[pendingCourt]]+TrafficData[[#This Row],[disposedCourt]]=TrafficData[[#This Row],[totalCourt]]</f>
        <v>1</v>
      </c>
      <c r="N1100" s="8" t="b">
        <f>AND(TrafficData[[#This Row],[disposedChallan]]&lt;=TrafficData[[#This Row],[totalChallan]],TrafficData[[#This Row],[pendingChallan]]&lt;=TrafficData[[#This Row],[totalChallan]])</f>
        <v>1</v>
      </c>
      <c r="O1100" s="8" t="b">
        <f>AND(TrafficData[[#This Row],[pendingAmount]]&lt;=TrafficData[[#This Row],[totalAmount]],TrafficData[[#This Row],[disposedAmount]]&lt;=TrafficData[[#This Row],[totalAmount]])</f>
        <v>1</v>
      </c>
      <c r="P1100" s="8" t="b">
        <f>AND(TrafficData[[#This Row],[pendingCourt]]&lt;=TrafficData[[#This Row],[totalCourt]],TrafficData[[#This Row],[disposedCourt]]&lt;=TrafficData[[#This Row],[totalCourt]])</f>
        <v>1</v>
      </c>
    </row>
    <row r="1101" spans="1:16">
      <c r="A1101" s="1">
        <v>43104</v>
      </c>
      <c r="B1101">
        <v>2267</v>
      </c>
      <c r="C1101">
        <v>1370</v>
      </c>
      <c r="D1101">
        <v>897</v>
      </c>
      <c r="E1101">
        <v>3206699</v>
      </c>
      <c r="F1101">
        <v>11105909</v>
      </c>
      <c r="G1101">
        <v>14312608</v>
      </c>
      <c r="H1101">
        <v>731</v>
      </c>
      <c r="I1101">
        <v>229</v>
      </c>
      <c r="J1101">
        <v>960</v>
      </c>
      <c r="K1101" t="b">
        <f>TrafficData[[#This Row],[disposedChallan]]+TrafficData[[#This Row],[pendingChallan]]=TrafficData[[#This Row],[totalChallan]]</f>
        <v>1</v>
      </c>
      <c r="L1101" t="b">
        <f>TrafficData[[#This Row],[pendingAmount]]+TrafficData[[#This Row],[disposedAmount]]=TrafficData[[#This Row],[totalAmount]]</f>
        <v>1</v>
      </c>
      <c r="M1101" t="b">
        <f>TrafficData[[#This Row],[pendingCourt]]+TrafficData[[#This Row],[disposedCourt]]=TrafficData[[#This Row],[totalCourt]]</f>
        <v>1</v>
      </c>
      <c r="N1101" s="8" t="b">
        <f>AND(TrafficData[[#This Row],[disposedChallan]]&lt;=TrafficData[[#This Row],[totalChallan]],TrafficData[[#This Row],[pendingChallan]]&lt;=TrafficData[[#This Row],[totalChallan]])</f>
        <v>1</v>
      </c>
      <c r="O1101" s="8" t="b">
        <f>AND(TrafficData[[#This Row],[pendingAmount]]&lt;=TrafficData[[#This Row],[totalAmount]],TrafficData[[#This Row],[disposedAmount]]&lt;=TrafficData[[#This Row],[totalAmount]])</f>
        <v>1</v>
      </c>
      <c r="P1101" s="8" t="b">
        <f>AND(TrafficData[[#This Row],[pendingCourt]]&lt;=TrafficData[[#This Row],[totalCourt]],TrafficData[[#This Row],[disposedCourt]]&lt;=TrafficData[[#This Row],[totalCourt]])</f>
        <v>1</v>
      </c>
    </row>
    <row r="1102" spans="1:16">
      <c r="A1102" s="1">
        <v>43105</v>
      </c>
      <c r="B1102">
        <v>2175</v>
      </c>
      <c r="C1102">
        <v>1360</v>
      </c>
      <c r="D1102">
        <v>815</v>
      </c>
      <c r="E1102">
        <v>2184325</v>
      </c>
      <c r="F1102">
        <v>13756828</v>
      </c>
      <c r="G1102">
        <v>15941153</v>
      </c>
      <c r="H1102">
        <v>635</v>
      </c>
      <c r="I1102">
        <v>216</v>
      </c>
      <c r="J1102">
        <v>851</v>
      </c>
      <c r="K1102" t="b">
        <f>TrafficData[[#This Row],[disposedChallan]]+TrafficData[[#This Row],[pendingChallan]]=TrafficData[[#This Row],[totalChallan]]</f>
        <v>1</v>
      </c>
      <c r="L1102" t="b">
        <f>TrafficData[[#This Row],[pendingAmount]]+TrafficData[[#This Row],[disposedAmount]]=TrafficData[[#This Row],[totalAmount]]</f>
        <v>1</v>
      </c>
      <c r="M1102" t="b">
        <f>TrafficData[[#This Row],[pendingCourt]]+TrafficData[[#This Row],[disposedCourt]]=TrafficData[[#This Row],[totalCourt]]</f>
        <v>1</v>
      </c>
      <c r="N1102" s="8" t="b">
        <f>AND(TrafficData[[#This Row],[disposedChallan]]&lt;=TrafficData[[#This Row],[totalChallan]],TrafficData[[#This Row],[pendingChallan]]&lt;=TrafficData[[#This Row],[totalChallan]])</f>
        <v>1</v>
      </c>
      <c r="O1102" s="8" t="b">
        <f>AND(TrafficData[[#This Row],[pendingAmount]]&lt;=TrafficData[[#This Row],[totalAmount]],TrafficData[[#This Row],[disposedAmount]]&lt;=TrafficData[[#This Row],[totalAmount]])</f>
        <v>1</v>
      </c>
      <c r="P1102" s="8" t="b">
        <f>AND(TrafficData[[#This Row],[pendingCourt]]&lt;=TrafficData[[#This Row],[totalCourt]],TrafficData[[#This Row],[disposedCourt]]&lt;=TrafficData[[#This Row],[totalCourt]])</f>
        <v>1</v>
      </c>
    </row>
    <row r="1103" spans="1:16">
      <c r="A1103" s="1">
        <v>43106</v>
      </c>
      <c r="B1103">
        <v>1807</v>
      </c>
      <c r="C1103">
        <v>1031</v>
      </c>
      <c r="D1103">
        <v>776</v>
      </c>
      <c r="E1103">
        <v>1859952</v>
      </c>
      <c r="F1103">
        <v>8407466</v>
      </c>
      <c r="G1103">
        <v>10267418</v>
      </c>
      <c r="H1103">
        <v>615</v>
      </c>
      <c r="I1103">
        <v>183</v>
      </c>
      <c r="J1103">
        <v>798</v>
      </c>
      <c r="K1103" t="b">
        <f>TrafficData[[#This Row],[disposedChallan]]+TrafficData[[#This Row],[pendingChallan]]=TrafficData[[#This Row],[totalChallan]]</f>
        <v>1</v>
      </c>
      <c r="L1103" t="b">
        <f>TrafficData[[#This Row],[pendingAmount]]+TrafficData[[#This Row],[disposedAmount]]=TrafficData[[#This Row],[totalAmount]]</f>
        <v>1</v>
      </c>
      <c r="M1103" t="b">
        <f>TrafficData[[#This Row],[pendingCourt]]+TrafficData[[#This Row],[disposedCourt]]=TrafficData[[#This Row],[totalCourt]]</f>
        <v>1</v>
      </c>
      <c r="N1103" s="8" t="b">
        <f>AND(TrafficData[[#This Row],[disposedChallan]]&lt;=TrafficData[[#This Row],[totalChallan]],TrafficData[[#This Row],[pendingChallan]]&lt;=TrafficData[[#This Row],[totalChallan]])</f>
        <v>1</v>
      </c>
      <c r="O1103" s="8" t="b">
        <f>AND(TrafficData[[#This Row],[pendingAmount]]&lt;=TrafficData[[#This Row],[totalAmount]],TrafficData[[#This Row],[disposedAmount]]&lt;=TrafficData[[#This Row],[totalAmount]])</f>
        <v>1</v>
      </c>
      <c r="P1103" s="8" t="b">
        <f>AND(TrafficData[[#This Row],[pendingCourt]]&lt;=TrafficData[[#This Row],[totalCourt]],TrafficData[[#This Row],[disposedCourt]]&lt;=TrafficData[[#This Row],[totalCourt]])</f>
        <v>1</v>
      </c>
    </row>
    <row r="1104" spans="1:16">
      <c r="A1104" s="1">
        <v>43107</v>
      </c>
      <c r="B1104">
        <v>1418</v>
      </c>
      <c r="C1104">
        <v>839</v>
      </c>
      <c r="D1104">
        <v>579</v>
      </c>
      <c r="E1104">
        <v>1976500</v>
      </c>
      <c r="F1104">
        <v>8078193</v>
      </c>
      <c r="G1104">
        <v>10054693</v>
      </c>
      <c r="H1104">
        <v>436</v>
      </c>
      <c r="I1104">
        <v>157</v>
      </c>
      <c r="J1104">
        <v>593</v>
      </c>
      <c r="K1104" t="b">
        <f>TrafficData[[#This Row],[disposedChallan]]+TrafficData[[#This Row],[pendingChallan]]=TrafficData[[#This Row],[totalChallan]]</f>
        <v>1</v>
      </c>
      <c r="L1104" t="b">
        <f>TrafficData[[#This Row],[pendingAmount]]+TrafficData[[#This Row],[disposedAmount]]=TrafficData[[#This Row],[totalAmount]]</f>
        <v>1</v>
      </c>
      <c r="M1104" t="b">
        <f>TrafficData[[#This Row],[pendingCourt]]+TrafficData[[#This Row],[disposedCourt]]=TrafficData[[#This Row],[totalCourt]]</f>
        <v>1</v>
      </c>
      <c r="N1104" s="8" t="b">
        <f>AND(TrafficData[[#This Row],[disposedChallan]]&lt;=TrafficData[[#This Row],[totalChallan]],TrafficData[[#This Row],[pendingChallan]]&lt;=TrafficData[[#This Row],[totalChallan]])</f>
        <v>1</v>
      </c>
      <c r="O1104" s="8" t="b">
        <f>AND(TrafficData[[#This Row],[pendingAmount]]&lt;=TrafficData[[#This Row],[totalAmount]],TrafficData[[#This Row],[disposedAmount]]&lt;=TrafficData[[#This Row],[totalAmount]])</f>
        <v>1</v>
      </c>
      <c r="P1104" s="8" t="b">
        <f>AND(TrafficData[[#This Row],[pendingCourt]]&lt;=TrafficData[[#This Row],[totalCourt]],TrafficData[[#This Row],[disposedCourt]]&lt;=TrafficData[[#This Row],[totalCourt]])</f>
        <v>1</v>
      </c>
    </row>
    <row r="1105" spans="1:16">
      <c r="A1105" s="1">
        <v>43108</v>
      </c>
      <c r="B1105">
        <v>1900</v>
      </c>
      <c r="C1105">
        <v>1198</v>
      </c>
      <c r="D1105">
        <v>702</v>
      </c>
      <c r="E1105">
        <v>2625250</v>
      </c>
      <c r="F1105">
        <v>10294597</v>
      </c>
      <c r="G1105">
        <v>12919847</v>
      </c>
      <c r="H1105">
        <v>504</v>
      </c>
      <c r="I1105">
        <v>184</v>
      </c>
      <c r="J1105">
        <v>688</v>
      </c>
      <c r="K1105" t="b">
        <f>TrafficData[[#This Row],[disposedChallan]]+TrafficData[[#This Row],[pendingChallan]]=TrafficData[[#This Row],[totalChallan]]</f>
        <v>1</v>
      </c>
      <c r="L1105" t="b">
        <f>TrafficData[[#This Row],[pendingAmount]]+TrafficData[[#This Row],[disposedAmount]]=TrafficData[[#This Row],[totalAmount]]</f>
        <v>1</v>
      </c>
      <c r="M1105" t="b">
        <f>TrafficData[[#This Row],[pendingCourt]]+TrafficData[[#This Row],[disposedCourt]]=TrafficData[[#This Row],[totalCourt]]</f>
        <v>1</v>
      </c>
      <c r="N1105" s="8" t="b">
        <f>AND(TrafficData[[#This Row],[disposedChallan]]&lt;=TrafficData[[#This Row],[totalChallan]],TrafficData[[#This Row],[pendingChallan]]&lt;=TrafficData[[#This Row],[totalChallan]])</f>
        <v>1</v>
      </c>
      <c r="O1105" s="8" t="b">
        <f>AND(TrafficData[[#This Row],[pendingAmount]]&lt;=TrafficData[[#This Row],[totalAmount]],TrafficData[[#This Row],[disposedAmount]]&lt;=TrafficData[[#This Row],[totalAmount]])</f>
        <v>1</v>
      </c>
      <c r="P1105" s="8" t="b">
        <f>AND(TrafficData[[#This Row],[pendingCourt]]&lt;=TrafficData[[#This Row],[totalCourt]],TrafficData[[#This Row],[disposedCourt]]&lt;=TrafficData[[#This Row],[totalCourt]])</f>
        <v>1</v>
      </c>
    </row>
    <row r="1106" spans="1:16">
      <c r="A1106" s="1">
        <v>43109</v>
      </c>
      <c r="B1106">
        <v>2192</v>
      </c>
      <c r="C1106">
        <v>1330</v>
      </c>
      <c r="D1106">
        <v>862</v>
      </c>
      <c r="E1106">
        <v>2661000</v>
      </c>
      <c r="F1106">
        <v>12684142</v>
      </c>
      <c r="G1106">
        <v>15345142</v>
      </c>
      <c r="H1106">
        <v>656</v>
      </c>
      <c r="I1106">
        <v>231</v>
      </c>
      <c r="J1106">
        <v>887</v>
      </c>
      <c r="K1106" t="b">
        <f>TrafficData[[#This Row],[disposedChallan]]+TrafficData[[#This Row],[pendingChallan]]=TrafficData[[#This Row],[totalChallan]]</f>
        <v>1</v>
      </c>
      <c r="L1106" t="b">
        <f>TrafficData[[#This Row],[pendingAmount]]+TrafficData[[#This Row],[disposedAmount]]=TrafficData[[#This Row],[totalAmount]]</f>
        <v>1</v>
      </c>
      <c r="M1106" t="b">
        <f>TrafficData[[#This Row],[pendingCourt]]+TrafficData[[#This Row],[disposedCourt]]=TrafficData[[#This Row],[totalCourt]]</f>
        <v>1</v>
      </c>
      <c r="N1106" s="8" t="b">
        <f>AND(TrafficData[[#This Row],[disposedChallan]]&lt;=TrafficData[[#This Row],[totalChallan]],TrafficData[[#This Row],[pendingChallan]]&lt;=TrafficData[[#This Row],[totalChallan]])</f>
        <v>1</v>
      </c>
      <c r="O1106" s="8" t="b">
        <f>AND(TrafficData[[#This Row],[pendingAmount]]&lt;=TrafficData[[#This Row],[totalAmount]],TrafficData[[#This Row],[disposedAmount]]&lt;=TrafficData[[#This Row],[totalAmount]])</f>
        <v>1</v>
      </c>
      <c r="P1106" s="8" t="b">
        <f>AND(TrafficData[[#This Row],[pendingCourt]]&lt;=TrafficData[[#This Row],[totalCourt]],TrafficData[[#This Row],[disposedCourt]]&lt;=TrafficData[[#This Row],[totalCourt]])</f>
        <v>1</v>
      </c>
    </row>
    <row r="1107" spans="1:16">
      <c r="A1107" s="1">
        <v>43110</v>
      </c>
      <c r="B1107">
        <v>11570</v>
      </c>
      <c r="C1107">
        <v>8373</v>
      </c>
      <c r="D1107">
        <v>3197</v>
      </c>
      <c r="E1107">
        <v>8709284</v>
      </c>
      <c r="F1107">
        <v>11617002</v>
      </c>
      <c r="G1107">
        <v>20326286</v>
      </c>
      <c r="H1107">
        <v>2805</v>
      </c>
      <c r="I1107">
        <v>843</v>
      </c>
      <c r="J1107">
        <v>3648</v>
      </c>
      <c r="K1107" t="b">
        <f>TrafficData[[#This Row],[disposedChallan]]+TrafficData[[#This Row],[pendingChallan]]=TrafficData[[#This Row],[totalChallan]]</f>
        <v>1</v>
      </c>
      <c r="L1107" t="b">
        <f>TrafficData[[#This Row],[pendingAmount]]+TrafficData[[#This Row],[disposedAmount]]=TrafficData[[#This Row],[totalAmount]]</f>
        <v>1</v>
      </c>
      <c r="M1107" t="b">
        <f>TrafficData[[#This Row],[pendingCourt]]+TrafficData[[#This Row],[disposedCourt]]=TrafficData[[#This Row],[totalCourt]]</f>
        <v>1</v>
      </c>
      <c r="N1107" s="8" t="b">
        <f>AND(TrafficData[[#This Row],[disposedChallan]]&lt;=TrafficData[[#This Row],[totalChallan]],TrafficData[[#This Row],[pendingChallan]]&lt;=TrafficData[[#This Row],[totalChallan]])</f>
        <v>1</v>
      </c>
      <c r="O1107" s="8" t="b">
        <f>AND(TrafficData[[#This Row],[pendingAmount]]&lt;=TrafficData[[#This Row],[totalAmount]],TrafficData[[#This Row],[disposedAmount]]&lt;=TrafficData[[#This Row],[totalAmount]])</f>
        <v>1</v>
      </c>
      <c r="P1107" s="8" t="b">
        <f>AND(TrafficData[[#This Row],[pendingCourt]]&lt;=TrafficData[[#This Row],[totalCourt]],TrafficData[[#This Row],[disposedCourt]]&lt;=TrafficData[[#This Row],[totalCourt]])</f>
        <v>1</v>
      </c>
    </row>
    <row r="1108" spans="1:16">
      <c r="A1108" s="1">
        <v>43111</v>
      </c>
      <c r="B1108">
        <v>2339</v>
      </c>
      <c r="C1108">
        <v>1366</v>
      </c>
      <c r="D1108">
        <v>973</v>
      </c>
      <c r="E1108">
        <v>2943025</v>
      </c>
      <c r="F1108">
        <v>12081282</v>
      </c>
      <c r="G1108">
        <v>15024307</v>
      </c>
      <c r="H1108">
        <v>728</v>
      </c>
      <c r="I1108">
        <v>168</v>
      </c>
      <c r="J1108">
        <v>896</v>
      </c>
      <c r="K1108" t="b">
        <f>TrafficData[[#This Row],[disposedChallan]]+TrafficData[[#This Row],[pendingChallan]]=TrafficData[[#This Row],[totalChallan]]</f>
        <v>1</v>
      </c>
      <c r="L1108" t="b">
        <f>TrafficData[[#This Row],[pendingAmount]]+TrafficData[[#This Row],[disposedAmount]]=TrafficData[[#This Row],[totalAmount]]</f>
        <v>1</v>
      </c>
      <c r="M1108" t="b">
        <f>TrafficData[[#This Row],[pendingCourt]]+TrafficData[[#This Row],[disposedCourt]]=TrafficData[[#This Row],[totalCourt]]</f>
        <v>1</v>
      </c>
      <c r="N1108" s="8" t="b">
        <f>AND(TrafficData[[#This Row],[disposedChallan]]&lt;=TrafficData[[#This Row],[totalChallan]],TrafficData[[#This Row],[pendingChallan]]&lt;=TrafficData[[#This Row],[totalChallan]])</f>
        <v>1</v>
      </c>
      <c r="O1108" s="8" t="b">
        <f>AND(TrafficData[[#This Row],[pendingAmount]]&lt;=TrafficData[[#This Row],[totalAmount]],TrafficData[[#This Row],[disposedAmount]]&lt;=TrafficData[[#This Row],[totalAmount]])</f>
        <v>1</v>
      </c>
      <c r="P1108" s="8" t="b">
        <f>AND(TrafficData[[#This Row],[pendingCourt]]&lt;=TrafficData[[#This Row],[totalCourt]],TrafficData[[#This Row],[disposedCourt]]&lt;=TrafficData[[#This Row],[totalCourt]])</f>
        <v>1</v>
      </c>
    </row>
    <row r="1109" spans="1:16">
      <c r="A1109" s="1">
        <v>43112</v>
      </c>
      <c r="B1109">
        <v>2297</v>
      </c>
      <c r="C1109">
        <v>1419</v>
      </c>
      <c r="D1109">
        <v>878</v>
      </c>
      <c r="E1109">
        <v>4294900</v>
      </c>
      <c r="F1109">
        <v>13267621</v>
      </c>
      <c r="G1109">
        <v>17562521</v>
      </c>
      <c r="H1109">
        <v>639</v>
      </c>
      <c r="I1109">
        <v>155</v>
      </c>
      <c r="J1109">
        <v>794</v>
      </c>
      <c r="K1109" t="b">
        <f>TrafficData[[#This Row],[disposedChallan]]+TrafficData[[#This Row],[pendingChallan]]=TrafficData[[#This Row],[totalChallan]]</f>
        <v>1</v>
      </c>
      <c r="L1109" t="b">
        <f>TrafficData[[#This Row],[pendingAmount]]+TrafficData[[#This Row],[disposedAmount]]=TrafficData[[#This Row],[totalAmount]]</f>
        <v>1</v>
      </c>
      <c r="M1109" t="b">
        <f>TrafficData[[#This Row],[pendingCourt]]+TrafficData[[#This Row],[disposedCourt]]=TrafficData[[#This Row],[totalCourt]]</f>
        <v>1</v>
      </c>
      <c r="N1109" s="8" t="b">
        <f>AND(TrafficData[[#This Row],[disposedChallan]]&lt;=TrafficData[[#This Row],[totalChallan]],TrafficData[[#This Row],[pendingChallan]]&lt;=TrafficData[[#This Row],[totalChallan]])</f>
        <v>1</v>
      </c>
      <c r="O1109" s="8" t="b">
        <f>AND(TrafficData[[#This Row],[pendingAmount]]&lt;=TrafficData[[#This Row],[totalAmount]],TrafficData[[#This Row],[disposedAmount]]&lt;=TrafficData[[#This Row],[totalAmount]])</f>
        <v>1</v>
      </c>
      <c r="P1109" s="8" t="b">
        <f>AND(TrafficData[[#This Row],[pendingCourt]]&lt;=TrafficData[[#This Row],[totalCourt]],TrafficData[[#This Row],[disposedCourt]]&lt;=TrafficData[[#This Row],[totalCourt]])</f>
        <v>1</v>
      </c>
    </row>
    <row r="1110" spans="1:16">
      <c r="A1110" s="1">
        <v>43113</v>
      </c>
      <c r="B1110">
        <v>1846</v>
      </c>
      <c r="C1110">
        <v>1111</v>
      </c>
      <c r="D1110">
        <v>735</v>
      </c>
      <c r="E1110">
        <v>2779700</v>
      </c>
      <c r="F1110">
        <v>12047226</v>
      </c>
      <c r="G1110">
        <v>14826926</v>
      </c>
      <c r="H1110">
        <v>554</v>
      </c>
      <c r="I1110">
        <v>220</v>
      </c>
      <c r="J1110">
        <v>774</v>
      </c>
      <c r="K1110" t="b">
        <f>TrafficData[[#This Row],[disposedChallan]]+TrafficData[[#This Row],[pendingChallan]]=TrafficData[[#This Row],[totalChallan]]</f>
        <v>1</v>
      </c>
      <c r="L1110" t="b">
        <f>TrafficData[[#This Row],[pendingAmount]]+TrafficData[[#This Row],[disposedAmount]]=TrafficData[[#This Row],[totalAmount]]</f>
        <v>1</v>
      </c>
      <c r="M1110" t="b">
        <f>TrafficData[[#This Row],[pendingCourt]]+TrafficData[[#This Row],[disposedCourt]]=TrafficData[[#This Row],[totalCourt]]</f>
        <v>1</v>
      </c>
      <c r="N1110" s="8" t="b">
        <f>AND(TrafficData[[#This Row],[disposedChallan]]&lt;=TrafficData[[#This Row],[totalChallan]],TrafficData[[#This Row],[pendingChallan]]&lt;=TrafficData[[#This Row],[totalChallan]])</f>
        <v>1</v>
      </c>
      <c r="O1110" s="8" t="b">
        <f>AND(TrafficData[[#This Row],[pendingAmount]]&lt;=TrafficData[[#This Row],[totalAmount]],TrafficData[[#This Row],[disposedAmount]]&lt;=TrafficData[[#This Row],[totalAmount]])</f>
        <v>1</v>
      </c>
      <c r="P1110" s="8" t="b">
        <f>AND(TrafficData[[#This Row],[pendingCourt]]&lt;=TrafficData[[#This Row],[totalCourt]],TrafficData[[#This Row],[disposedCourt]]&lt;=TrafficData[[#This Row],[totalCourt]])</f>
        <v>1</v>
      </c>
    </row>
    <row r="1111" spans="1:16">
      <c r="A1111" s="1">
        <v>43114</v>
      </c>
      <c r="B1111">
        <v>1564</v>
      </c>
      <c r="C1111">
        <v>1119</v>
      </c>
      <c r="D1111">
        <v>445</v>
      </c>
      <c r="E1111">
        <v>2826800</v>
      </c>
      <c r="F1111">
        <v>12126160</v>
      </c>
      <c r="G1111">
        <v>14952960</v>
      </c>
      <c r="H1111">
        <v>380</v>
      </c>
      <c r="I1111">
        <v>265</v>
      </c>
      <c r="J1111">
        <v>645</v>
      </c>
      <c r="K1111" t="b">
        <f>TrafficData[[#This Row],[disposedChallan]]+TrafficData[[#This Row],[pendingChallan]]=TrafficData[[#This Row],[totalChallan]]</f>
        <v>1</v>
      </c>
      <c r="L1111" t="b">
        <f>TrafficData[[#This Row],[pendingAmount]]+TrafficData[[#This Row],[disposedAmount]]=TrafficData[[#This Row],[totalAmount]]</f>
        <v>1</v>
      </c>
      <c r="M1111" t="b">
        <f>TrafficData[[#This Row],[pendingCourt]]+TrafficData[[#This Row],[disposedCourt]]=TrafficData[[#This Row],[totalCourt]]</f>
        <v>1</v>
      </c>
      <c r="N1111" s="8" t="b">
        <f>AND(TrafficData[[#This Row],[disposedChallan]]&lt;=TrafficData[[#This Row],[totalChallan]],TrafficData[[#This Row],[pendingChallan]]&lt;=TrafficData[[#This Row],[totalChallan]])</f>
        <v>1</v>
      </c>
      <c r="O1111" s="8" t="b">
        <f>AND(TrafficData[[#This Row],[pendingAmount]]&lt;=TrafficData[[#This Row],[totalAmount]],TrafficData[[#This Row],[disposedAmount]]&lt;=TrafficData[[#This Row],[totalAmount]])</f>
        <v>1</v>
      </c>
      <c r="P1111" s="8" t="b">
        <f>AND(TrafficData[[#This Row],[pendingCourt]]&lt;=TrafficData[[#This Row],[totalCourt]],TrafficData[[#This Row],[disposedCourt]]&lt;=TrafficData[[#This Row],[totalCourt]])</f>
        <v>1</v>
      </c>
    </row>
    <row r="1112" spans="1:16">
      <c r="A1112" s="1">
        <v>43115</v>
      </c>
      <c r="B1112">
        <v>2202</v>
      </c>
      <c r="C1112">
        <v>1326</v>
      </c>
      <c r="D1112">
        <v>876</v>
      </c>
      <c r="E1112">
        <v>3553500</v>
      </c>
      <c r="F1112">
        <v>12839755</v>
      </c>
      <c r="G1112">
        <v>16393255</v>
      </c>
      <c r="H1112">
        <v>691</v>
      </c>
      <c r="I1112">
        <v>159</v>
      </c>
      <c r="J1112">
        <v>850</v>
      </c>
      <c r="K1112" t="b">
        <f>TrafficData[[#This Row],[disposedChallan]]+TrafficData[[#This Row],[pendingChallan]]=TrafficData[[#This Row],[totalChallan]]</f>
        <v>1</v>
      </c>
      <c r="L1112" t="b">
        <f>TrafficData[[#This Row],[pendingAmount]]+TrafficData[[#This Row],[disposedAmount]]=TrafficData[[#This Row],[totalAmount]]</f>
        <v>1</v>
      </c>
      <c r="M1112" t="b">
        <f>TrafficData[[#This Row],[pendingCourt]]+TrafficData[[#This Row],[disposedCourt]]=TrafficData[[#This Row],[totalCourt]]</f>
        <v>1</v>
      </c>
      <c r="N1112" s="8" t="b">
        <f>AND(TrafficData[[#This Row],[disposedChallan]]&lt;=TrafficData[[#This Row],[totalChallan]],TrafficData[[#This Row],[pendingChallan]]&lt;=TrafficData[[#This Row],[totalChallan]])</f>
        <v>1</v>
      </c>
      <c r="O1112" s="8" t="b">
        <f>AND(TrafficData[[#This Row],[pendingAmount]]&lt;=TrafficData[[#This Row],[totalAmount]],TrafficData[[#This Row],[disposedAmount]]&lt;=TrafficData[[#This Row],[totalAmount]])</f>
        <v>1</v>
      </c>
      <c r="P1112" s="8" t="b">
        <f>AND(TrafficData[[#This Row],[pendingCourt]]&lt;=TrafficData[[#This Row],[totalCourt]],TrafficData[[#This Row],[disposedCourt]]&lt;=TrafficData[[#This Row],[totalCourt]])</f>
        <v>1</v>
      </c>
    </row>
    <row r="1113" spans="1:16">
      <c r="A1113" s="1">
        <v>43116</v>
      </c>
      <c r="B1113">
        <v>2557</v>
      </c>
      <c r="C1113">
        <v>1518</v>
      </c>
      <c r="D1113">
        <v>1039</v>
      </c>
      <c r="E1113">
        <v>4879300</v>
      </c>
      <c r="F1113">
        <v>16874080</v>
      </c>
      <c r="G1113">
        <v>21753380</v>
      </c>
      <c r="H1113">
        <v>797</v>
      </c>
      <c r="I1113">
        <v>237</v>
      </c>
      <c r="J1113">
        <v>1034</v>
      </c>
      <c r="K1113" t="b">
        <f>TrafficData[[#This Row],[disposedChallan]]+TrafficData[[#This Row],[pendingChallan]]=TrafficData[[#This Row],[totalChallan]]</f>
        <v>1</v>
      </c>
      <c r="L1113" t="b">
        <f>TrafficData[[#This Row],[pendingAmount]]+TrafficData[[#This Row],[disposedAmount]]=TrafficData[[#This Row],[totalAmount]]</f>
        <v>1</v>
      </c>
      <c r="M1113" t="b">
        <f>TrafficData[[#This Row],[pendingCourt]]+TrafficData[[#This Row],[disposedCourt]]=TrafficData[[#This Row],[totalCourt]]</f>
        <v>1</v>
      </c>
      <c r="N1113" s="8" t="b">
        <f>AND(TrafficData[[#This Row],[disposedChallan]]&lt;=TrafficData[[#This Row],[totalChallan]],TrafficData[[#This Row],[pendingChallan]]&lt;=TrafficData[[#This Row],[totalChallan]])</f>
        <v>1</v>
      </c>
      <c r="O1113" s="8" t="b">
        <f>AND(TrafficData[[#This Row],[pendingAmount]]&lt;=TrafficData[[#This Row],[totalAmount]],TrafficData[[#This Row],[disposedAmount]]&lt;=TrafficData[[#This Row],[totalAmount]])</f>
        <v>1</v>
      </c>
      <c r="P1113" s="8" t="b">
        <f>AND(TrafficData[[#This Row],[pendingCourt]]&lt;=TrafficData[[#This Row],[totalCourt]],TrafficData[[#This Row],[disposedCourt]]&lt;=TrafficData[[#This Row],[totalCourt]])</f>
        <v>1</v>
      </c>
    </row>
    <row r="1114" spans="1:16">
      <c r="A1114" s="1">
        <v>43117</v>
      </c>
      <c r="B1114">
        <v>10854</v>
      </c>
      <c r="C1114">
        <v>7890</v>
      </c>
      <c r="D1114">
        <v>2964</v>
      </c>
      <c r="E1114">
        <v>9234525</v>
      </c>
      <c r="F1114">
        <v>13029546</v>
      </c>
      <c r="G1114">
        <v>22264071</v>
      </c>
      <c r="H1114">
        <v>2593</v>
      </c>
      <c r="I1114">
        <v>673</v>
      </c>
      <c r="J1114">
        <v>3266</v>
      </c>
      <c r="K1114" t="b">
        <f>TrafficData[[#This Row],[disposedChallan]]+TrafficData[[#This Row],[pendingChallan]]=TrafficData[[#This Row],[totalChallan]]</f>
        <v>1</v>
      </c>
      <c r="L1114" t="b">
        <f>TrafficData[[#This Row],[pendingAmount]]+TrafficData[[#This Row],[disposedAmount]]=TrafficData[[#This Row],[totalAmount]]</f>
        <v>1</v>
      </c>
      <c r="M1114" t="b">
        <f>TrafficData[[#This Row],[pendingCourt]]+TrafficData[[#This Row],[disposedCourt]]=TrafficData[[#This Row],[totalCourt]]</f>
        <v>1</v>
      </c>
      <c r="N1114" s="8" t="b">
        <f>AND(TrafficData[[#This Row],[disposedChallan]]&lt;=TrafficData[[#This Row],[totalChallan]],TrafficData[[#This Row],[pendingChallan]]&lt;=TrafficData[[#This Row],[totalChallan]])</f>
        <v>1</v>
      </c>
      <c r="O1114" s="8" t="b">
        <f>AND(TrafficData[[#This Row],[pendingAmount]]&lt;=TrafficData[[#This Row],[totalAmount]],TrafficData[[#This Row],[disposedAmount]]&lt;=TrafficData[[#This Row],[totalAmount]])</f>
        <v>1</v>
      </c>
      <c r="P1114" s="8" t="b">
        <f>AND(TrafficData[[#This Row],[pendingCourt]]&lt;=TrafficData[[#This Row],[totalCourt]],TrafficData[[#This Row],[disposedCourt]]&lt;=TrafficData[[#This Row],[totalCourt]])</f>
        <v>1</v>
      </c>
    </row>
    <row r="1115" spans="1:16">
      <c r="A1115" s="1">
        <v>43118</v>
      </c>
      <c r="B1115">
        <v>2468</v>
      </c>
      <c r="C1115">
        <v>1606</v>
      </c>
      <c r="D1115">
        <v>862</v>
      </c>
      <c r="E1115">
        <v>4410975</v>
      </c>
      <c r="F1115">
        <v>15702884</v>
      </c>
      <c r="G1115">
        <v>20113859</v>
      </c>
      <c r="H1115">
        <v>628</v>
      </c>
      <c r="I1115">
        <v>243</v>
      </c>
      <c r="J1115">
        <v>871</v>
      </c>
      <c r="K1115" t="b">
        <f>TrafficData[[#This Row],[disposedChallan]]+TrafficData[[#This Row],[pendingChallan]]=TrafficData[[#This Row],[totalChallan]]</f>
        <v>1</v>
      </c>
      <c r="L1115" t="b">
        <f>TrafficData[[#This Row],[pendingAmount]]+TrafficData[[#This Row],[disposedAmount]]=TrafficData[[#This Row],[totalAmount]]</f>
        <v>1</v>
      </c>
      <c r="M1115" t="b">
        <f>TrafficData[[#This Row],[pendingCourt]]+TrafficData[[#This Row],[disposedCourt]]=TrafficData[[#This Row],[totalCourt]]</f>
        <v>1</v>
      </c>
      <c r="N1115" s="8" t="b">
        <f>AND(TrafficData[[#This Row],[disposedChallan]]&lt;=TrafficData[[#This Row],[totalChallan]],TrafficData[[#This Row],[pendingChallan]]&lt;=TrafficData[[#This Row],[totalChallan]])</f>
        <v>1</v>
      </c>
      <c r="O1115" s="8" t="b">
        <f>AND(TrafficData[[#This Row],[pendingAmount]]&lt;=TrafficData[[#This Row],[totalAmount]],TrafficData[[#This Row],[disposedAmount]]&lt;=TrafficData[[#This Row],[totalAmount]])</f>
        <v>1</v>
      </c>
      <c r="P1115" s="8" t="b">
        <f>AND(TrafficData[[#This Row],[pendingCourt]]&lt;=TrafficData[[#This Row],[totalCourt]],TrafficData[[#This Row],[disposedCourt]]&lt;=TrafficData[[#This Row],[totalCourt]])</f>
        <v>1</v>
      </c>
    </row>
    <row r="1116" spans="1:16">
      <c r="A1116" s="1">
        <v>43119</v>
      </c>
      <c r="B1116">
        <v>2466</v>
      </c>
      <c r="C1116">
        <v>1514</v>
      </c>
      <c r="D1116">
        <v>952</v>
      </c>
      <c r="E1116">
        <v>5143050</v>
      </c>
      <c r="F1116">
        <v>15226845</v>
      </c>
      <c r="G1116">
        <v>20369895</v>
      </c>
      <c r="H1116">
        <v>721</v>
      </c>
      <c r="I1116">
        <v>339</v>
      </c>
      <c r="J1116">
        <v>1060</v>
      </c>
      <c r="K1116" t="b">
        <f>TrafficData[[#This Row],[disposedChallan]]+TrafficData[[#This Row],[pendingChallan]]=TrafficData[[#This Row],[totalChallan]]</f>
        <v>1</v>
      </c>
      <c r="L1116" t="b">
        <f>TrafficData[[#This Row],[pendingAmount]]+TrafficData[[#This Row],[disposedAmount]]=TrafficData[[#This Row],[totalAmount]]</f>
        <v>1</v>
      </c>
      <c r="M1116" t="b">
        <f>TrafficData[[#This Row],[pendingCourt]]+TrafficData[[#This Row],[disposedCourt]]=TrafficData[[#This Row],[totalCourt]]</f>
        <v>1</v>
      </c>
      <c r="N1116" s="8" t="b">
        <f>AND(TrafficData[[#This Row],[disposedChallan]]&lt;=TrafficData[[#This Row],[totalChallan]],TrafficData[[#This Row],[pendingChallan]]&lt;=TrafficData[[#This Row],[totalChallan]])</f>
        <v>1</v>
      </c>
      <c r="O1116" s="8" t="b">
        <f>AND(TrafficData[[#This Row],[pendingAmount]]&lt;=TrafficData[[#This Row],[totalAmount]],TrafficData[[#This Row],[disposedAmount]]&lt;=TrafficData[[#This Row],[totalAmount]])</f>
        <v>1</v>
      </c>
      <c r="P1116" s="8" t="b">
        <f>AND(TrafficData[[#This Row],[pendingCourt]]&lt;=TrafficData[[#This Row],[totalCourt]],TrafficData[[#This Row],[disposedCourt]]&lt;=TrafficData[[#This Row],[totalCourt]])</f>
        <v>1</v>
      </c>
    </row>
    <row r="1117" spans="1:16">
      <c r="A1117" s="1">
        <v>43120</v>
      </c>
      <c r="B1117">
        <v>2654</v>
      </c>
      <c r="C1117">
        <v>1715</v>
      </c>
      <c r="D1117">
        <v>939</v>
      </c>
      <c r="E1117">
        <v>6075725</v>
      </c>
      <c r="F1117">
        <v>17560262</v>
      </c>
      <c r="G1117">
        <v>23635987</v>
      </c>
      <c r="H1117">
        <v>695</v>
      </c>
      <c r="I1117">
        <v>424</v>
      </c>
      <c r="J1117">
        <v>1119</v>
      </c>
      <c r="K1117" t="b">
        <f>TrafficData[[#This Row],[disposedChallan]]+TrafficData[[#This Row],[pendingChallan]]=TrafficData[[#This Row],[totalChallan]]</f>
        <v>1</v>
      </c>
      <c r="L1117" t="b">
        <f>TrafficData[[#This Row],[pendingAmount]]+TrafficData[[#This Row],[disposedAmount]]=TrafficData[[#This Row],[totalAmount]]</f>
        <v>1</v>
      </c>
      <c r="M1117" t="b">
        <f>TrafficData[[#This Row],[pendingCourt]]+TrafficData[[#This Row],[disposedCourt]]=TrafficData[[#This Row],[totalCourt]]</f>
        <v>1</v>
      </c>
      <c r="N1117" s="8" t="b">
        <f>AND(TrafficData[[#This Row],[disposedChallan]]&lt;=TrafficData[[#This Row],[totalChallan]],TrafficData[[#This Row],[pendingChallan]]&lt;=TrafficData[[#This Row],[totalChallan]])</f>
        <v>1</v>
      </c>
      <c r="O1117" s="8" t="b">
        <f>AND(TrafficData[[#This Row],[pendingAmount]]&lt;=TrafficData[[#This Row],[totalAmount]],TrafficData[[#This Row],[disposedAmount]]&lt;=TrafficData[[#This Row],[totalAmount]])</f>
        <v>1</v>
      </c>
      <c r="P1117" s="8" t="b">
        <f>AND(TrafficData[[#This Row],[pendingCourt]]&lt;=TrafficData[[#This Row],[totalCourt]],TrafficData[[#This Row],[disposedCourt]]&lt;=TrafficData[[#This Row],[totalCourt]])</f>
        <v>1</v>
      </c>
    </row>
    <row r="1118" spans="1:16">
      <c r="A1118" s="1">
        <v>43121</v>
      </c>
      <c r="B1118">
        <v>1711</v>
      </c>
      <c r="C1118">
        <v>1205</v>
      </c>
      <c r="D1118">
        <v>506</v>
      </c>
      <c r="E1118">
        <v>2836200</v>
      </c>
      <c r="F1118">
        <v>12508107</v>
      </c>
      <c r="G1118">
        <v>15344307</v>
      </c>
      <c r="H1118">
        <v>401</v>
      </c>
      <c r="I1118">
        <v>342</v>
      </c>
      <c r="J1118">
        <v>743</v>
      </c>
      <c r="K1118" t="b">
        <f>TrafficData[[#This Row],[disposedChallan]]+TrafficData[[#This Row],[pendingChallan]]=TrafficData[[#This Row],[totalChallan]]</f>
        <v>1</v>
      </c>
      <c r="L1118" t="b">
        <f>TrafficData[[#This Row],[pendingAmount]]+TrafficData[[#This Row],[disposedAmount]]=TrafficData[[#This Row],[totalAmount]]</f>
        <v>1</v>
      </c>
      <c r="M1118" t="b">
        <f>TrafficData[[#This Row],[pendingCourt]]+TrafficData[[#This Row],[disposedCourt]]=TrafficData[[#This Row],[totalCourt]]</f>
        <v>1</v>
      </c>
      <c r="N1118" s="8" t="b">
        <f>AND(TrafficData[[#This Row],[disposedChallan]]&lt;=TrafficData[[#This Row],[totalChallan]],TrafficData[[#This Row],[pendingChallan]]&lt;=TrafficData[[#This Row],[totalChallan]])</f>
        <v>1</v>
      </c>
      <c r="O1118" s="8" t="b">
        <f>AND(TrafficData[[#This Row],[pendingAmount]]&lt;=TrafficData[[#This Row],[totalAmount]],TrafficData[[#This Row],[disposedAmount]]&lt;=TrafficData[[#This Row],[totalAmount]])</f>
        <v>1</v>
      </c>
      <c r="P1118" s="8" t="b">
        <f>AND(TrafficData[[#This Row],[pendingCourt]]&lt;=TrafficData[[#This Row],[totalCourt]],TrafficData[[#This Row],[disposedCourt]]&lt;=TrafficData[[#This Row],[totalCourt]])</f>
        <v>1</v>
      </c>
    </row>
    <row r="1119" spans="1:16">
      <c r="A1119" s="1">
        <v>43122</v>
      </c>
      <c r="B1119">
        <v>1809</v>
      </c>
      <c r="C1119">
        <v>1067</v>
      </c>
      <c r="D1119">
        <v>742</v>
      </c>
      <c r="E1119">
        <v>3167900</v>
      </c>
      <c r="F1119">
        <v>11076245</v>
      </c>
      <c r="G1119">
        <v>14244145</v>
      </c>
      <c r="H1119">
        <v>551</v>
      </c>
      <c r="I1119">
        <v>178</v>
      </c>
      <c r="J1119">
        <v>729</v>
      </c>
      <c r="K1119" t="b">
        <f>TrafficData[[#This Row],[disposedChallan]]+TrafficData[[#This Row],[pendingChallan]]=TrafficData[[#This Row],[totalChallan]]</f>
        <v>1</v>
      </c>
      <c r="L1119" t="b">
        <f>TrafficData[[#This Row],[pendingAmount]]+TrafficData[[#This Row],[disposedAmount]]=TrafficData[[#This Row],[totalAmount]]</f>
        <v>1</v>
      </c>
      <c r="M1119" t="b">
        <f>TrafficData[[#This Row],[pendingCourt]]+TrafficData[[#This Row],[disposedCourt]]=TrafficData[[#This Row],[totalCourt]]</f>
        <v>1</v>
      </c>
      <c r="N1119" s="8" t="b">
        <f>AND(TrafficData[[#This Row],[disposedChallan]]&lt;=TrafficData[[#This Row],[totalChallan]],TrafficData[[#This Row],[pendingChallan]]&lt;=TrafficData[[#This Row],[totalChallan]])</f>
        <v>1</v>
      </c>
      <c r="O1119" s="8" t="b">
        <f>AND(TrafficData[[#This Row],[pendingAmount]]&lt;=TrafficData[[#This Row],[totalAmount]],TrafficData[[#This Row],[disposedAmount]]&lt;=TrafficData[[#This Row],[totalAmount]])</f>
        <v>1</v>
      </c>
      <c r="P1119" s="8" t="b">
        <f>AND(TrafficData[[#This Row],[pendingCourt]]&lt;=TrafficData[[#This Row],[totalCourt]],TrafficData[[#This Row],[disposedCourt]]&lt;=TrafficData[[#This Row],[totalCourt]])</f>
        <v>1</v>
      </c>
    </row>
    <row r="1120" spans="1:16">
      <c r="A1120" s="1">
        <v>43123</v>
      </c>
      <c r="B1120">
        <v>1637</v>
      </c>
      <c r="C1120">
        <v>1050</v>
      </c>
      <c r="D1120">
        <v>587</v>
      </c>
      <c r="E1120">
        <v>2635325</v>
      </c>
      <c r="F1120">
        <v>11095948</v>
      </c>
      <c r="G1120">
        <v>13731273</v>
      </c>
      <c r="H1120">
        <v>428</v>
      </c>
      <c r="I1120">
        <v>168</v>
      </c>
      <c r="J1120">
        <v>596</v>
      </c>
      <c r="K1120" t="b">
        <f>TrafficData[[#This Row],[disposedChallan]]+TrafficData[[#This Row],[pendingChallan]]=TrafficData[[#This Row],[totalChallan]]</f>
        <v>1</v>
      </c>
      <c r="L1120" t="b">
        <f>TrafficData[[#This Row],[pendingAmount]]+TrafficData[[#This Row],[disposedAmount]]=TrafficData[[#This Row],[totalAmount]]</f>
        <v>1</v>
      </c>
      <c r="M1120" t="b">
        <f>TrafficData[[#This Row],[pendingCourt]]+TrafficData[[#This Row],[disposedCourt]]=TrafficData[[#This Row],[totalCourt]]</f>
        <v>1</v>
      </c>
      <c r="N1120" s="8" t="b">
        <f>AND(TrafficData[[#This Row],[disposedChallan]]&lt;=TrafficData[[#This Row],[totalChallan]],TrafficData[[#This Row],[pendingChallan]]&lt;=TrafficData[[#This Row],[totalChallan]])</f>
        <v>1</v>
      </c>
      <c r="O1120" s="8" t="b">
        <f>AND(TrafficData[[#This Row],[pendingAmount]]&lt;=TrafficData[[#This Row],[totalAmount]],TrafficData[[#This Row],[disposedAmount]]&lt;=TrafficData[[#This Row],[totalAmount]])</f>
        <v>1</v>
      </c>
      <c r="P1120" s="8" t="b">
        <f>AND(TrafficData[[#This Row],[pendingCourt]]&lt;=TrafficData[[#This Row],[totalCourt]],TrafficData[[#This Row],[disposedCourt]]&lt;=TrafficData[[#This Row],[totalCourt]])</f>
        <v>1</v>
      </c>
    </row>
    <row r="1121" spans="1:16">
      <c r="A1121" s="1">
        <v>43124</v>
      </c>
      <c r="B1121">
        <v>11069</v>
      </c>
      <c r="C1121">
        <v>7841</v>
      </c>
      <c r="D1121">
        <v>3228</v>
      </c>
      <c r="E1121">
        <v>9615683</v>
      </c>
      <c r="F1121">
        <v>12233244</v>
      </c>
      <c r="G1121">
        <v>21848927</v>
      </c>
      <c r="H1121">
        <v>2810</v>
      </c>
      <c r="I1121">
        <v>696</v>
      </c>
      <c r="J1121">
        <v>3506</v>
      </c>
      <c r="K1121" t="b">
        <f>TrafficData[[#This Row],[disposedChallan]]+TrafficData[[#This Row],[pendingChallan]]=TrafficData[[#This Row],[totalChallan]]</f>
        <v>1</v>
      </c>
      <c r="L1121" t="b">
        <f>TrafficData[[#This Row],[pendingAmount]]+TrafficData[[#This Row],[disposedAmount]]=TrafficData[[#This Row],[totalAmount]]</f>
        <v>1</v>
      </c>
      <c r="M1121" t="b">
        <f>TrafficData[[#This Row],[pendingCourt]]+TrafficData[[#This Row],[disposedCourt]]=TrafficData[[#This Row],[totalCourt]]</f>
        <v>1</v>
      </c>
      <c r="N1121" s="8" t="b">
        <f>AND(TrafficData[[#This Row],[disposedChallan]]&lt;=TrafficData[[#This Row],[totalChallan]],TrafficData[[#This Row],[pendingChallan]]&lt;=TrafficData[[#This Row],[totalChallan]])</f>
        <v>1</v>
      </c>
      <c r="O1121" s="8" t="b">
        <f>AND(TrafficData[[#This Row],[pendingAmount]]&lt;=TrafficData[[#This Row],[totalAmount]],TrafficData[[#This Row],[disposedAmount]]&lt;=TrafficData[[#This Row],[totalAmount]])</f>
        <v>1</v>
      </c>
      <c r="P1121" s="8" t="b">
        <f>AND(TrafficData[[#This Row],[pendingCourt]]&lt;=TrafficData[[#This Row],[totalCourt]],TrafficData[[#This Row],[disposedCourt]]&lt;=TrafficData[[#This Row],[totalCourt]])</f>
        <v>1</v>
      </c>
    </row>
    <row r="1122" spans="1:16">
      <c r="A1122" s="1">
        <v>43125</v>
      </c>
      <c r="B1122">
        <v>1847</v>
      </c>
      <c r="C1122">
        <v>1261</v>
      </c>
      <c r="D1122">
        <v>586</v>
      </c>
      <c r="E1122">
        <v>3427081</v>
      </c>
      <c r="F1122">
        <v>11408120</v>
      </c>
      <c r="G1122">
        <v>14835201</v>
      </c>
      <c r="H1122">
        <v>346</v>
      </c>
      <c r="I1122">
        <v>146</v>
      </c>
      <c r="J1122">
        <v>492</v>
      </c>
      <c r="K1122" t="b">
        <f>TrafficData[[#This Row],[disposedChallan]]+TrafficData[[#This Row],[pendingChallan]]=TrafficData[[#This Row],[totalChallan]]</f>
        <v>1</v>
      </c>
      <c r="L1122" t="b">
        <f>TrafficData[[#This Row],[pendingAmount]]+TrafficData[[#This Row],[disposedAmount]]=TrafficData[[#This Row],[totalAmount]]</f>
        <v>1</v>
      </c>
      <c r="M1122" t="b">
        <f>TrafficData[[#This Row],[pendingCourt]]+TrafficData[[#This Row],[disposedCourt]]=TrafficData[[#This Row],[totalCourt]]</f>
        <v>1</v>
      </c>
      <c r="N1122" s="8" t="b">
        <f>AND(TrafficData[[#This Row],[disposedChallan]]&lt;=TrafficData[[#This Row],[totalChallan]],TrafficData[[#This Row],[pendingChallan]]&lt;=TrafficData[[#This Row],[totalChallan]])</f>
        <v>1</v>
      </c>
      <c r="O1122" s="8" t="b">
        <f>AND(TrafficData[[#This Row],[pendingAmount]]&lt;=TrafficData[[#This Row],[totalAmount]],TrafficData[[#This Row],[disposedAmount]]&lt;=TrafficData[[#This Row],[totalAmount]])</f>
        <v>1</v>
      </c>
      <c r="P1122" s="8" t="b">
        <f>AND(TrafficData[[#This Row],[pendingCourt]]&lt;=TrafficData[[#This Row],[totalCourt]],TrafficData[[#This Row],[disposedCourt]]&lt;=TrafficData[[#This Row],[totalCourt]])</f>
        <v>1</v>
      </c>
    </row>
    <row r="1123" spans="1:16">
      <c r="A1123" s="1">
        <v>43126</v>
      </c>
      <c r="B1123">
        <v>910</v>
      </c>
      <c r="C1123">
        <v>707</v>
      </c>
      <c r="D1123">
        <v>203</v>
      </c>
      <c r="E1123">
        <v>1252550</v>
      </c>
      <c r="F1123">
        <v>12417951</v>
      </c>
      <c r="G1123">
        <v>13670501</v>
      </c>
      <c r="H1123">
        <v>128</v>
      </c>
      <c r="I1123">
        <v>139</v>
      </c>
      <c r="J1123">
        <v>267</v>
      </c>
      <c r="K1123" t="b">
        <f>TrafficData[[#This Row],[disposedChallan]]+TrafficData[[#This Row],[pendingChallan]]=TrafficData[[#This Row],[totalChallan]]</f>
        <v>1</v>
      </c>
      <c r="L1123" t="b">
        <f>TrafficData[[#This Row],[pendingAmount]]+TrafficData[[#This Row],[disposedAmount]]=TrafficData[[#This Row],[totalAmount]]</f>
        <v>1</v>
      </c>
      <c r="M1123" t="b">
        <f>TrafficData[[#This Row],[pendingCourt]]+TrafficData[[#This Row],[disposedCourt]]=TrafficData[[#This Row],[totalCourt]]</f>
        <v>1</v>
      </c>
      <c r="N1123" s="8" t="b">
        <f>AND(TrafficData[[#This Row],[disposedChallan]]&lt;=TrafficData[[#This Row],[totalChallan]],TrafficData[[#This Row],[pendingChallan]]&lt;=TrafficData[[#This Row],[totalChallan]])</f>
        <v>1</v>
      </c>
      <c r="O1123" s="8" t="b">
        <f>AND(TrafficData[[#This Row],[pendingAmount]]&lt;=TrafficData[[#This Row],[totalAmount]],TrafficData[[#This Row],[disposedAmount]]&lt;=TrafficData[[#This Row],[totalAmount]])</f>
        <v>1</v>
      </c>
      <c r="P1123" s="8" t="b">
        <f>AND(TrafficData[[#This Row],[pendingCourt]]&lt;=TrafficData[[#This Row],[totalCourt]],TrafficData[[#This Row],[disposedCourt]]&lt;=TrafficData[[#This Row],[totalCourt]])</f>
        <v>1</v>
      </c>
    </row>
    <row r="1124" spans="1:16">
      <c r="A1124" s="1">
        <v>43127</v>
      </c>
      <c r="B1124">
        <v>1482</v>
      </c>
      <c r="C1124">
        <v>937</v>
      </c>
      <c r="D1124">
        <v>545</v>
      </c>
      <c r="E1124">
        <v>1680801</v>
      </c>
      <c r="F1124">
        <v>8924449</v>
      </c>
      <c r="G1124">
        <v>10605250</v>
      </c>
      <c r="H1124">
        <v>415</v>
      </c>
      <c r="I1124">
        <v>140</v>
      </c>
      <c r="J1124">
        <v>555</v>
      </c>
      <c r="K1124" t="b">
        <f>TrafficData[[#This Row],[disposedChallan]]+TrafficData[[#This Row],[pendingChallan]]=TrafficData[[#This Row],[totalChallan]]</f>
        <v>1</v>
      </c>
      <c r="L1124" t="b">
        <f>TrafficData[[#This Row],[pendingAmount]]+TrafficData[[#This Row],[disposedAmount]]=TrafficData[[#This Row],[totalAmount]]</f>
        <v>1</v>
      </c>
      <c r="M1124" t="b">
        <f>TrafficData[[#This Row],[pendingCourt]]+TrafficData[[#This Row],[disposedCourt]]=TrafficData[[#This Row],[totalCourt]]</f>
        <v>1</v>
      </c>
      <c r="N1124" s="8" t="b">
        <f>AND(TrafficData[[#This Row],[disposedChallan]]&lt;=TrafficData[[#This Row],[totalChallan]],TrafficData[[#This Row],[pendingChallan]]&lt;=TrafficData[[#This Row],[totalChallan]])</f>
        <v>1</v>
      </c>
      <c r="O1124" s="8" t="b">
        <f>AND(TrafficData[[#This Row],[pendingAmount]]&lt;=TrafficData[[#This Row],[totalAmount]],TrafficData[[#This Row],[disposedAmount]]&lt;=TrafficData[[#This Row],[totalAmount]])</f>
        <v>1</v>
      </c>
      <c r="P1124" s="8" t="b">
        <f>AND(TrafficData[[#This Row],[pendingCourt]]&lt;=TrafficData[[#This Row],[totalCourt]],TrafficData[[#This Row],[disposedCourt]]&lt;=TrafficData[[#This Row],[totalCourt]])</f>
        <v>1</v>
      </c>
    </row>
    <row r="1125" spans="1:16">
      <c r="A1125" s="1">
        <v>43128</v>
      </c>
      <c r="B1125">
        <v>986</v>
      </c>
      <c r="C1125">
        <v>623</v>
      </c>
      <c r="D1125">
        <v>363</v>
      </c>
      <c r="E1125">
        <v>1181900</v>
      </c>
      <c r="F1125">
        <v>6703299</v>
      </c>
      <c r="G1125">
        <v>7885199</v>
      </c>
      <c r="H1125">
        <v>290</v>
      </c>
      <c r="I1125">
        <v>84</v>
      </c>
      <c r="J1125">
        <v>374</v>
      </c>
      <c r="K1125" t="b">
        <f>TrafficData[[#This Row],[disposedChallan]]+TrafficData[[#This Row],[pendingChallan]]=TrafficData[[#This Row],[totalChallan]]</f>
        <v>1</v>
      </c>
      <c r="L1125" t="b">
        <f>TrafficData[[#This Row],[pendingAmount]]+TrafficData[[#This Row],[disposedAmount]]=TrafficData[[#This Row],[totalAmount]]</f>
        <v>1</v>
      </c>
      <c r="M1125" t="b">
        <f>TrafficData[[#This Row],[pendingCourt]]+TrafficData[[#This Row],[disposedCourt]]=TrafficData[[#This Row],[totalCourt]]</f>
        <v>1</v>
      </c>
      <c r="N1125" s="8" t="b">
        <f>AND(TrafficData[[#This Row],[disposedChallan]]&lt;=TrafficData[[#This Row],[totalChallan]],TrafficData[[#This Row],[pendingChallan]]&lt;=TrafficData[[#This Row],[totalChallan]])</f>
        <v>1</v>
      </c>
      <c r="O1125" s="8" t="b">
        <f>AND(TrafficData[[#This Row],[pendingAmount]]&lt;=TrafficData[[#This Row],[totalAmount]],TrafficData[[#This Row],[disposedAmount]]&lt;=TrafficData[[#This Row],[totalAmount]])</f>
        <v>1</v>
      </c>
      <c r="P1125" s="8" t="b">
        <f>AND(TrafficData[[#This Row],[pendingCourt]]&lt;=TrafficData[[#This Row],[totalCourt]],TrafficData[[#This Row],[disposedCourt]]&lt;=TrafficData[[#This Row],[totalCourt]])</f>
        <v>1</v>
      </c>
    </row>
    <row r="1126" spans="1:16">
      <c r="A1126" s="1">
        <v>43129</v>
      </c>
      <c r="B1126">
        <v>1523</v>
      </c>
      <c r="C1126">
        <v>934</v>
      </c>
      <c r="D1126">
        <v>589</v>
      </c>
      <c r="E1126">
        <v>1660200</v>
      </c>
      <c r="F1126">
        <v>7997578</v>
      </c>
      <c r="G1126">
        <v>9657778</v>
      </c>
      <c r="H1126">
        <v>444</v>
      </c>
      <c r="I1126">
        <v>147</v>
      </c>
      <c r="J1126">
        <v>591</v>
      </c>
      <c r="K1126" t="b">
        <f>TrafficData[[#This Row],[disposedChallan]]+TrafficData[[#This Row],[pendingChallan]]=TrafficData[[#This Row],[totalChallan]]</f>
        <v>1</v>
      </c>
      <c r="L1126" t="b">
        <f>TrafficData[[#This Row],[pendingAmount]]+TrafficData[[#This Row],[disposedAmount]]=TrafficData[[#This Row],[totalAmount]]</f>
        <v>1</v>
      </c>
      <c r="M1126" t="b">
        <f>TrafficData[[#This Row],[pendingCourt]]+TrafficData[[#This Row],[disposedCourt]]=TrafficData[[#This Row],[totalCourt]]</f>
        <v>1</v>
      </c>
      <c r="N1126" s="8" t="b">
        <f>AND(TrafficData[[#This Row],[disposedChallan]]&lt;=TrafficData[[#This Row],[totalChallan]],TrafficData[[#This Row],[pendingChallan]]&lt;=TrafficData[[#This Row],[totalChallan]])</f>
        <v>1</v>
      </c>
      <c r="O1126" s="8" t="b">
        <f>AND(TrafficData[[#This Row],[pendingAmount]]&lt;=TrafficData[[#This Row],[totalAmount]],TrafficData[[#This Row],[disposedAmount]]&lt;=TrafficData[[#This Row],[totalAmount]])</f>
        <v>1</v>
      </c>
      <c r="P1126" s="8" t="b">
        <f>AND(TrafficData[[#This Row],[pendingCourt]]&lt;=TrafficData[[#This Row],[totalCourt]],TrafficData[[#This Row],[disposedCourt]]&lt;=TrafficData[[#This Row],[totalCourt]])</f>
        <v>1</v>
      </c>
    </row>
    <row r="1127" spans="1:16">
      <c r="A1127" s="1">
        <v>43130</v>
      </c>
      <c r="B1127">
        <v>1806</v>
      </c>
      <c r="C1127">
        <v>1042</v>
      </c>
      <c r="D1127">
        <v>764</v>
      </c>
      <c r="E1127">
        <v>3777400</v>
      </c>
      <c r="F1127">
        <v>10987612</v>
      </c>
      <c r="G1127">
        <v>14765012</v>
      </c>
      <c r="H1127">
        <v>549</v>
      </c>
      <c r="I1127">
        <v>151</v>
      </c>
      <c r="J1127">
        <v>700</v>
      </c>
      <c r="K1127" t="b">
        <f>TrafficData[[#This Row],[disposedChallan]]+TrafficData[[#This Row],[pendingChallan]]=TrafficData[[#This Row],[totalChallan]]</f>
        <v>1</v>
      </c>
      <c r="L1127" t="b">
        <f>TrafficData[[#This Row],[pendingAmount]]+TrafficData[[#This Row],[disposedAmount]]=TrafficData[[#This Row],[totalAmount]]</f>
        <v>1</v>
      </c>
      <c r="M1127" t="b">
        <f>TrafficData[[#This Row],[pendingCourt]]+TrafficData[[#This Row],[disposedCourt]]=TrafficData[[#This Row],[totalCourt]]</f>
        <v>1</v>
      </c>
      <c r="N1127" s="8" t="b">
        <f>AND(TrafficData[[#This Row],[disposedChallan]]&lt;=TrafficData[[#This Row],[totalChallan]],TrafficData[[#This Row],[pendingChallan]]&lt;=TrafficData[[#This Row],[totalChallan]])</f>
        <v>1</v>
      </c>
      <c r="O1127" s="8" t="b">
        <f>AND(TrafficData[[#This Row],[pendingAmount]]&lt;=TrafficData[[#This Row],[totalAmount]],TrafficData[[#This Row],[disposedAmount]]&lt;=TrafficData[[#This Row],[totalAmount]])</f>
        <v>1</v>
      </c>
      <c r="P1127" s="8" t="b">
        <f>AND(TrafficData[[#This Row],[pendingCourt]]&lt;=TrafficData[[#This Row],[totalCourt]],TrafficData[[#This Row],[disposedCourt]]&lt;=TrafficData[[#This Row],[totalCourt]])</f>
        <v>1</v>
      </c>
    </row>
    <row r="1128" spans="1:16">
      <c r="A1128" s="1">
        <v>43131</v>
      </c>
      <c r="B1128">
        <v>10327</v>
      </c>
      <c r="C1128">
        <v>7561</v>
      </c>
      <c r="D1128">
        <v>2766</v>
      </c>
      <c r="E1128">
        <v>6600070</v>
      </c>
      <c r="F1128">
        <v>9423094</v>
      </c>
      <c r="G1128">
        <v>16023164</v>
      </c>
      <c r="H1128">
        <v>2450</v>
      </c>
      <c r="I1128">
        <v>723</v>
      </c>
      <c r="J1128">
        <v>3173</v>
      </c>
      <c r="K1128" t="b">
        <f>TrafficData[[#This Row],[disposedChallan]]+TrafficData[[#This Row],[pendingChallan]]=TrafficData[[#This Row],[totalChallan]]</f>
        <v>1</v>
      </c>
      <c r="L1128" t="b">
        <f>TrafficData[[#This Row],[pendingAmount]]+TrafficData[[#This Row],[disposedAmount]]=TrafficData[[#This Row],[totalAmount]]</f>
        <v>1</v>
      </c>
      <c r="M1128" t="b">
        <f>TrafficData[[#This Row],[pendingCourt]]+TrafficData[[#This Row],[disposedCourt]]=TrafficData[[#This Row],[totalCourt]]</f>
        <v>1</v>
      </c>
      <c r="N1128" s="8" t="b">
        <f>AND(TrafficData[[#This Row],[disposedChallan]]&lt;=TrafficData[[#This Row],[totalChallan]],TrafficData[[#This Row],[pendingChallan]]&lt;=TrafficData[[#This Row],[totalChallan]])</f>
        <v>1</v>
      </c>
      <c r="O1128" s="8" t="b">
        <f>AND(TrafficData[[#This Row],[pendingAmount]]&lt;=TrafficData[[#This Row],[totalAmount]],TrafficData[[#This Row],[disposedAmount]]&lt;=TrafficData[[#This Row],[totalAmount]])</f>
        <v>1</v>
      </c>
      <c r="P1128" s="8" t="b">
        <f>AND(TrafficData[[#This Row],[pendingCourt]]&lt;=TrafficData[[#This Row],[totalCourt]],TrafficData[[#This Row],[disposedCourt]]&lt;=TrafficData[[#This Row],[totalCourt]])</f>
        <v>1</v>
      </c>
    </row>
    <row r="1129" spans="1:16">
      <c r="A1129" s="1">
        <v>43132</v>
      </c>
      <c r="B1129">
        <v>2079</v>
      </c>
      <c r="C1129">
        <v>1302</v>
      </c>
      <c r="D1129">
        <v>777</v>
      </c>
      <c r="E1129">
        <v>3020400</v>
      </c>
      <c r="F1129">
        <v>10068277</v>
      </c>
      <c r="G1129">
        <v>13088677</v>
      </c>
      <c r="H1129">
        <v>582</v>
      </c>
      <c r="I1129">
        <v>183</v>
      </c>
      <c r="J1129">
        <v>765</v>
      </c>
      <c r="K1129" t="b">
        <f>TrafficData[[#This Row],[disposedChallan]]+TrafficData[[#This Row],[pendingChallan]]=TrafficData[[#This Row],[totalChallan]]</f>
        <v>1</v>
      </c>
      <c r="L1129" t="b">
        <f>TrafficData[[#This Row],[pendingAmount]]+TrafficData[[#This Row],[disposedAmount]]=TrafficData[[#This Row],[totalAmount]]</f>
        <v>1</v>
      </c>
      <c r="M1129" t="b">
        <f>TrafficData[[#This Row],[pendingCourt]]+TrafficData[[#This Row],[disposedCourt]]=TrafficData[[#This Row],[totalCourt]]</f>
        <v>1</v>
      </c>
      <c r="N1129" s="8" t="b">
        <f>AND(TrafficData[[#This Row],[disposedChallan]]&lt;=TrafficData[[#This Row],[totalChallan]],TrafficData[[#This Row],[pendingChallan]]&lt;=TrafficData[[#This Row],[totalChallan]])</f>
        <v>1</v>
      </c>
      <c r="O1129" s="8" t="b">
        <f>AND(TrafficData[[#This Row],[pendingAmount]]&lt;=TrafficData[[#This Row],[totalAmount]],TrafficData[[#This Row],[disposedAmount]]&lt;=TrafficData[[#This Row],[totalAmount]])</f>
        <v>1</v>
      </c>
      <c r="P1129" s="8" t="b">
        <f>AND(TrafficData[[#This Row],[pendingCourt]]&lt;=TrafficData[[#This Row],[totalCourt]],TrafficData[[#This Row],[disposedCourt]]&lt;=TrafficData[[#This Row],[totalCourt]])</f>
        <v>1</v>
      </c>
    </row>
    <row r="1130" spans="1:16">
      <c r="A1130" s="1">
        <v>43133</v>
      </c>
      <c r="B1130">
        <v>1983</v>
      </c>
      <c r="C1130">
        <v>1344</v>
      </c>
      <c r="D1130">
        <v>639</v>
      </c>
      <c r="E1130">
        <v>3152256</v>
      </c>
      <c r="F1130">
        <v>12412451</v>
      </c>
      <c r="G1130">
        <v>15564707</v>
      </c>
      <c r="H1130">
        <v>423</v>
      </c>
      <c r="I1130">
        <v>157</v>
      </c>
      <c r="J1130">
        <v>580</v>
      </c>
      <c r="K1130" t="b">
        <f>TrafficData[[#This Row],[disposedChallan]]+TrafficData[[#This Row],[pendingChallan]]=TrafficData[[#This Row],[totalChallan]]</f>
        <v>1</v>
      </c>
      <c r="L1130" t="b">
        <f>TrafficData[[#This Row],[pendingAmount]]+TrafficData[[#This Row],[disposedAmount]]=TrafficData[[#This Row],[totalAmount]]</f>
        <v>1</v>
      </c>
      <c r="M1130" t="b">
        <f>TrafficData[[#This Row],[pendingCourt]]+TrafficData[[#This Row],[disposedCourt]]=TrafficData[[#This Row],[totalCourt]]</f>
        <v>1</v>
      </c>
      <c r="N1130" s="8" t="b">
        <f>AND(TrafficData[[#This Row],[disposedChallan]]&lt;=TrafficData[[#This Row],[totalChallan]],TrafficData[[#This Row],[pendingChallan]]&lt;=TrafficData[[#This Row],[totalChallan]])</f>
        <v>1</v>
      </c>
      <c r="O1130" s="8" t="b">
        <f>AND(TrafficData[[#This Row],[pendingAmount]]&lt;=TrafficData[[#This Row],[totalAmount]],TrafficData[[#This Row],[disposedAmount]]&lt;=TrafficData[[#This Row],[totalAmount]])</f>
        <v>1</v>
      </c>
      <c r="P1130" s="8" t="b">
        <f>AND(TrafficData[[#This Row],[pendingCourt]]&lt;=TrafficData[[#This Row],[totalCourt]],TrafficData[[#This Row],[disposedCourt]]&lt;=TrafficData[[#This Row],[totalCourt]])</f>
        <v>1</v>
      </c>
    </row>
    <row r="1131" spans="1:16">
      <c r="A1131" s="1">
        <v>43134</v>
      </c>
      <c r="B1131">
        <v>1795</v>
      </c>
      <c r="C1131">
        <v>1161</v>
      </c>
      <c r="D1131">
        <v>634</v>
      </c>
      <c r="E1131">
        <v>2815500</v>
      </c>
      <c r="F1131">
        <v>12739369</v>
      </c>
      <c r="G1131">
        <v>15554869</v>
      </c>
      <c r="H1131">
        <v>406</v>
      </c>
      <c r="I1131">
        <v>159</v>
      </c>
      <c r="J1131">
        <v>565</v>
      </c>
      <c r="K1131" t="b">
        <f>TrafficData[[#This Row],[disposedChallan]]+TrafficData[[#This Row],[pendingChallan]]=TrafficData[[#This Row],[totalChallan]]</f>
        <v>1</v>
      </c>
      <c r="L1131" t="b">
        <f>TrafficData[[#This Row],[pendingAmount]]+TrafficData[[#This Row],[disposedAmount]]=TrafficData[[#This Row],[totalAmount]]</f>
        <v>1</v>
      </c>
      <c r="M1131" t="b">
        <f>TrafficData[[#This Row],[pendingCourt]]+TrafficData[[#This Row],[disposedCourt]]=TrafficData[[#This Row],[totalCourt]]</f>
        <v>1</v>
      </c>
      <c r="N1131" s="8" t="b">
        <f>AND(TrafficData[[#This Row],[disposedChallan]]&lt;=TrafficData[[#This Row],[totalChallan]],TrafficData[[#This Row],[pendingChallan]]&lt;=TrafficData[[#This Row],[totalChallan]])</f>
        <v>1</v>
      </c>
      <c r="O1131" s="8" t="b">
        <f>AND(TrafficData[[#This Row],[pendingAmount]]&lt;=TrafficData[[#This Row],[totalAmount]],TrafficData[[#This Row],[disposedAmount]]&lt;=TrafficData[[#This Row],[totalAmount]])</f>
        <v>1</v>
      </c>
      <c r="P1131" s="8" t="b">
        <f>AND(TrafficData[[#This Row],[pendingCourt]]&lt;=TrafficData[[#This Row],[totalCourt]],TrafficData[[#This Row],[disposedCourt]]&lt;=TrafficData[[#This Row],[totalCourt]])</f>
        <v>1</v>
      </c>
    </row>
    <row r="1132" spans="1:16">
      <c r="A1132" s="1">
        <v>43135</v>
      </c>
      <c r="B1132">
        <v>721</v>
      </c>
      <c r="C1132">
        <v>445</v>
      </c>
      <c r="D1132">
        <v>276</v>
      </c>
      <c r="E1132">
        <v>1048250</v>
      </c>
      <c r="F1132">
        <v>5580523</v>
      </c>
      <c r="G1132">
        <v>6628773</v>
      </c>
      <c r="H1132">
        <v>207</v>
      </c>
      <c r="I1132">
        <v>66</v>
      </c>
      <c r="J1132">
        <v>273</v>
      </c>
      <c r="K1132" t="b">
        <f>TrafficData[[#This Row],[disposedChallan]]+TrafficData[[#This Row],[pendingChallan]]=TrafficData[[#This Row],[totalChallan]]</f>
        <v>1</v>
      </c>
      <c r="L1132" t="b">
        <f>TrafficData[[#This Row],[pendingAmount]]+TrafficData[[#This Row],[disposedAmount]]=TrafficData[[#This Row],[totalAmount]]</f>
        <v>1</v>
      </c>
      <c r="M1132" t="b">
        <f>TrafficData[[#This Row],[pendingCourt]]+TrafficData[[#This Row],[disposedCourt]]=TrafficData[[#This Row],[totalCourt]]</f>
        <v>1</v>
      </c>
      <c r="N1132" s="8" t="b">
        <f>AND(TrafficData[[#This Row],[disposedChallan]]&lt;=TrafficData[[#This Row],[totalChallan]],TrafficData[[#This Row],[pendingChallan]]&lt;=TrafficData[[#This Row],[totalChallan]])</f>
        <v>1</v>
      </c>
      <c r="O1132" s="8" t="b">
        <f>AND(TrafficData[[#This Row],[pendingAmount]]&lt;=TrafficData[[#This Row],[totalAmount]],TrafficData[[#This Row],[disposedAmount]]&lt;=TrafficData[[#This Row],[totalAmount]])</f>
        <v>1</v>
      </c>
      <c r="P1132" s="8" t="b">
        <f>AND(TrafficData[[#This Row],[pendingCourt]]&lt;=TrafficData[[#This Row],[totalCourt]],TrafficData[[#This Row],[disposedCourt]]&lt;=TrafficData[[#This Row],[totalCourt]])</f>
        <v>1</v>
      </c>
    </row>
    <row r="1133" spans="1:16">
      <c r="A1133" s="1">
        <v>43136</v>
      </c>
      <c r="B1133">
        <v>1775</v>
      </c>
      <c r="C1133">
        <v>1162</v>
      </c>
      <c r="D1133">
        <v>613</v>
      </c>
      <c r="E1133">
        <v>2690750</v>
      </c>
      <c r="F1133">
        <v>10174242</v>
      </c>
      <c r="G1133">
        <v>12864992</v>
      </c>
      <c r="H1133">
        <v>419</v>
      </c>
      <c r="I1133">
        <v>232</v>
      </c>
      <c r="J1133">
        <v>651</v>
      </c>
      <c r="K1133" t="b">
        <f>TrafficData[[#This Row],[disposedChallan]]+TrafficData[[#This Row],[pendingChallan]]=TrafficData[[#This Row],[totalChallan]]</f>
        <v>1</v>
      </c>
      <c r="L1133" t="b">
        <f>TrafficData[[#This Row],[pendingAmount]]+TrafficData[[#This Row],[disposedAmount]]=TrafficData[[#This Row],[totalAmount]]</f>
        <v>1</v>
      </c>
      <c r="M1133" t="b">
        <f>TrafficData[[#This Row],[pendingCourt]]+TrafficData[[#This Row],[disposedCourt]]=TrafficData[[#This Row],[totalCourt]]</f>
        <v>1</v>
      </c>
      <c r="N1133" s="8" t="b">
        <f>AND(TrafficData[[#This Row],[disposedChallan]]&lt;=TrafficData[[#This Row],[totalChallan]],TrafficData[[#This Row],[pendingChallan]]&lt;=TrafficData[[#This Row],[totalChallan]])</f>
        <v>1</v>
      </c>
      <c r="O1133" s="8" t="b">
        <f>AND(TrafficData[[#This Row],[pendingAmount]]&lt;=TrafficData[[#This Row],[totalAmount]],TrafficData[[#This Row],[disposedAmount]]&lt;=TrafficData[[#This Row],[totalAmount]])</f>
        <v>1</v>
      </c>
      <c r="P1133" s="8" t="b">
        <f>AND(TrafficData[[#This Row],[pendingCourt]]&lt;=TrafficData[[#This Row],[totalCourt]],TrafficData[[#This Row],[disposedCourt]]&lt;=TrafficData[[#This Row],[totalCourt]])</f>
        <v>1</v>
      </c>
    </row>
    <row r="1134" spans="1:16">
      <c r="A1134" s="1">
        <v>43137</v>
      </c>
      <c r="B1134">
        <v>1989</v>
      </c>
      <c r="C1134">
        <v>1256</v>
      </c>
      <c r="D1134">
        <v>733</v>
      </c>
      <c r="E1134">
        <v>3257700</v>
      </c>
      <c r="F1134">
        <v>11646085</v>
      </c>
      <c r="G1134">
        <v>14903785</v>
      </c>
      <c r="H1134">
        <v>556</v>
      </c>
      <c r="I1134">
        <v>193</v>
      </c>
      <c r="J1134">
        <v>749</v>
      </c>
      <c r="K1134" t="b">
        <f>TrafficData[[#This Row],[disposedChallan]]+TrafficData[[#This Row],[pendingChallan]]=TrafficData[[#This Row],[totalChallan]]</f>
        <v>1</v>
      </c>
      <c r="L1134" t="b">
        <f>TrafficData[[#This Row],[pendingAmount]]+TrafficData[[#This Row],[disposedAmount]]=TrafficData[[#This Row],[totalAmount]]</f>
        <v>1</v>
      </c>
      <c r="M1134" t="b">
        <f>TrafficData[[#This Row],[pendingCourt]]+TrafficData[[#This Row],[disposedCourt]]=TrafficData[[#This Row],[totalCourt]]</f>
        <v>1</v>
      </c>
      <c r="N1134" s="8" t="b">
        <f>AND(TrafficData[[#This Row],[disposedChallan]]&lt;=TrafficData[[#This Row],[totalChallan]],TrafficData[[#This Row],[pendingChallan]]&lt;=TrafficData[[#This Row],[totalChallan]])</f>
        <v>1</v>
      </c>
      <c r="O1134" s="8" t="b">
        <f>AND(TrafficData[[#This Row],[pendingAmount]]&lt;=TrafficData[[#This Row],[totalAmount]],TrafficData[[#This Row],[disposedAmount]]&lt;=TrafficData[[#This Row],[totalAmount]])</f>
        <v>1</v>
      </c>
      <c r="P1134" s="8" t="b">
        <f>AND(TrafficData[[#This Row],[pendingCourt]]&lt;=TrafficData[[#This Row],[totalCourt]],TrafficData[[#This Row],[disposedCourt]]&lt;=TrafficData[[#This Row],[totalCourt]])</f>
        <v>1</v>
      </c>
    </row>
    <row r="1135" spans="1:16">
      <c r="A1135" s="1">
        <v>43138</v>
      </c>
      <c r="B1135">
        <v>10484</v>
      </c>
      <c r="C1135">
        <v>7632</v>
      </c>
      <c r="D1135">
        <v>2852</v>
      </c>
      <c r="E1135">
        <v>8253150</v>
      </c>
      <c r="F1135">
        <v>11629894</v>
      </c>
      <c r="G1135">
        <v>19883044</v>
      </c>
      <c r="H1135">
        <v>2547</v>
      </c>
      <c r="I1135">
        <v>726</v>
      </c>
      <c r="J1135">
        <v>3273</v>
      </c>
      <c r="K1135" t="b">
        <f>TrafficData[[#This Row],[disposedChallan]]+TrafficData[[#This Row],[pendingChallan]]=TrafficData[[#This Row],[totalChallan]]</f>
        <v>1</v>
      </c>
      <c r="L1135" t="b">
        <f>TrafficData[[#This Row],[pendingAmount]]+TrafficData[[#This Row],[disposedAmount]]=TrafficData[[#This Row],[totalAmount]]</f>
        <v>1</v>
      </c>
      <c r="M1135" t="b">
        <f>TrafficData[[#This Row],[pendingCourt]]+TrafficData[[#This Row],[disposedCourt]]=TrafficData[[#This Row],[totalCourt]]</f>
        <v>1</v>
      </c>
      <c r="N1135" s="8" t="b">
        <f>AND(TrafficData[[#This Row],[disposedChallan]]&lt;=TrafficData[[#This Row],[totalChallan]],TrafficData[[#This Row],[pendingChallan]]&lt;=TrafficData[[#This Row],[totalChallan]])</f>
        <v>1</v>
      </c>
      <c r="O1135" s="8" t="b">
        <f>AND(TrafficData[[#This Row],[pendingAmount]]&lt;=TrafficData[[#This Row],[totalAmount]],TrafficData[[#This Row],[disposedAmount]]&lt;=TrafficData[[#This Row],[totalAmount]])</f>
        <v>1</v>
      </c>
      <c r="P1135" s="8" t="b">
        <f>AND(TrafficData[[#This Row],[pendingCourt]]&lt;=TrafficData[[#This Row],[totalCourt]],TrafficData[[#This Row],[disposedCourt]]&lt;=TrafficData[[#This Row],[totalCourt]])</f>
        <v>1</v>
      </c>
    </row>
    <row r="1136" spans="1:16">
      <c r="A1136" s="1">
        <v>43139</v>
      </c>
      <c r="B1136">
        <v>1987</v>
      </c>
      <c r="C1136">
        <v>1269</v>
      </c>
      <c r="D1136">
        <v>718</v>
      </c>
      <c r="E1136">
        <v>2709150</v>
      </c>
      <c r="F1136">
        <v>12160342</v>
      </c>
      <c r="G1136">
        <v>14869492</v>
      </c>
      <c r="H1136">
        <v>488</v>
      </c>
      <c r="I1136">
        <v>145</v>
      </c>
      <c r="J1136">
        <v>633</v>
      </c>
      <c r="K1136" t="b">
        <f>TrafficData[[#This Row],[disposedChallan]]+TrafficData[[#This Row],[pendingChallan]]=TrafficData[[#This Row],[totalChallan]]</f>
        <v>1</v>
      </c>
      <c r="L1136" t="b">
        <f>TrafficData[[#This Row],[pendingAmount]]+TrafficData[[#This Row],[disposedAmount]]=TrafficData[[#This Row],[totalAmount]]</f>
        <v>1</v>
      </c>
      <c r="M1136" t="b">
        <f>TrafficData[[#This Row],[pendingCourt]]+TrafficData[[#This Row],[disposedCourt]]=TrafficData[[#This Row],[totalCourt]]</f>
        <v>1</v>
      </c>
      <c r="N1136" s="8" t="b">
        <f>AND(TrafficData[[#This Row],[disposedChallan]]&lt;=TrafficData[[#This Row],[totalChallan]],TrafficData[[#This Row],[pendingChallan]]&lt;=TrafficData[[#This Row],[totalChallan]])</f>
        <v>1</v>
      </c>
      <c r="O1136" s="8" t="b">
        <f>AND(TrafficData[[#This Row],[pendingAmount]]&lt;=TrafficData[[#This Row],[totalAmount]],TrafficData[[#This Row],[disposedAmount]]&lt;=TrafficData[[#This Row],[totalAmount]])</f>
        <v>1</v>
      </c>
      <c r="P1136" s="8" t="b">
        <f>AND(TrafficData[[#This Row],[pendingCourt]]&lt;=TrafficData[[#This Row],[totalCourt]],TrafficData[[#This Row],[disposedCourt]]&lt;=TrafficData[[#This Row],[totalCourt]])</f>
        <v>1</v>
      </c>
    </row>
    <row r="1137" spans="1:16">
      <c r="A1137" s="1">
        <v>43140</v>
      </c>
      <c r="B1137">
        <v>1774</v>
      </c>
      <c r="C1137">
        <v>1209</v>
      </c>
      <c r="D1137">
        <v>565</v>
      </c>
      <c r="E1137">
        <v>2487500</v>
      </c>
      <c r="F1137">
        <v>12884553</v>
      </c>
      <c r="G1137">
        <v>15372053</v>
      </c>
      <c r="H1137">
        <v>370</v>
      </c>
      <c r="I1137">
        <v>158</v>
      </c>
      <c r="J1137">
        <v>528</v>
      </c>
      <c r="K1137" t="b">
        <f>TrafficData[[#This Row],[disposedChallan]]+TrafficData[[#This Row],[pendingChallan]]=TrafficData[[#This Row],[totalChallan]]</f>
        <v>1</v>
      </c>
      <c r="L1137" t="b">
        <f>TrafficData[[#This Row],[pendingAmount]]+TrafficData[[#This Row],[disposedAmount]]=TrafficData[[#This Row],[totalAmount]]</f>
        <v>1</v>
      </c>
      <c r="M1137" t="b">
        <f>TrafficData[[#This Row],[pendingCourt]]+TrafficData[[#This Row],[disposedCourt]]=TrafficData[[#This Row],[totalCourt]]</f>
        <v>1</v>
      </c>
      <c r="N1137" s="8" t="b">
        <f>AND(TrafficData[[#This Row],[disposedChallan]]&lt;=TrafficData[[#This Row],[totalChallan]],TrafficData[[#This Row],[pendingChallan]]&lt;=TrafficData[[#This Row],[totalChallan]])</f>
        <v>1</v>
      </c>
      <c r="O1137" s="8" t="b">
        <f>AND(TrafficData[[#This Row],[pendingAmount]]&lt;=TrafficData[[#This Row],[totalAmount]],TrafficData[[#This Row],[disposedAmount]]&lt;=TrafficData[[#This Row],[totalAmount]])</f>
        <v>1</v>
      </c>
      <c r="P1137" s="8" t="b">
        <f>AND(TrafficData[[#This Row],[pendingCourt]]&lt;=TrafficData[[#This Row],[totalCourt]],TrafficData[[#This Row],[disposedCourt]]&lt;=TrafficData[[#This Row],[totalCourt]])</f>
        <v>1</v>
      </c>
    </row>
    <row r="1138" spans="1:16">
      <c r="A1138" s="1">
        <v>43141</v>
      </c>
      <c r="B1138">
        <v>1737</v>
      </c>
      <c r="C1138">
        <v>1120</v>
      </c>
      <c r="D1138">
        <v>617</v>
      </c>
      <c r="E1138">
        <v>1680650</v>
      </c>
      <c r="F1138">
        <v>9596458</v>
      </c>
      <c r="G1138">
        <v>11277108</v>
      </c>
      <c r="H1138">
        <v>485</v>
      </c>
      <c r="I1138">
        <v>134</v>
      </c>
      <c r="J1138">
        <v>619</v>
      </c>
      <c r="K1138" t="b">
        <f>TrafficData[[#This Row],[disposedChallan]]+TrafficData[[#This Row],[pendingChallan]]=TrafficData[[#This Row],[totalChallan]]</f>
        <v>1</v>
      </c>
      <c r="L1138" t="b">
        <f>TrafficData[[#This Row],[pendingAmount]]+TrafficData[[#This Row],[disposedAmount]]=TrafficData[[#This Row],[totalAmount]]</f>
        <v>1</v>
      </c>
      <c r="M1138" t="b">
        <f>TrafficData[[#This Row],[pendingCourt]]+TrafficData[[#This Row],[disposedCourt]]=TrafficData[[#This Row],[totalCourt]]</f>
        <v>1</v>
      </c>
      <c r="N1138" s="8" t="b">
        <f>AND(TrafficData[[#This Row],[disposedChallan]]&lt;=TrafficData[[#This Row],[totalChallan]],TrafficData[[#This Row],[pendingChallan]]&lt;=TrafficData[[#This Row],[totalChallan]])</f>
        <v>1</v>
      </c>
      <c r="O1138" s="8" t="b">
        <f>AND(TrafficData[[#This Row],[pendingAmount]]&lt;=TrafficData[[#This Row],[totalAmount]],TrafficData[[#This Row],[disposedAmount]]&lt;=TrafficData[[#This Row],[totalAmount]])</f>
        <v>1</v>
      </c>
      <c r="P1138" s="8" t="b">
        <f>AND(TrafficData[[#This Row],[pendingCourt]]&lt;=TrafficData[[#This Row],[totalCourt]],TrafficData[[#This Row],[disposedCourt]]&lt;=TrafficData[[#This Row],[totalCourt]])</f>
        <v>1</v>
      </c>
    </row>
    <row r="1139" spans="1:16">
      <c r="A1139" s="1">
        <v>43142</v>
      </c>
      <c r="B1139">
        <v>1026</v>
      </c>
      <c r="C1139">
        <v>617</v>
      </c>
      <c r="D1139">
        <v>409</v>
      </c>
      <c r="E1139">
        <v>873650</v>
      </c>
      <c r="F1139">
        <v>4182919</v>
      </c>
      <c r="G1139">
        <v>5056569</v>
      </c>
      <c r="H1139">
        <v>290</v>
      </c>
      <c r="I1139">
        <v>81</v>
      </c>
      <c r="J1139">
        <v>371</v>
      </c>
      <c r="K1139" t="b">
        <f>TrafficData[[#This Row],[disposedChallan]]+TrafficData[[#This Row],[pendingChallan]]=TrafficData[[#This Row],[totalChallan]]</f>
        <v>1</v>
      </c>
      <c r="L1139" t="b">
        <f>TrafficData[[#This Row],[pendingAmount]]+TrafficData[[#This Row],[disposedAmount]]=TrafficData[[#This Row],[totalAmount]]</f>
        <v>1</v>
      </c>
      <c r="M1139" t="b">
        <f>TrafficData[[#This Row],[pendingCourt]]+TrafficData[[#This Row],[disposedCourt]]=TrafficData[[#This Row],[totalCourt]]</f>
        <v>1</v>
      </c>
      <c r="N1139" s="8" t="b">
        <f>AND(TrafficData[[#This Row],[disposedChallan]]&lt;=TrafficData[[#This Row],[totalChallan]],TrafficData[[#This Row],[pendingChallan]]&lt;=TrafficData[[#This Row],[totalChallan]])</f>
        <v>1</v>
      </c>
      <c r="O1139" s="8" t="b">
        <f>AND(TrafficData[[#This Row],[pendingAmount]]&lt;=TrafficData[[#This Row],[totalAmount]],TrafficData[[#This Row],[disposedAmount]]&lt;=TrafficData[[#This Row],[totalAmount]])</f>
        <v>1</v>
      </c>
      <c r="P1139" s="8" t="b">
        <f>AND(TrafficData[[#This Row],[pendingCourt]]&lt;=TrafficData[[#This Row],[totalCourt]],TrafficData[[#This Row],[disposedCourt]]&lt;=TrafficData[[#This Row],[totalCourt]])</f>
        <v>1</v>
      </c>
    </row>
    <row r="1140" spans="1:16">
      <c r="A1140" s="1">
        <v>43143</v>
      </c>
      <c r="B1140">
        <v>1466</v>
      </c>
      <c r="C1140">
        <v>800</v>
      </c>
      <c r="D1140">
        <v>666</v>
      </c>
      <c r="E1140">
        <v>2183900</v>
      </c>
      <c r="F1140">
        <v>8439803</v>
      </c>
      <c r="G1140">
        <v>10623703</v>
      </c>
      <c r="H1140">
        <v>465</v>
      </c>
      <c r="I1140">
        <v>138</v>
      </c>
      <c r="J1140">
        <v>603</v>
      </c>
      <c r="K1140" t="b">
        <f>TrafficData[[#This Row],[disposedChallan]]+TrafficData[[#This Row],[pendingChallan]]=TrafficData[[#This Row],[totalChallan]]</f>
        <v>1</v>
      </c>
      <c r="L1140" t="b">
        <f>TrafficData[[#This Row],[pendingAmount]]+TrafficData[[#This Row],[disposedAmount]]=TrafficData[[#This Row],[totalAmount]]</f>
        <v>1</v>
      </c>
      <c r="M1140" t="b">
        <f>TrafficData[[#This Row],[pendingCourt]]+TrafficData[[#This Row],[disposedCourt]]=TrafficData[[#This Row],[totalCourt]]</f>
        <v>1</v>
      </c>
      <c r="N1140" s="8" t="b">
        <f>AND(TrafficData[[#This Row],[disposedChallan]]&lt;=TrafficData[[#This Row],[totalChallan]],TrafficData[[#This Row],[pendingChallan]]&lt;=TrafficData[[#This Row],[totalChallan]])</f>
        <v>1</v>
      </c>
      <c r="O1140" s="8" t="b">
        <f>AND(TrafficData[[#This Row],[pendingAmount]]&lt;=TrafficData[[#This Row],[totalAmount]],TrafficData[[#This Row],[disposedAmount]]&lt;=TrafficData[[#This Row],[totalAmount]])</f>
        <v>1</v>
      </c>
      <c r="P1140" s="8" t="b">
        <f>AND(TrafficData[[#This Row],[pendingCourt]]&lt;=TrafficData[[#This Row],[totalCourt]],TrafficData[[#This Row],[disposedCourt]]&lt;=TrafficData[[#This Row],[totalCourt]])</f>
        <v>1</v>
      </c>
    </row>
    <row r="1141" spans="1:16">
      <c r="A1141" s="1">
        <v>43144</v>
      </c>
      <c r="B1141">
        <v>1855</v>
      </c>
      <c r="C1141">
        <v>1098</v>
      </c>
      <c r="D1141">
        <v>757</v>
      </c>
      <c r="E1141">
        <v>2404600</v>
      </c>
      <c r="F1141">
        <v>10050071</v>
      </c>
      <c r="G1141">
        <v>12454671</v>
      </c>
      <c r="H1141">
        <v>531</v>
      </c>
      <c r="I1141">
        <v>131</v>
      </c>
      <c r="J1141">
        <v>662</v>
      </c>
      <c r="K1141" t="b">
        <f>TrafficData[[#This Row],[disposedChallan]]+TrafficData[[#This Row],[pendingChallan]]=TrafficData[[#This Row],[totalChallan]]</f>
        <v>1</v>
      </c>
      <c r="L1141" t="b">
        <f>TrafficData[[#This Row],[pendingAmount]]+TrafficData[[#This Row],[disposedAmount]]=TrafficData[[#This Row],[totalAmount]]</f>
        <v>1</v>
      </c>
      <c r="M1141" t="b">
        <f>TrafficData[[#This Row],[pendingCourt]]+TrafficData[[#This Row],[disposedCourt]]=TrafficData[[#This Row],[totalCourt]]</f>
        <v>1</v>
      </c>
      <c r="N1141" s="8" t="b">
        <f>AND(TrafficData[[#This Row],[disposedChallan]]&lt;=TrafficData[[#This Row],[totalChallan]],TrafficData[[#This Row],[pendingChallan]]&lt;=TrafficData[[#This Row],[totalChallan]])</f>
        <v>1</v>
      </c>
      <c r="O1141" s="8" t="b">
        <f>AND(TrafficData[[#This Row],[pendingAmount]]&lt;=TrafficData[[#This Row],[totalAmount]],TrafficData[[#This Row],[disposedAmount]]&lt;=TrafficData[[#This Row],[totalAmount]])</f>
        <v>1</v>
      </c>
      <c r="P1141" s="8" t="b">
        <f>AND(TrafficData[[#This Row],[pendingCourt]]&lt;=TrafficData[[#This Row],[totalCourt]],TrafficData[[#This Row],[disposedCourt]]&lt;=TrafficData[[#This Row],[totalCourt]])</f>
        <v>1</v>
      </c>
    </row>
    <row r="1142" spans="1:16">
      <c r="A1142" s="1">
        <v>43145</v>
      </c>
      <c r="B1142">
        <v>2104</v>
      </c>
      <c r="C1142">
        <v>1069</v>
      </c>
      <c r="D1142">
        <v>1035</v>
      </c>
      <c r="E1142">
        <v>2185300</v>
      </c>
      <c r="F1142">
        <v>7628219</v>
      </c>
      <c r="G1142">
        <v>9813519</v>
      </c>
      <c r="H1142">
        <v>812</v>
      </c>
      <c r="I1142">
        <v>110</v>
      </c>
      <c r="J1142">
        <v>922</v>
      </c>
      <c r="K1142" t="b">
        <f>TrafficData[[#This Row],[disposedChallan]]+TrafficData[[#This Row],[pendingChallan]]=TrafficData[[#This Row],[totalChallan]]</f>
        <v>1</v>
      </c>
      <c r="L1142" t="b">
        <f>TrafficData[[#This Row],[pendingAmount]]+TrafficData[[#This Row],[disposedAmount]]=TrafficData[[#This Row],[totalAmount]]</f>
        <v>1</v>
      </c>
      <c r="M1142" t="b">
        <f>TrafficData[[#This Row],[pendingCourt]]+TrafficData[[#This Row],[disposedCourt]]=TrafficData[[#This Row],[totalCourt]]</f>
        <v>1</v>
      </c>
      <c r="N1142" s="8" t="b">
        <f>AND(TrafficData[[#This Row],[disposedChallan]]&lt;=TrafficData[[#This Row],[totalChallan]],TrafficData[[#This Row],[pendingChallan]]&lt;=TrafficData[[#This Row],[totalChallan]])</f>
        <v>1</v>
      </c>
      <c r="O1142" s="8" t="b">
        <f>AND(TrafficData[[#This Row],[pendingAmount]]&lt;=TrafficData[[#This Row],[totalAmount]],TrafficData[[#This Row],[disposedAmount]]&lt;=TrafficData[[#This Row],[totalAmount]])</f>
        <v>1</v>
      </c>
      <c r="P1142" s="8" t="b">
        <f>AND(TrafficData[[#This Row],[pendingCourt]]&lt;=TrafficData[[#This Row],[totalCourt]],TrafficData[[#This Row],[disposedCourt]]&lt;=TrafficData[[#This Row],[totalCourt]])</f>
        <v>1</v>
      </c>
    </row>
    <row r="1143" spans="1:16">
      <c r="A1143" s="1">
        <v>43146</v>
      </c>
      <c r="B1143">
        <v>10152</v>
      </c>
      <c r="C1143">
        <v>7273</v>
      </c>
      <c r="D1143">
        <v>2879</v>
      </c>
      <c r="E1143">
        <v>7950425</v>
      </c>
      <c r="F1143">
        <v>9930552</v>
      </c>
      <c r="G1143">
        <v>17880977</v>
      </c>
      <c r="H1143">
        <v>2546</v>
      </c>
      <c r="I1143">
        <v>740</v>
      </c>
      <c r="J1143">
        <v>3286</v>
      </c>
      <c r="K1143" t="b">
        <f>TrafficData[[#This Row],[disposedChallan]]+TrafficData[[#This Row],[pendingChallan]]=TrafficData[[#This Row],[totalChallan]]</f>
        <v>1</v>
      </c>
      <c r="L1143" t="b">
        <f>TrafficData[[#This Row],[pendingAmount]]+TrafficData[[#This Row],[disposedAmount]]=TrafficData[[#This Row],[totalAmount]]</f>
        <v>1</v>
      </c>
      <c r="M1143" t="b">
        <f>TrafficData[[#This Row],[pendingCourt]]+TrafficData[[#This Row],[disposedCourt]]=TrafficData[[#This Row],[totalCourt]]</f>
        <v>1</v>
      </c>
      <c r="N1143" s="8" t="b">
        <f>AND(TrafficData[[#This Row],[disposedChallan]]&lt;=TrafficData[[#This Row],[totalChallan]],TrafficData[[#This Row],[pendingChallan]]&lt;=TrafficData[[#This Row],[totalChallan]])</f>
        <v>1</v>
      </c>
      <c r="O1143" s="8" t="b">
        <f>AND(TrafficData[[#This Row],[pendingAmount]]&lt;=TrafficData[[#This Row],[totalAmount]],TrafficData[[#This Row],[disposedAmount]]&lt;=TrafficData[[#This Row],[totalAmount]])</f>
        <v>1</v>
      </c>
      <c r="P1143" s="8" t="b">
        <f>AND(TrafficData[[#This Row],[pendingCourt]]&lt;=TrafficData[[#This Row],[totalCourt]],TrafficData[[#This Row],[disposedCourt]]&lt;=TrafficData[[#This Row],[totalCourt]])</f>
        <v>1</v>
      </c>
    </row>
    <row r="1144" spans="1:16">
      <c r="A1144" s="1">
        <v>43147</v>
      </c>
      <c r="B1144">
        <v>1847</v>
      </c>
      <c r="C1144">
        <v>1118</v>
      </c>
      <c r="D1144">
        <v>729</v>
      </c>
      <c r="E1144">
        <v>2247235</v>
      </c>
      <c r="F1144">
        <v>11529663</v>
      </c>
      <c r="G1144">
        <v>13776898</v>
      </c>
      <c r="H1144">
        <v>558</v>
      </c>
      <c r="I1144">
        <v>124</v>
      </c>
      <c r="J1144">
        <v>682</v>
      </c>
      <c r="K1144" t="b">
        <f>TrafficData[[#This Row],[disposedChallan]]+TrafficData[[#This Row],[pendingChallan]]=TrafficData[[#This Row],[totalChallan]]</f>
        <v>1</v>
      </c>
      <c r="L1144" t="b">
        <f>TrafficData[[#This Row],[pendingAmount]]+TrafficData[[#This Row],[disposedAmount]]=TrafficData[[#This Row],[totalAmount]]</f>
        <v>1</v>
      </c>
      <c r="M1144" t="b">
        <f>TrafficData[[#This Row],[pendingCourt]]+TrafficData[[#This Row],[disposedCourt]]=TrafficData[[#This Row],[totalCourt]]</f>
        <v>1</v>
      </c>
      <c r="N1144" s="8" t="b">
        <f>AND(TrafficData[[#This Row],[disposedChallan]]&lt;=TrafficData[[#This Row],[totalChallan]],TrafficData[[#This Row],[pendingChallan]]&lt;=TrafficData[[#This Row],[totalChallan]])</f>
        <v>1</v>
      </c>
      <c r="O1144" s="8" t="b">
        <f>AND(TrafficData[[#This Row],[pendingAmount]]&lt;=TrafficData[[#This Row],[totalAmount]],TrafficData[[#This Row],[disposedAmount]]&lt;=TrafficData[[#This Row],[totalAmount]])</f>
        <v>1</v>
      </c>
      <c r="P1144" s="8" t="b">
        <f>AND(TrafficData[[#This Row],[pendingCourt]]&lt;=TrafficData[[#This Row],[totalCourt]],TrafficData[[#This Row],[disposedCourt]]&lt;=TrafficData[[#This Row],[totalCourt]])</f>
        <v>1</v>
      </c>
    </row>
    <row r="1145" spans="1:16">
      <c r="A1145" s="1">
        <v>43148</v>
      </c>
      <c r="B1145">
        <v>1442</v>
      </c>
      <c r="C1145">
        <v>792</v>
      </c>
      <c r="D1145">
        <v>650</v>
      </c>
      <c r="E1145">
        <v>2014350</v>
      </c>
      <c r="F1145">
        <v>8989490</v>
      </c>
      <c r="G1145">
        <v>11003840</v>
      </c>
      <c r="H1145">
        <v>449</v>
      </c>
      <c r="I1145">
        <v>110</v>
      </c>
      <c r="J1145">
        <v>559</v>
      </c>
      <c r="K1145" t="b">
        <f>TrafficData[[#This Row],[disposedChallan]]+TrafficData[[#This Row],[pendingChallan]]=TrafficData[[#This Row],[totalChallan]]</f>
        <v>1</v>
      </c>
      <c r="L1145" t="b">
        <f>TrafficData[[#This Row],[pendingAmount]]+TrafficData[[#This Row],[disposedAmount]]=TrafficData[[#This Row],[totalAmount]]</f>
        <v>1</v>
      </c>
      <c r="M1145" t="b">
        <f>TrafficData[[#This Row],[pendingCourt]]+TrafficData[[#This Row],[disposedCourt]]=TrafficData[[#This Row],[totalCourt]]</f>
        <v>1</v>
      </c>
      <c r="N1145" s="8" t="b">
        <f>AND(TrafficData[[#This Row],[disposedChallan]]&lt;=TrafficData[[#This Row],[totalChallan]],TrafficData[[#This Row],[pendingChallan]]&lt;=TrafficData[[#This Row],[totalChallan]])</f>
        <v>1</v>
      </c>
      <c r="O1145" s="8" t="b">
        <f>AND(TrafficData[[#This Row],[pendingAmount]]&lt;=TrafficData[[#This Row],[totalAmount]],TrafficData[[#This Row],[disposedAmount]]&lt;=TrafficData[[#This Row],[totalAmount]])</f>
        <v>1</v>
      </c>
      <c r="P1145" s="8" t="b">
        <f>AND(TrafficData[[#This Row],[pendingCourt]]&lt;=TrafficData[[#This Row],[totalCourt]],TrafficData[[#This Row],[disposedCourt]]&lt;=TrafficData[[#This Row],[totalCourt]])</f>
        <v>1</v>
      </c>
    </row>
    <row r="1146" spans="1:16">
      <c r="A1146" s="1">
        <v>43149</v>
      </c>
      <c r="B1146">
        <v>1050</v>
      </c>
      <c r="C1146">
        <v>563</v>
      </c>
      <c r="D1146">
        <v>487</v>
      </c>
      <c r="E1146">
        <v>1380100</v>
      </c>
      <c r="F1146">
        <v>7541152</v>
      </c>
      <c r="G1146">
        <v>8921252</v>
      </c>
      <c r="H1146">
        <v>363</v>
      </c>
      <c r="I1146">
        <v>49</v>
      </c>
      <c r="J1146">
        <v>412</v>
      </c>
      <c r="K1146" t="b">
        <f>TrafficData[[#This Row],[disposedChallan]]+TrafficData[[#This Row],[pendingChallan]]=TrafficData[[#This Row],[totalChallan]]</f>
        <v>1</v>
      </c>
      <c r="L1146" t="b">
        <f>TrafficData[[#This Row],[pendingAmount]]+TrafficData[[#This Row],[disposedAmount]]=TrafficData[[#This Row],[totalAmount]]</f>
        <v>1</v>
      </c>
      <c r="M1146" t="b">
        <f>TrafficData[[#This Row],[pendingCourt]]+TrafficData[[#This Row],[disposedCourt]]=TrafficData[[#This Row],[totalCourt]]</f>
        <v>1</v>
      </c>
      <c r="N1146" s="8" t="b">
        <f>AND(TrafficData[[#This Row],[disposedChallan]]&lt;=TrafficData[[#This Row],[totalChallan]],TrafficData[[#This Row],[pendingChallan]]&lt;=TrafficData[[#This Row],[totalChallan]])</f>
        <v>1</v>
      </c>
      <c r="O1146" s="8" t="b">
        <f>AND(TrafficData[[#This Row],[pendingAmount]]&lt;=TrafficData[[#This Row],[totalAmount]],TrafficData[[#This Row],[disposedAmount]]&lt;=TrafficData[[#This Row],[totalAmount]])</f>
        <v>1</v>
      </c>
      <c r="P1146" s="8" t="b">
        <f>AND(TrafficData[[#This Row],[pendingCourt]]&lt;=TrafficData[[#This Row],[totalCourt]],TrafficData[[#This Row],[disposedCourt]]&lt;=TrafficData[[#This Row],[totalCourt]])</f>
        <v>1</v>
      </c>
    </row>
    <row r="1147" spans="1:16">
      <c r="A1147" s="1">
        <v>43150</v>
      </c>
      <c r="B1147">
        <v>1222</v>
      </c>
      <c r="C1147">
        <v>725</v>
      </c>
      <c r="D1147">
        <v>497</v>
      </c>
      <c r="E1147">
        <v>1253400</v>
      </c>
      <c r="F1147">
        <v>6757792</v>
      </c>
      <c r="G1147">
        <v>8011192</v>
      </c>
      <c r="H1147">
        <v>364</v>
      </c>
      <c r="I1147">
        <v>96</v>
      </c>
      <c r="J1147">
        <v>460</v>
      </c>
      <c r="K1147" t="b">
        <f>TrafficData[[#This Row],[disposedChallan]]+TrafficData[[#This Row],[pendingChallan]]=TrafficData[[#This Row],[totalChallan]]</f>
        <v>1</v>
      </c>
      <c r="L1147" t="b">
        <f>TrafficData[[#This Row],[pendingAmount]]+TrafficData[[#This Row],[disposedAmount]]=TrafficData[[#This Row],[totalAmount]]</f>
        <v>1</v>
      </c>
      <c r="M1147" t="b">
        <f>TrafficData[[#This Row],[pendingCourt]]+TrafficData[[#This Row],[disposedCourt]]=TrafficData[[#This Row],[totalCourt]]</f>
        <v>1</v>
      </c>
      <c r="N1147" s="8" t="b">
        <f>AND(TrafficData[[#This Row],[disposedChallan]]&lt;=TrafficData[[#This Row],[totalChallan]],TrafficData[[#This Row],[pendingChallan]]&lt;=TrafficData[[#This Row],[totalChallan]])</f>
        <v>1</v>
      </c>
      <c r="O1147" s="8" t="b">
        <f>AND(TrafficData[[#This Row],[pendingAmount]]&lt;=TrafficData[[#This Row],[totalAmount]],TrafficData[[#This Row],[disposedAmount]]&lt;=TrafficData[[#This Row],[totalAmount]])</f>
        <v>1</v>
      </c>
      <c r="P1147" s="8" t="b">
        <f>AND(TrafficData[[#This Row],[pendingCourt]]&lt;=TrafficData[[#This Row],[totalCourt]],TrafficData[[#This Row],[disposedCourt]]&lt;=TrafficData[[#This Row],[totalCourt]])</f>
        <v>1</v>
      </c>
    </row>
    <row r="1148" spans="1:16">
      <c r="A1148" s="1">
        <v>43151</v>
      </c>
      <c r="B1148">
        <v>1971</v>
      </c>
      <c r="C1148">
        <v>1056</v>
      </c>
      <c r="D1148">
        <v>915</v>
      </c>
      <c r="E1148">
        <v>2648050</v>
      </c>
      <c r="F1148">
        <v>10464445</v>
      </c>
      <c r="G1148">
        <v>13112495</v>
      </c>
      <c r="H1148">
        <v>716</v>
      </c>
      <c r="I1148">
        <v>155</v>
      </c>
      <c r="J1148">
        <v>871</v>
      </c>
      <c r="K1148" t="b">
        <f>TrafficData[[#This Row],[disposedChallan]]+TrafficData[[#This Row],[pendingChallan]]=TrafficData[[#This Row],[totalChallan]]</f>
        <v>1</v>
      </c>
      <c r="L1148" t="b">
        <f>TrafficData[[#This Row],[pendingAmount]]+TrafficData[[#This Row],[disposedAmount]]=TrafficData[[#This Row],[totalAmount]]</f>
        <v>1</v>
      </c>
      <c r="M1148" t="b">
        <f>TrafficData[[#This Row],[pendingCourt]]+TrafficData[[#This Row],[disposedCourt]]=TrafficData[[#This Row],[totalCourt]]</f>
        <v>1</v>
      </c>
      <c r="N1148" s="8" t="b">
        <f>AND(TrafficData[[#This Row],[disposedChallan]]&lt;=TrafficData[[#This Row],[totalChallan]],TrafficData[[#This Row],[pendingChallan]]&lt;=TrafficData[[#This Row],[totalChallan]])</f>
        <v>1</v>
      </c>
      <c r="O1148" s="8" t="b">
        <f>AND(TrafficData[[#This Row],[pendingAmount]]&lt;=TrafficData[[#This Row],[totalAmount]],TrafficData[[#This Row],[disposedAmount]]&lt;=TrafficData[[#This Row],[totalAmount]])</f>
        <v>1</v>
      </c>
      <c r="P1148" s="8" t="b">
        <f>AND(TrafficData[[#This Row],[pendingCourt]]&lt;=TrafficData[[#This Row],[totalCourt]],TrafficData[[#This Row],[disposedCourt]]&lt;=TrafficData[[#This Row],[totalCourt]])</f>
        <v>1</v>
      </c>
    </row>
    <row r="1149" spans="1:16">
      <c r="A1149" s="1">
        <v>43152</v>
      </c>
      <c r="B1149">
        <v>8469</v>
      </c>
      <c r="C1149">
        <v>5955</v>
      </c>
      <c r="D1149">
        <v>2514</v>
      </c>
      <c r="E1149">
        <v>7960250</v>
      </c>
      <c r="F1149">
        <v>16992823</v>
      </c>
      <c r="G1149">
        <v>24953073</v>
      </c>
      <c r="H1149">
        <v>2196</v>
      </c>
      <c r="I1149">
        <v>566</v>
      </c>
      <c r="J1149">
        <v>2762</v>
      </c>
      <c r="K1149" t="b">
        <f>TrafficData[[#This Row],[disposedChallan]]+TrafficData[[#This Row],[pendingChallan]]=TrafficData[[#This Row],[totalChallan]]</f>
        <v>1</v>
      </c>
      <c r="L1149" t="b">
        <f>TrafficData[[#This Row],[pendingAmount]]+TrafficData[[#This Row],[disposedAmount]]=TrafficData[[#This Row],[totalAmount]]</f>
        <v>1</v>
      </c>
      <c r="M1149" t="b">
        <f>TrafficData[[#This Row],[pendingCourt]]+TrafficData[[#This Row],[disposedCourt]]=TrafficData[[#This Row],[totalCourt]]</f>
        <v>1</v>
      </c>
      <c r="N1149" s="8" t="b">
        <f>AND(TrafficData[[#This Row],[disposedChallan]]&lt;=TrafficData[[#This Row],[totalChallan]],TrafficData[[#This Row],[pendingChallan]]&lt;=TrafficData[[#This Row],[totalChallan]])</f>
        <v>1</v>
      </c>
      <c r="O1149" s="8" t="b">
        <f>AND(TrafficData[[#This Row],[pendingAmount]]&lt;=TrafficData[[#This Row],[totalAmount]],TrafficData[[#This Row],[disposedAmount]]&lt;=TrafficData[[#This Row],[totalAmount]])</f>
        <v>1</v>
      </c>
      <c r="P1149" s="8" t="b">
        <f>AND(TrafficData[[#This Row],[pendingCourt]]&lt;=TrafficData[[#This Row],[totalCourt]],TrafficData[[#This Row],[disposedCourt]]&lt;=TrafficData[[#This Row],[totalCourt]])</f>
        <v>1</v>
      </c>
    </row>
    <row r="1150" spans="1:16">
      <c r="A1150" s="1">
        <v>43153</v>
      </c>
      <c r="B1150">
        <v>1939</v>
      </c>
      <c r="C1150">
        <v>1121</v>
      </c>
      <c r="D1150">
        <v>818</v>
      </c>
      <c r="E1150">
        <v>2617950</v>
      </c>
      <c r="F1150">
        <v>10635136</v>
      </c>
      <c r="G1150">
        <v>13253086</v>
      </c>
      <c r="H1150">
        <v>555</v>
      </c>
      <c r="I1150">
        <v>141</v>
      </c>
      <c r="J1150">
        <v>696</v>
      </c>
      <c r="K1150" t="b">
        <f>TrafficData[[#This Row],[disposedChallan]]+TrafficData[[#This Row],[pendingChallan]]=TrafficData[[#This Row],[totalChallan]]</f>
        <v>1</v>
      </c>
      <c r="L1150" t="b">
        <f>TrafficData[[#This Row],[pendingAmount]]+TrafficData[[#This Row],[disposedAmount]]=TrafficData[[#This Row],[totalAmount]]</f>
        <v>1</v>
      </c>
      <c r="M1150" t="b">
        <f>TrafficData[[#This Row],[pendingCourt]]+TrafficData[[#This Row],[disposedCourt]]=TrafficData[[#This Row],[totalCourt]]</f>
        <v>1</v>
      </c>
      <c r="N1150" s="8" t="b">
        <f>AND(TrafficData[[#This Row],[disposedChallan]]&lt;=TrafficData[[#This Row],[totalChallan]],TrafficData[[#This Row],[pendingChallan]]&lt;=TrafficData[[#This Row],[totalChallan]])</f>
        <v>1</v>
      </c>
      <c r="O1150" s="8" t="b">
        <f>AND(TrafficData[[#This Row],[pendingAmount]]&lt;=TrafficData[[#This Row],[totalAmount]],TrafficData[[#This Row],[disposedAmount]]&lt;=TrafficData[[#This Row],[totalAmount]])</f>
        <v>1</v>
      </c>
      <c r="P1150" s="8" t="b">
        <f>AND(TrafficData[[#This Row],[pendingCourt]]&lt;=TrafficData[[#This Row],[totalCourt]],TrafficData[[#This Row],[disposedCourt]]&lt;=TrafficData[[#This Row],[totalCourt]])</f>
        <v>1</v>
      </c>
    </row>
    <row r="1151" spans="1:16">
      <c r="A1151" s="1">
        <v>43154</v>
      </c>
      <c r="B1151">
        <v>2114</v>
      </c>
      <c r="C1151">
        <v>1238</v>
      </c>
      <c r="D1151">
        <v>876</v>
      </c>
      <c r="E1151">
        <v>2878251</v>
      </c>
      <c r="F1151">
        <v>11673170</v>
      </c>
      <c r="G1151">
        <v>14551421</v>
      </c>
      <c r="H1151">
        <v>632</v>
      </c>
      <c r="I1151">
        <v>223</v>
      </c>
      <c r="J1151">
        <v>855</v>
      </c>
      <c r="K1151" t="b">
        <f>TrafficData[[#This Row],[disposedChallan]]+TrafficData[[#This Row],[pendingChallan]]=TrafficData[[#This Row],[totalChallan]]</f>
        <v>1</v>
      </c>
      <c r="L1151" t="b">
        <f>TrafficData[[#This Row],[pendingAmount]]+TrafficData[[#This Row],[disposedAmount]]=TrafficData[[#This Row],[totalAmount]]</f>
        <v>1</v>
      </c>
      <c r="M1151" t="b">
        <f>TrafficData[[#This Row],[pendingCourt]]+TrafficData[[#This Row],[disposedCourt]]=TrafficData[[#This Row],[totalCourt]]</f>
        <v>1</v>
      </c>
      <c r="N1151" s="8" t="b">
        <f>AND(TrafficData[[#This Row],[disposedChallan]]&lt;=TrafficData[[#This Row],[totalChallan]],TrafficData[[#This Row],[pendingChallan]]&lt;=TrafficData[[#This Row],[totalChallan]])</f>
        <v>1</v>
      </c>
      <c r="O1151" s="8" t="b">
        <f>AND(TrafficData[[#This Row],[pendingAmount]]&lt;=TrafficData[[#This Row],[totalAmount]],TrafficData[[#This Row],[disposedAmount]]&lt;=TrafficData[[#This Row],[totalAmount]])</f>
        <v>1</v>
      </c>
      <c r="P1151" s="8" t="b">
        <f>AND(TrafficData[[#This Row],[pendingCourt]]&lt;=TrafficData[[#This Row],[totalCourt]],TrafficData[[#This Row],[disposedCourt]]&lt;=TrafficData[[#This Row],[totalCourt]])</f>
        <v>1</v>
      </c>
    </row>
    <row r="1152" spans="1:16">
      <c r="A1152" s="1">
        <v>43155</v>
      </c>
      <c r="B1152">
        <v>1973</v>
      </c>
      <c r="C1152">
        <v>1259</v>
      </c>
      <c r="D1152">
        <v>714</v>
      </c>
      <c r="E1152">
        <v>2430775</v>
      </c>
      <c r="F1152">
        <v>11907154</v>
      </c>
      <c r="G1152">
        <v>14337929</v>
      </c>
      <c r="H1152">
        <v>582</v>
      </c>
      <c r="I1152">
        <v>207</v>
      </c>
      <c r="J1152">
        <v>789</v>
      </c>
      <c r="K1152" t="b">
        <f>TrafficData[[#This Row],[disposedChallan]]+TrafficData[[#This Row],[pendingChallan]]=TrafficData[[#This Row],[totalChallan]]</f>
        <v>1</v>
      </c>
      <c r="L1152" t="b">
        <f>TrafficData[[#This Row],[pendingAmount]]+TrafficData[[#This Row],[disposedAmount]]=TrafficData[[#This Row],[totalAmount]]</f>
        <v>1</v>
      </c>
      <c r="M1152" t="b">
        <f>TrafficData[[#This Row],[pendingCourt]]+TrafficData[[#This Row],[disposedCourt]]=TrafficData[[#This Row],[totalCourt]]</f>
        <v>1</v>
      </c>
      <c r="N1152" s="8" t="b">
        <f>AND(TrafficData[[#This Row],[disposedChallan]]&lt;=TrafficData[[#This Row],[totalChallan]],TrafficData[[#This Row],[pendingChallan]]&lt;=TrafficData[[#This Row],[totalChallan]])</f>
        <v>1</v>
      </c>
      <c r="O1152" s="8" t="b">
        <f>AND(TrafficData[[#This Row],[pendingAmount]]&lt;=TrafficData[[#This Row],[totalAmount]],TrafficData[[#This Row],[disposedAmount]]&lt;=TrafficData[[#This Row],[totalAmount]])</f>
        <v>1</v>
      </c>
      <c r="P1152" s="8" t="b">
        <f>AND(TrafficData[[#This Row],[pendingCourt]]&lt;=TrafficData[[#This Row],[totalCourt]],TrafficData[[#This Row],[disposedCourt]]&lt;=TrafficData[[#This Row],[totalCourt]])</f>
        <v>1</v>
      </c>
    </row>
    <row r="1153" spans="1:16">
      <c r="A1153" s="1">
        <v>43156</v>
      </c>
      <c r="B1153">
        <v>1360</v>
      </c>
      <c r="C1153">
        <v>878</v>
      </c>
      <c r="D1153">
        <v>482</v>
      </c>
      <c r="E1153">
        <v>2111452</v>
      </c>
      <c r="F1153">
        <v>10467199</v>
      </c>
      <c r="G1153">
        <v>12578651</v>
      </c>
      <c r="H1153">
        <v>361</v>
      </c>
      <c r="I1153">
        <v>122</v>
      </c>
      <c r="J1153">
        <v>483</v>
      </c>
      <c r="K1153" t="b">
        <f>TrafficData[[#This Row],[disposedChallan]]+TrafficData[[#This Row],[pendingChallan]]=TrafficData[[#This Row],[totalChallan]]</f>
        <v>1</v>
      </c>
      <c r="L1153" t="b">
        <f>TrafficData[[#This Row],[pendingAmount]]+TrafficData[[#This Row],[disposedAmount]]=TrafficData[[#This Row],[totalAmount]]</f>
        <v>1</v>
      </c>
      <c r="M1153" t="b">
        <f>TrafficData[[#This Row],[pendingCourt]]+TrafficData[[#This Row],[disposedCourt]]=TrafficData[[#This Row],[totalCourt]]</f>
        <v>1</v>
      </c>
      <c r="N1153" s="8" t="b">
        <f>AND(TrafficData[[#This Row],[disposedChallan]]&lt;=TrafficData[[#This Row],[totalChallan]],TrafficData[[#This Row],[pendingChallan]]&lt;=TrafficData[[#This Row],[totalChallan]])</f>
        <v>1</v>
      </c>
      <c r="O1153" s="8" t="b">
        <f>AND(TrafficData[[#This Row],[pendingAmount]]&lt;=TrafficData[[#This Row],[totalAmount]],TrafficData[[#This Row],[disposedAmount]]&lt;=TrafficData[[#This Row],[totalAmount]])</f>
        <v>1</v>
      </c>
      <c r="P1153" s="8" t="b">
        <f>AND(TrafficData[[#This Row],[pendingCourt]]&lt;=TrafficData[[#This Row],[totalCourt]],TrafficData[[#This Row],[disposedCourt]]&lt;=TrafficData[[#This Row],[totalCourt]])</f>
        <v>1</v>
      </c>
    </row>
    <row r="1154" spans="1:16">
      <c r="A1154" s="1">
        <v>43157</v>
      </c>
      <c r="B1154">
        <v>2274</v>
      </c>
      <c r="C1154">
        <v>1462</v>
      </c>
      <c r="D1154">
        <v>812</v>
      </c>
      <c r="E1154">
        <v>3576832</v>
      </c>
      <c r="F1154">
        <v>15196269</v>
      </c>
      <c r="G1154">
        <v>18773101</v>
      </c>
      <c r="H1154">
        <v>616</v>
      </c>
      <c r="I1154">
        <v>289</v>
      </c>
      <c r="J1154">
        <v>905</v>
      </c>
      <c r="K1154" t="b">
        <f>TrafficData[[#This Row],[disposedChallan]]+TrafficData[[#This Row],[pendingChallan]]=TrafficData[[#This Row],[totalChallan]]</f>
        <v>1</v>
      </c>
      <c r="L1154" t="b">
        <f>TrafficData[[#This Row],[pendingAmount]]+TrafficData[[#This Row],[disposedAmount]]=TrafficData[[#This Row],[totalAmount]]</f>
        <v>1</v>
      </c>
      <c r="M1154" t="b">
        <f>TrafficData[[#This Row],[pendingCourt]]+TrafficData[[#This Row],[disposedCourt]]=TrafficData[[#This Row],[totalCourt]]</f>
        <v>1</v>
      </c>
      <c r="N1154" s="8" t="b">
        <f>AND(TrafficData[[#This Row],[disposedChallan]]&lt;=TrafficData[[#This Row],[totalChallan]],TrafficData[[#This Row],[pendingChallan]]&lt;=TrafficData[[#This Row],[totalChallan]])</f>
        <v>1</v>
      </c>
      <c r="O1154" s="8" t="b">
        <f>AND(TrafficData[[#This Row],[pendingAmount]]&lt;=TrafficData[[#This Row],[totalAmount]],TrafficData[[#This Row],[disposedAmount]]&lt;=TrafficData[[#This Row],[totalAmount]])</f>
        <v>1</v>
      </c>
      <c r="P1154" s="8" t="b">
        <f>AND(TrafficData[[#This Row],[pendingCourt]]&lt;=TrafficData[[#This Row],[totalCourt]],TrafficData[[#This Row],[disposedCourt]]&lt;=TrafficData[[#This Row],[totalCourt]])</f>
        <v>1</v>
      </c>
    </row>
    <row r="1155" spans="1:16">
      <c r="A1155" s="1">
        <v>43158</v>
      </c>
      <c r="B1155">
        <v>2188</v>
      </c>
      <c r="C1155">
        <v>1252</v>
      </c>
      <c r="D1155">
        <v>936</v>
      </c>
      <c r="E1155">
        <v>3205238</v>
      </c>
      <c r="F1155">
        <v>11806603</v>
      </c>
      <c r="G1155">
        <v>15011841</v>
      </c>
      <c r="H1155">
        <v>633</v>
      </c>
      <c r="I1155">
        <v>180</v>
      </c>
      <c r="J1155">
        <v>813</v>
      </c>
      <c r="K1155" t="b">
        <f>TrafficData[[#This Row],[disposedChallan]]+TrafficData[[#This Row],[pendingChallan]]=TrafficData[[#This Row],[totalChallan]]</f>
        <v>1</v>
      </c>
      <c r="L1155" t="b">
        <f>TrafficData[[#This Row],[pendingAmount]]+TrafficData[[#This Row],[disposedAmount]]=TrafficData[[#This Row],[totalAmount]]</f>
        <v>1</v>
      </c>
      <c r="M1155" t="b">
        <f>TrafficData[[#This Row],[pendingCourt]]+TrafficData[[#This Row],[disposedCourt]]=TrafficData[[#This Row],[totalCourt]]</f>
        <v>1</v>
      </c>
      <c r="N1155" s="8" t="b">
        <f>AND(TrafficData[[#This Row],[disposedChallan]]&lt;=TrafficData[[#This Row],[totalChallan]],TrafficData[[#This Row],[pendingChallan]]&lt;=TrafficData[[#This Row],[totalChallan]])</f>
        <v>1</v>
      </c>
      <c r="O1155" s="8" t="b">
        <f>AND(TrafficData[[#This Row],[pendingAmount]]&lt;=TrafficData[[#This Row],[totalAmount]],TrafficData[[#This Row],[disposedAmount]]&lt;=TrafficData[[#This Row],[totalAmount]])</f>
        <v>1</v>
      </c>
      <c r="P1155" s="8" t="b">
        <f>AND(TrafficData[[#This Row],[pendingCourt]]&lt;=TrafficData[[#This Row],[totalCourt]],TrafficData[[#This Row],[disposedCourt]]&lt;=TrafficData[[#This Row],[totalCourt]])</f>
        <v>1</v>
      </c>
    </row>
    <row r="1156" spans="1:16">
      <c r="A1156" s="1">
        <v>43159</v>
      </c>
      <c r="B1156">
        <v>9391</v>
      </c>
      <c r="C1156">
        <v>6504</v>
      </c>
      <c r="D1156">
        <v>2887</v>
      </c>
      <c r="E1156">
        <v>7580900</v>
      </c>
      <c r="F1156">
        <v>7716168</v>
      </c>
      <c r="G1156">
        <v>15297068</v>
      </c>
      <c r="H1156">
        <v>2599</v>
      </c>
      <c r="I1156">
        <v>614</v>
      </c>
      <c r="J1156">
        <v>3213</v>
      </c>
      <c r="K1156" t="b">
        <f>TrafficData[[#This Row],[disposedChallan]]+TrafficData[[#This Row],[pendingChallan]]=TrafficData[[#This Row],[totalChallan]]</f>
        <v>1</v>
      </c>
      <c r="L1156" t="b">
        <f>TrafficData[[#This Row],[pendingAmount]]+TrafficData[[#This Row],[disposedAmount]]=TrafficData[[#This Row],[totalAmount]]</f>
        <v>1</v>
      </c>
      <c r="M1156" t="b">
        <f>TrafficData[[#This Row],[pendingCourt]]+TrafficData[[#This Row],[disposedCourt]]=TrafficData[[#This Row],[totalCourt]]</f>
        <v>1</v>
      </c>
      <c r="N1156" s="8" t="b">
        <f>AND(TrafficData[[#This Row],[disposedChallan]]&lt;=TrafficData[[#This Row],[totalChallan]],TrafficData[[#This Row],[pendingChallan]]&lt;=TrafficData[[#This Row],[totalChallan]])</f>
        <v>1</v>
      </c>
      <c r="O1156" s="8" t="b">
        <f>AND(TrafficData[[#This Row],[pendingAmount]]&lt;=TrafficData[[#This Row],[totalAmount]],TrafficData[[#This Row],[disposedAmount]]&lt;=TrafficData[[#This Row],[totalAmount]])</f>
        <v>1</v>
      </c>
      <c r="P1156" s="8" t="b">
        <f>AND(TrafficData[[#This Row],[pendingCourt]]&lt;=TrafficData[[#This Row],[totalCourt]],TrafficData[[#This Row],[disposedCourt]]&lt;=TrafficData[[#This Row],[totalCourt]])</f>
        <v>1</v>
      </c>
    </row>
    <row r="1157" spans="1:16">
      <c r="A1157" s="1">
        <v>43160</v>
      </c>
      <c r="B1157">
        <v>1066</v>
      </c>
      <c r="C1157">
        <v>502</v>
      </c>
      <c r="D1157">
        <v>564</v>
      </c>
      <c r="E1157">
        <v>1484399</v>
      </c>
      <c r="F1157">
        <v>4897945</v>
      </c>
      <c r="G1157">
        <v>6382344</v>
      </c>
      <c r="H1157">
        <v>394</v>
      </c>
      <c r="I1157">
        <v>62</v>
      </c>
      <c r="J1157">
        <v>456</v>
      </c>
      <c r="K1157" t="b">
        <f>TrafficData[[#This Row],[disposedChallan]]+TrafficData[[#This Row],[pendingChallan]]=TrafficData[[#This Row],[totalChallan]]</f>
        <v>1</v>
      </c>
      <c r="L1157" t="b">
        <f>TrafficData[[#This Row],[pendingAmount]]+TrafficData[[#This Row],[disposedAmount]]=TrafficData[[#This Row],[totalAmount]]</f>
        <v>1</v>
      </c>
      <c r="M1157" t="b">
        <f>TrafficData[[#This Row],[pendingCourt]]+TrafficData[[#This Row],[disposedCourt]]=TrafficData[[#This Row],[totalCourt]]</f>
        <v>1</v>
      </c>
      <c r="N1157" s="8" t="b">
        <f>AND(TrafficData[[#This Row],[disposedChallan]]&lt;=TrafficData[[#This Row],[totalChallan]],TrafficData[[#This Row],[pendingChallan]]&lt;=TrafficData[[#This Row],[totalChallan]])</f>
        <v>1</v>
      </c>
      <c r="O1157" s="8" t="b">
        <f>AND(TrafficData[[#This Row],[pendingAmount]]&lt;=TrafficData[[#This Row],[totalAmount]],TrafficData[[#This Row],[disposedAmount]]&lt;=TrafficData[[#This Row],[totalAmount]])</f>
        <v>1</v>
      </c>
      <c r="P1157" s="8" t="b">
        <f>AND(TrafficData[[#This Row],[pendingCourt]]&lt;=TrafficData[[#This Row],[totalCourt]],TrafficData[[#This Row],[disposedCourt]]&lt;=TrafficData[[#This Row],[totalCourt]])</f>
        <v>1</v>
      </c>
    </row>
    <row r="1158" spans="1:16">
      <c r="A1158" s="1">
        <v>43161</v>
      </c>
      <c r="B1158">
        <v>435</v>
      </c>
      <c r="C1158">
        <v>162</v>
      </c>
      <c r="D1158">
        <v>273</v>
      </c>
      <c r="E1158">
        <v>531600</v>
      </c>
      <c r="F1158">
        <v>989950</v>
      </c>
      <c r="G1158">
        <v>1521550</v>
      </c>
      <c r="H1158">
        <v>213</v>
      </c>
      <c r="I1158">
        <v>28</v>
      </c>
      <c r="J1158">
        <v>241</v>
      </c>
      <c r="K1158" t="b">
        <f>TrafficData[[#This Row],[disposedChallan]]+TrafficData[[#This Row],[pendingChallan]]=TrafficData[[#This Row],[totalChallan]]</f>
        <v>1</v>
      </c>
      <c r="L1158" t="b">
        <f>TrafficData[[#This Row],[pendingAmount]]+TrafficData[[#This Row],[disposedAmount]]=TrafficData[[#This Row],[totalAmount]]</f>
        <v>1</v>
      </c>
      <c r="M1158" t="b">
        <f>TrafficData[[#This Row],[pendingCourt]]+TrafficData[[#This Row],[disposedCourt]]=TrafficData[[#This Row],[totalCourt]]</f>
        <v>1</v>
      </c>
      <c r="N1158" s="8" t="b">
        <f>AND(TrafficData[[#This Row],[disposedChallan]]&lt;=TrafficData[[#This Row],[totalChallan]],TrafficData[[#This Row],[pendingChallan]]&lt;=TrafficData[[#This Row],[totalChallan]])</f>
        <v>1</v>
      </c>
      <c r="O1158" s="8" t="b">
        <f>AND(TrafficData[[#This Row],[pendingAmount]]&lt;=TrafficData[[#This Row],[totalAmount]],TrafficData[[#This Row],[disposedAmount]]&lt;=TrafficData[[#This Row],[totalAmount]])</f>
        <v>1</v>
      </c>
      <c r="P1158" s="8" t="b">
        <f>AND(TrafficData[[#This Row],[pendingCourt]]&lt;=TrafficData[[#This Row],[totalCourt]],TrafficData[[#This Row],[disposedCourt]]&lt;=TrafficData[[#This Row],[totalCourt]])</f>
        <v>1</v>
      </c>
    </row>
    <row r="1159" spans="1:16">
      <c r="A1159" s="1">
        <v>43162</v>
      </c>
      <c r="B1159">
        <v>963</v>
      </c>
      <c r="C1159">
        <v>427</v>
      </c>
      <c r="D1159">
        <v>536</v>
      </c>
      <c r="E1159">
        <v>1737250</v>
      </c>
      <c r="F1159">
        <v>1743863</v>
      </c>
      <c r="G1159">
        <v>3481113</v>
      </c>
      <c r="H1159">
        <v>377</v>
      </c>
      <c r="I1159">
        <v>49</v>
      </c>
      <c r="J1159">
        <v>426</v>
      </c>
      <c r="K1159" t="b">
        <f>TrafficData[[#This Row],[disposedChallan]]+TrafficData[[#This Row],[pendingChallan]]=TrafficData[[#This Row],[totalChallan]]</f>
        <v>1</v>
      </c>
      <c r="L1159" t="b">
        <f>TrafficData[[#This Row],[pendingAmount]]+TrafficData[[#This Row],[disposedAmount]]=TrafficData[[#This Row],[totalAmount]]</f>
        <v>1</v>
      </c>
      <c r="M1159" t="b">
        <f>TrafficData[[#This Row],[pendingCourt]]+TrafficData[[#This Row],[disposedCourt]]=TrafficData[[#This Row],[totalCourt]]</f>
        <v>1</v>
      </c>
      <c r="N1159" s="8" t="b">
        <f>AND(TrafficData[[#This Row],[disposedChallan]]&lt;=TrafficData[[#This Row],[totalChallan]],TrafficData[[#This Row],[pendingChallan]]&lt;=TrafficData[[#This Row],[totalChallan]])</f>
        <v>1</v>
      </c>
      <c r="O1159" s="8" t="b">
        <f>AND(TrafficData[[#This Row],[pendingAmount]]&lt;=TrafficData[[#This Row],[totalAmount]],TrafficData[[#This Row],[disposedAmount]]&lt;=TrafficData[[#This Row],[totalAmount]])</f>
        <v>1</v>
      </c>
      <c r="P1159" s="8" t="b">
        <f>AND(TrafficData[[#This Row],[pendingCourt]]&lt;=TrafficData[[#This Row],[totalCourt]],TrafficData[[#This Row],[disposedCourt]]&lt;=TrafficData[[#This Row],[totalCourt]])</f>
        <v>1</v>
      </c>
    </row>
    <row r="1160" spans="1:16">
      <c r="A1160" s="1">
        <v>43163</v>
      </c>
      <c r="B1160">
        <v>1077</v>
      </c>
      <c r="C1160">
        <v>637</v>
      </c>
      <c r="D1160">
        <v>440</v>
      </c>
      <c r="E1160">
        <v>1071550</v>
      </c>
      <c r="F1160">
        <v>2537600</v>
      </c>
      <c r="G1160">
        <v>3609150</v>
      </c>
      <c r="H1160">
        <v>350</v>
      </c>
      <c r="I1160">
        <v>43</v>
      </c>
      <c r="J1160">
        <v>393</v>
      </c>
      <c r="K1160" t="b">
        <f>TrafficData[[#This Row],[disposedChallan]]+TrafficData[[#This Row],[pendingChallan]]=TrafficData[[#This Row],[totalChallan]]</f>
        <v>1</v>
      </c>
      <c r="L1160" t="b">
        <f>TrafficData[[#This Row],[pendingAmount]]+TrafficData[[#This Row],[disposedAmount]]=TrafficData[[#This Row],[totalAmount]]</f>
        <v>1</v>
      </c>
      <c r="M1160" t="b">
        <f>TrafficData[[#This Row],[pendingCourt]]+TrafficData[[#This Row],[disposedCourt]]=TrafficData[[#This Row],[totalCourt]]</f>
        <v>1</v>
      </c>
      <c r="N1160" s="8" t="b">
        <f>AND(TrafficData[[#This Row],[disposedChallan]]&lt;=TrafficData[[#This Row],[totalChallan]],TrafficData[[#This Row],[pendingChallan]]&lt;=TrafficData[[#This Row],[totalChallan]])</f>
        <v>1</v>
      </c>
      <c r="O1160" s="8" t="b">
        <f>AND(TrafficData[[#This Row],[pendingAmount]]&lt;=TrafficData[[#This Row],[totalAmount]],TrafficData[[#This Row],[disposedAmount]]&lt;=TrafficData[[#This Row],[totalAmount]])</f>
        <v>1</v>
      </c>
      <c r="P1160" s="8" t="b">
        <f>AND(TrafficData[[#This Row],[pendingCourt]]&lt;=TrafficData[[#This Row],[totalCourt]],TrafficData[[#This Row],[disposedCourt]]&lt;=TrafficData[[#This Row],[totalCourt]])</f>
        <v>1</v>
      </c>
    </row>
    <row r="1161" spans="1:16">
      <c r="A1161" s="1">
        <v>43164</v>
      </c>
      <c r="B1161">
        <v>2169</v>
      </c>
      <c r="C1161">
        <v>1331</v>
      </c>
      <c r="D1161">
        <v>838</v>
      </c>
      <c r="E1161">
        <v>2019551</v>
      </c>
      <c r="F1161">
        <v>6245270</v>
      </c>
      <c r="G1161">
        <v>8264821</v>
      </c>
      <c r="H1161">
        <v>634</v>
      </c>
      <c r="I1161">
        <v>89</v>
      </c>
      <c r="J1161">
        <v>723</v>
      </c>
      <c r="K1161" t="b">
        <f>TrafficData[[#This Row],[disposedChallan]]+TrafficData[[#This Row],[pendingChallan]]=TrafficData[[#This Row],[totalChallan]]</f>
        <v>1</v>
      </c>
      <c r="L1161" t="b">
        <f>TrafficData[[#This Row],[pendingAmount]]+TrafficData[[#This Row],[disposedAmount]]=TrafficData[[#This Row],[totalAmount]]</f>
        <v>1</v>
      </c>
      <c r="M1161" t="b">
        <f>TrafficData[[#This Row],[pendingCourt]]+TrafficData[[#This Row],[disposedCourt]]=TrafficData[[#This Row],[totalCourt]]</f>
        <v>1</v>
      </c>
      <c r="N1161" s="8" t="b">
        <f>AND(TrafficData[[#This Row],[disposedChallan]]&lt;=TrafficData[[#This Row],[totalChallan]],TrafficData[[#This Row],[pendingChallan]]&lt;=TrafficData[[#This Row],[totalChallan]])</f>
        <v>1</v>
      </c>
      <c r="O1161" s="8" t="b">
        <f>AND(TrafficData[[#This Row],[pendingAmount]]&lt;=TrafficData[[#This Row],[totalAmount]],TrafficData[[#This Row],[disposedAmount]]&lt;=TrafficData[[#This Row],[totalAmount]])</f>
        <v>1</v>
      </c>
      <c r="P1161" s="8" t="b">
        <f>AND(TrafficData[[#This Row],[pendingCourt]]&lt;=TrafficData[[#This Row],[totalCourt]],TrafficData[[#This Row],[disposedCourt]]&lt;=TrafficData[[#This Row],[totalCourt]])</f>
        <v>1</v>
      </c>
    </row>
    <row r="1162" spans="1:16">
      <c r="A1162" s="1">
        <v>43165</v>
      </c>
      <c r="B1162">
        <v>3228</v>
      </c>
      <c r="C1162">
        <v>2326</v>
      </c>
      <c r="D1162">
        <v>902</v>
      </c>
      <c r="E1162">
        <v>4068254</v>
      </c>
      <c r="F1162">
        <v>14230000</v>
      </c>
      <c r="G1162">
        <v>18298254</v>
      </c>
      <c r="H1162">
        <v>640</v>
      </c>
      <c r="I1162">
        <v>146</v>
      </c>
      <c r="J1162">
        <v>786</v>
      </c>
      <c r="K1162" t="b">
        <f>TrafficData[[#This Row],[disposedChallan]]+TrafficData[[#This Row],[pendingChallan]]=TrafficData[[#This Row],[totalChallan]]</f>
        <v>1</v>
      </c>
      <c r="L1162" t="b">
        <f>TrafficData[[#This Row],[pendingAmount]]+TrafficData[[#This Row],[disposedAmount]]=TrafficData[[#This Row],[totalAmount]]</f>
        <v>1</v>
      </c>
      <c r="M1162" t="b">
        <f>TrafficData[[#This Row],[pendingCourt]]+TrafficData[[#This Row],[disposedCourt]]=TrafficData[[#This Row],[totalCourt]]</f>
        <v>1</v>
      </c>
      <c r="N1162" s="8" t="b">
        <f>AND(TrafficData[[#This Row],[disposedChallan]]&lt;=TrafficData[[#This Row],[totalChallan]],TrafficData[[#This Row],[pendingChallan]]&lt;=TrafficData[[#This Row],[totalChallan]])</f>
        <v>1</v>
      </c>
      <c r="O1162" s="8" t="b">
        <f>AND(TrafficData[[#This Row],[pendingAmount]]&lt;=TrafficData[[#This Row],[totalAmount]],TrafficData[[#This Row],[disposedAmount]]&lt;=TrafficData[[#This Row],[totalAmount]])</f>
        <v>1</v>
      </c>
      <c r="P1162" s="8" t="b">
        <f>AND(TrafficData[[#This Row],[pendingCourt]]&lt;=TrafficData[[#This Row],[totalCourt]],TrafficData[[#This Row],[disposedCourt]]&lt;=TrafficData[[#This Row],[totalCourt]])</f>
        <v>1</v>
      </c>
    </row>
    <row r="1163" spans="1:16">
      <c r="A1163" s="1">
        <v>43166</v>
      </c>
      <c r="B1163">
        <v>12037</v>
      </c>
      <c r="C1163">
        <v>8970</v>
      </c>
      <c r="D1163">
        <v>3067</v>
      </c>
      <c r="E1163">
        <v>9243000</v>
      </c>
      <c r="F1163">
        <v>10790345</v>
      </c>
      <c r="G1163">
        <v>20033345</v>
      </c>
      <c r="H1163">
        <v>2703</v>
      </c>
      <c r="I1163">
        <v>693</v>
      </c>
      <c r="J1163">
        <v>3396</v>
      </c>
      <c r="K1163" t="b">
        <f>TrafficData[[#This Row],[disposedChallan]]+TrafficData[[#This Row],[pendingChallan]]=TrafficData[[#This Row],[totalChallan]]</f>
        <v>1</v>
      </c>
      <c r="L1163" t="b">
        <f>TrafficData[[#This Row],[pendingAmount]]+TrafficData[[#This Row],[disposedAmount]]=TrafficData[[#This Row],[totalAmount]]</f>
        <v>1</v>
      </c>
      <c r="M1163" t="b">
        <f>TrafficData[[#This Row],[pendingCourt]]+TrafficData[[#This Row],[disposedCourt]]=TrafficData[[#This Row],[totalCourt]]</f>
        <v>1</v>
      </c>
      <c r="N1163" s="8" t="b">
        <f>AND(TrafficData[[#This Row],[disposedChallan]]&lt;=TrafficData[[#This Row],[totalChallan]],TrafficData[[#This Row],[pendingChallan]]&lt;=TrafficData[[#This Row],[totalChallan]])</f>
        <v>1</v>
      </c>
      <c r="O1163" s="8" t="b">
        <f>AND(TrafficData[[#This Row],[pendingAmount]]&lt;=TrafficData[[#This Row],[totalAmount]],TrafficData[[#This Row],[disposedAmount]]&lt;=TrafficData[[#This Row],[totalAmount]])</f>
        <v>1</v>
      </c>
      <c r="P1163" s="8" t="b">
        <f>AND(TrafficData[[#This Row],[pendingCourt]]&lt;=TrafficData[[#This Row],[totalCourt]],TrafficData[[#This Row],[disposedCourt]]&lt;=TrafficData[[#This Row],[totalCourt]])</f>
        <v>1</v>
      </c>
    </row>
    <row r="1164" spans="1:16">
      <c r="A1164" s="1">
        <v>43167</v>
      </c>
      <c r="B1164">
        <v>3271</v>
      </c>
      <c r="C1164">
        <v>2569</v>
      </c>
      <c r="D1164">
        <v>702</v>
      </c>
      <c r="E1164">
        <v>2864451</v>
      </c>
      <c r="F1164">
        <v>13099631</v>
      </c>
      <c r="G1164">
        <v>15964082</v>
      </c>
      <c r="H1164">
        <v>470</v>
      </c>
      <c r="I1164">
        <v>161</v>
      </c>
      <c r="J1164">
        <v>631</v>
      </c>
      <c r="K1164" t="b">
        <f>TrafficData[[#This Row],[disposedChallan]]+TrafficData[[#This Row],[pendingChallan]]=TrafficData[[#This Row],[totalChallan]]</f>
        <v>1</v>
      </c>
      <c r="L1164" t="b">
        <f>TrafficData[[#This Row],[pendingAmount]]+TrafficData[[#This Row],[disposedAmount]]=TrafficData[[#This Row],[totalAmount]]</f>
        <v>1</v>
      </c>
      <c r="M1164" t="b">
        <f>TrafficData[[#This Row],[pendingCourt]]+TrafficData[[#This Row],[disposedCourt]]=TrafficData[[#This Row],[totalCourt]]</f>
        <v>1</v>
      </c>
      <c r="N1164" s="8" t="b">
        <f>AND(TrafficData[[#This Row],[disposedChallan]]&lt;=TrafficData[[#This Row],[totalChallan]],TrafficData[[#This Row],[pendingChallan]]&lt;=TrafficData[[#This Row],[totalChallan]])</f>
        <v>1</v>
      </c>
      <c r="O1164" s="8" t="b">
        <f>AND(TrafficData[[#This Row],[pendingAmount]]&lt;=TrafficData[[#This Row],[totalAmount]],TrafficData[[#This Row],[disposedAmount]]&lt;=TrafficData[[#This Row],[totalAmount]])</f>
        <v>1</v>
      </c>
      <c r="P1164" s="8" t="b">
        <f>AND(TrafficData[[#This Row],[pendingCourt]]&lt;=TrafficData[[#This Row],[totalCourt]],TrafficData[[#This Row],[disposedCourt]]&lt;=TrafficData[[#This Row],[totalCourt]])</f>
        <v>1</v>
      </c>
    </row>
    <row r="1165" spans="1:16">
      <c r="A1165" s="1">
        <v>43168</v>
      </c>
      <c r="B1165">
        <v>3511</v>
      </c>
      <c r="C1165">
        <v>2848</v>
      </c>
      <c r="D1165">
        <v>663</v>
      </c>
      <c r="E1165">
        <v>3331601</v>
      </c>
      <c r="F1165">
        <v>13309085</v>
      </c>
      <c r="G1165">
        <v>16640686</v>
      </c>
      <c r="H1165">
        <v>467</v>
      </c>
      <c r="I1165">
        <v>150</v>
      </c>
      <c r="J1165">
        <v>617</v>
      </c>
      <c r="K1165" t="b">
        <f>TrafficData[[#This Row],[disposedChallan]]+TrafficData[[#This Row],[pendingChallan]]=TrafficData[[#This Row],[totalChallan]]</f>
        <v>1</v>
      </c>
      <c r="L1165" t="b">
        <f>TrafficData[[#This Row],[pendingAmount]]+TrafficData[[#This Row],[disposedAmount]]=TrafficData[[#This Row],[totalAmount]]</f>
        <v>1</v>
      </c>
      <c r="M1165" t="b">
        <f>TrafficData[[#This Row],[pendingCourt]]+TrafficData[[#This Row],[disposedCourt]]=TrafficData[[#This Row],[totalCourt]]</f>
        <v>1</v>
      </c>
      <c r="N1165" s="8" t="b">
        <f>AND(TrafficData[[#This Row],[disposedChallan]]&lt;=TrafficData[[#This Row],[totalChallan]],TrafficData[[#This Row],[pendingChallan]]&lt;=TrafficData[[#This Row],[totalChallan]])</f>
        <v>1</v>
      </c>
      <c r="O1165" s="8" t="b">
        <f>AND(TrafficData[[#This Row],[pendingAmount]]&lt;=TrafficData[[#This Row],[totalAmount]],TrafficData[[#This Row],[disposedAmount]]&lt;=TrafficData[[#This Row],[totalAmount]])</f>
        <v>1</v>
      </c>
      <c r="P1165" s="8" t="b">
        <f>AND(TrafficData[[#This Row],[pendingCourt]]&lt;=TrafficData[[#This Row],[totalCourt]],TrafficData[[#This Row],[disposedCourt]]&lt;=TrafficData[[#This Row],[totalCourt]])</f>
        <v>1</v>
      </c>
    </row>
    <row r="1166" spans="1:16">
      <c r="A1166" s="1">
        <v>43169</v>
      </c>
      <c r="B1166">
        <v>2796</v>
      </c>
      <c r="C1166">
        <v>2330</v>
      </c>
      <c r="D1166">
        <v>466</v>
      </c>
      <c r="E1166">
        <v>1829174</v>
      </c>
      <c r="F1166">
        <v>10589200</v>
      </c>
      <c r="G1166">
        <v>12418374</v>
      </c>
      <c r="H1166">
        <v>309</v>
      </c>
      <c r="I1166">
        <v>104</v>
      </c>
      <c r="J1166">
        <v>413</v>
      </c>
      <c r="K1166" t="b">
        <f>TrafficData[[#This Row],[disposedChallan]]+TrafficData[[#This Row],[pendingChallan]]=TrafficData[[#This Row],[totalChallan]]</f>
        <v>1</v>
      </c>
      <c r="L1166" t="b">
        <f>TrafficData[[#This Row],[pendingAmount]]+TrafficData[[#This Row],[disposedAmount]]=TrafficData[[#This Row],[totalAmount]]</f>
        <v>1</v>
      </c>
      <c r="M1166" t="b">
        <f>TrafficData[[#This Row],[pendingCourt]]+TrafficData[[#This Row],[disposedCourt]]=TrafficData[[#This Row],[totalCourt]]</f>
        <v>1</v>
      </c>
      <c r="N1166" s="8" t="b">
        <f>AND(TrafficData[[#This Row],[disposedChallan]]&lt;=TrafficData[[#This Row],[totalChallan]],TrafficData[[#This Row],[pendingChallan]]&lt;=TrafficData[[#This Row],[totalChallan]])</f>
        <v>1</v>
      </c>
      <c r="O1166" s="8" t="b">
        <f>AND(TrafficData[[#This Row],[pendingAmount]]&lt;=TrafficData[[#This Row],[totalAmount]],TrafficData[[#This Row],[disposedAmount]]&lt;=TrafficData[[#This Row],[totalAmount]])</f>
        <v>1</v>
      </c>
      <c r="P1166" s="8" t="b">
        <f>AND(TrafficData[[#This Row],[pendingCourt]]&lt;=TrafficData[[#This Row],[totalCourt]],TrafficData[[#This Row],[disposedCourt]]&lt;=TrafficData[[#This Row],[totalCourt]])</f>
        <v>1</v>
      </c>
    </row>
    <row r="1167" spans="1:16">
      <c r="A1167" s="1">
        <v>43170</v>
      </c>
      <c r="B1167">
        <v>1705</v>
      </c>
      <c r="C1167">
        <v>1363</v>
      </c>
      <c r="D1167">
        <v>342</v>
      </c>
      <c r="E1167">
        <v>1991801</v>
      </c>
      <c r="F1167">
        <v>8592082</v>
      </c>
      <c r="G1167">
        <v>10583883</v>
      </c>
      <c r="H1167">
        <v>217</v>
      </c>
      <c r="I1167">
        <v>85</v>
      </c>
      <c r="J1167">
        <v>302</v>
      </c>
      <c r="K1167" t="b">
        <f>TrafficData[[#This Row],[disposedChallan]]+TrafficData[[#This Row],[pendingChallan]]=TrafficData[[#This Row],[totalChallan]]</f>
        <v>1</v>
      </c>
      <c r="L1167" t="b">
        <f>TrafficData[[#This Row],[pendingAmount]]+TrafficData[[#This Row],[disposedAmount]]=TrafficData[[#This Row],[totalAmount]]</f>
        <v>1</v>
      </c>
      <c r="M1167" t="b">
        <f>TrafficData[[#This Row],[pendingCourt]]+TrafficData[[#This Row],[disposedCourt]]=TrafficData[[#This Row],[totalCourt]]</f>
        <v>1</v>
      </c>
      <c r="N1167" s="8" t="b">
        <f>AND(TrafficData[[#This Row],[disposedChallan]]&lt;=TrafficData[[#This Row],[totalChallan]],TrafficData[[#This Row],[pendingChallan]]&lt;=TrafficData[[#This Row],[totalChallan]])</f>
        <v>1</v>
      </c>
      <c r="O1167" s="8" t="b">
        <f>AND(TrafficData[[#This Row],[pendingAmount]]&lt;=TrafficData[[#This Row],[totalAmount]],TrafficData[[#This Row],[disposedAmount]]&lt;=TrafficData[[#This Row],[totalAmount]])</f>
        <v>1</v>
      </c>
      <c r="P1167" s="8" t="b">
        <f>AND(TrafficData[[#This Row],[pendingCourt]]&lt;=TrafficData[[#This Row],[totalCourt]],TrafficData[[#This Row],[disposedCourt]]&lt;=TrafficData[[#This Row],[totalCourt]])</f>
        <v>1</v>
      </c>
    </row>
    <row r="1168" spans="1:16">
      <c r="A1168" s="1">
        <v>43171</v>
      </c>
      <c r="B1168">
        <v>3289</v>
      </c>
      <c r="C1168">
        <v>2601</v>
      </c>
      <c r="D1168">
        <v>688</v>
      </c>
      <c r="E1168">
        <v>2743860</v>
      </c>
      <c r="F1168">
        <v>11564836</v>
      </c>
      <c r="G1168">
        <v>14308696</v>
      </c>
      <c r="H1168">
        <v>480</v>
      </c>
      <c r="I1168">
        <v>145</v>
      </c>
      <c r="J1168">
        <v>625</v>
      </c>
      <c r="K1168" t="b">
        <f>TrafficData[[#This Row],[disposedChallan]]+TrafficData[[#This Row],[pendingChallan]]=TrafficData[[#This Row],[totalChallan]]</f>
        <v>1</v>
      </c>
      <c r="L1168" t="b">
        <f>TrafficData[[#This Row],[pendingAmount]]+TrafficData[[#This Row],[disposedAmount]]=TrafficData[[#This Row],[totalAmount]]</f>
        <v>1</v>
      </c>
      <c r="M1168" t="b">
        <f>TrafficData[[#This Row],[pendingCourt]]+TrafficData[[#This Row],[disposedCourt]]=TrafficData[[#This Row],[totalCourt]]</f>
        <v>1</v>
      </c>
      <c r="N1168" s="8" t="b">
        <f>AND(TrafficData[[#This Row],[disposedChallan]]&lt;=TrafficData[[#This Row],[totalChallan]],TrafficData[[#This Row],[pendingChallan]]&lt;=TrafficData[[#This Row],[totalChallan]])</f>
        <v>1</v>
      </c>
      <c r="O1168" s="8" t="b">
        <f>AND(TrafficData[[#This Row],[pendingAmount]]&lt;=TrafficData[[#This Row],[totalAmount]],TrafficData[[#This Row],[disposedAmount]]&lt;=TrafficData[[#This Row],[totalAmount]])</f>
        <v>1</v>
      </c>
      <c r="P1168" s="8" t="b">
        <f>AND(TrafficData[[#This Row],[pendingCourt]]&lt;=TrafficData[[#This Row],[totalCourt]],TrafficData[[#This Row],[disposedCourt]]&lt;=TrafficData[[#This Row],[totalCourt]])</f>
        <v>1</v>
      </c>
    </row>
    <row r="1169" spans="1:16">
      <c r="A1169" s="1">
        <v>43172</v>
      </c>
      <c r="B1169">
        <v>3582</v>
      </c>
      <c r="C1169">
        <v>2755</v>
      </c>
      <c r="D1169">
        <v>827</v>
      </c>
      <c r="E1169">
        <v>3754215</v>
      </c>
      <c r="F1169">
        <v>14572266</v>
      </c>
      <c r="G1169">
        <v>18326481</v>
      </c>
      <c r="H1169">
        <v>595</v>
      </c>
      <c r="I1169">
        <v>171</v>
      </c>
      <c r="J1169">
        <v>766</v>
      </c>
      <c r="K1169" t="b">
        <f>TrafficData[[#This Row],[disposedChallan]]+TrafficData[[#This Row],[pendingChallan]]=TrafficData[[#This Row],[totalChallan]]</f>
        <v>1</v>
      </c>
      <c r="L1169" t="b">
        <f>TrafficData[[#This Row],[pendingAmount]]+TrafficData[[#This Row],[disposedAmount]]=TrafficData[[#This Row],[totalAmount]]</f>
        <v>1</v>
      </c>
      <c r="M1169" t="b">
        <f>TrafficData[[#This Row],[pendingCourt]]+TrafficData[[#This Row],[disposedCourt]]=TrafficData[[#This Row],[totalCourt]]</f>
        <v>1</v>
      </c>
      <c r="N1169" s="8" t="b">
        <f>AND(TrafficData[[#This Row],[disposedChallan]]&lt;=TrafficData[[#This Row],[totalChallan]],TrafficData[[#This Row],[pendingChallan]]&lt;=TrafficData[[#This Row],[totalChallan]])</f>
        <v>1</v>
      </c>
      <c r="O1169" s="8" t="b">
        <f>AND(TrafficData[[#This Row],[pendingAmount]]&lt;=TrafficData[[#This Row],[totalAmount]],TrafficData[[#This Row],[disposedAmount]]&lt;=TrafficData[[#This Row],[totalAmount]])</f>
        <v>1</v>
      </c>
      <c r="P1169" s="8" t="b">
        <f>AND(TrafficData[[#This Row],[pendingCourt]]&lt;=TrafficData[[#This Row],[totalCourt]],TrafficData[[#This Row],[disposedCourt]]&lt;=TrafficData[[#This Row],[totalCourt]])</f>
        <v>1</v>
      </c>
    </row>
    <row r="1170" spans="1:16">
      <c r="A1170" s="1">
        <v>43173</v>
      </c>
      <c r="B1170">
        <v>11988</v>
      </c>
      <c r="C1170">
        <v>8823</v>
      </c>
      <c r="D1170">
        <v>3165</v>
      </c>
      <c r="E1170">
        <v>9264054</v>
      </c>
      <c r="F1170">
        <v>17556294</v>
      </c>
      <c r="G1170">
        <v>26820348</v>
      </c>
      <c r="H1170">
        <v>2771</v>
      </c>
      <c r="I1170">
        <v>734</v>
      </c>
      <c r="J1170">
        <v>3505</v>
      </c>
      <c r="K1170" t="b">
        <f>TrafficData[[#This Row],[disposedChallan]]+TrafficData[[#This Row],[pendingChallan]]=TrafficData[[#This Row],[totalChallan]]</f>
        <v>1</v>
      </c>
      <c r="L1170" t="b">
        <f>TrafficData[[#This Row],[pendingAmount]]+TrafficData[[#This Row],[disposedAmount]]=TrafficData[[#This Row],[totalAmount]]</f>
        <v>1</v>
      </c>
      <c r="M1170" t="b">
        <f>TrafficData[[#This Row],[pendingCourt]]+TrafficData[[#This Row],[disposedCourt]]=TrafficData[[#This Row],[totalCourt]]</f>
        <v>1</v>
      </c>
      <c r="N1170" s="8" t="b">
        <f>AND(TrafficData[[#This Row],[disposedChallan]]&lt;=TrafficData[[#This Row],[totalChallan]],TrafficData[[#This Row],[pendingChallan]]&lt;=TrafficData[[#This Row],[totalChallan]])</f>
        <v>1</v>
      </c>
      <c r="O1170" s="8" t="b">
        <f>AND(TrafficData[[#This Row],[pendingAmount]]&lt;=TrafficData[[#This Row],[totalAmount]],TrafficData[[#This Row],[disposedAmount]]&lt;=TrafficData[[#This Row],[totalAmount]])</f>
        <v>1</v>
      </c>
      <c r="P1170" s="8" t="b">
        <f>AND(TrafficData[[#This Row],[pendingCourt]]&lt;=TrafficData[[#This Row],[totalCourt]],TrafficData[[#This Row],[disposedCourt]]&lt;=TrafficData[[#This Row],[totalCourt]])</f>
        <v>1</v>
      </c>
    </row>
    <row r="1171" spans="1:16">
      <c r="A1171" s="1">
        <v>43174</v>
      </c>
      <c r="B1171">
        <v>3619</v>
      </c>
      <c r="C1171">
        <v>2829</v>
      </c>
      <c r="D1171">
        <v>790</v>
      </c>
      <c r="E1171">
        <v>3008751</v>
      </c>
      <c r="F1171">
        <v>15128340</v>
      </c>
      <c r="G1171">
        <v>18137091</v>
      </c>
      <c r="H1171">
        <v>603</v>
      </c>
      <c r="I1171">
        <v>149</v>
      </c>
      <c r="J1171">
        <v>752</v>
      </c>
      <c r="K1171" t="b">
        <f>TrafficData[[#This Row],[disposedChallan]]+TrafficData[[#This Row],[pendingChallan]]=TrafficData[[#This Row],[totalChallan]]</f>
        <v>1</v>
      </c>
      <c r="L1171" t="b">
        <f>TrafficData[[#This Row],[pendingAmount]]+TrafficData[[#This Row],[disposedAmount]]=TrafficData[[#This Row],[totalAmount]]</f>
        <v>1</v>
      </c>
      <c r="M1171" t="b">
        <f>TrafficData[[#This Row],[pendingCourt]]+TrafficData[[#This Row],[disposedCourt]]=TrafficData[[#This Row],[totalCourt]]</f>
        <v>1</v>
      </c>
      <c r="N1171" s="8" t="b">
        <f>AND(TrafficData[[#This Row],[disposedChallan]]&lt;=TrafficData[[#This Row],[totalChallan]],TrafficData[[#This Row],[pendingChallan]]&lt;=TrafficData[[#This Row],[totalChallan]])</f>
        <v>1</v>
      </c>
      <c r="O1171" s="8" t="b">
        <f>AND(TrafficData[[#This Row],[pendingAmount]]&lt;=TrafficData[[#This Row],[totalAmount]],TrafficData[[#This Row],[disposedAmount]]&lt;=TrafficData[[#This Row],[totalAmount]])</f>
        <v>1</v>
      </c>
      <c r="P1171" s="8" t="b">
        <f>AND(TrafficData[[#This Row],[pendingCourt]]&lt;=TrafficData[[#This Row],[totalCourt]],TrafficData[[#This Row],[disposedCourt]]&lt;=TrafficData[[#This Row],[totalCourt]])</f>
        <v>1</v>
      </c>
    </row>
    <row r="1172" spans="1:16">
      <c r="A1172" s="1">
        <v>43175</v>
      </c>
      <c r="B1172">
        <v>3645</v>
      </c>
      <c r="C1172">
        <v>2701</v>
      </c>
      <c r="D1172">
        <v>944</v>
      </c>
      <c r="E1172">
        <v>3298390</v>
      </c>
      <c r="F1172">
        <v>16300458</v>
      </c>
      <c r="G1172">
        <v>19598848</v>
      </c>
      <c r="H1172">
        <v>721</v>
      </c>
      <c r="I1172">
        <v>175</v>
      </c>
      <c r="J1172">
        <v>896</v>
      </c>
      <c r="K1172" t="b">
        <f>TrafficData[[#This Row],[disposedChallan]]+TrafficData[[#This Row],[pendingChallan]]=TrafficData[[#This Row],[totalChallan]]</f>
        <v>1</v>
      </c>
      <c r="L1172" t="b">
        <f>TrafficData[[#This Row],[pendingAmount]]+TrafficData[[#This Row],[disposedAmount]]=TrafficData[[#This Row],[totalAmount]]</f>
        <v>1</v>
      </c>
      <c r="M1172" t="b">
        <f>TrafficData[[#This Row],[pendingCourt]]+TrafficData[[#This Row],[disposedCourt]]=TrafficData[[#This Row],[totalCourt]]</f>
        <v>1</v>
      </c>
      <c r="N1172" s="8" t="b">
        <f>AND(TrafficData[[#This Row],[disposedChallan]]&lt;=TrafficData[[#This Row],[totalChallan]],TrafficData[[#This Row],[pendingChallan]]&lt;=TrafficData[[#This Row],[totalChallan]])</f>
        <v>1</v>
      </c>
      <c r="O1172" s="8" t="b">
        <f>AND(TrafficData[[#This Row],[pendingAmount]]&lt;=TrafficData[[#This Row],[totalAmount]],TrafficData[[#This Row],[disposedAmount]]&lt;=TrafficData[[#This Row],[totalAmount]])</f>
        <v>1</v>
      </c>
      <c r="P1172" s="8" t="b">
        <f>AND(TrafficData[[#This Row],[pendingCourt]]&lt;=TrafficData[[#This Row],[totalCourt]],TrafficData[[#This Row],[disposedCourt]]&lt;=TrafficData[[#This Row],[totalCourt]])</f>
        <v>1</v>
      </c>
    </row>
    <row r="1173" spans="1:16">
      <c r="A1173" s="1">
        <v>43176</v>
      </c>
      <c r="B1173">
        <v>3462</v>
      </c>
      <c r="C1173">
        <v>2616</v>
      </c>
      <c r="D1173">
        <v>846</v>
      </c>
      <c r="E1173">
        <v>2929466</v>
      </c>
      <c r="F1173">
        <v>13580543</v>
      </c>
      <c r="G1173">
        <v>16510009</v>
      </c>
      <c r="H1173">
        <v>669</v>
      </c>
      <c r="I1173">
        <v>177</v>
      </c>
      <c r="J1173">
        <v>846</v>
      </c>
      <c r="K1173" t="b">
        <f>TrafficData[[#This Row],[disposedChallan]]+TrafficData[[#This Row],[pendingChallan]]=TrafficData[[#This Row],[totalChallan]]</f>
        <v>1</v>
      </c>
      <c r="L1173" t="b">
        <f>TrafficData[[#This Row],[pendingAmount]]+TrafficData[[#This Row],[disposedAmount]]=TrafficData[[#This Row],[totalAmount]]</f>
        <v>1</v>
      </c>
      <c r="M1173" t="b">
        <f>TrafficData[[#This Row],[pendingCourt]]+TrafficData[[#This Row],[disposedCourt]]=TrafficData[[#This Row],[totalCourt]]</f>
        <v>1</v>
      </c>
      <c r="N1173" s="8" t="b">
        <f>AND(TrafficData[[#This Row],[disposedChallan]]&lt;=TrafficData[[#This Row],[totalChallan]],TrafficData[[#This Row],[pendingChallan]]&lt;=TrafficData[[#This Row],[totalChallan]])</f>
        <v>1</v>
      </c>
      <c r="O1173" s="8" t="b">
        <f>AND(TrafficData[[#This Row],[pendingAmount]]&lt;=TrafficData[[#This Row],[totalAmount]],TrafficData[[#This Row],[disposedAmount]]&lt;=TrafficData[[#This Row],[totalAmount]])</f>
        <v>1</v>
      </c>
      <c r="P1173" s="8" t="b">
        <f>AND(TrafficData[[#This Row],[pendingCourt]]&lt;=TrafficData[[#This Row],[totalCourt]],TrafficData[[#This Row],[disposedCourt]]&lt;=TrafficData[[#This Row],[totalCourt]])</f>
        <v>1</v>
      </c>
    </row>
    <row r="1174" spans="1:16">
      <c r="A1174" s="1">
        <v>43177</v>
      </c>
      <c r="B1174">
        <v>1566</v>
      </c>
      <c r="C1174">
        <v>1191</v>
      </c>
      <c r="D1174">
        <v>375</v>
      </c>
      <c r="E1174">
        <v>1206050</v>
      </c>
      <c r="F1174">
        <v>6813520</v>
      </c>
      <c r="G1174">
        <v>8019570</v>
      </c>
      <c r="H1174">
        <v>259</v>
      </c>
      <c r="I1174">
        <v>60</v>
      </c>
      <c r="J1174">
        <v>319</v>
      </c>
      <c r="K1174" t="b">
        <f>TrafficData[[#This Row],[disposedChallan]]+TrafficData[[#This Row],[pendingChallan]]=TrafficData[[#This Row],[totalChallan]]</f>
        <v>1</v>
      </c>
      <c r="L1174" t="b">
        <f>TrafficData[[#This Row],[pendingAmount]]+TrafficData[[#This Row],[disposedAmount]]=TrafficData[[#This Row],[totalAmount]]</f>
        <v>1</v>
      </c>
      <c r="M1174" t="b">
        <f>TrafficData[[#This Row],[pendingCourt]]+TrafficData[[#This Row],[disposedCourt]]=TrafficData[[#This Row],[totalCourt]]</f>
        <v>1</v>
      </c>
      <c r="N1174" s="8" t="b">
        <f>AND(TrafficData[[#This Row],[disposedChallan]]&lt;=TrafficData[[#This Row],[totalChallan]],TrafficData[[#This Row],[pendingChallan]]&lt;=TrafficData[[#This Row],[totalChallan]])</f>
        <v>1</v>
      </c>
      <c r="O1174" s="8" t="b">
        <f>AND(TrafficData[[#This Row],[pendingAmount]]&lt;=TrafficData[[#This Row],[totalAmount]],TrafficData[[#This Row],[disposedAmount]]&lt;=TrafficData[[#This Row],[totalAmount]])</f>
        <v>1</v>
      </c>
      <c r="P1174" s="8" t="b">
        <f>AND(TrafficData[[#This Row],[pendingCourt]]&lt;=TrafficData[[#This Row],[totalCourt]],TrafficData[[#This Row],[disposedCourt]]&lt;=TrafficData[[#This Row],[totalCourt]])</f>
        <v>1</v>
      </c>
    </row>
    <row r="1175" spans="1:16">
      <c r="A1175" s="1">
        <v>43178</v>
      </c>
      <c r="B1175">
        <v>3473</v>
      </c>
      <c r="C1175">
        <v>2775</v>
      </c>
      <c r="D1175">
        <v>698</v>
      </c>
      <c r="E1175">
        <v>2880550</v>
      </c>
      <c r="F1175">
        <v>11149853</v>
      </c>
      <c r="G1175">
        <v>14030403</v>
      </c>
      <c r="H1175">
        <v>481</v>
      </c>
      <c r="I1175">
        <v>162</v>
      </c>
      <c r="J1175">
        <v>643</v>
      </c>
      <c r="K1175" t="b">
        <f>TrafficData[[#This Row],[disposedChallan]]+TrafficData[[#This Row],[pendingChallan]]=TrafficData[[#This Row],[totalChallan]]</f>
        <v>1</v>
      </c>
      <c r="L1175" t="b">
        <f>TrafficData[[#This Row],[pendingAmount]]+TrafficData[[#This Row],[disposedAmount]]=TrafficData[[#This Row],[totalAmount]]</f>
        <v>1</v>
      </c>
      <c r="M1175" t="b">
        <f>TrafficData[[#This Row],[pendingCourt]]+TrafficData[[#This Row],[disposedCourt]]=TrafficData[[#This Row],[totalCourt]]</f>
        <v>1</v>
      </c>
      <c r="N1175" s="8" t="b">
        <f>AND(TrafficData[[#This Row],[disposedChallan]]&lt;=TrafficData[[#This Row],[totalChallan]],TrafficData[[#This Row],[pendingChallan]]&lt;=TrafficData[[#This Row],[totalChallan]])</f>
        <v>1</v>
      </c>
      <c r="O1175" s="8" t="b">
        <f>AND(TrafficData[[#This Row],[pendingAmount]]&lt;=TrafficData[[#This Row],[totalAmount]],TrafficData[[#This Row],[disposedAmount]]&lt;=TrafficData[[#This Row],[totalAmount]])</f>
        <v>1</v>
      </c>
      <c r="P1175" s="8" t="b">
        <f>AND(TrafficData[[#This Row],[pendingCourt]]&lt;=TrafficData[[#This Row],[totalCourt]],TrafficData[[#This Row],[disposedCourt]]&lt;=TrafficData[[#This Row],[totalCourt]])</f>
        <v>1</v>
      </c>
    </row>
    <row r="1176" spans="1:16">
      <c r="A1176" s="1">
        <v>43179</v>
      </c>
      <c r="B1176">
        <v>3660</v>
      </c>
      <c r="C1176">
        <v>2909</v>
      </c>
      <c r="D1176">
        <v>751</v>
      </c>
      <c r="E1176">
        <v>4604400</v>
      </c>
      <c r="F1176">
        <v>16046523</v>
      </c>
      <c r="G1176">
        <v>20650923</v>
      </c>
      <c r="H1176">
        <v>507</v>
      </c>
      <c r="I1176">
        <v>124</v>
      </c>
      <c r="J1176">
        <v>631</v>
      </c>
      <c r="K1176" t="b">
        <f>TrafficData[[#This Row],[disposedChallan]]+TrafficData[[#This Row],[pendingChallan]]=TrafficData[[#This Row],[totalChallan]]</f>
        <v>1</v>
      </c>
      <c r="L1176" t="b">
        <f>TrafficData[[#This Row],[pendingAmount]]+TrafficData[[#This Row],[disposedAmount]]=TrafficData[[#This Row],[totalAmount]]</f>
        <v>1</v>
      </c>
      <c r="M1176" t="b">
        <f>TrafficData[[#This Row],[pendingCourt]]+TrafficData[[#This Row],[disposedCourt]]=TrafficData[[#This Row],[totalCourt]]</f>
        <v>1</v>
      </c>
      <c r="N1176" s="8" t="b">
        <f>AND(TrafficData[[#This Row],[disposedChallan]]&lt;=TrafficData[[#This Row],[totalChallan]],TrafficData[[#This Row],[pendingChallan]]&lt;=TrafficData[[#This Row],[totalChallan]])</f>
        <v>1</v>
      </c>
      <c r="O1176" s="8" t="b">
        <f>AND(TrafficData[[#This Row],[pendingAmount]]&lt;=TrafficData[[#This Row],[totalAmount]],TrafficData[[#This Row],[disposedAmount]]&lt;=TrafficData[[#This Row],[totalAmount]])</f>
        <v>1</v>
      </c>
      <c r="P1176" s="8" t="b">
        <f>AND(TrafficData[[#This Row],[pendingCourt]]&lt;=TrafficData[[#This Row],[totalCourt]],TrafficData[[#This Row],[disposedCourt]]&lt;=TrafficData[[#This Row],[totalCourt]])</f>
        <v>1</v>
      </c>
    </row>
    <row r="1177" spans="1:16">
      <c r="A1177" s="1">
        <v>43180</v>
      </c>
      <c r="B1177">
        <v>11305</v>
      </c>
      <c r="C1177">
        <v>8640</v>
      </c>
      <c r="D1177">
        <v>2665</v>
      </c>
      <c r="E1177">
        <v>7693551</v>
      </c>
      <c r="F1177">
        <v>15371061</v>
      </c>
      <c r="G1177">
        <v>23064612</v>
      </c>
      <c r="H1177">
        <v>2338</v>
      </c>
      <c r="I1177">
        <v>695</v>
      </c>
      <c r="J1177">
        <v>3033</v>
      </c>
      <c r="K1177" t="b">
        <f>TrafficData[[#This Row],[disposedChallan]]+TrafficData[[#This Row],[pendingChallan]]=TrafficData[[#This Row],[totalChallan]]</f>
        <v>1</v>
      </c>
      <c r="L1177" t="b">
        <f>TrafficData[[#This Row],[pendingAmount]]+TrafficData[[#This Row],[disposedAmount]]=TrafficData[[#This Row],[totalAmount]]</f>
        <v>1</v>
      </c>
      <c r="M1177" t="b">
        <f>TrafficData[[#This Row],[pendingCourt]]+TrafficData[[#This Row],[disposedCourt]]=TrafficData[[#This Row],[totalCourt]]</f>
        <v>1</v>
      </c>
      <c r="N1177" s="8" t="b">
        <f>AND(TrafficData[[#This Row],[disposedChallan]]&lt;=TrafficData[[#This Row],[totalChallan]],TrafficData[[#This Row],[pendingChallan]]&lt;=TrafficData[[#This Row],[totalChallan]])</f>
        <v>1</v>
      </c>
      <c r="O1177" s="8" t="b">
        <f>AND(TrafficData[[#This Row],[pendingAmount]]&lt;=TrafficData[[#This Row],[totalAmount]],TrafficData[[#This Row],[disposedAmount]]&lt;=TrafficData[[#This Row],[totalAmount]])</f>
        <v>1</v>
      </c>
      <c r="P1177" s="8" t="b">
        <f>AND(TrafficData[[#This Row],[pendingCourt]]&lt;=TrafficData[[#This Row],[totalCourt]],TrafficData[[#This Row],[disposedCourt]]&lt;=TrafficData[[#This Row],[totalCourt]])</f>
        <v>1</v>
      </c>
    </row>
    <row r="1178" spans="1:16">
      <c r="A1178" s="1">
        <v>43181</v>
      </c>
      <c r="B1178">
        <v>3721</v>
      </c>
      <c r="C1178">
        <v>2890</v>
      </c>
      <c r="D1178">
        <v>831</v>
      </c>
      <c r="E1178">
        <v>2535301</v>
      </c>
      <c r="F1178">
        <v>11381536</v>
      </c>
      <c r="G1178">
        <v>13916837</v>
      </c>
      <c r="H1178">
        <v>576</v>
      </c>
      <c r="I1178">
        <v>154</v>
      </c>
      <c r="J1178">
        <v>730</v>
      </c>
      <c r="K1178" t="b">
        <f>TrafficData[[#This Row],[disposedChallan]]+TrafficData[[#This Row],[pendingChallan]]=TrafficData[[#This Row],[totalChallan]]</f>
        <v>1</v>
      </c>
      <c r="L1178" t="b">
        <f>TrafficData[[#This Row],[pendingAmount]]+TrafficData[[#This Row],[disposedAmount]]=TrafficData[[#This Row],[totalAmount]]</f>
        <v>1</v>
      </c>
      <c r="M1178" t="b">
        <f>TrafficData[[#This Row],[pendingCourt]]+TrafficData[[#This Row],[disposedCourt]]=TrafficData[[#This Row],[totalCourt]]</f>
        <v>1</v>
      </c>
      <c r="N1178" s="8" t="b">
        <f>AND(TrafficData[[#This Row],[disposedChallan]]&lt;=TrafficData[[#This Row],[totalChallan]],TrafficData[[#This Row],[pendingChallan]]&lt;=TrafficData[[#This Row],[totalChallan]])</f>
        <v>1</v>
      </c>
      <c r="O1178" s="8" t="b">
        <f>AND(TrafficData[[#This Row],[pendingAmount]]&lt;=TrafficData[[#This Row],[totalAmount]],TrafficData[[#This Row],[disposedAmount]]&lt;=TrafficData[[#This Row],[totalAmount]])</f>
        <v>1</v>
      </c>
      <c r="P1178" s="8" t="b">
        <f>AND(TrafficData[[#This Row],[pendingCourt]]&lt;=TrafficData[[#This Row],[totalCourt]],TrafficData[[#This Row],[disposedCourt]]&lt;=TrafficData[[#This Row],[totalCourt]])</f>
        <v>1</v>
      </c>
    </row>
    <row r="1179" spans="1:16">
      <c r="A1179" s="1">
        <v>43182</v>
      </c>
      <c r="B1179">
        <v>3619</v>
      </c>
      <c r="C1179">
        <v>2837</v>
      </c>
      <c r="D1179">
        <v>782</v>
      </c>
      <c r="E1179">
        <v>1861402</v>
      </c>
      <c r="F1179">
        <v>10006022</v>
      </c>
      <c r="G1179">
        <v>11867424</v>
      </c>
      <c r="H1179">
        <v>557</v>
      </c>
      <c r="I1179">
        <v>111</v>
      </c>
      <c r="J1179">
        <v>668</v>
      </c>
      <c r="K1179" t="b">
        <f>TrafficData[[#This Row],[disposedChallan]]+TrafficData[[#This Row],[pendingChallan]]=TrafficData[[#This Row],[totalChallan]]</f>
        <v>1</v>
      </c>
      <c r="L1179" t="b">
        <f>TrafficData[[#This Row],[pendingAmount]]+TrafficData[[#This Row],[disposedAmount]]=TrafficData[[#This Row],[totalAmount]]</f>
        <v>1</v>
      </c>
      <c r="M1179" t="b">
        <f>TrafficData[[#This Row],[pendingCourt]]+TrafficData[[#This Row],[disposedCourt]]=TrafficData[[#This Row],[totalCourt]]</f>
        <v>1</v>
      </c>
      <c r="N1179" s="8" t="b">
        <f>AND(TrafficData[[#This Row],[disposedChallan]]&lt;=TrafficData[[#This Row],[totalChallan]],TrafficData[[#This Row],[pendingChallan]]&lt;=TrafficData[[#This Row],[totalChallan]])</f>
        <v>1</v>
      </c>
      <c r="O1179" s="8" t="b">
        <f>AND(TrafficData[[#This Row],[pendingAmount]]&lt;=TrafficData[[#This Row],[totalAmount]],TrafficData[[#This Row],[disposedAmount]]&lt;=TrafficData[[#This Row],[totalAmount]])</f>
        <v>1</v>
      </c>
      <c r="P1179" s="8" t="b">
        <f>AND(TrafficData[[#This Row],[pendingCourt]]&lt;=TrafficData[[#This Row],[totalCourt]],TrafficData[[#This Row],[disposedCourt]]&lt;=TrafficData[[#This Row],[totalCourt]])</f>
        <v>1</v>
      </c>
    </row>
    <row r="1180" spans="1:16">
      <c r="A1180" s="1">
        <v>43183</v>
      </c>
      <c r="B1180">
        <v>2909</v>
      </c>
      <c r="C1180">
        <v>2324</v>
      </c>
      <c r="D1180">
        <v>585</v>
      </c>
      <c r="E1180">
        <v>2344701</v>
      </c>
      <c r="F1180">
        <v>14363881</v>
      </c>
      <c r="G1180">
        <v>16708582</v>
      </c>
      <c r="H1180">
        <v>367</v>
      </c>
      <c r="I1180">
        <v>122</v>
      </c>
      <c r="J1180">
        <v>489</v>
      </c>
      <c r="K1180" t="b">
        <f>TrafficData[[#This Row],[disposedChallan]]+TrafficData[[#This Row],[pendingChallan]]=TrafficData[[#This Row],[totalChallan]]</f>
        <v>1</v>
      </c>
      <c r="L1180" t="b">
        <f>TrafficData[[#This Row],[pendingAmount]]+TrafficData[[#This Row],[disposedAmount]]=TrafficData[[#This Row],[totalAmount]]</f>
        <v>1</v>
      </c>
      <c r="M1180" t="b">
        <f>TrafficData[[#This Row],[pendingCourt]]+TrafficData[[#This Row],[disposedCourt]]=TrafficData[[#This Row],[totalCourt]]</f>
        <v>1</v>
      </c>
      <c r="N1180" s="8" t="b">
        <f>AND(TrafficData[[#This Row],[disposedChallan]]&lt;=TrafficData[[#This Row],[totalChallan]],TrafficData[[#This Row],[pendingChallan]]&lt;=TrafficData[[#This Row],[totalChallan]])</f>
        <v>1</v>
      </c>
      <c r="O1180" s="8" t="b">
        <f>AND(TrafficData[[#This Row],[pendingAmount]]&lt;=TrafficData[[#This Row],[totalAmount]],TrafficData[[#This Row],[disposedAmount]]&lt;=TrafficData[[#This Row],[totalAmount]])</f>
        <v>1</v>
      </c>
      <c r="P1180" s="8" t="b">
        <f>AND(TrafficData[[#This Row],[pendingCourt]]&lt;=TrafficData[[#This Row],[totalCourt]],TrafficData[[#This Row],[disposedCourt]]&lt;=TrafficData[[#This Row],[totalCourt]])</f>
        <v>1</v>
      </c>
    </row>
    <row r="1181" spans="1:16">
      <c r="A1181" s="1">
        <v>43184</v>
      </c>
      <c r="B1181">
        <v>1579</v>
      </c>
      <c r="C1181">
        <v>1274</v>
      </c>
      <c r="D1181">
        <v>305</v>
      </c>
      <c r="E1181">
        <v>1194700</v>
      </c>
      <c r="F1181">
        <v>9064520</v>
      </c>
      <c r="G1181">
        <v>10259220</v>
      </c>
      <c r="H1181">
        <v>209</v>
      </c>
      <c r="I1181">
        <v>53</v>
      </c>
      <c r="J1181">
        <v>262</v>
      </c>
      <c r="K1181" t="b">
        <f>TrafficData[[#This Row],[disposedChallan]]+TrafficData[[#This Row],[pendingChallan]]=TrafficData[[#This Row],[totalChallan]]</f>
        <v>1</v>
      </c>
      <c r="L1181" t="b">
        <f>TrafficData[[#This Row],[pendingAmount]]+TrafficData[[#This Row],[disposedAmount]]=TrafficData[[#This Row],[totalAmount]]</f>
        <v>1</v>
      </c>
      <c r="M1181" t="b">
        <f>TrafficData[[#This Row],[pendingCourt]]+TrafficData[[#This Row],[disposedCourt]]=TrafficData[[#This Row],[totalCourt]]</f>
        <v>1</v>
      </c>
      <c r="N1181" s="8" t="b">
        <f>AND(TrafficData[[#This Row],[disposedChallan]]&lt;=TrafficData[[#This Row],[totalChallan]],TrafficData[[#This Row],[pendingChallan]]&lt;=TrafficData[[#This Row],[totalChallan]])</f>
        <v>1</v>
      </c>
      <c r="O1181" s="8" t="b">
        <f>AND(TrafficData[[#This Row],[pendingAmount]]&lt;=TrafficData[[#This Row],[totalAmount]],TrafficData[[#This Row],[disposedAmount]]&lt;=TrafficData[[#This Row],[totalAmount]])</f>
        <v>1</v>
      </c>
      <c r="P1181" s="8" t="b">
        <f>AND(TrafficData[[#This Row],[pendingCourt]]&lt;=TrafficData[[#This Row],[totalCourt]],TrafficData[[#This Row],[disposedCourt]]&lt;=TrafficData[[#This Row],[totalCourt]])</f>
        <v>1</v>
      </c>
    </row>
    <row r="1182" spans="1:16">
      <c r="A1182" s="1">
        <v>43185</v>
      </c>
      <c r="B1182">
        <v>3419</v>
      </c>
      <c r="C1182">
        <v>2768</v>
      </c>
      <c r="D1182">
        <v>651</v>
      </c>
      <c r="E1182">
        <v>3080775</v>
      </c>
      <c r="F1182">
        <v>12125786</v>
      </c>
      <c r="G1182">
        <v>15206561</v>
      </c>
      <c r="H1182">
        <v>382</v>
      </c>
      <c r="I1182">
        <v>106</v>
      </c>
      <c r="J1182">
        <v>488</v>
      </c>
      <c r="K1182" t="b">
        <f>TrafficData[[#This Row],[disposedChallan]]+TrafficData[[#This Row],[pendingChallan]]=TrafficData[[#This Row],[totalChallan]]</f>
        <v>1</v>
      </c>
      <c r="L1182" t="b">
        <f>TrafficData[[#This Row],[pendingAmount]]+TrafficData[[#This Row],[disposedAmount]]=TrafficData[[#This Row],[totalAmount]]</f>
        <v>1</v>
      </c>
      <c r="M1182" t="b">
        <f>TrafficData[[#This Row],[pendingCourt]]+TrafficData[[#This Row],[disposedCourt]]=TrafficData[[#This Row],[totalCourt]]</f>
        <v>1</v>
      </c>
      <c r="N1182" s="8" t="b">
        <f>AND(TrafficData[[#This Row],[disposedChallan]]&lt;=TrafficData[[#This Row],[totalChallan]],TrafficData[[#This Row],[pendingChallan]]&lt;=TrafficData[[#This Row],[totalChallan]])</f>
        <v>1</v>
      </c>
      <c r="O1182" s="8" t="b">
        <f>AND(TrafficData[[#This Row],[pendingAmount]]&lt;=TrafficData[[#This Row],[totalAmount]],TrafficData[[#This Row],[disposedAmount]]&lt;=TrafficData[[#This Row],[totalAmount]])</f>
        <v>1</v>
      </c>
      <c r="P1182" s="8" t="b">
        <f>AND(TrafficData[[#This Row],[pendingCourt]]&lt;=TrafficData[[#This Row],[totalCourt]],TrafficData[[#This Row],[disposedCourt]]&lt;=TrafficData[[#This Row],[totalCourt]])</f>
        <v>1</v>
      </c>
    </row>
    <row r="1183" spans="1:16">
      <c r="A1183" s="1">
        <v>43186</v>
      </c>
      <c r="B1183">
        <v>3593</v>
      </c>
      <c r="C1183">
        <v>2905</v>
      </c>
      <c r="D1183">
        <v>688</v>
      </c>
      <c r="E1183">
        <v>3275100</v>
      </c>
      <c r="F1183">
        <v>16951509</v>
      </c>
      <c r="G1183">
        <v>20226609</v>
      </c>
      <c r="H1183">
        <v>400</v>
      </c>
      <c r="I1183">
        <v>126</v>
      </c>
      <c r="J1183">
        <v>526</v>
      </c>
      <c r="K1183" t="b">
        <f>TrafficData[[#This Row],[disposedChallan]]+TrafficData[[#This Row],[pendingChallan]]=TrafficData[[#This Row],[totalChallan]]</f>
        <v>1</v>
      </c>
      <c r="L1183" t="b">
        <f>TrafficData[[#This Row],[pendingAmount]]+TrafficData[[#This Row],[disposedAmount]]=TrafficData[[#This Row],[totalAmount]]</f>
        <v>1</v>
      </c>
      <c r="M1183" t="b">
        <f>TrafficData[[#This Row],[pendingCourt]]+TrafficData[[#This Row],[disposedCourt]]=TrafficData[[#This Row],[totalCourt]]</f>
        <v>1</v>
      </c>
      <c r="N1183" s="8" t="b">
        <f>AND(TrafficData[[#This Row],[disposedChallan]]&lt;=TrafficData[[#This Row],[totalChallan]],TrafficData[[#This Row],[pendingChallan]]&lt;=TrafficData[[#This Row],[totalChallan]])</f>
        <v>1</v>
      </c>
      <c r="O1183" s="8" t="b">
        <f>AND(TrafficData[[#This Row],[pendingAmount]]&lt;=TrafficData[[#This Row],[totalAmount]],TrafficData[[#This Row],[disposedAmount]]&lt;=TrafficData[[#This Row],[totalAmount]])</f>
        <v>1</v>
      </c>
      <c r="P1183" s="8" t="b">
        <f>AND(TrafficData[[#This Row],[pendingCourt]]&lt;=TrafficData[[#This Row],[totalCourt]],TrafficData[[#This Row],[disposedCourt]]&lt;=TrafficData[[#This Row],[totalCourt]])</f>
        <v>1</v>
      </c>
    </row>
    <row r="1184" spans="1:16">
      <c r="A1184" s="1">
        <v>43187</v>
      </c>
      <c r="B1184">
        <v>12314</v>
      </c>
      <c r="C1184">
        <v>9029</v>
      </c>
      <c r="D1184">
        <v>3285</v>
      </c>
      <c r="E1184">
        <v>8596450</v>
      </c>
      <c r="F1184">
        <v>13732822</v>
      </c>
      <c r="G1184">
        <v>22329272</v>
      </c>
      <c r="H1184">
        <v>2860</v>
      </c>
      <c r="I1184">
        <v>834</v>
      </c>
      <c r="J1184">
        <v>3694</v>
      </c>
      <c r="K1184" t="b">
        <f>TrafficData[[#This Row],[disposedChallan]]+TrafficData[[#This Row],[pendingChallan]]=TrafficData[[#This Row],[totalChallan]]</f>
        <v>1</v>
      </c>
      <c r="L1184" t="b">
        <f>TrafficData[[#This Row],[pendingAmount]]+TrafficData[[#This Row],[disposedAmount]]=TrafficData[[#This Row],[totalAmount]]</f>
        <v>1</v>
      </c>
      <c r="M1184" t="b">
        <f>TrafficData[[#This Row],[pendingCourt]]+TrafficData[[#This Row],[disposedCourt]]=TrafficData[[#This Row],[totalCourt]]</f>
        <v>1</v>
      </c>
      <c r="N1184" s="8" t="b">
        <f>AND(TrafficData[[#This Row],[disposedChallan]]&lt;=TrafficData[[#This Row],[totalChallan]],TrafficData[[#This Row],[pendingChallan]]&lt;=TrafficData[[#This Row],[totalChallan]])</f>
        <v>1</v>
      </c>
      <c r="O1184" s="8" t="b">
        <f>AND(TrafficData[[#This Row],[pendingAmount]]&lt;=TrafficData[[#This Row],[totalAmount]],TrafficData[[#This Row],[disposedAmount]]&lt;=TrafficData[[#This Row],[totalAmount]])</f>
        <v>1</v>
      </c>
      <c r="P1184" s="8" t="b">
        <f>AND(TrafficData[[#This Row],[pendingCourt]]&lt;=TrafficData[[#This Row],[totalCourt]],TrafficData[[#This Row],[disposedCourt]]&lt;=TrafficData[[#This Row],[totalCourt]])</f>
        <v>1</v>
      </c>
    </row>
    <row r="1185" spans="1:16">
      <c r="A1185" s="1">
        <v>43188</v>
      </c>
      <c r="B1185">
        <v>3591</v>
      </c>
      <c r="C1185">
        <v>2780</v>
      </c>
      <c r="D1185">
        <v>811</v>
      </c>
      <c r="E1185">
        <v>1564650</v>
      </c>
      <c r="F1185">
        <v>10902825</v>
      </c>
      <c r="G1185">
        <v>12467475</v>
      </c>
      <c r="H1185">
        <v>637</v>
      </c>
      <c r="I1185">
        <v>158</v>
      </c>
      <c r="J1185">
        <v>795</v>
      </c>
      <c r="K1185" t="b">
        <f>TrafficData[[#This Row],[disposedChallan]]+TrafficData[[#This Row],[pendingChallan]]=TrafficData[[#This Row],[totalChallan]]</f>
        <v>1</v>
      </c>
      <c r="L1185" t="b">
        <f>TrafficData[[#This Row],[pendingAmount]]+TrafficData[[#This Row],[disposedAmount]]=TrafficData[[#This Row],[totalAmount]]</f>
        <v>1</v>
      </c>
      <c r="M1185" t="b">
        <f>TrafficData[[#This Row],[pendingCourt]]+TrafficData[[#This Row],[disposedCourt]]=TrafficData[[#This Row],[totalCourt]]</f>
        <v>1</v>
      </c>
      <c r="N1185" s="8" t="b">
        <f>AND(TrafficData[[#This Row],[disposedChallan]]&lt;=TrafficData[[#This Row],[totalChallan]],TrafficData[[#This Row],[pendingChallan]]&lt;=TrafficData[[#This Row],[totalChallan]])</f>
        <v>1</v>
      </c>
      <c r="O1185" s="8" t="b">
        <f>AND(TrafficData[[#This Row],[pendingAmount]]&lt;=TrafficData[[#This Row],[totalAmount]],TrafficData[[#This Row],[disposedAmount]]&lt;=TrafficData[[#This Row],[totalAmount]])</f>
        <v>1</v>
      </c>
      <c r="P1185" s="8" t="b">
        <f>AND(TrafficData[[#This Row],[pendingCourt]]&lt;=TrafficData[[#This Row],[totalCourt]],TrafficData[[#This Row],[disposedCourt]]&lt;=TrafficData[[#This Row],[totalCourt]])</f>
        <v>1</v>
      </c>
    </row>
    <row r="1186" spans="1:16">
      <c r="A1186" s="1">
        <v>43189</v>
      </c>
      <c r="B1186">
        <v>3286</v>
      </c>
      <c r="C1186">
        <v>2621</v>
      </c>
      <c r="D1186">
        <v>665</v>
      </c>
      <c r="E1186">
        <v>1700200</v>
      </c>
      <c r="F1186">
        <v>10237083</v>
      </c>
      <c r="G1186">
        <v>11937283</v>
      </c>
      <c r="H1186">
        <v>490</v>
      </c>
      <c r="I1186">
        <v>119</v>
      </c>
      <c r="J1186">
        <v>609</v>
      </c>
      <c r="K1186" t="b">
        <f>TrafficData[[#This Row],[disposedChallan]]+TrafficData[[#This Row],[pendingChallan]]=TrafficData[[#This Row],[totalChallan]]</f>
        <v>1</v>
      </c>
      <c r="L1186" t="b">
        <f>TrafficData[[#This Row],[pendingAmount]]+TrafficData[[#This Row],[disposedAmount]]=TrafficData[[#This Row],[totalAmount]]</f>
        <v>1</v>
      </c>
      <c r="M1186" t="b">
        <f>TrafficData[[#This Row],[pendingCourt]]+TrafficData[[#This Row],[disposedCourt]]=TrafficData[[#This Row],[totalCourt]]</f>
        <v>1</v>
      </c>
      <c r="N1186" s="8" t="b">
        <f>AND(TrafficData[[#This Row],[disposedChallan]]&lt;=TrafficData[[#This Row],[totalChallan]],TrafficData[[#This Row],[pendingChallan]]&lt;=TrafficData[[#This Row],[totalChallan]])</f>
        <v>1</v>
      </c>
      <c r="O1186" s="8" t="b">
        <f>AND(TrafficData[[#This Row],[pendingAmount]]&lt;=TrafficData[[#This Row],[totalAmount]],TrafficData[[#This Row],[disposedAmount]]&lt;=TrafficData[[#This Row],[totalAmount]])</f>
        <v>1</v>
      </c>
      <c r="P1186" s="8" t="b">
        <f>AND(TrafficData[[#This Row],[pendingCourt]]&lt;=TrafficData[[#This Row],[totalCourt]],TrafficData[[#This Row],[disposedCourt]]&lt;=TrafficData[[#This Row],[totalCourt]])</f>
        <v>1</v>
      </c>
    </row>
    <row r="1187" spans="1:16">
      <c r="A1187" s="1">
        <v>43190</v>
      </c>
      <c r="B1187">
        <v>2724</v>
      </c>
      <c r="C1187">
        <v>2173</v>
      </c>
      <c r="D1187">
        <v>551</v>
      </c>
      <c r="E1187">
        <v>1365450</v>
      </c>
      <c r="F1187">
        <v>6549922</v>
      </c>
      <c r="G1187">
        <v>7915372</v>
      </c>
      <c r="H1187">
        <v>406</v>
      </c>
      <c r="I1187">
        <v>95</v>
      </c>
      <c r="J1187">
        <v>501</v>
      </c>
      <c r="K1187" t="b">
        <f>TrafficData[[#This Row],[disposedChallan]]+TrafficData[[#This Row],[pendingChallan]]=TrafficData[[#This Row],[totalChallan]]</f>
        <v>1</v>
      </c>
      <c r="L1187" t="b">
        <f>TrafficData[[#This Row],[pendingAmount]]+TrafficData[[#This Row],[disposedAmount]]=TrafficData[[#This Row],[totalAmount]]</f>
        <v>1</v>
      </c>
      <c r="M1187" t="b">
        <f>TrafficData[[#This Row],[pendingCourt]]+TrafficData[[#This Row],[disposedCourt]]=TrafficData[[#This Row],[totalCourt]]</f>
        <v>1</v>
      </c>
      <c r="N1187" s="8" t="b">
        <f>AND(TrafficData[[#This Row],[disposedChallan]]&lt;=TrafficData[[#This Row],[totalChallan]],TrafficData[[#This Row],[pendingChallan]]&lt;=TrafficData[[#This Row],[totalChallan]])</f>
        <v>1</v>
      </c>
      <c r="O1187" s="8" t="b">
        <f>AND(TrafficData[[#This Row],[pendingAmount]]&lt;=TrafficData[[#This Row],[totalAmount]],TrafficData[[#This Row],[disposedAmount]]&lt;=TrafficData[[#This Row],[totalAmount]])</f>
        <v>1</v>
      </c>
      <c r="P1187" s="8" t="b">
        <f>AND(TrafficData[[#This Row],[pendingCourt]]&lt;=TrafficData[[#This Row],[totalCourt]],TrafficData[[#This Row],[disposedCourt]]&lt;=TrafficData[[#This Row],[totalCourt]])</f>
        <v>1</v>
      </c>
    </row>
    <row r="1188" spans="1:16">
      <c r="A1188" s="1">
        <v>43191</v>
      </c>
      <c r="B1188">
        <v>1527</v>
      </c>
      <c r="C1188">
        <v>1148</v>
      </c>
      <c r="D1188">
        <v>379</v>
      </c>
      <c r="E1188">
        <v>1094390</v>
      </c>
      <c r="F1188">
        <v>4132750</v>
      </c>
      <c r="G1188">
        <v>5227140</v>
      </c>
      <c r="H1188">
        <v>268</v>
      </c>
      <c r="I1188">
        <v>49</v>
      </c>
      <c r="J1188">
        <v>317</v>
      </c>
      <c r="K1188" t="b">
        <f>TrafficData[[#This Row],[disposedChallan]]+TrafficData[[#This Row],[pendingChallan]]=TrafficData[[#This Row],[totalChallan]]</f>
        <v>1</v>
      </c>
      <c r="L1188" t="b">
        <f>TrafficData[[#This Row],[pendingAmount]]+TrafficData[[#This Row],[disposedAmount]]=TrafficData[[#This Row],[totalAmount]]</f>
        <v>1</v>
      </c>
      <c r="M1188" t="b">
        <f>TrafficData[[#This Row],[pendingCourt]]+TrafficData[[#This Row],[disposedCourt]]=TrafficData[[#This Row],[totalCourt]]</f>
        <v>1</v>
      </c>
      <c r="N1188" s="8" t="b">
        <f>AND(TrafficData[[#This Row],[disposedChallan]]&lt;=TrafficData[[#This Row],[totalChallan]],TrafficData[[#This Row],[pendingChallan]]&lt;=TrafficData[[#This Row],[totalChallan]])</f>
        <v>1</v>
      </c>
      <c r="O1188" s="8" t="b">
        <f>AND(TrafficData[[#This Row],[pendingAmount]]&lt;=TrafficData[[#This Row],[totalAmount]],TrafficData[[#This Row],[disposedAmount]]&lt;=TrafficData[[#This Row],[totalAmount]])</f>
        <v>1</v>
      </c>
      <c r="P1188" s="8" t="b">
        <f>AND(TrafficData[[#This Row],[pendingCourt]]&lt;=TrafficData[[#This Row],[totalCourt]],TrafficData[[#This Row],[disposedCourt]]&lt;=TrafficData[[#This Row],[totalCourt]])</f>
        <v>1</v>
      </c>
    </row>
    <row r="1189" spans="1:16">
      <c r="A1189" s="1">
        <v>43192</v>
      </c>
      <c r="B1189">
        <v>2485</v>
      </c>
      <c r="C1189">
        <v>2066</v>
      </c>
      <c r="D1189">
        <v>419</v>
      </c>
      <c r="E1189">
        <v>1684250</v>
      </c>
      <c r="F1189">
        <v>7187252</v>
      </c>
      <c r="G1189">
        <v>8871502</v>
      </c>
      <c r="H1189">
        <v>297</v>
      </c>
      <c r="I1189">
        <v>80</v>
      </c>
      <c r="J1189">
        <v>377</v>
      </c>
      <c r="K1189" t="b">
        <f>TrafficData[[#This Row],[disposedChallan]]+TrafficData[[#This Row],[pendingChallan]]=TrafficData[[#This Row],[totalChallan]]</f>
        <v>1</v>
      </c>
      <c r="L1189" t="b">
        <f>TrafficData[[#This Row],[pendingAmount]]+TrafficData[[#This Row],[disposedAmount]]=TrafficData[[#This Row],[totalAmount]]</f>
        <v>1</v>
      </c>
      <c r="M1189" t="b">
        <f>TrafficData[[#This Row],[pendingCourt]]+TrafficData[[#This Row],[disposedCourt]]=TrafficData[[#This Row],[totalCourt]]</f>
        <v>1</v>
      </c>
      <c r="N1189" s="8" t="b">
        <f>AND(TrafficData[[#This Row],[disposedChallan]]&lt;=TrafficData[[#This Row],[totalChallan]],TrafficData[[#This Row],[pendingChallan]]&lt;=TrafficData[[#This Row],[totalChallan]])</f>
        <v>1</v>
      </c>
      <c r="O1189" s="8" t="b">
        <f>AND(TrafficData[[#This Row],[pendingAmount]]&lt;=TrafficData[[#This Row],[totalAmount]],TrafficData[[#This Row],[disposedAmount]]&lt;=TrafficData[[#This Row],[totalAmount]])</f>
        <v>1</v>
      </c>
      <c r="P1189" s="8" t="b">
        <f>AND(TrafficData[[#This Row],[pendingCourt]]&lt;=TrafficData[[#This Row],[totalCourt]],TrafficData[[#This Row],[disposedCourt]]&lt;=TrafficData[[#This Row],[totalCourt]])</f>
        <v>1</v>
      </c>
    </row>
    <row r="1190" spans="1:16">
      <c r="A1190" s="1">
        <v>43193</v>
      </c>
      <c r="B1190">
        <v>3681</v>
      </c>
      <c r="C1190">
        <v>2895</v>
      </c>
      <c r="D1190">
        <v>786</v>
      </c>
      <c r="E1190">
        <v>2113188</v>
      </c>
      <c r="F1190">
        <v>9863458</v>
      </c>
      <c r="G1190">
        <v>11976646</v>
      </c>
      <c r="H1190">
        <v>581</v>
      </c>
      <c r="I1190">
        <v>152</v>
      </c>
      <c r="J1190">
        <v>733</v>
      </c>
      <c r="K1190" t="b">
        <f>TrafficData[[#This Row],[disposedChallan]]+TrafficData[[#This Row],[pendingChallan]]=TrafficData[[#This Row],[totalChallan]]</f>
        <v>1</v>
      </c>
      <c r="L1190" t="b">
        <f>TrafficData[[#This Row],[pendingAmount]]+TrafficData[[#This Row],[disposedAmount]]=TrafficData[[#This Row],[totalAmount]]</f>
        <v>1</v>
      </c>
      <c r="M1190" t="b">
        <f>TrafficData[[#This Row],[pendingCourt]]+TrafficData[[#This Row],[disposedCourt]]=TrafficData[[#This Row],[totalCourt]]</f>
        <v>1</v>
      </c>
      <c r="N1190" s="8" t="b">
        <f>AND(TrafficData[[#This Row],[disposedChallan]]&lt;=TrafficData[[#This Row],[totalChallan]],TrafficData[[#This Row],[pendingChallan]]&lt;=TrafficData[[#This Row],[totalChallan]])</f>
        <v>1</v>
      </c>
      <c r="O1190" s="8" t="b">
        <f>AND(TrafficData[[#This Row],[pendingAmount]]&lt;=TrafficData[[#This Row],[totalAmount]],TrafficData[[#This Row],[disposedAmount]]&lt;=TrafficData[[#This Row],[totalAmount]])</f>
        <v>1</v>
      </c>
      <c r="P1190" s="8" t="b">
        <f>AND(TrafficData[[#This Row],[pendingCourt]]&lt;=TrafficData[[#This Row],[totalCourt]],TrafficData[[#This Row],[disposedCourt]]&lt;=TrafficData[[#This Row],[totalCourt]])</f>
        <v>1</v>
      </c>
    </row>
    <row r="1191" spans="1:16">
      <c r="A1191" s="1">
        <v>43194</v>
      </c>
      <c r="B1191">
        <v>14138</v>
      </c>
      <c r="C1191">
        <v>10412</v>
      </c>
      <c r="D1191">
        <v>3726</v>
      </c>
      <c r="E1191">
        <v>9354450</v>
      </c>
      <c r="F1191">
        <v>10917985</v>
      </c>
      <c r="G1191">
        <v>20272435</v>
      </c>
      <c r="H1191">
        <v>3355</v>
      </c>
      <c r="I1191">
        <v>1327</v>
      </c>
      <c r="J1191">
        <v>4682</v>
      </c>
      <c r="K1191" t="b">
        <f>TrafficData[[#This Row],[disposedChallan]]+TrafficData[[#This Row],[pendingChallan]]=TrafficData[[#This Row],[totalChallan]]</f>
        <v>1</v>
      </c>
      <c r="L1191" t="b">
        <f>TrafficData[[#This Row],[pendingAmount]]+TrafficData[[#This Row],[disposedAmount]]=TrafficData[[#This Row],[totalAmount]]</f>
        <v>1</v>
      </c>
      <c r="M1191" t="b">
        <f>TrafficData[[#This Row],[pendingCourt]]+TrafficData[[#This Row],[disposedCourt]]=TrafficData[[#This Row],[totalCourt]]</f>
        <v>1</v>
      </c>
      <c r="N1191" s="8" t="b">
        <f>AND(TrafficData[[#This Row],[disposedChallan]]&lt;=TrafficData[[#This Row],[totalChallan]],TrafficData[[#This Row],[pendingChallan]]&lt;=TrafficData[[#This Row],[totalChallan]])</f>
        <v>1</v>
      </c>
      <c r="O1191" s="8" t="b">
        <f>AND(TrafficData[[#This Row],[pendingAmount]]&lt;=TrafficData[[#This Row],[totalAmount]],TrafficData[[#This Row],[disposedAmount]]&lt;=TrafficData[[#This Row],[totalAmount]])</f>
        <v>1</v>
      </c>
      <c r="P1191" s="8" t="b">
        <f>AND(TrafficData[[#This Row],[pendingCourt]]&lt;=TrafficData[[#This Row],[totalCourt]],TrafficData[[#This Row],[disposedCourt]]&lt;=TrafficData[[#This Row],[totalCourt]])</f>
        <v>1</v>
      </c>
    </row>
    <row r="1192" spans="1:16">
      <c r="A1192" s="1">
        <v>43195</v>
      </c>
      <c r="B1192">
        <v>4156</v>
      </c>
      <c r="C1192">
        <v>3198</v>
      </c>
      <c r="D1192">
        <v>958</v>
      </c>
      <c r="E1192">
        <v>2025300</v>
      </c>
      <c r="F1192">
        <v>11315884</v>
      </c>
      <c r="G1192">
        <v>13341184</v>
      </c>
      <c r="H1192">
        <v>735</v>
      </c>
      <c r="I1192">
        <v>143</v>
      </c>
      <c r="J1192">
        <v>878</v>
      </c>
      <c r="K1192" t="b">
        <f>TrafficData[[#This Row],[disposedChallan]]+TrafficData[[#This Row],[pendingChallan]]=TrafficData[[#This Row],[totalChallan]]</f>
        <v>1</v>
      </c>
      <c r="L1192" t="b">
        <f>TrafficData[[#This Row],[pendingAmount]]+TrafficData[[#This Row],[disposedAmount]]=TrafficData[[#This Row],[totalAmount]]</f>
        <v>1</v>
      </c>
      <c r="M1192" t="b">
        <f>TrafficData[[#This Row],[pendingCourt]]+TrafficData[[#This Row],[disposedCourt]]=TrafficData[[#This Row],[totalCourt]]</f>
        <v>1</v>
      </c>
      <c r="N1192" s="8" t="b">
        <f>AND(TrafficData[[#This Row],[disposedChallan]]&lt;=TrafficData[[#This Row],[totalChallan]],TrafficData[[#This Row],[pendingChallan]]&lt;=TrafficData[[#This Row],[totalChallan]])</f>
        <v>1</v>
      </c>
      <c r="O1192" s="8" t="b">
        <f>AND(TrafficData[[#This Row],[pendingAmount]]&lt;=TrafficData[[#This Row],[totalAmount]],TrafficData[[#This Row],[disposedAmount]]&lt;=TrafficData[[#This Row],[totalAmount]])</f>
        <v>1</v>
      </c>
      <c r="P1192" s="8" t="b">
        <f>AND(TrafficData[[#This Row],[pendingCourt]]&lt;=TrafficData[[#This Row],[totalCourt]],TrafficData[[#This Row],[disposedCourt]]&lt;=TrafficData[[#This Row],[totalCourt]])</f>
        <v>1</v>
      </c>
    </row>
    <row r="1193" spans="1:16">
      <c r="A1193" s="1">
        <v>43196</v>
      </c>
      <c r="B1193">
        <v>4007</v>
      </c>
      <c r="C1193">
        <v>3109</v>
      </c>
      <c r="D1193">
        <v>898</v>
      </c>
      <c r="E1193">
        <v>2574150</v>
      </c>
      <c r="F1193">
        <v>12211610</v>
      </c>
      <c r="G1193">
        <v>14785760</v>
      </c>
      <c r="H1193">
        <v>693</v>
      </c>
      <c r="I1193">
        <v>148</v>
      </c>
      <c r="J1193">
        <v>841</v>
      </c>
      <c r="K1193" t="b">
        <f>TrafficData[[#This Row],[disposedChallan]]+TrafficData[[#This Row],[pendingChallan]]=TrafficData[[#This Row],[totalChallan]]</f>
        <v>1</v>
      </c>
      <c r="L1193" t="b">
        <f>TrafficData[[#This Row],[pendingAmount]]+TrafficData[[#This Row],[disposedAmount]]=TrafficData[[#This Row],[totalAmount]]</f>
        <v>1</v>
      </c>
      <c r="M1193" t="b">
        <f>TrafficData[[#This Row],[pendingCourt]]+TrafficData[[#This Row],[disposedCourt]]=TrafficData[[#This Row],[totalCourt]]</f>
        <v>1</v>
      </c>
      <c r="N1193" s="8" t="b">
        <f>AND(TrafficData[[#This Row],[disposedChallan]]&lt;=TrafficData[[#This Row],[totalChallan]],TrafficData[[#This Row],[pendingChallan]]&lt;=TrafficData[[#This Row],[totalChallan]])</f>
        <v>1</v>
      </c>
      <c r="O1193" s="8" t="b">
        <f>AND(TrafficData[[#This Row],[pendingAmount]]&lt;=TrafficData[[#This Row],[totalAmount]],TrafficData[[#This Row],[disposedAmount]]&lt;=TrafficData[[#This Row],[totalAmount]])</f>
        <v>1</v>
      </c>
      <c r="P1193" s="8" t="b">
        <f>AND(TrafficData[[#This Row],[pendingCourt]]&lt;=TrafficData[[#This Row],[totalCourt]],TrafficData[[#This Row],[disposedCourt]]&lt;=TrafficData[[#This Row],[totalCourt]])</f>
        <v>1</v>
      </c>
    </row>
    <row r="1194" spans="1:16">
      <c r="A1194" s="1">
        <v>43197</v>
      </c>
      <c r="B1194">
        <v>4196</v>
      </c>
      <c r="C1194">
        <v>2952</v>
      </c>
      <c r="D1194">
        <v>1244</v>
      </c>
      <c r="E1194">
        <v>2975648</v>
      </c>
      <c r="F1194">
        <v>10001497</v>
      </c>
      <c r="G1194">
        <v>12977145</v>
      </c>
      <c r="H1194">
        <v>1008</v>
      </c>
      <c r="I1194">
        <v>177</v>
      </c>
      <c r="J1194">
        <v>1185</v>
      </c>
      <c r="K1194" t="b">
        <f>TrafficData[[#This Row],[disposedChallan]]+TrafficData[[#This Row],[pendingChallan]]=TrafficData[[#This Row],[totalChallan]]</f>
        <v>1</v>
      </c>
      <c r="L1194" t="b">
        <f>TrafficData[[#This Row],[pendingAmount]]+TrafficData[[#This Row],[disposedAmount]]=TrafficData[[#This Row],[totalAmount]]</f>
        <v>1</v>
      </c>
      <c r="M1194" t="b">
        <f>TrafficData[[#This Row],[pendingCourt]]+TrafficData[[#This Row],[disposedCourt]]=TrafficData[[#This Row],[totalCourt]]</f>
        <v>1</v>
      </c>
      <c r="N1194" s="8" t="b">
        <f>AND(TrafficData[[#This Row],[disposedChallan]]&lt;=TrafficData[[#This Row],[totalChallan]],TrafficData[[#This Row],[pendingChallan]]&lt;=TrafficData[[#This Row],[totalChallan]])</f>
        <v>1</v>
      </c>
      <c r="O1194" s="8" t="b">
        <f>AND(TrafficData[[#This Row],[pendingAmount]]&lt;=TrafficData[[#This Row],[totalAmount]],TrafficData[[#This Row],[disposedAmount]]&lt;=TrafficData[[#This Row],[totalAmount]])</f>
        <v>1</v>
      </c>
      <c r="P1194" s="8" t="b">
        <f>AND(TrafficData[[#This Row],[pendingCourt]]&lt;=TrafficData[[#This Row],[totalCourt]],TrafficData[[#This Row],[disposedCourt]]&lt;=TrafficData[[#This Row],[totalCourt]])</f>
        <v>1</v>
      </c>
    </row>
    <row r="1195" spans="1:16">
      <c r="A1195" s="1">
        <v>43198</v>
      </c>
      <c r="B1195">
        <v>2278</v>
      </c>
      <c r="C1195">
        <v>1456</v>
      </c>
      <c r="D1195">
        <v>822</v>
      </c>
      <c r="E1195">
        <v>1154180</v>
      </c>
      <c r="F1195">
        <v>4919750</v>
      </c>
      <c r="G1195">
        <v>6073930</v>
      </c>
      <c r="H1195">
        <v>690</v>
      </c>
      <c r="I1195">
        <v>119</v>
      </c>
      <c r="J1195">
        <v>809</v>
      </c>
      <c r="K1195" t="b">
        <f>TrafficData[[#This Row],[disposedChallan]]+TrafficData[[#This Row],[pendingChallan]]=TrafficData[[#This Row],[totalChallan]]</f>
        <v>1</v>
      </c>
      <c r="L1195" t="b">
        <f>TrafficData[[#This Row],[pendingAmount]]+TrafficData[[#This Row],[disposedAmount]]=TrafficData[[#This Row],[totalAmount]]</f>
        <v>1</v>
      </c>
      <c r="M1195" t="b">
        <f>TrafficData[[#This Row],[pendingCourt]]+TrafficData[[#This Row],[disposedCourt]]=TrafficData[[#This Row],[totalCourt]]</f>
        <v>1</v>
      </c>
      <c r="N1195" s="8" t="b">
        <f>AND(TrafficData[[#This Row],[disposedChallan]]&lt;=TrafficData[[#This Row],[totalChallan]],TrafficData[[#This Row],[pendingChallan]]&lt;=TrafficData[[#This Row],[totalChallan]])</f>
        <v>1</v>
      </c>
      <c r="O1195" s="8" t="b">
        <f>AND(TrafficData[[#This Row],[pendingAmount]]&lt;=TrafficData[[#This Row],[totalAmount]],TrafficData[[#This Row],[disposedAmount]]&lt;=TrafficData[[#This Row],[totalAmount]])</f>
        <v>1</v>
      </c>
      <c r="P1195" s="8" t="b">
        <f>AND(TrafficData[[#This Row],[pendingCourt]]&lt;=TrafficData[[#This Row],[totalCourt]],TrafficData[[#This Row],[disposedCourt]]&lt;=TrafficData[[#This Row],[totalCourt]])</f>
        <v>1</v>
      </c>
    </row>
    <row r="1196" spans="1:16">
      <c r="A1196" s="1">
        <v>43199</v>
      </c>
      <c r="B1196">
        <v>4101</v>
      </c>
      <c r="C1196">
        <v>3056</v>
      </c>
      <c r="D1196">
        <v>1045</v>
      </c>
      <c r="E1196">
        <v>2354899</v>
      </c>
      <c r="F1196">
        <v>11658696</v>
      </c>
      <c r="G1196">
        <v>14013595</v>
      </c>
      <c r="H1196">
        <v>807</v>
      </c>
      <c r="I1196">
        <v>154</v>
      </c>
      <c r="J1196">
        <v>961</v>
      </c>
      <c r="K1196" t="b">
        <f>TrafficData[[#This Row],[disposedChallan]]+TrafficData[[#This Row],[pendingChallan]]=TrafficData[[#This Row],[totalChallan]]</f>
        <v>1</v>
      </c>
      <c r="L1196" t="b">
        <f>TrafficData[[#This Row],[pendingAmount]]+TrafficData[[#This Row],[disposedAmount]]=TrafficData[[#This Row],[totalAmount]]</f>
        <v>1</v>
      </c>
      <c r="M1196" t="b">
        <f>TrafficData[[#This Row],[pendingCourt]]+TrafficData[[#This Row],[disposedCourt]]=TrafficData[[#This Row],[totalCourt]]</f>
        <v>1</v>
      </c>
      <c r="N1196" s="8" t="b">
        <f>AND(TrafficData[[#This Row],[disposedChallan]]&lt;=TrafficData[[#This Row],[totalChallan]],TrafficData[[#This Row],[pendingChallan]]&lt;=TrafficData[[#This Row],[totalChallan]])</f>
        <v>1</v>
      </c>
      <c r="O1196" s="8" t="b">
        <f>AND(TrafficData[[#This Row],[pendingAmount]]&lt;=TrafficData[[#This Row],[totalAmount]],TrafficData[[#This Row],[disposedAmount]]&lt;=TrafficData[[#This Row],[totalAmount]])</f>
        <v>1</v>
      </c>
      <c r="P1196" s="8" t="b">
        <f>AND(TrafficData[[#This Row],[pendingCourt]]&lt;=TrafficData[[#This Row],[totalCourt]],TrafficData[[#This Row],[disposedCourt]]&lt;=TrafficData[[#This Row],[totalCourt]])</f>
        <v>1</v>
      </c>
    </row>
    <row r="1197" spans="1:16">
      <c r="A1197" s="1">
        <v>43200</v>
      </c>
      <c r="B1197">
        <v>3920</v>
      </c>
      <c r="C1197">
        <v>3076</v>
      </c>
      <c r="D1197">
        <v>844</v>
      </c>
      <c r="E1197">
        <v>2001700</v>
      </c>
      <c r="F1197">
        <v>10681440</v>
      </c>
      <c r="G1197">
        <v>12683140</v>
      </c>
      <c r="H1197">
        <v>613</v>
      </c>
      <c r="I1197">
        <v>136</v>
      </c>
      <c r="J1197">
        <v>749</v>
      </c>
      <c r="K1197" t="b">
        <f>TrafficData[[#This Row],[disposedChallan]]+TrafficData[[#This Row],[pendingChallan]]=TrafficData[[#This Row],[totalChallan]]</f>
        <v>1</v>
      </c>
      <c r="L1197" t="b">
        <f>TrafficData[[#This Row],[pendingAmount]]+TrafficData[[#This Row],[disposedAmount]]=TrafficData[[#This Row],[totalAmount]]</f>
        <v>1</v>
      </c>
      <c r="M1197" t="b">
        <f>TrafficData[[#This Row],[pendingCourt]]+TrafficData[[#This Row],[disposedCourt]]=TrafficData[[#This Row],[totalCourt]]</f>
        <v>1</v>
      </c>
      <c r="N1197" s="8" t="b">
        <f>AND(TrafficData[[#This Row],[disposedChallan]]&lt;=TrafficData[[#This Row],[totalChallan]],TrafficData[[#This Row],[pendingChallan]]&lt;=TrafficData[[#This Row],[totalChallan]])</f>
        <v>1</v>
      </c>
      <c r="O1197" s="8" t="b">
        <f>AND(TrafficData[[#This Row],[pendingAmount]]&lt;=TrafficData[[#This Row],[totalAmount]],TrafficData[[#This Row],[disposedAmount]]&lt;=TrafficData[[#This Row],[totalAmount]])</f>
        <v>1</v>
      </c>
      <c r="P1197" s="8" t="b">
        <f>AND(TrafficData[[#This Row],[pendingCourt]]&lt;=TrafficData[[#This Row],[totalCourt]],TrafficData[[#This Row],[disposedCourt]]&lt;=TrafficData[[#This Row],[totalCourt]])</f>
        <v>1</v>
      </c>
    </row>
    <row r="1198" spans="1:16">
      <c r="A1198" s="1">
        <v>43201</v>
      </c>
      <c r="B1198">
        <v>12979</v>
      </c>
      <c r="C1198">
        <v>9544</v>
      </c>
      <c r="D1198">
        <v>3435</v>
      </c>
      <c r="E1198">
        <v>9199343</v>
      </c>
      <c r="F1198">
        <v>10541169</v>
      </c>
      <c r="G1198">
        <v>19740512</v>
      </c>
      <c r="H1198">
        <v>3042</v>
      </c>
      <c r="I1198">
        <v>968</v>
      </c>
      <c r="J1198">
        <v>4010</v>
      </c>
      <c r="K1198" t="b">
        <f>TrafficData[[#This Row],[disposedChallan]]+TrafficData[[#This Row],[pendingChallan]]=TrafficData[[#This Row],[totalChallan]]</f>
        <v>1</v>
      </c>
      <c r="L1198" t="b">
        <f>TrafficData[[#This Row],[pendingAmount]]+TrafficData[[#This Row],[disposedAmount]]=TrafficData[[#This Row],[totalAmount]]</f>
        <v>1</v>
      </c>
      <c r="M1198" t="b">
        <f>TrafficData[[#This Row],[pendingCourt]]+TrafficData[[#This Row],[disposedCourt]]=TrafficData[[#This Row],[totalCourt]]</f>
        <v>1</v>
      </c>
      <c r="N1198" s="8" t="b">
        <f>AND(TrafficData[[#This Row],[disposedChallan]]&lt;=TrafficData[[#This Row],[totalChallan]],TrafficData[[#This Row],[pendingChallan]]&lt;=TrafficData[[#This Row],[totalChallan]])</f>
        <v>1</v>
      </c>
      <c r="O1198" s="8" t="b">
        <f>AND(TrafficData[[#This Row],[pendingAmount]]&lt;=TrafficData[[#This Row],[totalAmount]],TrafficData[[#This Row],[disposedAmount]]&lt;=TrafficData[[#This Row],[totalAmount]])</f>
        <v>1</v>
      </c>
      <c r="P1198" s="8" t="b">
        <f>AND(TrafficData[[#This Row],[pendingCourt]]&lt;=TrafficData[[#This Row],[totalCourt]],TrafficData[[#This Row],[disposedCourt]]&lt;=TrafficData[[#This Row],[totalCourt]])</f>
        <v>1</v>
      </c>
    </row>
    <row r="1199" spans="1:16">
      <c r="A1199" s="1">
        <v>43202</v>
      </c>
      <c r="B1199">
        <v>3808</v>
      </c>
      <c r="C1199">
        <v>2754</v>
      </c>
      <c r="D1199">
        <v>1054</v>
      </c>
      <c r="E1199">
        <v>2827850</v>
      </c>
      <c r="F1199">
        <v>12358619</v>
      </c>
      <c r="G1199">
        <v>15186469</v>
      </c>
      <c r="H1199">
        <v>808</v>
      </c>
      <c r="I1199">
        <v>184</v>
      </c>
      <c r="J1199">
        <v>992</v>
      </c>
      <c r="K1199" t="b">
        <f>TrafficData[[#This Row],[disposedChallan]]+TrafficData[[#This Row],[pendingChallan]]=TrafficData[[#This Row],[totalChallan]]</f>
        <v>1</v>
      </c>
      <c r="L1199" t="b">
        <f>TrafficData[[#This Row],[pendingAmount]]+TrafficData[[#This Row],[disposedAmount]]=TrafficData[[#This Row],[totalAmount]]</f>
        <v>1</v>
      </c>
      <c r="M1199" t="b">
        <f>TrafficData[[#This Row],[pendingCourt]]+TrafficData[[#This Row],[disposedCourt]]=TrafficData[[#This Row],[totalCourt]]</f>
        <v>1</v>
      </c>
      <c r="N1199" s="8" t="b">
        <f>AND(TrafficData[[#This Row],[disposedChallan]]&lt;=TrafficData[[#This Row],[totalChallan]],TrafficData[[#This Row],[pendingChallan]]&lt;=TrafficData[[#This Row],[totalChallan]])</f>
        <v>1</v>
      </c>
      <c r="O1199" s="8" t="b">
        <f>AND(TrafficData[[#This Row],[pendingAmount]]&lt;=TrafficData[[#This Row],[totalAmount]],TrafficData[[#This Row],[disposedAmount]]&lt;=TrafficData[[#This Row],[totalAmount]])</f>
        <v>1</v>
      </c>
      <c r="P1199" s="8" t="b">
        <f>AND(TrafficData[[#This Row],[pendingCourt]]&lt;=TrafficData[[#This Row],[totalCourt]],TrafficData[[#This Row],[disposedCourt]]&lt;=TrafficData[[#This Row],[totalCourt]])</f>
        <v>1</v>
      </c>
    </row>
    <row r="1200" spans="1:16">
      <c r="A1200" s="1">
        <v>43203</v>
      </c>
      <c r="B1200">
        <v>3916</v>
      </c>
      <c r="C1200">
        <v>2953</v>
      </c>
      <c r="D1200">
        <v>963</v>
      </c>
      <c r="E1200">
        <v>2118500</v>
      </c>
      <c r="F1200">
        <v>11169059</v>
      </c>
      <c r="G1200">
        <v>13287559</v>
      </c>
      <c r="H1200">
        <v>747</v>
      </c>
      <c r="I1200">
        <v>158</v>
      </c>
      <c r="J1200">
        <v>905</v>
      </c>
      <c r="K1200" t="b">
        <f>TrafficData[[#This Row],[disposedChallan]]+TrafficData[[#This Row],[pendingChallan]]=TrafficData[[#This Row],[totalChallan]]</f>
        <v>1</v>
      </c>
      <c r="L1200" t="b">
        <f>TrafficData[[#This Row],[pendingAmount]]+TrafficData[[#This Row],[disposedAmount]]=TrafficData[[#This Row],[totalAmount]]</f>
        <v>1</v>
      </c>
      <c r="M1200" t="b">
        <f>TrafficData[[#This Row],[pendingCourt]]+TrafficData[[#This Row],[disposedCourt]]=TrafficData[[#This Row],[totalCourt]]</f>
        <v>1</v>
      </c>
      <c r="N1200" s="8" t="b">
        <f>AND(TrafficData[[#This Row],[disposedChallan]]&lt;=TrafficData[[#This Row],[totalChallan]],TrafficData[[#This Row],[pendingChallan]]&lt;=TrafficData[[#This Row],[totalChallan]])</f>
        <v>1</v>
      </c>
      <c r="O1200" s="8" t="b">
        <f>AND(TrafficData[[#This Row],[pendingAmount]]&lt;=TrafficData[[#This Row],[totalAmount]],TrafficData[[#This Row],[disposedAmount]]&lt;=TrafficData[[#This Row],[totalAmount]])</f>
        <v>1</v>
      </c>
      <c r="P1200" s="8" t="b">
        <f>AND(TrafficData[[#This Row],[pendingCourt]]&lt;=TrafficData[[#This Row],[totalCourt]],TrafficData[[#This Row],[disposedCourt]]&lt;=TrafficData[[#This Row],[totalCourt]])</f>
        <v>1</v>
      </c>
    </row>
    <row r="1201" spans="1:16">
      <c r="A1201" s="1">
        <v>43204</v>
      </c>
      <c r="B1201">
        <v>3629</v>
      </c>
      <c r="C1201">
        <v>2704</v>
      </c>
      <c r="D1201">
        <v>925</v>
      </c>
      <c r="E1201">
        <v>1962050</v>
      </c>
      <c r="F1201">
        <v>12092808</v>
      </c>
      <c r="G1201">
        <v>14054858</v>
      </c>
      <c r="H1201">
        <v>759</v>
      </c>
      <c r="I1201">
        <v>159</v>
      </c>
      <c r="J1201">
        <v>918</v>
      </c>
      <c r="K1201" t="b">
        <f>TrafficData[[#This Row],[disposedChallan]]+TrafficData[[#This Row],[pendingChallan]]=TrafficData[[#This Row],[totalChallan]]</f>
        <v>1</v>
      </c>
      <c r="L1201" t="b">
        <f>TrafficData[[#This Row],[pendingAmount]]+TrafficData[[#This Row],[disposedAmount]]=TrafficData[[#This Row],[totalAmount]]</f>
        <v>1</v>
      </c>
      <c r="M1201" t="b">
        <f>TrafficData[[#This Row],[pendingCourt]]+TrafficData[[#This Row],[disposedCourt]]=TrafficData[[#This Row],[totalCourt]]</f>
        <v>1</v>
      </c>
      <c r="N1201" s="8" t="b">
        <f>AND(TrafficData[[#This Row],[disposedChallan]]&lt;=TrafficData[[#This Row],[totalChallan]],TrafficData[[#This Row],[pendingChallan]]&lt;=TrafficData[[#This Row],[totalChallan]])</f>
        <v>1</v>
      </c>
      <c r="O1201" s="8" t="b">
        <f>AND(TrafficData[[#This Row],[pendingAmount]]&lt;=TrafficData[[#This Row],[totalAmount]],TrafficData[[#This Row],[disposedAmount]]&lt;=TrafficData[[#This Row],[totalAmount]])</f>
        <v>1</v>
      </c>
      <c r="P1201" s="8" t="b">
        <f>AND(TrafficData[[#This Row],[pendingCourt]]&lt;=TrafficData[[#This Row],[totalCourt]],TrafficData[[#This Row],[disposedCourt]]&lt;=TrafficData[[#This Row],[totalCourt]])</f>
        <v>1</v>
      </c>
    </row>
    <row r="1202" spans="1:16">
      <c r="A1202" s="1">
        <v>43205</v>
      </c>
      <c r="B1202">
        <v>1912</v>
      </c>
      <c r="C1202">
        <v>1227</v>
      </c>
      <c r="D1202">
        <v>685</v>
      </c>
      <c r="E1202">
        <v>690350</v>
      </c>
      <c r="F1202">
        <v>5033496</v>
      </c>
      <c r="G1202">
        <v>5723846</v>
      </c>
      <c r="H1202">
        <v>567</v>
      </c>
      <c r="I1202">
        <v>77</v>
      </c>
      <c r="J1202">
        <v>644</v>
      </c>
      <c r="K1202" t="b">
        <f>TrafficData[[#This Row],[disposedChallan]]+TrafficData[[#This Row],[pendingChallan]]=TrafficData[[#This Row],[totalChallan]]</f>
        <v>1</v>
      </c>
      <c r="L1202" t="b">
        <f>TrafficData[[#This Row],[pendingAmount]]+TrafficData[[#This Row],[disposedAmount]]=TrafficData[[#This Row],[totalAmount]]</f>
        <v>1</v>
      </c>
      <c r="M1202" t="b">
        <f>TrafficData[[#This Row],[pendingCourt]]+TrafficData[[#This Row],[disposedCourt]]=TrafficData[[#This Row],[totalCourt]]</f>
        <v>1</v>
      </c>
      <c r="N1202" s="8" t="b">
        <f>AND(TrafficData[[#This Row],[disposedChallan]]&lt;=TrafficData[[#This Row],[totalChallan]],TrafficData[[#This Row],[pendingChallan]]&lt;=TrafficData[[#This Row],[totalChallan]])</f>
        <v>1</v>
      </c>
      <c r="O1202" s="8" t="b">
        <f>AND(TrafficData[[#This Row],[pendingAmount]]&lt;=TrafficData[[#This Row],[totalAmount]],TrafficData[[#This Row],[disposedAmount]]&lt;=TrafficData[[#This Row],[totalAmount]])</f>
        <v>1</v>
      </c>
      <c r="P1202" s="8" t="b">
        <f>AND(TrafficData[[#This Row],[pendingCourt]]&lt;=TrafficData[[#This Row],[totalCourt]],TrafficData[[#This Row],[disposedCourt]]&lt;=TrafficData[[#This Row],[totalCourt]])</f>
        <v>1</v>
      </c>
    </row>
    <row r="1203" spans="1:16">
      <c r="A1203" s="1">
        <v>43206</v>
      </c>
      <c r="B1203">
        <v>4148</v>
      </c>
      <c r="C1203">
        <v>3299</v>
      </c>
      <c r="D1203">
        <v>849</v>
      </c>
      <c r="E1203">
        <v>2740600</v>
      </c>
      <c r="F1203">
        <v>13734210</v>
      </c>
      <c r="G1203">
        <v>16474810</v>
      </c>
      <c r="H1203">
        <v>644</v>
      </c>
      <c r="I1203">
        <v>214</v>
      </c>
      <c r="J1203">
        <v>858</v>
      </c>
      <c r="K1203" t="b">
        <f>TrafficData[[#This Row],[disposedChallan]]+TrafficData[[#This Row],[pendingChallan]]=TrafficData[[#This Row],[totalChallan]]</f>
        <v>1</v>
      </c>
      <c r="L1203" t="b">
        <f>TrafficData[[#This Row],[pendingAmount]]+TrafficData[[#This Row],[disposedAmount]]=TrafficData[[#This Row],[totalAmount]]</f>
        <v>1</v>
      </c>
      <c r="M1203" t="b">
        <f>TrafficData[[#This Row],[pendingCourt]]+TrafficData[[#This Row],[disposedCourt]]=TrafficData[[#This Row],[totalCourt]]</f>
        <v>1</v>
      </c>
      <c r="N1203" s="8" t="b">
        <f>AND(TrafficData[[#This Row],[disposedChallan]]&lt;=TrafficData[[#This Row],[totalChallan]],TrafficData[[#This Row],[pendingChallan]]&lt;=TrafficData[[#This Row],[totalChallan]])</f>
        <v>1</v>
      </c>
      <c r="O1203" s="8" t="b">
        <f>AND(TrafficData[[#This Row],[pendingAmount]]&lt;=TrafficData[[#This Row],[totalAmount]],TrafficData[[#This Row],[disposedAmount]]&lt;=TrafficData[[#This Row],[totalAmount]])</f>
        <v>1</v>
      </c>
      <c r="P1203" s="8" t="b">
        <f>AND(TrafficData[[#This Row],[pendingCourt]]&lt;=TrafficData[[#This Row],[totalCourt]],TrafficData[[#This Row],[disposedCourt]]&lt;=TrafficData[[#This Row],[totalCourt]])</f>
        <v>1</v>
      </c>
    </row>
    <row r="1204" spans="1:16">
      <c r="A1204" s="1">
        <v>43207</v>
      </c>
      <c r="B1204">
        <v>4064</v>
      </c>
      <c r="C1204">
        <v>3427</v>
      </c>
      <c r="D1204">
        <v>637</v>
      </c>
      <c r="E1204">
        <v>2703900</v>
      </c>
      <c r="F1204">
        <v>15136793</v>
      </c>
      <c r="G1204">
        <v>17840693</v>
      </c>
      <c r="H1204">
        <v>404</v>
      </c>
      <c r="I1204">
        <v>213</v>
      </c>
      <c r="J1204">
        <v>617</v>
      </c>
      <c r="K1204" t="b">
        <f>TrafficData[[#This Row],[disposedChallan]]+TrafficData[[#This Row],[pendingChallan]]=TrafficData[[#This Row],[totalChallan]]</f>
        <v>1</v>
      </c>
      <c r="L1204" t="b">
        <f>TrafficData[[#This Row],[pendingAmount]]+TrafficData[[#This Row],[disposedAmount]]=TrafficData[[#This Row],[totalAmount]]</f>
        <v>1</v>
      </c>
      <c r="M1204" t="b">
        <f>TrafficData[[#This Row],[pendingCourt]]+TrafficData[[#This Row],[disposedCourt]]=TrafficData[[#This Row],[totalCourt]]</f>
        <v>1</v>
      </c>
      <c r="N1204" s="8" t="b">
        <f>AND(TrafficData[[#This Row],[disposedChallan]]&lt;=TrafficData[[#This Row],[totalChallan]],TrafficData[[#This Row],[pendingChallan]]&lt;=TrafficData[[#This Row],[totalChallan]])</f>
        <v>1</v>
      </c>
      <c r="O1204" s="8" t="b">
        <f>AND(TrafficData[[#This Row],[pendingAmount]]&lt;=TrafficData[[#This Row],[totalAmount]],TrafficData[[#This Row],[disposedAmount]]&lt;=TrafficData[[#This Row],[totalAmount]])</f>
        <v>1</v>
      </c>
      <c r="P1204" s="8" t="b">
        <f>AND(TrafficData[[#This Row],[pendingCourt]]&lt;=TrafficData[[#This Row],[totalCourt]],TrafficData[[#This Row],[disposedCourt]]&lt;=TrafficData[[#This Row],[totalCourt]])</f>
        <v>1</v>
      </c>
    </row>
    <row r="1205" spans="1:16">
      <c r="A1205" s="1">
        <v>43208</v>
      </c>
      <c r="B1205">
        <v>13605</v>
      </c>
      <c r="C1205">
        <v>10080</v>
      </c>
      <c r="D1205">
        <v>3525</v>
      </c>
      <c r="E1205">
        <v>8340490</v>
      </c>
      <c r="F1205">
        <v>16379651</v>
      </c>
      <c r="G1205">
        <v>24720141</v>
      </c>
      <c r="H1205">
        <v>3127</v>
      </c>
      <c r="I1205">
        <v>1018</v>
      </c>
      <c r="J1205">
        <v>4145</v>
      </c>
      <c r="K1205" t="b">
        <f>TrafficData[[#This Row],[disposedChallan]]+TrafficData[[#This Row],[pendingChallan]]=TrafficData[[#This Row],[totalChallan]]</f>
        <v>1</v>
      </c>
      <c r="L1205" t="b">
        <f>TrafficData[[#This Row],[pendingAmount]]+TrafficData[[#This Row],[disposedAmount]]=TrafficData[[#This Row],[totalAmount]]</f>
        <v>1</v>
      </c>
      <c r="M1205" t="b">
        <f>TrafficData[[#This Row],[pendingCourt]]+TrafficData[[#This Row],[disposedCourt]]=TrafficData[[#This Row],[totalCourt]]</f>
        <v>1</v>
      </c>
      <c r="N1205" s="8" t="b">
        <f>AND(TrafficData[[#This Row],[disposedChallan]]&lt;=TrafficData[[#This Row],[totalChallan]],TrafficData[[#This Row],[pendingChallan]]&lt;=TrafficData[[#This Row],[totalChallan]])</f>
        <v>1</v>
      </c>
      <c r="O1205" s="8" t="b">
        <f>AND(TrafficData[[#This Row],[pendingAmount]]&lt;=TrafficData[[#This Row],[totalAmount]],TrafficData[[#This Row],[disposedAmount]]&lt;=TrafficData[[#This Row],[totalAmount]])</f>
        <v>1</v>
      </c>
      <c r="P1205" s="8" t="b">
        <f>AND(TrafficData[[#This Row],[pendingCourt]]&lt;=TrafficData[[#This Row],[totalCourt]],TrafficData[[#This Row],[disposedCourt]]&lt;=TrafficData[[#This Row],[totalCourt]])</f>
        <v>1</v>
      </c>
    </row>
    <row r="1206" spans="1:16">
      <c r="A1206" s="1">
        <v>43209</v>
      </c>
      <c r="B1206">
        <v>4821</v>
      </c>
      <c r="C1206">
        <v>3880</v>
      </c>
      <c r="D1206">
        <v>941</v>
      </c>
      <c r="E1206">
        <v>2156200</v>
      </c>
      <c r="F1206">
        <v>11829301</v>
      </c>
      <c r="G1206">
        <v>13985501</v>
      </c>
      <c r="H1206">
        <v>695</v>
      </c>
      <c r="I1206">
        <v>156</v>
      </c>
      <c r="J1206">
        <v>851</v>
      </c>
      <c r="K1206" t="b">
        <f>TrafficData[[#This Row],[disposedChallan]]+TrafficData[[#This Row],[pendingChallan]]=TrafficData[[#This Row],[totalChallan]]</f>
        <v>1</v>
      </c>
      <c r="L1206" t="b">
        <f>TrafficData[[#This Row],[pendingAmount]]+TrafficData[[#This Row],[disposedAmount]]=TrafficData[[#This Row],[totalAmount]]</f>
        <v>1</v>
      </c>
      <c r="M1206" t="b">
        <f>TrafficData[[#This Row],[pendingCourt]]+TrafficData[[#This Row],[disposedCourt]]=TrafficData[[#This Row],[totalCourt]]</f>
        <v>1</v>
      </c>
      <c r="N1206" s="8" t="b">
        <f>AND(TrafficData[[#This Row],[disposedChallan]]&lt;=TrafficData[[#This Row],[totalChallan]],TrafficData[[#This Row],[pendingChallan]]&lt;=TrafficData[[#This Row],[totalChallan]])</f>
        <v>1</v>
      </c>
      <c r="O1206" s="8" t="b">
        <f>AND(TrafficData[[#This Row],[pendingAmount]]&lt;=TrafficData[[#This Row],[totalAmount]],TrafficData[[#This Row],[disposedAmount]]&lt;=TrafficData[[#This Row],[totalAmount]])</f>
        <v>1</v>
      </c>
      <c r="P1206" s="8" t="b">
        <f>AND(TrafficData[[#This Row],[pendingCourt]]&lt;=TrafficData[[#This Row],[totalCourt]],TrafficData[[#This Row],[disposedCourt]]&lt;=TrafficData[[#This Row],[totalCourt]])</f>
        <v>1</v>
      </c>
    </row>
    <row r="1207" spans="1:16">
      <c r="A1207" s="1">
        <v>43210</v>
      </c>
      <c r="B1207">
        <v>4728</v>
      </c>
      <c r="C1207">
        <v>3723</v>
      </c>
      <c r="D1207">
        <v>1005</v>
      </c>
      <c r="E1207">
        <v>2351450</v>
      </c>
      <c r="F1207">
        <v>10919306</v>
      </c>
      <c r="G1207">
        <v>13270756</v>
      </c>
      <c r="H1207">
        <v>741</v>
      </c>
      <c r="I1207">
        <v>148</v>
      </c>
      <c r="J1207">
        <v>889</v>
      </c>
      <c r="K1207" t="b">
        <f>TrafficData[[#This Row],[disposedChallan]]+TrafficData[[#This Row],[pendingChallan]]=TrafficData[[#This Row],[totalChallan]]</f>
        <v>1</v>
      </c>
      <c r="L1207" t="b">
        <f>TrafficData[[#This Row],[pendingAmount]]+TrafficData[[#This Row],[disposedAmount]]=TrafficData[[#This Row],[totalAmount]]</f>
        <v>1</v>
      </c>
      <c r="M1207" t="b">
        <f>TrafficData[[#This Row],[pendingCourt]]+TrafficData[[#This Row],[disposedCourt]]=TrafficData[[#This Row],[totalCourt]]</f>
        <v>1</v>
      </c>
      <c r="N1207" s="8" t="b">
        <f>AND(TrafficData[[#This Row],[disposedChallan]]&lt;=TrafficData[[#This Row],[totalChallan]],TrafficData[[#This Row],[pendingChallan]]&lt;=TrafficData[[#This Row],[totalChallan]])</f>
        <v>1</v>
      </c>
      <c r="O1207" s="8" t="b">
        <f>AND(TrafficData[[#This Row],[pendingAmount]]&lt;=TrafficData[[#This Row],[totalAmount]],TrafficData[[#This Row],[disposedAmount]]&lt;=TrafficData[[#This Row],[totalAmount]])</f>
        <v>1</v>
      </c>
      <c r="P1207" s="8" t="b">
        <f>AND(TrafficData[[#This Row],[pendingCourt]]&lt;=TrafficData[[#This Row],[totalCourt]],TrafficData[[#This Row],[disposedCourt]]&lt;=TrafficData[[#This Row],[totalCourt]])</f>
        <v>1</v>
      </c>
    </row>
    <row r="1208" spans="1:16">
      <c r="A1208" s="1">
        <v>43211</v>
      </c>
      <c r="B1208">
        <v>4171</v>
      </c>
      <c r="C1208">
        <v>3243</v>
      </c>
      <c r="D1208">
        <v>928</v>
      </c>
      <c r="E1208">
        <v>1736750</v>
      </c>
      <c r="F1208">
        <v>8789246</v>
      </c>
      <c r="G1208">
        <v>10525996</v>
      </c>
      <c r="H1208">
        <v>687</v>
      </c>
      <c r="I1208">
        <v>160</v>
      </c>
      <c r="J1208">
        <v>847</v>
      </c>
      <c r="K1208" t="b">
        <f>TrafficData[[#This Row],[disposedChallan]]+TrafficData[[#This Row],[pendingChallan]]=TrafficData[[#This Row],[totalChallan]]</f>
        <v>1</v>
      </c>
      <c r="L1208" t="b">
        <f>TrafficData[[#This Row],[pendingAmount]]+TrafficData[[#This Row],[disposedAmount]]=TrafficData[[#This Row],[totalAmount]]</f>
        <v>1</v>
      </c>
      <c r="M1208" t="b">
        <f>TrafficData[[#This Row],[pendingCourt]]+TrafficData[[#This Row],[disposedCourt]]=TrafficData[[#This Row],[totalCourt]]</f>
        <v>1</v>
      </c>
      <c r="N1208" s="8" t="b">
        <f>AND(TrafficData[[#This Row],[disposedChallan]]&lt;=TrafficData[[#This Row],[totalChallan]],TrafficData[[#This Row],[pendingChallan]]&lt;=TrafficData[[#This Row],[totalChallan]])</f>
        <v>1</v>
      </c>
      <c r="O1208" s="8" t="b">
        <f>AND(TrafficData[[#This Row],[pendingAmount]]&lt;=TrafficData[[#This Row],[totalAmount]],TrafficData[[#This Row],[disposedAmount]]&lt;=TrafficData[[#This Row],[totalAmount]])</f>
        <v>1</v>
      </c>
      <c r="P1208" s="8" t="b">
        <f>AND(TrafficData[[#This Row],[pendingCourt]]&lt;=TrafficData[[#This Row],[totalCourt]],TrafficData[[#This Row],[disposedCourt]]&lt;=TrafficData[[#This Row],[totalCourt]])</f>
        <v>1</v>
      </c>
    </row>
    <row r="1209" spans="1:16">
      <c r="A1209" s="1">
        <v>43212</v>
      </c>
      <c r="B1209">
        <v>2778</v>
      </c>
      <c r="C1209">
        <v>2021</v>
      </c>
      <c r="D1209">
        <v>757</v>
      </c>
      <c r="E1209">
        <v>1830350</v>
      </c>
      <c r="F1209">
        <v>7138748</v>
      </c>
      <c r="G1209">
        <v>8969098</v>
      </c>
      <c r="H1209">
        <v>586</v>
      </c>
      <c r="I1209">
        <v>114</v>
      </c>
      <c r="J1209">
        <v>700</v>
      </c>
      <c r="K1209" t="b">
        <f>TrafficData[[#This Row],[disposedChallan]]+TrafficData[[#This Row],[pendingChallan]]=TrafficData[[#This Row],[totalChallan]]</f>
        <v>1</v>
      </c>
      <c r="L1209" t="b">
        <f>TrafficData[[#This Row],[pendingAmount]]+TrafficData[[#This Row],[disposedAmount]]=TrafficData[[#This Row],[totalAmount]]</f>
        <v>1</v>
      </c>
      <c r="M1209" t="b">
        <f>TrafficData[[#This Row],[pendingCourt]]+TrafficData[[#This Row],[disposedCourt]]=TrafficData[[#This Row],[totalCourt]]</f>
        <v>1</v>
      </c>
      <c r="N1209" s="8" t="b">
        <f>AND(TrafficData[[#This Row],[disposedChallan]]&lt;=TrafficData[[#This Row],[totalChallan]],TrafficData[[#This Row],[pendingChallan]]&lt;=TrafficData[[#This Row],[totalChallan]])</f>
        <v>1</v>
      </c>
      <c r="O1209" s="8" t="b">
        <f>AND(TrafficData[[#This Row],[pendingAmount]]&lt;=TrafficData[[#This Row],[totalAmount]],TrafficData[[#This Row],[disposedAmount]]&lt;=TrafficData[[#This Row],[totalAmount]])</f>
        <v>1</v>
      </c>
      <c r="P1209" s="8" t="b">
        <f>AND(TrafficData[[#This Row],[pendingCourt]]&lt;=TrafficData[[#This Row],[totalCourt]],TrafficData[[#This Row],[disposedCourt]]&lt;=TrafficData[[#This Row],[totalCourt]])</f>
        <v>1</v>
      </c>
    </row>
    <row r="1210" spans="1:16">
      <c r="A1210" s="1">
        <v>43213</v>
      </c>
      <c r="B1210">
        <v>5553</v>
      </c>
      <c r="C1210">
        <v>4764</v>
      </c>
      <c r="D1210">
        <v>789</v>
      </c>
      <c r="E1210">
        <v>1818411</v>
      </c>
      <c r="F1210">
        <v>6066850</v>
      </c>
      <c r="G1210">
        <v>7885261</v>
      </c>
      <c r="H1210">
        <v>475</v>
      </c>
      <c r="I1210">
        <v>126</v>
      </c>
      <c r="J1210">
        <v>601</v>
      </c>
      <c r="K1210" t="b">
        <f>TrafficData[[#This Row],[disposedChallan]]+TrafficData[[#This Row],[pendingChallan]]=TrafficData[[#This Row],[totalChallan]]</f>
        <v>1</v>
      </c>
      <c r="L1210" t="b">
        <f>TrafficData[[#This Row],[pendingAmount]]+TrafficData[[#This Row],[disposedAmount]]=TrafficData[[#This Row],[totalAmount]]</f>
        <v>1</v>
      </c>
      <c r="M1210" t="b">
        <f>TrafficData[[#This Row],[pendingCourt]]+TrafficData[[#This Row],[disposedCourt]]=TrafficData[[#This Row],[totalCourt]]</f>
        <v>1</v>
      </c>
      <c r="N1210" s="8" t="b">
        <f>AND(TrafficData[[#This Row],[disposedChallan]]&lt;=TrafficData[[#This Row],[totalChallan]],TrafficData[[#This Row],[pendingChallan]]&lt;=TrafficData[[#This Row],[totalChallan]])</f>
        <v>1</v>
      </c>
      <c r="O1210" s="8" t="b">
        <f>AND(TrafficData[[#This Row],[pendingAmount]]&lt;=TrafficData[[#This Row],[totalAmount]],TrafficData[[#This Row],[disposedAmount]]&lt;=TrafficData[[#This Row],[totalAmount]])</f>
        <v>1</v>
      </c>
      <c r="P1210" s="8" t="b">
        <f>AND(TrafficData[[#This Row],[pendingCourt]]&lt;=TrafficData[[#This Row],[totalCourt]],TrafficData[[#This Row],[disposedCourt]]&lt;=TrafficData[[#This Row],[totalCourt]])</f>
        <v>1</v>
      </c>
    </row>
    <row r="1211" spans="1:16">
      <c r="A1211" s="1">
        <v>43214</v>
      </c>
      <c r="B1211">
        <v>6077</v>
      </c>
      <c r="C1211">
        <v>5083</v>
      </c>
      <c r="D1211">
        <v>994</v>
      </c>
      <c r="E1211">
        <v>2508500</v>
      </c>
      <c r="F1211">
        <v>10783619</v>
      </c>
      <c r="G1211">
        <v>13292119</v>
      </c>
      <c r="H1211">
        <v>546</v>
      </c>
      <c r="I1211">
        <v>172</v>
      </c>
      <c r="J1211">
        <v>718</v>
      </c>
      <c r="K1211" t="b">
        <f>TrafficData[[#This Row],[disposedChallan]]+TrafficData[[#This Row],[pendingChallan]]=TrafficData[[#This Row],[totalChallan]]</f>
        <v>1</v>
      </c>
      <c r="L1211" t="b">
        <f>TrafficData[[#This Row],[pendingAmount]]+TrafficData[[#This Row],[disposedAmount]]=TrafficData[[#This Row],[totalAmount]]</f>
        <v>1</v>
      </c>
      <c r="M1211" t="b">
        <f>TrafficData[[#This Row],[pendingCourt]]+TrafficData[[#This Row],[disposedCourt]]=TrafficData[[#This Row],[totalCourt]]</f>
        <v>1</v>
      </c>
      <c r="N1211" s="8" t="b">
        <f>AND(TrafficData[[#This Row],[disposedChallan]]&lt;=TrafficData[[#This Row],[totalChallan]],TrafficData[[#This Row],[pendingChallan]]&lt;=TrafficData[[#This Row],[totalChallan]])</f>
        <v>1</v>
      </c>
      <c r="O1211" s="8" t="b">
        <f>AND(TrafficData[[#This Row],[pendingAmount]]&lt;=TrafficData[[#This Row],[totalAmount]],TrafficData[[#This Row],[disposedAmount]]&lt;=TrafficData[[#This Row],[totalAmount]])</f>
        <v>1</v>
      </c>
      <c r="P1211" s="8" t="b">
        <f>AND(TrafficData[[#This Row],[pendingCourt]]&lt;=TrafficData[[#This Row],[totalCourt]],TrafficData[[#This Row],[disposedCourt]]&lt;=TrafficData[[#This Row],[totalCourt]])</f>
        <v>1</v>
      </c>
    </row>
    <row r="1212" spans="1:16">
      <c r="A1212" s="1">
        <v>43215</v>
      </c>
      <c r="B1212">
        <v>12012</v>
      </c>
      <c r="C1212">
        <v>9001</v>
      </c>
      <c r="D1212">
        <v>3011</v>
      </c>
      <c r="E1212">
        <v>6840600</v>
      </c>
      <c r="F1212">
        <v>8040175</v>
      </c>
      <c r="G1212">
        <v>14880775</v>
      </c>
      <c r="H1212">
        <v>2644</v>
      </c>
      <c r="I1212">
        <v>644</v>
      </c>
      <c r="J1212">
        <v>3288</v>
      </c>
      <c r="K1212" t="b">
        <f>TrafficData[[#This Row],[disposedChallan]]+TrafficData[[#This Row],[pendingChallan]]=TrafficData[[#This Row],[totalChallan]]</f>
        <v>1</v>
      </c>
      <c r="L1212" t="b">
        <f>TrafficData[[#This Row],[pendingAmount]]+TrafficData[[#This Row],[disposedAmount]]=TrafficData[[#This Row],[totalAmount]]</f>
        <v>1</v>
      </c>
      <c r="M1212" t="b">
        <f>TrafficData[[#This Row],[pendingCourt]]+TrafficData[[#This Row],[disposedCourt]]=TrafficData[[#This Row],[totalCourt]]</f>
        <v>1</v>
      </c>
      <c r="N1212" s="8" t="b">
        <f>AND(TrafficData[[#This Row],[disposedChallan]]&lt;=TrafficData[[#This Row],[totalChallan]],TrafficData[[#This Row],[pendingChallan]]&lt;=TrafficData[[#This Row],[totalChallan]])</f>
        <v>1</v>
      </c>
      <c r="O1212" s="8" t="b">
        <f>AND(TrafficData[[#This Row],[pendingAmount]]&lt;=TrafficData[[#This Row],[totalAmount]],TrafficData[[#This Row],[disposedAmount]]&lt;=TrafficData[[#This Row],[totalAmount]])</f>
        <v>1</v>
      </c>
      <c r="P1212" s="8" t="b">
        <f>AND(TrafficData[[#This Row],[pendingCourt]]&lt;=TrafficData[[#This Row],[totalCourt]],TrafficData[[#This Row],[disposedCourt]]&lt;=TrafficData[[#This Row],[totalCourt]])</f>
        <v>1</v>
      </c>
    </row>
    <row r="1213" spans="1:16">
      <c r="A1213" s="1">
        <v>43216</v>
      </c>
      <c r="B1213">
        <v>4978</v>
      </c>
      <c r="C1213">
        <v>3990</v>
      </c>
      <c r="D1213">
        <v>988</v>
      </c>
      <c r="E1213">
        <v>2178944</v>
      </c>
      <c r="F1213">
        <v>8100597</v>
      </c>
      <c r="G1213">
        <v>10279541</v>
      </c>
      <c r="H1213">
        <v>653</v>
      </c>
      <c r="I1213">
        <v>162</v>
      </c>
      <c r="J1213">
        <v>815</v>
      </c>
      <c r="K1213" t="b">
        <f>TrafficData[[#This Row],[disposedChallan]]+TrafficData[[#This Row],[pendingChallan]]=TrafficData[[#This Row],[totalChallan]]</f>
        <v>1</v>
      </c>
      <c r="L1213" t="b">
        <f>TrafficData[[#This Row],[pendingAmount]]+TrafficData[[#This Row],[disposedAmount]]=TrafficData[[#This Row],[totalAmount]]</f>
        <v>1</v>
      </c>
      <c r="M1213" t="b">
        <f>TrafficData[[#This Row],[pendingCourt]]+TrafficData[[#This Row],[disposedCourt]]=TrafficData[[#This Row],[totalCourt]]</f>
        <v>1</v>
      </c>
      <c r="N1213" s="8" t="b">
        <f>AND(TrafficData[[#This Row],[disposedChallan]]&lt;=TrafficData[[#This Row],[totalChallan]],TrafficData[[#This Row],[pendingChallan]]&lt;=TrafficData[[#This Row],[totalChallan]])</f>
        <v>1</v>
      </c>
      <c r="O1213" s="8" t="b">
        <f>AND(TrafficData[[#This Row],[pendingAmount]]&lt;=TrafficData[[#This Row],[totalAmount]],TrafficData[[#This Row],[disposedAmount]]&lt;=TrafficData[[#This Row],[totalAmount]])</f>
        <v>1</v>
      </c>
      <c r="P1213" s="8" t="b">
        <f>AND(TrafficData[[#This Row],[pendingCourt]]&lt;=TrafficData[[#This Row],[totalCourt]],TrafficData[[#This Row],[disposedCourt]]&lt;=TrafficData[[#This Row],[totalCourt]])</f>
        <v>1</v>
      </c>
    </row>
    <row r="1214" spans="1:16">
      <c r="A1214" s="1">
        <v>43217</v>
      </c>
      <c r="B1214">
        <v>5175</v>
      </c>
      <c r="C1214">
        <v>4223</v>
      </c>
      <c r="D1214">
        <v>952</v>
      </c>
      <c r="E1214">
        <v>2704050</v>
      </c>
      <c r="F1214">
        <v>8017961</v>
      </c>
      <c r="G1214">
        <v>10722011</v>
      </c>
      <c r="H1214">
        <v>621</v>
      </c>
      <c r="I1214">
        <v>220</v>
      </c>
      <c r="J1214">
        <v>841</v>
      </c>
      <c r="K1214" t="b">
        <f>TrafficData[[#This Row],[disposedChallan]]+TrafficData[[#This Row],[pendingChallan]]=TrafficData[[#This Row],[totalChallan]]</f>
        <v>1</v>
      </c>
      <c r="L1214" t="b">
        <f>TrafficData[[#This Row],[pendingAmount]]+TrafficData[[#This Row],[disposedAmount]]=TrafficData[[#This Row],[totalAmount]]</f>
        <v>1</v>
      </c>
      <c r="M1214" t="b">
        <f>TrafficData[[#This Row],[pendingCourt]]+TrafficData[[#This Row],[disposedCourt]]=TrafficData[[#This Row],[totalCourt]]</f>
        <v>1</v>
      </c>
      <c r="N1214" s="8" t="b">
        <f>AND(TrafficData[[#This Row],[disposedChallan]]&lt;=TrafficData[[#This Row],[totalChallan]],TrafficData[[#This Row],[pendingChallan]]&lt;=TrafficData[[#This Row],[totalChallan]])</f>
        <v>1</v>
      </c>
      <c r="O1214" s="8" t="b">
        <f>AND(TrafficData[[#This Row],[pendingAmount]]&lt;=TrafficData[[#This Row],[totalAmount]],TrafficData[[#This Row],[disposedAmount]]&lt;=TrafficData[[#This Row],[totalAmount]])</f>
        <v>1</v>
      </c>
      <c r="P1214" s="8" t="b">
        <f>AND(TrafficData[[#This Row],[pendingCourt]]&lt;=TrafficData[[#This Row],[totalCourt]],TrafficData[[#This Row],[disposedCourt]]&lt;=TrafficData[[#This Row],[totalCourt]])</f>
        <v>1</v>
      </c>
    </row>
    <row r="1215" spans="1:16">
      <c r="A1215" s="1">
        <v>43218</v>
      </c>
      <c r="B1215">
        <v>14942</v>
      </c>
      <c r="C1215">
        <v>13911</v>
      </c>
      <c r="D1215">
        <v>1031</v>
      </c>
      <c r="E1215">
        <v>3081200</v>
      </c>
      <c r="F1215">
        <v>11056016</v>
      </c>
      <c r="G1215">
        <v>14137216</v>
      </c>
      <c r="H1215">
        <v>716</v>
      </c>
      <c r="I1215">
        <v>253</v>
      </c>
      <c r="J1215">
        <v>969</v>
      </c>
      <c r="K1215" t="b">
        <f>TrafficData[[#This Row],[disposedChallan]]+TrafficData[[#This Row],[pendingChallan]]=TrafficData[[#This Row],[totalChallan]]</f>
        <v>1</v>
      </c>
      <c r="L1215" t="b">
        <f>TrafficData[[#This Row],[pendingAmount]]+TrafficData[[#This Row],[disposedAmount]]=TrafficData[[#This Row],[totalAmount]]</f>
        <v>1</v>
      </c>
      <c r="M1215" t="b">
        <f>TrafficData[[#This Row],[pendingCourt]]+TrafficData[[#This Row],[disposedCourt]]=TrafficData[[#This Row],[totalCourt]]</f>
        <v>1</v>
      </c>
      <c r="N1215" s="8" t="b">
        <f>AND(TrafficData[[#This Row],[disposedChallan]]&lt;=TrafficData[[#This Row],[totalChallan]],TrafficData[[#This Row],[pendingChallan]]&lt;=TrafficData[[#This Row],[totalChallan]])</f>
        <v>1</v>
      </c>
      <c r="O1215" s="8" t="b">
        <f>AND(TrafficData[[#This Row],[pendingAmount]]&lt;=TrafficData[[#This Row],[totalAmount]],TrafficData[[#This Row],[disposedAmount]]&lt;=TrafficData[[#This Row],[totalAmount]])</f>
        <v>1</v>
      </c>
      <c r="P1215" s="8" t="b">
        <f>AND(TrafficData[[#This Row],[pendingCourt]]&lt;=TrafficData[[#This Row],[totalCourt]],TrafficData[[#This Row],[disposedCourt]]&lt;=TrafficData[[#This Row],[totalCourt]])</f>
        <v>1</v>
      </c>
    </row>
    <row r="1216" spans="1:16">
      <c r="A1216" s="1">
        <v>43219</v>
      </c>
      <c r="B1216">
        <v>2834</v>
      </c>
      <c r="C1216">
        <v>2089</v>
      </c>
      <c r="D1216">
        <v>745</v>
      </c>
      <c r="E1216">
        <v>1689050</v>
      </c>
      <c r="F1216">
        <v>7838230</v>
      </c>
      <c r="G1216">
        <v>9527280</v>
      </c>
      <c r="H1216">
        <v>430</v>
      </c>
      <c r="I1216">
        <v>140</v>
      </c>
      <c r="J1216">
        <v>570</v>
      </c>
      <c r="K1216" t="b">
        <f>TrafficData[[#This Row],[disposedChallan]]+TrafficData[[#This Row],[pendingChallan]]=TrafficData[[#This Row],[totalChallan]]</f>
        <v>1</v>
      </c>
      <c r="L1216" t="b">
        <f>TrafficData[[#This Row],[pendingAmount]]+TrafficData[[#This Row],[disposedAmount]]=TrafficData[[#This Row],[totalAmount]]</f>
        <v>1</v>
      </c>
      <c r="M1216" t="b">
        <f>TrafficData[[#This Row],[pendingCourt]]+TrafficData[[#This Row],[disposedCourt]]=TrafficData[[#This Row],[totalCourt]]</f>
        <v>1</v>
      </c>
      <c r="N1216" s="8" t="b">
        <f>AND(TrafficData[[#This Row],[disposedChallan]]&lt;=TrafficData[[#This Row],[totalChallan]],TrafficData[[#This Row],[pendingChallan]]&lt;=TrafficData[[#This Row],[totalChallan]])</f>
        <v>1</v>
      </c>
      <c r="O1216" s="8" t="b">
        <f>AND(TrafficData[[#This Row],[pendingAmount]]&lt;=TrafficData[[#This Row],[totalAmount]],TrafficData[[#This Row],[disposedAmount]]&lt;=TrafficData[[#This Row],[totalAmount]])</f>
        <v>1</v>
      </c>
      <c r="P1216" s="8" t="b">
        <f>AND(TrafficData[[#This Row],[pendingCourt]]&lt;=TrafficData[[#This Row],[totalCourt]],TrafficData[[#This Row],[disposedCourt]]&lt;=TrafficData[[#This Row],[totalCourt]])</f>
        <v>1</v>
      </c>
    </row>
    <row r="1217" spans="1:16">
      <c r="A1217" s="1">
        <v>43220</v>
      </c>
      <c r="B1217">
        <v>4956</v>
      </c>
      <c r="C1217">
        <v>4146</v>
      </c>
      <c r="D1217">
        <v>810</v>
      </c>
      <c r="E1217">
        <v>1533750</v>
      </c>
      <c r="F1217">
        <v>6711863</v>
      </c>
      <c r="G1217">
        <v>8245613</v>
      </c>
      <c r="H1217">
        <v>425</v>
      </c>
      <c r="I1217">
        <v>162</v>
      </c>
      <c r="J1217">
        <v>587</v>
      </c>
      <c r="K1217" t="b">
        <f>TrafficData[[#This Row],[disposedChallan]]+TrafficData[[#This Row],[pendingChallan]]=TrafficData[[#This Row],[totalChallan]]</f>
        <v>1</v>
      </c>
      <c r="L1217" t="b">
        <f>TrafficData[[#This Row],[pendingAmount]]+TrafficData[[#This Row],[disposedAmount]]=TrafficData[[#This Row],[totalAmount]]</f>
        <v>1</v>
      </c>
      <c r="M1217" t="b">
        <f>TrafficData[[#This Row],[pendingCourt]]+TrafficData[[#This Row],[disposedCourt]]=TrafficData[[#This Row],[totalCourt]]</f>
        <v>1</v>
      </c>
      <c r="N1217" s="8" t="b">
        <f>AND(TrafficData[[#This Row],[disposedChallan]]&lt;=TrafficData[[#This Row],[totalChallan]],TrafficData[[#This Row],[pendingChallan]]&lt;=TrafficData[[#This Row],[totalChallan]])</f>
        <v>1</v>
      </c>
      <c r="O1217" s="8" t="b">
        <f>AND(TrafficData[[#This Row],[pendingAmount]]&lt;=TrafficData[[#This Row],[totalAmount]],TrafficData[[#This Row],[disposedAmount]]&lt;=TrafficData[[#This Row],[totalAmount]])</f>
        <v>1</v>
      </c>
      <c r="P1217" s="8" t="b">
        <f>AND(TrafficData[[#This Row],[pendingCourt]]&lt;=TrafficData[[#This Row],[totalCourt]],TrafficData[[#This Row],[disposedCourt]]&lt;=TrafficData[[#This Row],[totalCourt]])</f>
        <v>1</v>
      </c>
    </row>
    <row r="1218" spans="1:16">
      <c r="A1218" s="1">
        <v>43221</v>
      </c>
      <c r="B1218">
        <v>6198</v>
      </c>
      <c r="C1218">
        <v>4941</v>
      </c>
      <c r="D1218">
        <v>1257</v>
      </c>
      <c r="E1218">
        <v>2929350</v>
      </c>
      <c r="F1218">
        <v>10469499</v>
      </c>
      <c r="G1218">
        <v>13398849</v>
      </c>
      <c r="H1218">
        <v>722</v>
      </c>
      <c r="I1218">
        <v>245</v>
      </c>
      <c r="J1218">
        <v>967</v>
      </c>
      <c r="K1218" t="b">
        <f>TrafficData[[#This Row],[disposedChallan]]+TrafficData[[#This Row],[pendingChallan]]=TrafficData[[#This Row],[totalChallan]]</f>
        <v>1</v>
      </c>
      <c r="L1218" t="b">
        <f>TrafficData[[#This Row],[pendingAmount]]+TrafficData[[#This Row],[disposedAmount]]=TrafficData[[#This Row],[totalAmount]]</f>
        <v>1</v>
      </c>
      <c r="M1218" t="b">
        <f>TrafficData[[#This Row],[pendingCourt]]+TrafficData[[#This Row],[disposedCourt]]=TrafficData[[#This Row],[totalCourt]]</f>
        <v>1</v>
      </c>
      <c r="N1218" s="8" t="b">
        <f>AND(TrafficData[[#This Row],[disposedChallan]]&lt;=TrafficData[[#This Row],[totalChallan]],TrafficData[[#This Row],[pendingChallan]]&lt;=TrafficData[[#This Row],[totalChallan]])</f>
        <v>1</v>
      </c>
      <c r="O1218" s="8" t="b">
        <f>AND(TrafficData[[#This Row],[pendingAmount]]&lt;=TrafficData[[#This Row],[totalAmount]],TrafficData[[#This Row],[disposedAmount]]&lt;=TrafficData[[#This Row],[totalAmount]])</f>
        <v>1</v>
      </c>
      <c r="P1218" s="8" t="b">
        <f>AND(TrafficData[[#This Row],[pendingCourt]]&lt;=TrafficData[[#This Row],[totalCourt]],TrafficData[[#This Row],[disposedCourt]]&lt;=TrafficData[[#This Row],[totalCourt]])</f>
        <v>1</v>
      </c>
    </row>
    <row r="1219" spans="1:16">
      <c r="A1219" s="1">
        <v>43222</v>
      </c>
      <c r="B1219">
        <v>13571</v>
      </c>
      <c r="C1219">
        <v>9953</v>
      </c>
      <c r="D1219">
        <v>3618</v>
      </c>
      <c r="E1219">
        <v>8349200</v>
      </c>
      <c r="F1219">
        <v>13167390</v>
      </c>
      <c r="G1219">
        <v>21516590</v>
      </c>
      <c r="H1219">
        <v>2882</v>
      </c>
      <c r="I1219">
        <v>909</v>
      </c>
      <c r="J1219">
        <v>3791</v>
      </c>
      <c r="K1219" t="b">
        <f>TrafficData[[#This Row],[disposedChallan]]+TrafficData[[#This Row],[pendingChallan]]=TrafficData[[#This Row],[totalChallan]]</f>
        <v>1</v>
      </c>
      <c r="L1219" t="b">
        <f>TrafficData[[#This Row],[pendingAmount]]+TrafficData[[#This Row],[disposedAmount]]=TrafficData[[#This Row],[totalAmount]]</f>
        <v>1</v>
      </c>
      <c r="M1219" t="b">
        <f>TrafficData[[#This Row],[pendingCourt]]+TrafficData[[#This Row],[disposedCourt]]=TrafficData[[#This Row],[totalCourt]]</f>
        <v>1</v>
      </c>
      <c r="N1219" s="8" t="b">
        <f>AND(TrafficData[[#This Row],[disposedChallan]]&lt;=TrafficData[[#This Row],[totalChallan]],TrafficData[[#This Row],[pendingChallan]]&lt;=TrafficData[[#This Row],[totalChallan]])</f>
        <v>1</v>
      </c>
      <c r="O1219" s="8" t="b">
        <f>AND(TrafficData[[#This Row],[pendingAmount]]&lt;=TrafficData[[#This Row],[totalAmount]],TrafficData[[#This Row],[disposedAmount]]&lt;=TrafficData[[#This Row],[totalAmount]])</f>
        <v>1</v>
      </c>
      <c r="P1219" s="8" t="b">
        <f>AND(TrafficData[[#This Row],[pendingCourt]]&lt;=TrafficData[[#This Row],[totalCourt]],TrafficData[[#This Row],[disposedCourt]]&lt;=TrafficData[[#This Row],[totalCourt]])</f>
        <v>1</v>
      </c>
    </row>
    <row r="1220" spans="1:16">
      <c r="A1220" s="1">
        <v>43223</v>
      </c>
      <c r="B1220">
        <v>8638</v>
      </c>
      <c r="C1220">
        <v>6443</v>
      </c>
      <c r="D1220">
        <v>2195</v>
      </c>
      <c r="E1220">
        <v>4576950</v>
      </c>
      <c r="F1220">
        <v>13784229</v>
      </c>
      <c r="G1220">
        <v>18361179</v>
      </c>
      <c r="H1220">
        <v>1461</v>
      </c>
      <c r="I1220">
        <v>546</v>
      </c>
      <c r="J1220">
        <v>2007</v>
      </c>
      <c r="K1220" t="b">
        <f>TrafficData[[#This Row],[disposedChallan]]+TrafficData[[#This Row],[pendingChallan]]=TrafficData[[#This Row],[totalChallan]]</f>
        <v>1</v>
      </c>
      <c r="L1220" t="b">
        <f>TrafficData[[#This Row],[pendingAmount]]+TrafficData[[#This Row],[disposedAmount]]=TrafficData[[#This Row],[totalAmount]]</f>
        <v>1</v>
      </c>
      <c r="M1220" t="b">
        <f>TrafficData[[#This Row],[pendingCourt]]+TrafficData[[#This Row],[disposedCourt]]=TrafficData[[#This Row],[totalCourt]]</f>
        <v>1</v>
      </c>
      <c r="N1220" s="8" t="b">
        <f>AND(TrafficData[[#This Row],[disposedChallan]]&lt;=TrafficData[[#This Row],[totalChallan]],TrafficData[[#This Row],[pendingChallan]]&lt;=TrafficData[[#This Row],[totalChallan]])</f>
        <v>1</v>
      </c>
      <c r="O1220" s="8" t="b">
        <f>AND(TrafficData[[#This Row],[pendingAmount]]&lt;=TrafficData[[#This Row],[totalAmount]],TrafficData[[#This Row],[disposedAmount]]&lt;=TrafficData[[#This Row],[totalAmount]])</f>
        <v>1</v>
      </c>
      <c r="P1220" s="8" t="b">
        <f>AND(TrafficData[[#This Row],[pendingCourt]]&lt;=TrafficData[[#This Row],[totalCourt]],TrafficData[[#This Row],[disposedCourt]]&lt;=TrafficData[[#This Row],[totalCourt]])</f>
        <v>1</v>
      </c>
    </row>
    <row r="1221" spans="1:16">
      <c r="A1221" s="1">
        <v>43224</v>
      </c>
      <c r="B1221">
        <v>9357</v>
      </c>
      <c r="C1221">
        <v>6990</v>
      </c>
      <c r="D1221">
        <v>2367</v>
      </c>
      <c r="E1221">
        <v>4860168</v>
      </c>
      <c r="F1221">
        <v>15731150</v>
      </c>
      <c r="G1221">
        <v>20591318</v>
      </c>
      <c r="H1221">
        <v>1391</v>
      </c>
      <c r="I1221">
        <v>534</v>
      </c>
      <c r="J1221">
        <v>1925</v>
      </c>
      <c r="K1221" t="b">
        <f>TrafficData[[#This Row],[disposedChallan]]+TrafficData[[#This Row],[pendingChallan]]=TrafficData[[#This Row],[totalChallan]]</f>
        <v>1</v>
      </c>
      <c r="L1221" t="b">
        <f>TrafficData[[#This Row],[pendingAmount]]+TrafficData[[#This Row],[disposedAmount]]=TrafficData[[#This Row],[totalAmount]]</f>
        <v>1</v>
      </c>
      <c r="M1221" t="b">
        <f>TrafficData[[#This Row],[pendingCourt]]+TrafficData[[#This Row],[disposedCourt]]=TrafficData[[#This Row],[totalCourt]]</f>
        <v>1</v>
      </c>
      <c r="N1221" s="8" t="b">
        <f>AND(TrafficData[[#This Row],[disposedChallan]]&lt;=TrafficData[[#This Row],[totalChallan]],TrafficData[[#This Row],[pendingChallan]]&lt;=TrafficData[[#This Row],[totalChallan]])</f>
        <v>1</v>
      </c>
      <c r="O1221" s="8" t="b">
        <f>AND(TrafficData[[#This Row],[pendingAmount]]&lt;=TrafficData[[#This Row],[totalAmount]],TrafficData[[#This Row],[disposedAmount]]&lt;=TrafficData[[#This Row],[totalAmount]])</f>
        <v>1</v>
      </c>
      <c r="P1221" s="8" t="b">
        <f>AND(TrafficData[[#This Row],[pendingCourt]]&lt;=TrafficData[[#This Row],[totalCourt]],TrafficData[[#This Row],[disposedCourt]]&lt;=TrafficData[[#This Row],[totalCourt]])</f>
        <v>1</v>
      </c>
    </row>
    <row r="1222" spans="1:16">
      <c r="A1222" s="1">
        <v>43225</v>
      </c>
      <c r="B1222">
        <v>8022</v>
      </c>
      <c r="C1222">
        <v>6193</v>
      </c>
      <c r="D1222">
        <v>1829</v>
      </c>
      <c r="E1222">
        <v>3515300</v>
      </c>
      <c r="F1222">
        <v>14020433</v>
      </c>
      <c r="G1222">
        <v>17535733</v>
      </c>
      <c r="H1222">
        <v>819</v>
      </c>
      <c r="I1222">
        <v>400</v>
      </c>
      <c r="J1222">
        <v>1219</v>
      </c>
      <c r="K1222" t="b">
        <f>TrafficData[[#This Row],[disposedChallan]]+TrafficData[[#This Row],[pendingChallan]]=TrafficData[[#This Row],[totalChallan]]</f>
        <v>1</v>
      </c>
      <c r="L1222" t="b">
        <f>TrafficData[[#This Row],[pendingAmount]]+TrafficData[[#This Row],[disposedAmount]]=TrafficData[[#This Row],[totalAmount]]</f>
        <v>1</v>
      </c>
      <c r="M1222" t="b">
        <f>TrafficData[[#This Row],[pendingCourt]]+TrafficData[[#This Row],[disposedCourt]]=TrafficData[[#This Row],[totalCourt]]</f>
        <v>1</v>
      </c>
      <c r="N1222" s="8" t="b">
        <f>AND(TrafficData[[#This Row],[disposedChallan]]&lt;=TrafficData[[#This Row],[totalChallan]],TrafficData[[#This Row],[pendingChallan]]&lt;=TrafficData[[#This Row],[totalChallan]])</f>
        <v>1</v>
      </c>
      <c r="O1222" s="8" t="b">
        <f>AND(TrafficData[[#This Row],[pendingAmount]]&lt;=TrafficData[[#This Row],[totalAmount]],TrafficData[[#This Row],[disposedAmount]]&lt;=TrafficData[[#This Row],[totalAmount]])</f>
        <v>1</v>
      </c>
      <c r="P1222" s="8" t="b">
        <f>AND(TrafficData[[#This Row],[pendingCourt]]&lt;=TrafficData[[#This Row],[totalCourt]],TrafficData[[#This Row],[disposedCourt]]&lt;=TrafficData[[#This Row],[totalCourt]])</f>
        <v>1</v>
      </c>
    </row>
    <row r="1223" spans="1:16">
      <c r="A1223" s="1">
        <v>43226</v>
      </c>
      <c r="B1223">
        <v>3007</v>
      </c>
      <c r="C1223">
        <v>2285</v>
      </c>
      <c r="D1223">
        <v>722</v>
      </c>
      <c r="E1223">
        <v>1327450</v>
      </c>
      <c r="F1223">
        <v>3675260</v>
      </c>
      <c r="G1223">
        <v>5002710</v>
      </c>
      <c r="H1223">
        <v>413</v>
      </c>
      <c r="I1223">
        <v>104</v>
      </c>
      <c r="J1223">
        <v>517</v>
      </c>
      <c r="K1223" t="b">
        <f>TrafficData[[#This Row],[disposedChallan]]+TrafficData[[#This Row],[pendingChallan]]=TrafficData[[#This Row],[totalChallan]]</f>
        <v>1</v>
      </c>
      <c r="L1223" t="b">
        <f>TrafficData[[#This Row],[pendingAmount]]+TrafficData[[#This Row],[disposedAmount]]=TrafficData[[#This Row],[totalAmount]]</f>
        <v>1</v>
      </c>
      <c r="M1223" t="b">
        <f>TrafficData[[#This Row],[pendingCourt]]+TrafficData[[#This Row],[disposedCourt]]=TrafficData[[#This Row],[totalCourt]]</f>
        <v>1</v>
      </c>
      <c r="N1223" s="8" t="b">
        <f>AND(TrafficData[[#This Row],[disposedChallan]]&lt;=TrafficData[[#This Row],[totalChallan]],TrafficData[[#This Row],[pendingChallan]]&lt;=TrafficData[[#This Row],[totalChallan]])</f>
        <v>1</v>
      </c>
      <c r="O1223" s="8" t="b">
        <f>AND(TrafficData[[#This Row],[pendingAmount]]&lt;=TrafficData[[#This Row],[totalAmount]],TrafficData[[#This Row],[disposedAmount]]&lt;=TrafficData[[#This Row],[totalAmount]])</f>
        <v>1</v>
      </c>
      <c r="P1223" s="8" t="b">
        <f>AND(TrafficData[[#This Row],[pendingCourt]]&lt;=TrafficData[[#This Row],[totalCourt]],TrafficData[[#This Row],[disposedCourt]]&lt;=TrafficData[[#This Row],[totalCourt]])</f>
        <v>1</v>
      </c>
    </row>
    <row r="1224" spans="1:16">
      <c r="A1224" s="1">
        <v>43227</v>
      </c>
      <c r="B1224">
        <v>9907</v>
      </c>
      <c r="C1224">
        <v>7560</v>
      </c>
      <c r="D1224">
        <v>2347</v>
      </c>
      <c r="E1224">
        <v>4424681</v>
      </c>
      <c r="F1224">
        <v>10522474</v>
      </c>
      <c r="G1224">
        <v>14947155</v>
      </c>
      <c r="H1224">
        <v>1337</v>
      </c>
      <c r="I1224">
        <v>511</v>
      </c>
      <c r="J1224">
        <v>1848</v>
      </c>
      <c r="K1224" t="b">
        <f>TrafficData[[#This Row],[disposedChallan]]+TrafficData[[#This Row],[pendingChallan]]=TrafficData[[#This Row],[totalChallan]]</f>
        <v>1</v>
      </c>
      <c r="L1224" t="b">
        <f>TrafficData[[#This Row],[pendingAmount]]+TrafficData[[#This Row],[disposedAmount]]=TrafficData[[#This Row],[totalAmount]]</f>
        <v>1</v>
      </c>
      <c r="M1224" t="b">
        <f>TrafficData[[#This Row],[pendingCourt]]+TrafficData[[#This Row],[disposedCourt]]=TrafficData[[#This Row],[totalCourt]]</f>
        <v>1</v>
      </c>
      <c r="N1224" s="8" t="b">
        <f>AND(TrafficData[[#This Row],[disposedChallan]]&lt;=TrafficData[[#This Row],[totalChallan]],TrafficData[[#This Row],[pendingChallan]]&lt;=TrafficData[[#This Row],[totalChallan]])</f>
        <v>1</v>
      </c>
      <c r="O1224" s="8" t="b">
        <f>AND(TrafficData[[#This Row],[pendingAmount]]&lt;=TrafficData[[#This Row],[totalAmount]],TrafficData[[#This Row],[disposedAmount]]&lt;=TrafficData[[#This Row],[totalAmount]])</f>
        <v>1</v>
      </c>
      <c r="P1224" s="8" t="b">
        <f>AND(TrafficData[[#This Row],[pendingCourt]]&lt;=TrafficData[[#This Row],[totalCourt]],TrafficData[[#This Row],[disposedCourt]]&lt;=TrafficData[[#This Row],[totalCourt]])</f>
        <v>1</v>
      </c>
    </row>
    <row r="1225" spans="1:16">
      <c r="A1225" s="1">
        <v>43228</v>
      </c>
      <c r="B1225">
        <v>12419</v>
      </c>
      <c r="C1225">
        <v>9126</v>
      </c>
      <c r="D1225">
        <v>3293</v>
      </c>
      <c r="E1225">
        <v>5208199</v>
      </c>
      <c r="F1225">
        <v>15913494</v>
      </c>
      <c r="G1225">
        <v>21121693</v>
      </c>
      <c r="H1225">
        <v>1886</v>
      </c>
      <c r="I1225">
        <v>620</v>
      </c>
      <c r="J1225">
        <v>2506</v>
      </c>
      <c r="K1225" t="b">
        <f>TrafficData[[#This Row],[disposedChallan]]+TrafficData[[#This Row],[pendingChallan]]=TrafficData[[#This Row],[totalChallan]]</f>
        <v>1</v>
      </c>
      <c r="L1225" t="b">
        <f>TrafficData[[#This Row],[pendingAmount]]+TrafficData[[#This Row],[disposedAmount]]=TrafficData[[#This Row],[totalAmount]]</f>
        <v>1</v>
      </c>
      <c r="M1225" t="b">
        <f>TrafficData[[#This Row],[pendingCourt]]+TrafficData[[#This Row],[disposedCourt]]=TrafficData[[#This Row],[totalCourt]]</f>
        <v>1</v>
      </c>
      <c r="N1225" s="8" t="b">
        <f>AND(TrafficData[[#This Row],[disposedChallan]]&lt;=TrafficData[[#This Row],[totalChallan]],TrafficData[[#This Row],[pendingChallan]]&lt;=TrafficData[[#This Row],[totalChallan]])</f>
        <v>1</v>
      </c>
      <c r="O1225" s="8" t="b">
        <f>AND(TrafficData[[#This Row],[pendingAmount]]&lt;=TrafficData[[#This Row],[totalAmount]],TrafficData[[#This Row],[disposedAmount]]&lt;=TrafficData[[#This Row],[totalAmount]])</f>
        <v>1</v>
      </c>
      <c r="P1225" s="8" t="b">
        <f>AND(TrafficData[[#This Row],[pendingCourt]]&lt;=TrafficData[[#This Row],[totalCourt]],TrafficData[[#This Row],[disposedCourt]]&lt;=TrafficData[[#This Row],[totalCourt]])</f>
        <v>1</v>
      </c>
    </row>
    <row r="1226" spans="1:16">
      <c r="A1226" s="1">
        <v>43229</v>
      </c>
      <c r="B1226">
        <v>17749</v>
      </c>
      <c r="C1226">
        <v>12634</v>
      </c>
      <c r="D1226">
        <v>5115</v>
      </c>
      <c r="E1226">
        <v>8239310</v>
      </c>
      <c r="F1226">
        <v>18842797</v>
      </c>
      <c r="G1226">
        <v>27082107</v>
      </c>
      <c r="H1226">
        <v>3538</v>
      </c>
      <c r="I1226">
        <v>966</v>
      </c>
      <c r="J1226">
        <v>4504</v>
      </c>
      <c r="K1226" t="b">
        <f>TrafficData[[#This Row],[disposedChallan]]+TrafficData[[#This Row],[pendingChallan]]=TrafficData[[#This Row],[totalChallan]]</f>
        <v>1</v>
      </c>
      <c r="L1226" t="b">
        <f>TrafficData[[#This Row],[pendingAmount]]+TrafficData[[#This Row],[disposedAmount]]=TrafficData[[#This Row],[totalAmount]]</f>
        <v>1</v>
      </c>
      <c r="M1226" t="b">
        <f>TrafficData[[#This Row],[pendingCourt]]+TrafficData[[#This Row],[disposedCourt]]=TrafficData[[#This Row],[totalCourt]]</f>
        <v>1</v>
      </c>
      <c r="N1226" s="8" t="b">
        <f>AND(TrafficData[[#This Row],[disposedChallan]]&lt;=TrafficData[[#This Row],[totalChallan]],TrafficData[[#This Row],[pendingChallan]]&lt;=TrafficData[[#This Row],[totalChallan]])</f>
        <v>1</v>
      </c>
      <c r="O1226" s="8" t="b">
        <f>AND(TrafficData[[#This Row],[pendingAmount]]&lt;=TrafficData[[#This Row],[totalAmount]],TrafficData[[#This Row],[disposedAmount]]&lt;=TrafficData[[#This Row],[totalAmount]])</f>
        <v>1</v>
      </c>
      <c r="P1226" s="8" t="b">
        <f>AND(TrafficData[[#This Row],[pendingCourt]]&lt;=TrafficData[[#This Row],[totalCourt]],TrafficData[[#This Row],[disposedCourt]]&lt;=TrafficData[[#This Row],[totalCourt]])</f>
        <v>1</v>
      </c>
    </row>
    <row r="1227" spans="1:16">
      <c r="A1227" s="1">
        <v>43230</v>
      </c>
      <c r="B1227">
        <v>10950</v>
      </c>
      <c r="C1227">
        <v>7828</v>
      </c>
      <c r="D1227">
        <v>3122</v>
      </c>
      <c r="E1227">
        <v>3719730</v>
      </c>
      <c r="F1227">
        <v>15463417</v>
      </c>
      <c r="G1227">
        <v>19183147</v>
      </c>
      <c r="H1227">
        <v>1905</v>
      </c>
      <c r="I1227">
        <v>395</v>
      </c>
      <c r="J1227">
        <v>2300</v>
      </c>
      <c r="K1227" t="b">
        <f>TrafficData[[#This Row],[disposedChallan]]+TrafficData[[#This Row],[pendingChallan]]=TrafficData[[#This Row],[totalChallan]]</f>
        <v>1</v>
      </c>
      <c r="L1227" t="b">
        <f>TrafficData[[#This Row],[pendingAmount]]+TrafficData[[#This Row],[disposedAmount]]=TrafficData[[#This Row],[totalAmount]]</f>
        <v>1</v>
      </c>
      <c r="M1227" t="b">
        <f>TrafficData[[#This Row],[pendingCourt]]+TrafficData[[#This Row],[disposedCourt]]=TrafficData[[#This Row],[totalCourt]]</f>
        <v>1</v>
      </c>
      <c r="N1227" s="8" t="b">
        <f>AND(TrafficData[[#This Row],[disposedChallan]]&lt;=TrafficData[[#This Row],[totalChallan]],TrafficData[[#This Row],[pendingChallan]]&lt;=TrafficData[[#This Row],[totalChallan]])</f>
        <v>1</v>
      </c>
      <c r="O1227" s="8" t="b">
        <f>AND(TrafficData[[#This Row],[pendingAmount]]&lt;=TrafficData[[#This Row],[totalAmount]],TrafficData[[#This Row],[disposedAmount]]&lt;=TrafficData[[#This Row],[totalAmount]])</f>
        <v>1</v>
      </c>
      <c r="P1227" s="8" t="b">
        <f>AND(TrafficData[[#This Row],[pendingCourt]]&lt;=TrafficData[[#This Row],[totalCourt]],TrafficData[[#This Row],[disposedCourt]]&lt;=TrafficData[[#This Row],[totalCourt]])</f>
        <v>1</v>
      </c>
    </row>
    <row r="1228" spans="1:16">
      <c r="A1228" s="1">
        <v>43231</v>
      </c>
      <c r="B1228">
        <v>11108</v>
      </c>
      <c r="C1228">
        <v>8549</v>
      </c>
      <c r="D1228">
        <v>2559</v>
      </c>
      <c r="E1228">
        <v>3480050</v>
      </c>
      <c r="F1228">
        <v>13222565</v>
      </c>
      <c r="G1228">
        <v>16702615</v>
      </c>
      <c r="H1228">
        <v>1409</v>
      </c>
      <c r="I1228">
        <v>369</v>
      </c>
      <c r="J1228">
        <v>1778</v>
      </c>
      <c r="K1228" t="b">
        <f>TrafficData[[#This Row],[disposedChallan]]+TrafficData[[#This Row],[pendingChallan]]=TrafficData[[#This Row],[totalChallan]]</f>
        <v>1</v>
      </c>
      <c r="L1228" t="b">
        <f>TrafficData[[#This Row],[pendingAmount]]+TrafficData[[#This Row],[disposedAmount]]=TrafficData[[#This Row],[totalAmount]]</f>
        <v>1</v>
      </c>
      <c r="M1228" t="b">
        <f>TrafficData[[#This Row],[pendingCourt]]+TrafficData[[#This Row],[disposedCourt]]=TrafficData[[#This Row],[totalCourt]]</f>
        <v>1</v>
      </c>
      <c r="N1228" s="8" t="b">
        <f>AND(TrafficData[[#This Row],[disposedChallan]]&lt;=TrafficData[[#This Row],[totalChallan]],TrafficData[[#This Row],[pendingChallan]]&lt;=TrafficData[[#This Row],[totalChallan]])</f>
        <v>1</v>
      </c>
      <c r="O1228" s="8" t="b">
        <f>AND(TrafficData[[#This Row],[pendingAmount]]&lt;=TrafficData[[#This Row],[totalAmount]],TrafficData[[#This Row],[disposedAmount]]&lt;=TrafficData[[#This Row],[totalAmount]])</f>
        <v>1</v>
      </c>
      <c r="P1228" s="8" t="b">
        <f>AND(TrafficData[[#This Row],[pendingCourt]]&lt;=TrafficData[[#This Row],[totalCourt]],TrafficData[[#This Row],[disposedCourt]]&lt;=TrafficData[[#This Row],[totalCourt]])</f>
        <v>1</v>
      </c>
    </row>
    <row r="1229" spans="1:16">
      <c r="A1229" s="1">
        <v>43232</v>
      </c>
      <c r="B1229">
        <v>10300</v>
      </c>
      <c r="C1229">
        <v>7974</v>
      </c>
      <c r="D1229">
        <v>2326</v>
      </c>
      <c r="E1229">
        <v>2495850</v>
      </c>
      <c r="F1229">
        <v>11067930</v>
      </c>
      <c r="G1229">
        <v>13563780</v>
      </c>
      <c r="H1229">
        <v>1196</v>
      </c>
      <c r="I1229">
        <v>242</v>
      </c>
      <c r="J1229">
        <v>1438</v>
      </c>
      <c r="K1229" t="b">
        <f>TrafficData[[#This Row],[disposedChallan]]+TrafficData[[#This Row],[pendingChallan]]=TrafficData[[#This Row],[totalChallan]]</f>
        <v>1</v>
      </c>
      <c r="L1229" t="b">
        <f>TrafficData[[#This Row],[pendingAmount]]+TrafficData[[#This Row],[disposedAmount]]=TrafficData[[#This Row],[totalAmount]]</f>
        <v>1</v>
      </c>
      <c r="M1229" t="b">
        <f>TrafficData[[#This Row],[pendingCourt]]+TrafficData[[#This Row],[disposedCourt]]=TrafficData[[#This Row],[totalCourt]]</f>
        <v>1</v>
      </c>
      <c r="N1229" s="8" t="b">
        <f>AND(TrafficData[[#This Row],[disposedChallan]]&lt;=TrafficData[[#This Row],[totalChallan]],TrafficData[[#This Row],[pendingChallan]]&lt;=TrafficData[[#This Row],[totalChallan]])</f>
        <v>1</v>
      </c>
      <c r="O1229" s="8" t="b">
        <f>AND(TrafficData[[#This Row],[pendingAmount]]&lt;=TrafficData[[#This Row],[totalAmount]],TrafficData[[#This Row],[disposedAmount]]&lt;=TrafficData[[#This Row],[totalAmount]])</f>
        <v>1</v>
      </c>
      <c r="P1229" s="8" t="b">
        <f>AND(TrafficData[[#This Row],[pendingCourt]]&lt;=TrafficData[[#This Row],[totalCourt]],TrafficData[[#This Row],[disposedCourt]]&lt;=TrafficData[[#This Row],[totalCourt]])</f>
        <v>1</v>
      </c>
    </row>
    <row r="1230" spans="1:16">
      <c r="A1230" s="1">
        <v>43233</v>
      </c>
      <c r="B1230">
        <v>4583</v>
      </c>
      <c r="C1230">
        <v>3594</v>
      </c>
      <c r="D1230">
        <v>989</v>
      </c>
      <c r="E1230">
        <v>955950</v>
      </c>
      <c r="F1230">
        <v>3673900</v>
      </c>
      <c r="G1230">
        <v>4629850</v>
      </c>
      <c r="H1230">
        <v>563</v>
      </c>
      <c r="I1230">
        <v>121</v>
      </c>
      <c r="J1230">
        <v>684</v>
      </c>
      <c r="K1230" t="b">
        <f>TrafficData[[#This Row],[disposedChallan]]+TrafficData[[#This Row],[pendingChallan]]=TrafficData[[#This Row],[totalChallan]]</f>
        <v>1</v>
      </c>
      <c r="L1230" t="b">
        <f>TrafficData[[#This Row],[pendingAmount]]+TrafficData[[#This Row],[disposedAmount]]=TrafficData[[#This Row],[totalAmount]]</f>
        <v>1</v>
      </c>
      <c r="M1230" t="b">
        <f>TrafficData[[#This Row],[pendingCourt]]+TrafficData[[#This Row],[disposedCourt]]=TrafficData[[#This Row],[totalCourt]]</f>
        <v>1</v>
      </c>
      <c r="N1230" s="8" t="b">
        <f>AND(TrafficData[[#This Row],[disposedChallan]]&lt;=TrafficData[[#This Row],[totalChallan]],TrafficData[[#This Row],[pendingChallan]]&lt;=TrafficData[[#This Row],[totalChallan]])</f>
        <v>1</v>
      </c>
      <c r="O1230" s="8" t="b">
        <f>AND(TrafficData[[#This Row],[pendingAmount]]&lt;=TrafficData[[#This Row],[totalAmount]],TrafficData[[#This Row],[disposedAmount]]&lt;=TrafficData[[#This Row],[totalAmount]])</f>
        <v>1</v>
      </c>
      <c r="P1230" s="8" t="b">
        <f>AND(TrafficData[[#This Row],[pendingCourt]]&lt;=TrafficData[[#This Row],[totalCourt]],TrafficData[[#This Row],[disposedCourt]]&lt;=TrafficData[[#This Row],[totalCourt]])</f>
        <v>1</v>
      </c>
    </row>
    <row r="1231" spans="1:16">
      <c r="A1231" s="1">
        <v>43234</v>
      </c>
      <c r="B1231">
        <v>9684</v>
      </c>
      <c r="C1231">
        <v>7718</v>
      </c>
      <c r="D1231">
        <v>1966</v>
      </c>
      <c r="E1231">
        <v>3417395</v>
      </c>
      <c r="F1231">
        <v>11618786</v>
      </c>
      <c r="G1231">
        <v>15036181</v>
      </c>
      <c r="H1231">
        <v>1109</v>
      </c>
      <c r="I1231">
        <v>248</v>
      </c>
      <c r="J1231">
        <v>1357</v>
      </c>
      <c r="K1231" t="b">
        <f>TrafficData[[#This Row],[disposedChallan]]+TrafficData[[#This Row],[pendingChallan]]=TrafficData[[#This Row],[totalChallan]]</f>
        <v>1</v>
      </c>
      <c r="L1231" t="b">
        <f>TrafficData[[#This Row],[pendingAmount]]+TrafficData[[#This Row],[disposedAmount]]=TrafficData[[#This Row],[totalAmount]]</f>
        <v>1</v>
      </c>
      <c r="M1231" t="b">
        <f>TrafficData[[#This Row],[pendingCourt]]+TrafficData[[#This Row],[disposedCourt]]=TrafficData[[#This Row],[totalCourt]]</f>
        <v>1</v>
      </c>
      <c r="N1231" s="8" t="b">
        <f>AND(TrafficData[[#This Row],[disposedChallan]]&lt;=TrafficData[[#This Row],[totalChallan]],TrafficData[[#This Row],[pendingChallan]]&lt;=TrafficData[[#This Row],[totalChallan]])</f>
        <v>1</v>
      </c>
      <c r="O1231" s="8" t="b">
        <f>AND(TrafficData[[#This Row],[pendingAmount]]&lt;=TrafficData[[#This Row],[totalAmount]],TrafficData[[#This Row],[disposedAmount]]&lt;=TrafficData[[#This Row],[totalAmount]])</f>
        <v>1</v>
      </c>
      <c r="P1231" s="8" t="b">
        <f>AND(TrafficData[[#This Row],[pendingCourt]]&lt;=TrafficData[[#This Row],[totalCourt]],TrafficData[[#This Row],[disposedCourt]]&lt;=TrafficData[[#This Row],[totalCourt]])</f>
        <v>1</v>
      </c>
    </row>
    <row r="1232" spans="1:16">
      <c r="A1232" s="1">
        <v>43235</v>
      </c>
      <c r="B1232">
        <v>10286</v>
      </c>
      <c r="C1232">
        <v>8338</v>
      </c>
      <c r="D1232">
        <v>1948</v>
      </c>
      <c r="E1232">
        <v>3166950</v>
      </c>
      <c r="F1232">
        <v>20229737</v>
      </c>
      <c r="G1232">
        <v>23396687</v>
      </c>
      <c r="H1232">
        <v>1196</v>
      </c>
      <c r="I1232">
        <v>292</v>
      </c>
      <c r="J1232">
        <v>1488</v>
      </c>
      <c r="K1232" t="b">
        <f>TrafficData[[#This Row],[disposedChallan]]+TrafficData[[#This Row],[pendingChallan]]=TrafficData[[#This Row],[totalChallan]]</f>
        <v>1</v>
      </c>
      <c r="L1232" t="b">
        <f>TrafficData[[#This Row],[pendingAmount]]+TrafficData[[#This Row],[disposedAmount]]=TrafficData[[#This Row],[totalAmount]]</f>
        <v>1</v>
      </c>
      <c r="M1232" t="b">
        <f>TrafficData[[#This Row],[pendingCourt]]+TrafficData[[#This Row],[disposedCourt]]=TrafficData[[#This Row],[totalCourt]]</f>
        <v>1</v>
      </c>
      <c r="N1232" s="8" t="b">
        <f>AND(TrafficData[[#This Row],[disposedChallan]]&lt;=TrafficData[[#This Row],[totalChallan]],TrafficData[[#This Row],[pendingChallan]]&lt;=TrafficData[[#This Row],[totalChallan]])</f>
        <v>1</v>
      </c>
      <c r="O1232" s="8" t="b">
        <f>AND(TrafficData[[#This Row],[pendingAmount]]&lt;=TrafficData[[#This Row],[totalAmount]],TrafficData[[#This Row],[disposedAmount]]&lt;=TrafficData[[#This Row],[totalAmount]])</f>
        <v>1</v>
      </c>
      <c r="P1232" s="8" t="b">
        <f>AND(TrafficData[[#This Row],[pendingCourt]]&lt;=TrafficData[[#This Row],[totalCourt]],TrafficData[[#This Row],[disposedCourt]]&lt;=TrafficData[[#This Row],[totalCourt]])</f>
        <v>1</v>
      </c>
    </row>
    <row r="1233" spans="1:16">
      <c r="A1233" s="1">
        <v>43236</v>
      </c>
      <c r="B1233">
        <v>16124</v>
      </c>
      <c r="C1233">
        <v>12106</v>
      </c>
      <c r="D1233">
        <v>4018</v>
      </c>
      <c r="E1233">
        <v>7853705</v>
      </c>
      <c r="F1233">
        <v>14982589</v>
      </c>
      <c r="G1233">
        <v>22836294</v>
      </c>
      <c r="H1233">
        <v>3122</v>
      </c>
      <c r="I1233">
        <v>809</v>
      </c>
      <c r="J1233">
        <v>3931</v>
      </c>
      <c r="K1233" t="b">
        <f>TrafficData[[#This Row],[disposedChallan]]+TrafficData[[#This Row],[pendingChallan]]=TrafficData[[#This Row],[totalChallan]]</f>
        <v>1</v>
      </c>
      <c r="L1233" t="b">
        <f>TrafficData[[#This Row],[pendingAmount]]+TrafficData[[#This Row],[disposedAmount]]=TrafficData[[#This Row],[totalAmount]]</f>
        <v>1</v>
      </c>
      <c r="M1233" t="b">
        <f>TrafficData[[#This Row],[pendingCourt]]+TrafficData[[#This Row],[disposedCourt]]=TrafficData[[#This Row],[totalCourt]]</f>
        <v>1</v>
      </c>
      <c r="N1233" s="8" t="b">
        <f>AND(TrafficData[[#This Row],[disposedChallan]]&lt;=TrafficData[[#This Row],[totalChallan]],TrafficData[[#This Row],[pendingChallan]]&lt;=TrafficData[[#This Row],[totalChallan]])</f>
        <v>1</v>
      </c>
      <c r="O1233" s="8" t="b">
        <f>AND(TrafficData[[#This Row],[pendingAmount]]&lt;=TrafficData[[#This Row],[totalAmount]],TrafficData[[#This Row],[disposedAmount]]&lt;=TrafficData[[#This Row],[totalAmount]])</f>
        <v>1</v>
      </c>
      <c r="P1233" s="8" t="b">
        <f>AND(TrafficData[[#This Row],[pendingCourt]]&lt;=TrafficData[[#This Row],[totalCourt]],TrafficData[[#This Row],[disposedCourt]]&lt;=TrafficData[[#This Row],[totalCourt]])</f>
        <v>1</v>
      </c>
    </row>
    <row r="1234" spans="1:16">
      <c r="A1234" s="1">
        <v>43237</v>
      </c>
      <c r="B1234">
        <v>8959</v>
      </c>
      <c r="C1234">
        <v>6899</v>
      </c>
      <c r="D1234">
        <v>2060</v>
      </c>
      <c r="E1234">
        <v>3141697</v>
      </c>
      <c r="F1234">
        <v>17021860</v>
      </c>
      <c r="G1234">
        <v>20163557</v>
      </c>
      <c r="H1234">
        <v>1390</v>
      </c>
      <c r="I1234">
        <v>306</v>
      </c>
      <c r="J1234">
        <v>1696</v>
      </c>
      <c r="K1234" t="b">
        <f>TrafficData[[#This Row],[disposedChallan]]+TrafficData[[#This Row],[pendingChallan]]=TrafficData[[#This Row],[totalChallan]]</f>
        <v>1</v>
      </c>
      <c r="L1234" t="b">
        <f>TrafficData[[#This Row],[pendingAmount]]+TrafficData[[#This Row],[disposedAmount]]=TrafficData[[#This Row],[totalAmount]]</f>
        <v>1</v>
      </c>
      <c r="M1234" t="b">
        <f>TrafficData[[#This Row],[pendingCourt]]+TrafficData[[#This Row],[disposedCourt]]=TrafficData[[#This Row],[totalCourt]]</f>
        <v>1</v>
      </c>
      <c r="N1234" s="8" t="b">
        <f>AND(TrafficData[[#This Row],[disposedChallan]]&lt;=TrafficData[[#This Row],[totalChallan]],TrafficData[[#This Row],[pendingChallan]]&lt;=TrafficData[[#This Row],[totalChallan]])</f>
        <v>1</v>
      </c>
      <c r="O1234" s="8" t="b">
        <f>AND(TrafficData[[#This Row],[pendingAmount]]&lt;=TrafficData[[#This Row],[totalAmount]],TrafficData[[#This Row],[disposedAmount]]&lt;=TrafficData[[#This Row],[totalAmount]])</f>
        <v>1</v>
      </c>
      <c r="P1234" s="8" t="b">
        <f>AND(TrafficData[[#This Row],[pendingCourt]]&lt;=TrafficData[[#This Row],[totalCourt]],TrafficData[[#This Row],[disposedCourt]]&lt;=TrafficData[[#This Row],[totalCourt]])</f>
        <v>1</v>
      </c>
    </row>
    <row r="1235" spans="1:16">
      <c r="A1235" s="1">
        <v>43238</v>
      </c>
      <c r="B1235">
        <v>8626</v>
      </c>
      <c r="C1235">
        <v>6428</v>
      </c>
      <c r="D1235">
        <v>2198</v>
      </c>
      <c r="E1235">
        <v>3465848</v>
      </c>
      <c r="F1235">
        <v>19431034</v>
      </c>
      <c r="G1235">
        <v>22896882</v>
      </c>
      <c r="H1235">
        <v>1371</v>
      </c>
      <c r="I1235">
        <v>326</v>
      </c>
      <c r="J1235">
        <v>1697</v>
      </c>
      <c r="K1235" t="b">
        <f>TrafficData[[#This Row],[disposedChallan]]+TrafficData[[#This Row],[pendingChallan]]=TrafficData[[#This Row],[totalChallan]]</f>
        <v>1</v>
      </c>
      <c r="L1235" t="b">
        <f>TrafficData[[#This Row],[pendingAmount]]+TrafficData[[#This Row],[disposedAmount]]=TrafficData[[#This Row],[totalAmount]]</f>
        <v>1</v>
      </c>
      <c r="M1235" t="b">
        <f>TrafficData[[#This Row],[pendingCourt]]+TrafficData[[#This Row],[disposedCourt]]=TrafficData[[#This Row],[totalCourt]]</f>
        <v>1</v>
      </c>
      <c r="N1235" s="8" t="b">
        <f>AND(TrafficData[[#This Row],[disposedChallan]]&lt;=TrafficData[[#This Row],[totalChallan]],TrafficData[[#This Row],[pendingChallan]]&lt;=TrafficData[[#This Row],[totalChallan]])</f>
        <v>1</v>
      </c>
      <c r="O1235" s="8" t="b">
        <f>AND(TrafficData[[#This Row],[pendingAmount]]&lt;=TrafficData[[#This Row],[totalAmount]],TrafficData[[#This Row],[disposedAmount]]&lt;=TrafficData[[#This Row],[totalAmount]])</f>
        <v>1</v>
      </c>
      <c r="P1235" s="8" t="b">
        <f>AND(TrafficData[[#This Row],[pendingCourt]]&lt;=TrafficData[[#This Row],[totalCourt]],TrafficData[[#This Row],[disposedCourt]]&lt;=TrafficData[[#This Row],[totalCourt]])</f>
        <v>1</v>
      </c>
    </row>
    <row r="1236" spans="1:16">
      <c r="A1236" s="1">
        <v>43239</v>
      </c>
      <c r="B1236">
        <v>7742</v>
      </c>
      <c r="C1236">
        <v>6009</v>
      </c>
      <c r="D1236">
        <v>1733</v>
      </c>
      <c r="E1236">
        <v>3045151</v>
      </c>
      <c r="F1236">
        <v>14397986</v>
      </c>
      <c r="G1236">
        <v>17443137</v>
      </c>
      <c r="H1236">
        <v>1112</v>
      </c>
      <c r="I1236">
        <v>213</v>
      </c>
      <c r="J1236">
        <v>1325</v>
      </c>
      <c r="K1236" t="b">
        <f>TrafficData[[#This Row],[disposedChallan]]+TrafficData[[#This Row],[pendingChallan]]=TrafficData[[#This Row],[totalChallan]]</f>
        <v>1</v>
      </c>
      <c r="L1236" t="b">
        <f>TrafficData[[#This Row],[pendingAmount]]+TrafficData[[#This Row],[disposedAmount]]=TrafficData[[#This Row],[totalAmount]]</f>
        <v>1</v>
      </c>
      <c r="M1236" t="b">
        <f>TrafficData[[#This Row],[pendingCourt]]+TrafficData[[#This Row],[disposedCourt]]=TrafficData[[#This Row],[totalCourt]]</f>
        <v>1</v>
      </c>
      <c r="N1236" s="8" t="b">
        <f>AND(TrafficData[[#This Row],[disposedChallan]]&lt;=TrafficData[[#This Row],[totalChallan]],TrafficData[[#This Row],[pendingChallan]]&lt;=TrafficData[[#This Row],[totalChallan]])</f>
        <v>1</v>
      </c>
      <c r="O1236" s="8" t="b">
        <f>AND(TrafficData[[#This Row],[pendingAmount]]&lt;=TrafficData[[#This Row],[totalAmount]],TrafficData[[#This Row],[disposedAmount]]&lt;=TrafficData[[#This Row],[totalAmount]])</f>
        <v>1</v>
      </c>
      <c r="P1236" s="8" t="b">
        <f>AND(TrafficData[[#This Row],[pendingCourt]]&lt;=TrafficData[[#This Row],[totalCourt]],TrafficData[[#This Row],[disposedCourt]]&lt;=TrafficData[[#This Row],[totalCourt]])</f>
        <v>1</v>
      </c>
    </row>
    <row r="1237" spans="1:16">
      <c r="A1237" s="1">
        <v>43240</v>
      </c>
      <c r="B1237">
        <v>5163</v>
      </c>
      <c r="C1237">
        <v>3888</v>
      </c>
      <c r="D1237">
        <v>1275</v>
      </c>
      <c r="E1237">
        <v>1710050</v>
      </c>
      <c r="F1237">
        <v>8446977</v>
      </c>
      <c r="G1237">
        <v>10157027</v>
      </c>
      <c r="H1237">
        <v>624</v>
      </c>
      <c r="I1237">
        <v>147</v>
      </c>
      <c r="J1237">
        <v>771</v>
      </c>
      <c r="K1237" t="b">
        <f>TrafficData[[#This Row],[disposedChallan]]+TrafficData[[#This Row],[pendingChallan]]=TrafficData[[#This Row],[totalChallan]]</f>
        <v>1</v>
      </c>
      <c r="L1237" t="b">
        <f>TrafficData[[#This Row],[pendingAmount]]+TrafficData[[#This Row],[disposedAmount]]=TrafficData[[#This Row],[totalAmount]]</f>
        <v>1</v>
      </c>
      <c r="M1237" t="b">
        <f>TrafficData[[#This Row],[pendingCourt]]+TrafficData[[#This Row],[disposedCourt]]=TrafficData[[#This Row],[totalCourt]]</f>
        <v>1</v>
      </c>
      <c r="N1237" s="8" t="b">
        <f>AND(TrafficData[[#This Row],[disposedChallan]]&lt;=TrafficData[[#This Row],[totalChallan]],TrafficData[[#This Row],[pendingChallan]]&lt;=TrafficData[[#This Row],[totalChallan]])</f>
        <v>1</v>
      </c>
      <c r="O1237" s="8" t="b">
        <f>AND(TrafficData[[#This Row],[pendingAmount]]&lt;=TrafficData[[#This Row],[totalAmount]],TrafficData[[#This Row],[disposedAmount]]&lt;=TrafficData[[#This Row],[totalAmount]])</f>
        <v>1</v>
      </c>
      <c r="P1237" s="8" t="b">
        <f>AND(TrafficData[[#This Row],[pendingCourt]]&lt;=TrafficData[[#This Row],[totalCourt]],TrafficData[[#This Row],[disposedCourt]]&lt;=TrafficData[[#This Row],[totalCourt]])</f>
        <v>1</v>
      </c>
    </row>
    <row r="1238" spans="1:16">
      <c r="A1238" s="1">
        <v>43241</v>
      </c>
      <c r="B1238">
        <v>9066</v>
      </c>
      <c r="C1238">
        <v>7106</v>
      </c>
      <c r="D1238">
        <v>1960</v>
      </c>
      <c r="E1238">
        <v>2833821</v>
      </c>
      <c r="F1238">
        <v>13061703</v>
      </c>
      <c r="G1238">
        <v>15895524</v>
      </c>
      <c r="H1238">
        <v>1050</v>
      </c>
      <c r="I1238">
        <v>232</v>
      </c>
      <c r="J1238">
        <v>1282</v>
      </c>
      <c r="K1238" t="b">
        <f>TrafficData[[#This Row],[disposedChallan]]+TrafficData[[#This Row],[pendingChallan]]=TrafficData[[#This Row],[totalChallan]]</f>
        <v>1</v>
      </c>
      <c r="L1238" t="b">
        <f>TrafficData[[#This Row],[pendingAmount]]+TrafficData[[#This Row],[disposedAmount]]=TrafficData[[#This Row],[totalAmount]]</f>
        <v>1</v>
      </c>
      <c r="M1238" t="b">
        <f>TrafficData[[#This Row],[pendingCourt]]+TrafficData[[#This Row],[disposedCourt]]=TrafficData[[#This Row],[totalCourt]]</f>
        <v>1</v>
      </c>
      <c r="N1238" s="8" t="b">
        <f>AND(TrafficData[[#This Row],[disposedChallan]]&lt;=TrafficData[[#This Row],[totalChallan]],TrafficData[[#This Row],[pendingChallan]]&lt;=TrafficData[[#This Row],[totalChallan]])</f>
        <v>1</v>
      </c>
      <c r="O1238" s="8" t="b">
        <f>AND(TrafficData[[#This Row],[pendingAmount]]&lt;=TrafficData[[#This Row],[totalAmount]],TrafficData[[#This Row],[disposedAmount]]&lt;=TrafficData[[#This Row],[totalAmount]])</f>
        <v>1</v>
      </c>
      <c r="P1238" s="8" t="b">
        <f>AND(TrafficData[[#This Row],[pendingCourt]]&lt;=TrafficData[[#This Row],[totalCourt]],TrafficData[[#This Row],[disposedCourt]]&lt;=TrafficData[[#This Row],[totalCourt]])</f>
        <v>1</v>
      </c>
    </row>
    <row r="1239" spans="1:16">
      <c r="A1239" s="1">
        <v>43242</v>
      </c>
      <c r="B1239">
        <v>16985</v>
      </c>
      <c r="C1239">
        <v>14790</v>
      </c>
      <c r="D1239">
        <v>2195</v>
      </c>
      <c r="E1239">
        <v>3802650</v>
      </c>
      <c r="F1239">
        <v>17138103</v>
      </c>
      <c r="G1239">
        <v>20940753</v>
      </c>
      <c r="H1239">
        <v>1332</v>
      </c>
      <c r="I1239">
        <v>279</v>
      </c>
      <c r="J1239">
        <v>1611</v>
      </c>
      <c r="K1239" t="b">
        <f>TrafficData[[#This Row],[disposedChallan]]+TrafficData[[#This Row],[pendingChallan]]=TrafficData[[#This Row],[totalChallan]]</f>
        <v>1</v>
      </c>
      <c r="L1239" t="b">
        <f>TrafficData[[#This Row],[pendingAmount]]+TrafficData[[#This Row],[disposedAmount]]=TrafficData[[#This Row],[totalAmount]]</f>
        <v>1</v>
      </c>
      <c r="M1239" t="b">
        <f>TrafficData[[#This Row],[pendingCourt]]+TrafficData[[#This Row],[disposedCourt]]=TrafficData[[#This Row],[totalCourt]]</f>
        <v>1</v>
      </c>
      <c r="N1239" s="8" t="b">
        <f>AND(TrafficData[[#This Row],[disposedChallan]]&lt;=TrafficData[[#This Row],[totalChallan]],TrafficData[[#This Row],[pendingChallan]]&lt;=TrafficData[[#This Row],[totalChallan]])</f>
        <v>1</v>
      </c>
      <c r="O1239" s="8" t="b">
        <f>AND(TrafficData[[#This Row],[pendingAmount]]&lt;=TrafficData[[#This Row],[totalAmount]],TrafficData[[#This Row],[disposedAmount]]&lt;=TrafficData[[#This Row],[totalAmount]])</f>
        <v>1</v>
      </c>
      <c r="P1239" s="8" t="b">
        <f>AND(TrafficData[[#This Row],[pendingCourt]]&lt;=TrafficData[[#This Row],[totalCourt]],TrafficData[[#This Row],[disposedCourt]]&lt;=TrafficData[[#This Row],[totalCourt]])</f>
        <v>1</v>
      </c>
    </row>
    <row r="1240" spans="1:16">
      <c r="A1240" s="1">
        <v>43243</v>
      </c>
      <c r="B1240">
        <v>15858</v>
      </c>
      <c r="C1240">
        <v>11743</v>
      </c>
      <c r="D1240">
        <v>4115</v>
      </c>
      <c r="E1240">
        <v>7946750</v>
      </c>
      <c r="F1240">
        <v>17244390</v>
      </c>
      <c r="G1240">
        <v>25191140</v>
      </c>
      <c r="H1240">
        <v>3248</v>
      </c>
      <c r="I1240">
        <v>821</v>
      </c>
      <c r="J1240">
        <v>4069</v>
      </c>
      <c r="K1240" t="b">
        <f>TrafficData[[#This Row],[disposedChallan]]+TrafficData[[#This Row],[pendingChallan]]=TrafficData[[#This Row],[totalChallan]]</f>
        <v>1</v>
      </c>
      <c r="L1240" t="b">
        <f>TrafficData[[#This Row],[pendingAmount]]+TrafficData[[#This Row],[disposedAmount]]=TrafficData[[#This Row],[totalAmount]]</f>
        <v>1</v>
      </c>
      <c r="M1240" t="b">
        <f>TrafficData[[#This Row],[pendingCourt]]+TrafficData[[#This Row],[disposedCourt]]=TrafficData[[#This Row],[totalCourt]]</f>
        <v>1</v>
      </c>
      <c r="N1240" s="8" t="b">
        <f>AND(TrafficData[[#This Row],[disposedChallan]]&lt;=TrafficData[[#This Row],[totalChallan]],TrafficData[[#This Row],[pendingChallan]]&lt;=TrafficData[[#This Row],[totalChallan]])</f>
        <v>1</v>
      </c>
      <c r="O1240" s="8" t="b">
        <f>AND(TrafficData[[#This Row],[pendingAmount]]&lt;=TrafficData[[#This Row],[totalAmount]],TrafficData[[#This Row],[disposedAmount]]&lt;=TrafficData[[#This Row],[totalAmount]])</f>
        <v>1</v>
      </c>
      <c r="P1240" s="8" t="b">
        <f>AND(TrafficData[[#This Row],[pendingCourt]]&lt;=TrafficData[[#This Row],[totalCourt]],TrafficData[[#This Row],[disposedCourt]]&lt;=TrafficData[[#This Row],[totalCourt]])</f>
        <v>1</v>
      </c>
    </row>
    <row r="1241" spans="1:16">
      <c r="A1241" s="1">
        <v>43244</v>
      </c>
      <c r="B1241">
        <v>15651</v>
      </c>
      <c r="C1241">
        <v>14024</v>
      </c>
      <c r="D1241">
        <v>1627</v>
      </c>
      <c r="E1241">
        <v>2821801</v>
      </c>
      <c r="F1241">
        <v>14332632</v>
      </c>
      <c r="G1241">
        <v>17154433</v>
      </c>
      <c r="H1241">
        <v>1028</v>
      </c>
      <c r="I1241">
        <v>201</v>
      </c>
      <c r="J1241">
        <v>1229</v>
      </c>
      <c r="K1241" t="b">
        <f>TrafficData[[#This Row],[disposedChallan]]+TrafficData[[#This Row],[pendingChallan]]=TrafficData[[#This Row],[totalChallan]]</f>
        <v>1</v>
      </c>
      <c r="L1241" t="b">
        <f>TrafficData[[#This Row],[pendingAmount]]+TrafficData[[#This Row],[disposedAmount]]=TrafficData[[#This Row],[totalAmount]]</f>
        <v>1</v>
      </c>
      <c r="M1241" t="b">
        <f>TrafficData[[#This Row],[pendingCourt]]+TrafficData[[#This Row],[disposedCourt]]=TrafficData[[#This Row],[totalCourt]]</f>
        <v>1</v>
      </c>
      <c r="N1241" s="8" t="b">
        <f>AND(TrafficData[[#This Row],[disposedChallan]]&lt;=TrafficData[[#This Row],[totalChallan]],TrafficData[[#This Row],[pendingChallan]]&lt;=TrafficData[[#This Row],[totalChallan]])</f>
        <v>1</v>
      </c>
      <c r="O1241" s="8" t="b">
        <f>AND(TrafficData[[#This Row],[pendingAmount]]&lt;=TrafficData[[#This Row],[totalAmount]],TrafficData[[#This Row],[disposedAmount]]&lt;=TrafficData[[#This Row],[totalAmount]])</f>
        <v>1</v>
      </c>
      <c r="P1241" s="8" t="b">
        <f>AND(TrafficData[[#This Row],[pendingCourt]]&lt;=TrafficData[[#This Row],[totalCourt]],TrafficData[[#This Row],[disposedCourt]]&lt;=TrafficData[[#This Row],[totalCourt]])</f>
        <v>1</v>
      </c>
    </row>
    <row r="1242" spans="1:16">
      <c r="A1242" s="1">
        <v>43245</v>
      </c>
      <c r="B1242">
        <v>7885</v>
      </c>
      <c r="C1242">
        <v>6312</v>
      </c>
      <c r="D1242">
        <v>1573</v>
      </c>
      <c r="E1242">
        <v>3337300</v>
      </c>
      <c r="F1242">
        <v>13842327</v>
      </c>
      <c r="G1242">
        <v>17179627</v>
      </c>
      <c r="H1242">
        <v>1037</v>
      </c>
      <c r="I1242">
        <v>234</v>
      </c>
      <c r="J1242">
        <v>1271</v>
      </c>
      <c r="K1242" t="b">
        <f>TrafficData[[#This Row],[disposedChallan]]+TrafficData[[#This Row],[pendingChallan]]=TrafficData[[#This Row],[totalChallan]]</f>
        <v>1</v>
      </c>
      <c r="L1242" t="b">
        <f>TrafficData[[#This Row],[pendingAmount]]+TrafficData[[#This Row],[disposedAmount]]=TrafficData[[#This Row],[totalAmount]]</f>
        <v>1</v>
      </c>
      <c r="M1242" t="b">
        <f>TrafficData[[#This Row],[pendingCourt]]+TrafficData[[#This Row],[disposedCourt]]=TrafficData[[#This Row],[totalCourt]]</f>
        <v>1</v>
      </c>
      <c r="N1242" s="8" t="b">
        <f>AND(TrafficData[[#This Row],[disposedChallan]]&lt;=TrafficData[[#This Row],[totalChallan]],TrafficData[[#This Row],[pendingChallan]]&lt;=TrafficData[[#This Row],[totalChallan]])</f>
        <v>1</v>
      </c>
      <c r="O1242" s="8" t="b">
        <f>AND(TrafficData[[#This Row],[pendingAmount]]&lt;=TrafficData[[#This Row],[totalAmount]],TrafficData[[#This Row],[disposedAmount]]&lt;=TrafficData[[#This Row],[totalAmount]])</f>
        <v>1</v>
      </c>
      <c r="P1242" s="8" t="b">
        <f>AND(TrafficData[[#This Row],[pendingCourt]]&lt;=TrafficData[[#This Row],[totalCourt]],TrafficData[[#This Row],[disposedCourt]]&lt;=TrafficData[[#This Row],[totalCourt]])</f>
        <v>1</v>
      </c>
    </row>
    <row r="1243" spans="1:16">
      <c r="A1243" s="1">
        <v>43246</v>
      </c>
      <c r="B1243">
        <v>7047</v>
      </c>
      <c r="C1243">
        <v>5919</v>
      </c>
      <c r="D1243">
        <v>1128</v>
      </c>
      <c r="E1243">
        <v>2187350</v>
      </c>
      <c r="F1243">
        <v>9858581</v>
      </c>
      <c r="G1243">
        <v>12045931</v>
      </c>
      <c r="H1243">
        <v>721</v>
      </c>
      <c r="I1243">
        <v>190</v>
      </c>
      <c r="J1243">
        <v>911</v>
      </c>
      <c r="K1243" t="b">
        <f>TrafficData[[#This Row],[disposedChallan]]+TrafficData[[#This Row],[pendingChallan]]=TrafficData[[#This Row],[totalChallan]]</f>
        <v>1</v>
      </c>
      <c r="L1243" t="b">
        <f>TrafficData[[#This Row],[pendingAmount]]+TrafficData[[#This Row],[disposedAmount]]=TrafficData[[#This Row],[totalAmount]]</f>
        <v>1</v>
      </c>
      <c r="M1243" t="b">
        <f>TrafficData[[#This Row],[pendingCourt]]+TrafficData[[#This Row],[disposedCourt]]=TrafficData[[#This Row],[totalCourt]]</f>
        <v>1</v>
      </c>
      <c r="N1243" s="8" t="b">
        <f>AND(TrafficData[[#This Row],[disposedChallan]]&lt;=TrafficData[[#This Row],[totalChallan]],TrafficData[[#This Row],[pendingChallan]]&lt;=TrafficData[[#This Row],[totalChallan]])</f>
        <v>1</v>
      </c>
      <c r="O1243" s="8" t="b">
        <f>AND(TrafficData[[#This Row],[pendingAmount]]&lt;=TrafficData[[#This Row],[totalAmount]],TrafficData[[#This Row],[disposedAmount]]&lt;=TrafficData[[#This Row],[totalAmount]])</f>
        <v>1</v>
      </c>
      <c r="P1243" s="8" t="b">
        <f>AND(TrafficData[[#This Row],[pendingCourt]]&lt;=TrafficData[[#This Row],[totalCourt]],TrafficData[[#This Row],[disposedCourt]]&lt;=TrafficData[[#This Row],[totalCourt]])</f>
        <v>1</v>
      </c>
    </row>
    <row r="1244" spans="1:16">
      <c r="A1244" s="1">
        <v>43247</v>
      </c>
      <c r="B1244">
        <v>4261</v>
      </c>
      <c r="C1244">
        <v>3404</v>
      </c>
      <c r="D1244">
        <v>857</v>
      </c>
      <c r="E1244">
        <v>1392523</v>
      </c>
      <c r="F1244">
        <v>6931680</v>
      </c>
      <c r="G1244">
        <v>8324203</v>
      </c>
      <c r="H1244">
        <v>486</v>
      </c>
      <c r="I1244">
        <v>137</v>
      </c>
      <c r="J1244">
        <v>623</v>
      </c>
      <c r="K1244" t="b">
        <f>TrafficData[[#This Row],[disposedChallan]]+TrafficData[[#This Row],[pendingChallan]]=TrafficData[[#This Row],[totalChallan]]</f>
        <v>1</v>
      </c>
      <c r="L1244" t="b">
        <f>TrafficData[[#This Row],[pendingAmount]]+TrafficData[[#This Row],[disposedAmount]]=TrafficData[[#This Row],[totalAmount]]</f>
        <v>1</v>
      </c>
      <c r="M1244" t="b">
        <f>TrafficData[[#This Row],[pendingCourt]]+TrafficData[[#This Row],[disposedCourt]]=TrafficData[[#This Row],[totalCourt]]</f>
        <v>1</v>
      </c>
      <c r="N1244" s="8" t="b">
        <f>AND(TrafficData[[#This Row],[disposedChallan]]&lt;=TrafficData[[#This Row],[totalChallan]],TrafficData[[#This Row],[pendingChallan]]&lt;=TrafficData[[#This Row],[totalChallan]])</f>
        <v>1</v>
      </c>
      <c r="O1244" s="8" t="b">
        <f>AND(TrafficData[[#This Row],[pendingAmount]]&lt;=TrafficData[[#This Row],[totalAmount]],TrafficData[[#This Row],[disposedAmount]]&lt;=TrafficData[[#This Row],[totalAmount]])</f>
        <v>1</v>
      </c>
      <c r="P1244" s="8" t="b">
        <f>AND(TrafficData[[#This Row],[pendingCourt]]&lt;=TrafficData[[#This Row],[totalCourt]],TrafficData[[#This Row],[disposedCourt]]&lt;=TrafficData[[#This Row],[totalCourt]])</f>
        <v>1</v>
      </c>
    </row>
    <row r="1245" spans="1:16">
      <c r="A1245" s="1">
        <v>43248</v>
      </c>
      <c r="B1245">
        <v>12837</v>
      </c>
      <c r="C1245">
        <v>11204</v>
      </c>
      <c r="D1245">
        <v>1633</v>
      </c>
      <c r="E1245">
        <v>2397300</v>
      </c>
      <c r="F1245">
        <v>11022033</v>
      </c>
      <c r="G1245">
        <v>13419333</v>
      </c>
      <c r="H1245">
        <v>1078</v>
      </c>
      <c r="I1245">
        <v>198</v>
      </c>
      <c r="J1245">
        <v>1276</v>
      </c>
      <c r="K1245" t="b">
        <f>TrafficData[[#This Row],[disposedChallan]]+TrafficData[[#This Row],[pendingChallan]]=TrafficData[[#This Row],[totalChallan]]</f>
        <v>1</v>
      </c>
      <c r="L1245" t="b">
        <f>TrafficData[[#This Row],[pendingAmount]]+TrafficData[[#This Row],[disposedAmount]]=TrafficData[[#This Row],[totalAmount]]</f>
        <v>1</v>
      </c>
      <c r="M1245" t="b">
        <f>TrafficData[[#This Row],[pendingCourt]]+TrafficData[[#This Row],[disposedCourt]]=TrafficData[[#This Row],[totalCourt]]</f>
        <v>1</v>
      </c>
      <c r="N1245" s="8" t="b">
        <f>AND(TrafficData[[#This Row],[disposedChallan]]&lt;=TrafficData[[#This Row],[totalChallan]],TrafficData[[#This Row],[pendingChallan]]&lt;=TrafficData[[#This Row],[totalChallan]])</f>
        <v>1</v>
      </c>
      <c r="O1245" s="8" t="b">
        <f>AND(TrafficData[[#This Row],[pendingAmount]]&lt;=TrafficData[[#This Row],[totalAmount]],TrafficData[[#This Row],[disposedAmount]]&lt;=TrafficData[[#This Row],[totalAmount]])</f>
        <v>1</v>
      </c>
      <c r="P1245" s="8" t="b">
        <f>AND(TrafficData[[#This Row],[pendingCourt]]&lt;=TrafficData[[#This Row],[totalCourt]],TrafficData[[#This Row],[disposedCourt]]&lt;=TrafficData[[#This Row],[totalCourt]])</f>
        <v>1</v>
      </c>
    </row>
    <row r="1246" spans="1:16">
      <c r="A1246" s="1">
        <v>43249</v>
      </c>
      <c r="B1246">
        <v>8953</v>
      </c>
      <c r="C1246">
        <v>6888</v>
      </c>
      <c r="D1246">
        <v>2065</v>
      </c>
      <c r="E1246">
        <v>3475000</v>
      </c>
      <c r="F1246">
        <v>18330535</v>
      </c>
      <c r="G1246">
        <v>21805535</v>
      </c>
      <c r="H1246">
        <v>1267</v>
      </c>
      <c r="I1246">
        <v>273</v>
      </c>
      <c r="J1246">
        <v>1540</v>
      </c>
      <c r="K1246" t="b">
        <f>TrafficData[[#This Row],[disposedChallan]]+TrafficData[[#This Row],[pendingChallan]]=TrafficData[[#This Row],[totalChallan]]</f>
        <v>1</v>
      </c>
      <c r="L1246" t="b">
        <f>TrafficData[[#This Row],[pendingAmount]]+TrafficData[[#This Row],[disposedAmount]]=TrafficData[[#This Row],[totalAmount]]</f>
        <v>1</v>
      </c>
      <c r="M1246" t="b">
        <f>TrafficData[[#This Row],[pendingCourt]]+TrafficData[[#This Row],[disposedCourt]]=TrafficData[[#This Row],[totalCourt]]</f>
        <v>1</v>
      </c>
      <c r="N1246" s="8" t="b">
        <f>AND(TrafficData[[#This Row],[disposedChallan]]&lt;=TrafficData[[#This Row],[totalChallan]],TrafficData[[#This Row],[pendingChallan]]&lt;=TrafficData[[#This Row],[totalChallan]])</f>
        <v>1</v>
      </c>
      <c r="O1246" s="8" t="b">
        <f>AND(TrafficData[[#This Row],[pendingAmount]]&lt;=TrafficData[[#This Row],[totalAmount]],TrafficData[[#This Row],[disposedAmount]]&lt;=TrafficData[[#This Row],[totalAmount]])</f>
        <v>1</v>
      </c>
      <c r="P1246" s="8" t="b">
        <f>AND(TrafficData[[#This Row],[pendingCourt]]&lt;=TrafficData[[#This Row],[totalCourt]],TrafficData[[#This Row],[disposedCourt]]&lt;=TrafficData[[#This Row],[totalCourt]])</f>
        <v>1</v>
      </c>
    </row>
    <row r="1247" spans="1:16">
      <c r="A1247" s="1">
        <v>43250</v>
      </c>
      <c r="B1247">
        <v>15915</v>
      </c>
      <c r="C1247">
        <v>11834</v>
      </c>
      <c r="D1247">
        <v>4081</v>
      </c>
      <c r="E1247">
        <v>7902500</v>
      </c>
      <c r="F1247">
        <v>17289045</v>
      </c>
      <c r="G1247">
        <v>25191545</v>
      </c>
      <c r="H1247">
        <v>3147</v>
      </c>
      <c r="I1247">
        <v>769</v>
      </c>
      <c r="J1247">
        <v>3916</v>
      </c>
      <c r="K1247" t="b">
        <f>TrafficData[[#This Row],[disposedChallan]]+TrafficData[[#This Row],[pendingChallan]]=TrafficData[[#This Row],[totalChallan]]</f>
        <v>1</v>
      </c>
      <c r="L1247" t="b">
        <f>TrafficData[[#This Row],[pendingAmount]]+TrafficData[[#This Row],[disposedAmount]]=TrafficData[[#This Row],[totalAmount]]</f>
        <v>1</v>
      </c>
      <c r="M1247" t="b">
        <f>TrafficData[[#This Row],[pendingCourt]]+TrafficData[[#This Row],[disposedCourt]]=TrafficData[[#This Row],[totalCourt]]</f>
        <v>1</v>
      </c>
      <c r="N1247" s="8" t="b">
        <f>AND(TrafficData[[#This Row],[disposedChallan]]&lt;=TrafficData[[#This Row],[totalChallan]],TrafficData[[#This Row],[pendingChallan]]&lt;=TrafficData[[#This Row],[totalChallan]])</f>
        <v>1</v>
      </c>
      <c r="O1247" s="8" t="b">
        <f>AND(TrafficData[[#This Row],[pendingAmount]]&lt;=TrafficData[[#This Row],[totalAmount]],TrafficData[[#This Row],[disposedAmount]]&lt;=TrafficData[[#This Row],[totalAmount]])</f>
        <v>1</v>
      </c>
      <c r="P1247" s="8" t="b">
        <f>AND(TrafficData[[#This Row],[pendingCourt]]&lt;=TrafficData[[#This Row],[totalCourt]],TrafficData[[#This Row],[disposedCourt]]&lt;=TrafficData[[#This Row],[totalCourt]])</f>
        <v>1</v>
      </c>
    </row>
    <row r="1248" spans="1:16">
      <c r="A1248" s="1">
        <v>43251</v>
      </c>
      <c r="B1248">
        <v>14882</v>
      </c>
      <c r="C1248">
        <v>13060</v>
      </c>
      <c r="D1248">
        <v>1822</v>
      </c>
      <c r="E1248">
        <v>3240140</v>
      </c>
      <c r="F1248">
        <v>13495652</v>
      </c>
      <c r="G1248">
        <v>16735792</v>
      </c>
      <c r="H1248">
        <v>1146</v>
      </c>
      <c r="I1248">
        <v>227</v>
      </c>
      <c r="J1248">
        <v>1373</v>
      </c>
      <c r="K1248" t="b">
        <f>TrafficData[[#This Row],[disposedChallan]]+TrafficData[[#This Row],[pendingChallan]]=TrafficData[[#This Row],[totalChallan]]</f>
        <v>1</v>
      </c>
      <c r="L1248" t="b">
        <f>TrafficData[[#This Row],[pendingAmount]]+TrafficData[[#This Row],[disposedAmount]]=TrafficData[[#This Row],[totalAmount]]</f>
        <v>1</v>
      </c>
      <c r="M1248" t="b">
        <f>TrafficData[[#This Row],[pendingCourt]]+TrafficData[[#This Row],[disposedCourt]]=TrafficData[[#This Row],[totalCourt]]</f>
        <v>1</v>
      </c>
      <c r="N1248" s="8" t="b">
        <f>AND(TrafficData[[#This Row],[disposedChallan]]&lt;=TrafficData[[#This Row],[totalChallan]],TrafficData[[#This Row],[pendingChallan]]&lt;=TrafficData[[#This Row],[totalChallan]])</f>
        <v>1</v>
      </c>
      <c r="O1248" s="8" t="b">
        <f>AND(TrafficData[[#This Row],[pendingAmount]]&lt;=TrafficData[[#This Row],[totalAmount]],TrafficData[[#This Row],[disposedAmount]]&lt;=TrafficData[[#This Row],[totalAmount]])</f>
        <v>1</v>
      </c>
      <c r="P1248" s="8" t="b">
        <f>AND(TrafficData[[#This Row],[pendingCourt]]&lt;=TrafficData[[#This Row],[totalCourt]],TrafficData[[#This Row],[disposedCourt]]&lt;=TrafficData[[#This Row],[totalCourt]])</f>
        <v>1</v>
      </c>
    </row>
    <row r="1249" spans="1:16">
      <c r="A1249" s="1">
        <v>43252</v>
      </c>
      <c r="B1249">
        <v>8033</v>
      </c>
      <c r="C1249">
        <v>6619</v>
      </c>
      <c r="D1249">
        <v>1414</v>
      </c>
      <c r="E1249">
        <v>2616955</v>
      </c>
      <c r="F1249">
        <v>14469340</v>
      </c>
      <c r="G1249">
        <v>17086295</v>
      </c>
      <c r="H1249">
        <v>828</v>
      </c>
      <c r="I1249">
        <v>213</v>
      </c>
      <c r="J1249">
        <v>1041</v>
      </c>
      <c r="K1249" t="b">
        <f>TrafficData[[#This Row],[disposedChallan]]+TrafficData[[#This Row],[pendingChallan]]=TrafficData[[#This Row],[totalChallan]]</f>
        <v>1</v>
      </c>
      <c r="L1249" t="b">
        <f>TrafficData[[#This Row],[pendingAmount]]+TrafficData[[#This Row],[disposedAmount]]=TrafficData[[#This Row],[totalAmount]]</f>
        <v>1</v>
      </c>
      <c r="M1249" t="b">
        <f>TrafficData[[#This Row],[pendingCourt]]+TrafficData[[#This Row],[disposedCourt]]=TrafficData[[#This Row],[totalCourt]]</f>
        <v>1</v>
      </c>
      <c r="N1249" s="8" t="b">
        <f>AND(TrafficData[[#This Row],[disposedChallan]]&lt;=TrafficData[[#This Row],[totalChallan]],TrafficData[[#This Row],[pendingChallan]]&lt;=TrafficData[[#This Row],[totalChallan]])</f>
        <v>1</v>
      </c>
      <c r="O1249" s="8" t="b">
        <f>AND(TrafficData[[#This Row],[pendingAmount]]&lt;=TrafficData[[#This Row],[totalAmount]],TrafficData[[#This Row],[disposedAmount]]&lt;=TrafficData[[#This Row],[totalAmount]])</f>
        <v>1</v>
      </c>
      <c r="P1249" s="8" t="b">
        <f>AND(TrafficData[[#This Row],[pendingCourt]]&lt;=TrafficData[[#This Row],[totalCourt]],TrafficData[[#This Row],[disposedCourt]]&lt;=TrafficData[[#This Row],[totalCourt]])</f>
        <v>1</v>
      </c>
    </row>
    <row r="1250" spans="1:16">
      <c r="A1250" s="1">
        <v>43253</v>
      </c>
      <c r="B1250">
        <v>8209</v>
      </c>
      <c r="C1250">
        <v>6738</v>
      </c>
      <c r="D1250">
        <v>1471</v>
      </c>
      <c r="E1250">
        <v>3039663</v>
      </c>
      <c r="F1250">
        <v>14316813</v>
      </c>
      <c r="G1250">
        <v>17356476</v>
      </c>
      <c r="H1250">
        <v>918</v>
      </c>
      <c r="I1250">
        <v>224</v>
      </c>
      <c r="J1250">
        <v>1142</v>
      </c>
      <c r="K1250" t="b">
        <f>TrafficData[[#This Row],[disposedChallan]]+TrafficData[[#This Row],[pendingChallan]]=TrafficData[[#This Row],[totalChallan]]</f>
        <v>1</v>
      </c>
      <c r="L1250" t="b">
        <f>TrafficData[[#This Row],[pendingAmount]]+TrafficData[[#This Row],[disposedAmount]]=TrafficData[[#This Row],[totalAmount]]</f>
        <v>1</v>
      </c>
      <c r="M1250" t="b">
        <f>TrafficData[[#This Row],[pendingCourt]]+TrafficData[[#This Row],[disposedCourt]]=TrafficData[[#This Row],[totalCourt]]</f>
        <v>1</v>
      </c>
      <c r="N1250" s="8" t="b">
        <f>AND(TrafficData[[#This Row],[disposedChallan]]&lt;=TrafficData[[#This Row],[totalChallan]],TrafficData[[#This Row],[pendingChallan]]&lt;=TrafficData[[#This Row],[totalChallan]])</f>
        <v>1</v>
      </c>
      <c r="O1250" s="8" t="b">
        <f>AND(TrafficData[[#This Row],[pendingAmount]]&lt;=TrafficData[[#This Row],[totalAmount]],TrafficData[[#This Row],[disposedAmount]]&lt;=TrafficData[[#This Row],[totalAmount]])</f>
        <v>1</v>
      </c>
      <c r="P1250" s="8" t="b">
        <f>AND(TrafficData[[#This Row],[pendingCourt]]&lt;=TrafficData[[#This Row],[totalCourt]],TrafficData[[#This Row],[disposedCourt]]&lt;=TrafficData[[#This Row],[totalCourt]])</f>
        <v>1</v>
      </c>
    </row>
    <row r="1251" spans="1:16">
      <c r="A1251" s="1">
        <v>43254</v>
      </c>
      <c r="B1251">
        <v>5030</v>
      </c>
      <c r="C1251">
        <v>4059</v>
      </c>
      <c r="D1251">
        <v>971</v>
      </c>
      <c r="E1251">
        <v>4545260</v>
      </c>
      <c r="F1251">
        <v>10597071</v>
      </c>
      <c r="G1251">
        <v>15142331</v>
      </c>
      <c r="H1251">
        <v>667</v>
      </c>
      <c r="I1251">
        <v>103</v>
      </c>
      <c r="J1251">
        <v>770</v>
      </c>
      <c r="K1251" t="b">
        <f>TrafficData[[#This Row],[disposedChallan]]+TrafficData[[#This Row],[pendingChallan]]=TrafficData[[#This Row],[totalChallan]]</f>
        <v>1</v>
      </c>
      <c r="L1251" t="b">
        <f>TrafficData[[#This Row],[pendingAmount]]+TrafficData[[#This Row],[disposedAmount]]=TrafficData[[#This Row],[totalAmount]]</f>
        <v>1</v>
      </c>
      <c r="M1251" t="b">
        <f>TrafficData[[#This Row],[pendingCourt]]+TrafficData[[#This Row],[disposedCourt]]=TrafficData[[#This Row],[totalCourt]]</f>
        <v>1</v>
      </c>
      <c r="N1251" s="8" t="b">
        <f>AND(TrafficData[[#This Row],[disposedChallan]]&lt;=TrafficData[[#This Row],[totalChallan]],TrafficData[[#This Row],[pendingChallan]]&lt;=TrafficData[[#This Row],[totalChallan]])</f>
        <v>1</v>
      </c>
      <c r="O1251" s="8" t="b">
        <f>AND(TrafficData[[#This Row],[pendingAmount]]&lt;=TrafficData[[#This Row],[totalAmount]],TrafficData[[#This Row],[disposedAmount]]&lt;=TrafficData[[#This Row],[totalAmount]])</f>
        <v>1</v>
      </c>
      <c r="P1251" s="8" t="b">
        <f>AND(TrafficData[[#This Row],[pendingCourt]]&lt;=TrafficData[[#This Row],[totalCourt]],TrafficData[[#This Row],[disposedCourt]]&lt;=TrafficData[[#This Row],[totalCourt]])</f>
        <v>1</v>
      </c>
    </row>
    <row r="1252" spans="1:16">
      <c r="A1252" s="1">
        <v>43255</v>
      </c>
      <c r="B1252">
        <v>8532</v>
      </c>
      <c r="C1252">
        <v>6936</v>
      </c>
      <c r="D1252">
        <v>1596</v>
      </c>
      <c r="E1252">
        <v>2591355</v>
      </c>
      <c r="F1252">
        <v>12346330</v>
      </c>
      <c r="G1252">
        <v>14937685</v>
      </c>
      <c r="H1252">
        <v>755</v>
      </c>
      <c r="I1252">
        <v>261</v>
      </c>
      <c r="J1252">
        <v>1016</v>
      </c>
      <c r="K1252" t="b">
        <f>TrafficData[[#This Row],[disposedChallan]]+TrafficData[[#This Row],[pendingChallan]]=TrafficData[[#This Row],[totalChallan]]</f>
        <v>1</v>
      </c>
      <c r="L1252" t="b">
        <f>TrafficData[[#This Row],[pendingAmount]]+TrafficData[[#This Row],[disposedAmount]]=TrafficData[[#This Row],[totalAmount]]</f>
        <v>1</v>
      </c>
      <c r="M1252" t="b">
        <f>TrafficData[[#This Row],[pendingCourt]]+TrafficData[[#This Row],[disposedCourt]]=TrafficData[[#This Row],[totalCourt]]</f>
        <v>1</v>
      </c>
      <c r="N1252" s="8" t="b">
        <f>AND(TrafficData[[#This Row],[disposedChallan]]&lt;=TrafficData[[#This Row],[totalChallan]],TrafficData[[#This Row],[pendingChallan]]&lt;=TrafficData[[#This Row],[totalChallan]])</f>
        <v>1</v>
      </c>
      <c r="O1252" s="8" t="b">
        <f>AND(TrafficData[[#This Row],[pendingAmount]]&lt;=TrafficData[[#This Row],[totalAmount]],TrafficData[[#This Row],[disposedAmount]]&lt;=TrafficData[[#This Row],[totalAmount]])</f>
        <v>1</v>
      </c>
      <c r="P1252" s="8" t="b">
        <f>AND(TrafficData[[#This Row],[pendingCourt]]&lt;=TrafficData[[#This Row],[totalCourt]],TrafficData[[#This Row],[disposedCourt]]&lt;=TrafficData[[#This Row],[totalCourt]])</f>
        <v>1</v>
      </c>
    </row>
    <row r="1253" spans="1:16">
      <c r="A1253" s="1">
        <v>43256</v>
      </c>
      <c r="B1253">
        <v>9533</v>
      </c>
      <c r="C1253">
        <v>7859</v>
      </c>
      <c r="D1253">
        <v>1674</v>
      </c>
      <c r="E1253">
        <v>3548597</v>
      </c>
      <c r="F1253">
        <v>19775707</v>
      </c>
      <c r="G1253">
        <v>23324304</v>
      </c>
      <c r="H1253">
        <v>828</v>
      </c>
      <c r="I1253">
        <v>292</v>
      </c>
      <c r="J1253">
        <v>1120</v>
      </c>
      <c r="K1253" t="b">
        <f>TrafficData[[#This Row],[disposedChallan]]+TrafficData[[#This Row],[pendingChallan]]=TrafficData[[#This Row],[totalChallan]]</f>
        <v>1</v>
      </c>
      <c r="L1253" t="b">
        <f>TrafficData[[#This Row],[pendingAmount]]+TrafficData[[#This Row],[disposedAmount]]=TrafficData[[#This Row],[totalAmount]]</f>
        <v>1</v>
      </c>
      <c r="M1253" t="b">
        <f>TrafficData[[#This Row],[pendingCourt]]+TrafficData[[#This Row],[disposedCourt]]=TrafficData[[#This Row],[totalCourt]]</f>
        <v>1</v>
      </c>
      <c r="N1253" s="8" t="b">
        <f>AND(TrafficData[[#This Row],[disposedChallan]]&lt;=TrafficData[[#This Row],[totalChallan]],TrafficData[[#This Row],[pendingChallan]]&lt;=TrafficData[[#This Row],[totalChallan]])</f>
        <v>1</v>
      </c>
      <c r="O1253" s="8" t="b">
        <f>AND(TrafficData[[#This Row],[pendingAmount]]&lt;=TrafficData[[#This Row],[totalAmount]],TrafficData[[#This Row],[disposedAmount]]&lt;=TrafficData[[#This Row],[totalAmount]])</f>
        <v>1</v>
      </c>
      <c r="P1253" s="8" t="b">
        <f>AND(TrafficData[[#This Row],[pendingCourt]]&lt;=TrafficData[[#This Row],[totalCourt]],TrafficData[[#This Row],[disposedCourt]]&lt;=TrafficData[[#This Row],[totalCourt]])</f>
        <v>1</v>
      </c>
    </row>
    <row r="1254" spans="1:16">
      <c r="A1254" s="1">
        <v>43257</v>
      </c>
      <c r="B1254">
        <v>16923</v>
      </c>
      <c r="C1254">
        <v>13049</v>
      </c>
      <c r="D1254">
        <v>3874</v>
      </c>
      <c r="E1254">
        <v>8682100</v>
      </c>
      <c r="F1254">
        <v>23407483</v>
      </c>
      <c r="G1254">
        <v>32089583</v>
      </c>
      <c r="H1254">
        <v>2725</v>
      </c>
      <c r="I1254">
        <v>949</v>
      </c>
      <c r="J1254">
        <v>3674</v>
      </c>
      <c r="K1254" t="b">
        <f>TrafficData[[#This Row],[disposedChallan]]+TrafficData[[#This Row],[pendingChallan]]=TrafficData[[#This Row],[totalChallan]]</f>
        <v>1</v>
      </c>
      <c r="L1254" t="b">
        <f>TrafficData[[#This Row],[pendingAmount]]+TrafficData[[#This Row],[disposedAmount]]=TrafficData[[#This Row],[totalAmount]]</f>
        <v>1</v>
      </c>
      <c r="M1254" t="b">
        <f>TrafficData[[#This Row],[pendingCourt]]+TrafficData[[#This Row],[disposedCourt]]=TrafficData[[#This Row],[totalCourt]]</f>
        <v>1</v>
      </c>
      <c r="N1254" s="8" t="b">
        <f>AND(TrafficData[[#This Row],[disposedChallan]]&lt;=TrafficData[[#This Row],[totalChallan]],TrafficData[[#This Row],[pendingChallan]]&lt;=TrafficData[[#This Row],[totalChallan]])</f>
        <v>1</v>
      </c>
      <c r="O1254" s="8" t="b">
        <f>AND(TrafficData[[#This Row],[pendingAmount]]&lt;=TrafficData[[#This Row],[totalAmount]],TrafficData[[#This Row],[disposedAmount]]&lt;=TrafficData[[#This Row],[totalAmount]])</f>
        <v>1</v>
      </c>
      <c r="P1254" s="8" t="b">
        <f>AND(TrafficData[[#This Row],[pendingCourt]]&lt;=TrafficData[[#This Row],[totalCourt]],TrafficData[[#This Row],[disposedCourt]]&lt;=TrafficData[[#This Row],[totalCourt]])</f>
        <v>1</v>
      </c>
    </row>
    <row r="1255" spans="1:16">
      <c r="A1255" s="1">
        <v>43258</v>
      </c>
      <c r="B1255">
        <v>18652</v>
      </c>
      <c r="C1255">
        <v>16740</v>
      </c>
      <c r="D1255">
        <v>1912</v>
      </c>
      <c r="E1255">
        <v>4093473</v>
      </c>
      <c r="F1255">
        <v>22562072</v>
      </c>
      <c r="G1255">
        <v>26655545</v>
      </c>
      <c r="H1255">
        <v>1148</v>
      </c>
      <c r="I1255">
        <v>347</v>
      </c>
      <c r="J1255">
        <v>1495</v>
      </c>
      <c r="K1255" t="b">
        <f>TrafficData[[#This Row],[disposedChallan]]+TrafficData[[#This Row],[pendingChallan]]=TrafficData[[#This Row],[totalChallan]]</f>
        <v>1</v>
      </c>
      <c r="L1255" t="b">
        <f>TrafficData[[#This Row],[pendingAmount]]+TrafficData[[#This Row],[disposedAmount]]=TrafficData[[#This Row],[totalAmount]]</f>
        <v>1</v>
      </c>
      <c r="M1255" t="b">
        <f>TrafficData[[#This Row],[pendingCourt]]+TrafficData[[#This Row],[disposedCourt]]=TrafficData[[#This Row],[totalCourt]]</f>
        <v>1</v>
      </c>
      <c r="N1255" s="8" t="b">
        <f>AND(TrafficData[[#This Row],[disposedChallan]]&lt;=TrafficData[[#This Row],[totalChallan]],TrafficData[[#This Row],[pendingChallan]]&lt;=TrafficData[[#This Row],[totalChallan]])</f>
        <v>1</v>
      </c>
      <c r="O1255" s="8" t="b">
        <f>AND(TrafficData[[#This Row],[pendingAmount]]&lt;=TrafficData[[#This Row],[totalAmount]],TrafficData[[#This Row],[disposedAmount]]&lt;=TrafficData[[#This Row],[totalAmount]])</f>
        <v>1</v>
      </c>
      <c r="P1255" s="8" t="b">
        <f>AND(TrafficData[[#This Row],[pendingCourt]]&lt;=TrafficData[[#This Row],[totalCourt]],TrafficData[[#This Row],[disposedCourt]]&lt;=TrafficData[[#This Row],[totalCourt]])</f>
        <v>1</v>
      </c>
    </row>
    <row r="1256" spans="1:16">
      <c r="A1256" s="1">
        <v>43259</v>
      </c>
      <c r="B1256">
        <v>9940</v>
      </c>
      <c r="C1256">
        <v>8448</v>
      </c>
      <c r="D1256">
        <v>1492</v>
      </c>
      <c r="E1256">
        <v>3141865</v>
      </c>
      <c r="F1256">
        <v>21503300</v>
      </c>
      <c r="G1256">
        <v>24645165</v>
      </c>
      <c r="H1256">
        <v>826</v>
      </c>
      <c r="I1256">
        <v>342</v>
      </c>
      <c r="J1256">
        <v>1168</v>
      </c>
      <c r="K1256" t="b">
        <f>TrafficData[[#This Row],[disposedChallan]]+TrafficData[[#This Row],[pendingChallan]]=TrafficData[[#This Row],[totalChallan]]</f>
        <v>1</v>
      </c>
      <c r="L1256" t="b">
        <f>TrafficData[[#This Row],[pendingAmount]]+TrafficData[[#This Row],[disposedAmount]]=TrafficData[[#This Row],[totalAmount]]</f>
        <v>1</v>
      </c>
      <c r="M1256" t="b">
        <f>TrafficData[[#This Row],[pendingCourt]]+TrafficData[[#This Row],[disposedCourt]]=TrafficData[[#This Row],[totalCourt]]</f>
        <v>1</v>
      </c>
      <c r="N1256" s="8" t="b">
        <f>AND(TrafficData[[#This Row],[disposedChallan]]&lt;=TrafficData[[#This Row],[totalChallan]],TrafficData[[#This Row],[pendingChallan]]&lt;=TrafficData[[#This Row],[totalChallan]])</f>
        <v>1</v>
      </c>
      <c r="O1256" s="8" t="b">
        <f>AND(TrafficData[[#This Row],[pendingAmount]]&lt;=TrafficData[[#This Row],[totalAmount]],TrafficData[[#This Row],[disposedAmount]]&lt;=TrafficData[[#This Row],[totalAmount]])</f>
        <v>1</v>
      </c>
      <c r="P1256" s="8" t="b">
        <f>AND(TrafficData[[#This Row],[pendingCourt]]&lt;=TrafficData[[#This Row],[totalCourt]],TrafficData[[#This Row],[disposedCourt]]&lt;=TrafficData[[#This Row],[totalCourt]])</f>
        <v>1</v>
      </c>
    </row>
    <row r="1257" spans="1:16">
      <c r="A1257" s="1">
        <v>43260</v>
      </c>
      <c r="B1257">
        <v>8746</v>
      </c>
      <c r="C1257">
        <v>7562</v>
      </c>
      <c r="D1257">
        <v>1184</v>
      </c>
      <c r="E1257">
        <v>2963450</v>
      </c>
      <c r="F1257">
        <v>18340695</v>
      </c>
      <c r="G1257">
        <v>21304145</v>
      </c>
      <c r="H1257">
        <v>675</v>
      </c>
      <c r="I1257">
        <v>355</v>
      </c>
      <c r="J1257">
        <v>1030</v>
      </c>
      <c r="K1257" t="b">
        <f>TrafficData[[#This Row],[disposedChallan]]+TrafficData[[#This Row],[pendingChallan]]=TrafficData[[#This Row],[totalChallan]]</f>
        <v>1</v>
      </c>
      <c r="L1257" t="b">
        <f>TrafficData[[#This Row],[pendingAmount]]+TrafficData[[#This Row],[disposedAmount]]=TrafficData[[#This Row],[totalAmount]]</f>
        <v>1</v>
      </c>
      <c r="M1257" t="b">
        <f>TrafficData[[#This Row],[pendingCourt]]+TrafficData[[#This Row],[disposedCourt]]=TrafficData[[#This Row],[totalCourt]]</f>
        <v>1</v>
      </c>
      <c r="N1257" s="8" t="b">
        <f>AND(TrafficData[[#This Row],[disposedChallan]]&lt;=TrafficData[[#This Row],[totalChallan]],TrafficData[[#This Row],[pendingChallan]]&lt;=TrafficData[[#This Row],[totalChallan]])</f>
        <v>1</v>
      </c>
      <c r="O1257" s="8" t="b">
        <f>AND(TrafficData[[#This Row],[pendingAmount]]&lt;=TrafficData[[#This Row],[totalAmount]],TrafficData[[#This Row],[disposedAmount]]&lt;=TrafficData[[#This Row],[totalAmount]])</f>
        <v>1</v>
      </c>
      <c r="P1257" s="8" t="b">
        <f>AND(TrafficData[[#This Row],[pendingCourt]]&lt;=TrafficData[[#This Row],[totalCourt]],TrafficData[[#This Row],[disposedCourt]]&lt;=TrafficData[[#This Row],[totalCourt]])</f>
        <v>1</v>
      </c>
    </row>
    <row r="1258" spans="1:16">
      <c r="A1258" s="1">
        <v>43261</v>
      </c>
      <c r="B1258">
        <v>6725</v>
      </c>
      <c r="C1258">
        <v>5865</v>
      </c>
      <c r="D1258">
        <v>860</v>
      </c>
      <c r="E1258">
        <v>1740010</v>
      </c>
      <c r="F1258">
        <v>7303796</v>
      </c>
      <c r="G1258">
        <v>9043806</v>
      </c>
      <c r="H1258">
        <v>433</v>
      </c>
      <c r="I1258">
        <v>154</v>
      </c>
      <c r="J1258">
        <v>587</v>
      </c>
      <c r="K1258" t="b">
        <f>TrafficData[[#This Row],[disposedChallan]]+TrafficData[[#This Row],[pendingChallan]]=TrafficData[[#This Row],[totalChallan]]</f>
        <v>1</v>
      </c>
      <c r="L1258" t="b">
        <f>TrafficData[[#This Row],[pendingAmount]]+TrafficData[[#This Row],[disposedAmount]]=TrafficData[[#This Row],[totalAmount]]</f>
        <v>1</v>
      </c>
      <c r="M1258" t="b">
        <f>TrafficData[[#This Row],[pendingCourt]]+TrafficData[[#This Row],[disposedCourt]]=TrafficData[[#This Row],[totalCourt]]</f>
        <v>1</v>
      </c>
      <c r="N1258" s="8" t="b">
        <f>AND(TrafficData[[#This Row],[disposedChallan]]&lt;=TrafficData[[#This Row],[totalChallan]],TrafficData[[#This Row],[pendingChallan]]&lt;=TrafficData[[#This Row],[totalChallan]])</f>
        <v>1</v>
      </c>
      <c r="O1258" s="8" t="b">
        <f>AND(TrafficData[[#This Row],[pendingAmount]]&lt;=TrafficData[[#This Row],[totalAmount]],TrafficData[[#This Row],[disposedAmount]]&lt;=TrafficData[[#This Row],[totalAmount]])</f>
        <v>1</v>
      </c>
      <c r="P1258" s="8" t="b">
        <f>AND(TrafficData[[#This Row],[pendingCourt]]&lt;=TrafficData[[#This Row],[totalCourt]],TrafficData[[#This Row],[disposedCourt]]&lt;=TrafficData[[#This Row],[totalCourt]])</f>
        <v>1</v>
      </c>
    </row>
    <row r="1259" spans="1:16">
      <c r="A1259" s="1">
        <v>43262</v>
      </c>
      <c r="B1259">
        <v>10718</v>
      </c>
      <c r="C1259">
        <v>9046</v>
      </c>
      <c r="D1259">
        <v>1672</v>
      </c>
      <c r="E1259">
        <v>3860800</v>
      </c>
      <c r="F1259">
        <v>18553073</v>
      </c>
      <c r="G1259">
        <v>22413873</v>
      </c>
      <c r="H1259">
        <v>728</v>
      </c>
      <c r="I1259">
        <v>321</v>
      </c>
      <c r="J1259">
        <v>1049</v>
      </c>
      <c r="K1259" t="b">
        <f>TrafficData[[#This Row],[disposedChallan]]+TrafficData[[#This Row],[pendingChallan]]=TrafficData[[#This Row],[totalChallan]]</f>
        <v>1</v>
      </c>
      <c r="L1259" t="b">
        <f>TrafficData[[#This Row],[pendingAmount]]+TrafficData[[#This Row],[disposedAmount]]=TrafficData[[#This Row],[totalAmount]]</f>
        <v>1</v>
      </c>
      <c r="M1259" t="b">
        <f>TrafficData[[#This Row],[pendingCourt]]+TrafficData[[#This Row],[disposedCourt]]=TrafficData[[#This Row],[totalCourt]]</f>
        <v>1</v>
      </c>
      <c r="N1259" s="8" t="b">
        <f>AND(TrafficData[[#This Row],[disposedChallan]]&lt;=TrafficData[[#This Row],[totalChallan]],TrafficData[[#This Row],[pendingChallan]]&lt;=TrafficData[[#This Row],[totalChallan]])</f>
        <v>1</v>
      </c>
      <c r="O1259" s="8" t="b">
        <f>AND(TrafficData[[#This Row],[pendingAmount]]&lt;=TrafficData[[#This Row],[totalAmount]],TrafficData[[#This Row],[disposedAmount]]&lt;=TrafficData[[#This Row],[totalAmount]])</f>
        <v>1</v>
      </c>
      <c r="P1259" s="8" t="b">
        <f>AND(TrafficData[[#This Row],[pendingCourt]]&lt;=TrafficData[[#This Row],[totalCourt]],TrafficData[[#This Row],[disposedCourt]]&lt;=TrafficData[[#This Row],[totalCourt]])</f>
        <v>1</v>
      </c>
    </row>
    <row r="1260" spans="1:16">
      <c r="A1260" s="1">
        <v>43263</v>
      </c>
      <c r="B1260">
        <v>18897</v>
      </c>
      <c r="C1260">
        <v>17025</v>
      </c>
      <c r="D1260">
        <v>1872</v>
      </c>
      <c r="E1260">
        <v>6216300</v>
      </c>
      <c r="F1260">
        <v>25358788</v>
      </c>
      <c r="G1260">
        <v>31575088</v>
      </c>
      <c r="H1260">
        <v>833</v>
      </c>
      <c r="I1260">
        <v>352</v>
      </c>
      <c r="J1260">
        <v>1185</v>
      </c>
      <c r="K1260" t="b">
        <f>TrafficData[[#This Row],[disposedChallan]]+TrafficData[[#This Row],[pendingChallan]]=TrafficData[[#This Row],[totalChallan]]</f>
        <v>1</v>
      </c>
      <c r="L1260" t="b">
        <f>TrafficData[[#This Row],[pendingAmount]]+TrafficData[[#This Row],[disposedAmount]]=TrafficData[[#This Row],[totalAmount]]</f>
        <v>1</v>
      </c>
      <c r="M1260" t="b">
        <f>TrafficData[[#This Row],[pendingCourt]]+TrafficData[[#This Row],[disposedCourt]]=TrafficData[[#This Row],[totalCourt]]</f>
        <v>1</v>
      </c>
      <c r="N1260" s="8" t="b">
        <f>AND(TrafficData[[#This Row],[disposedChallan]]&lt;=TrafficData[[#This Row],[totalChallan]],TrafficData[[#This Row],[pendingChallan]]&lt;=TrafficData[[#This Row],[totalChallan]])</f>
        <v>1</v>
      </c>
      <c r="O1260" s="8" t="b">
        <f>AND(TrafficData[[#This Row],[pendingAmount]]&lt;=TrafficData[[#This Row],[totalAmount]],TrafficData[[#This Row],[disposedAmount]]&lt;=TrafficData[[#This Row],[totalAmount]])</f>
        <v>1</v>
      </c>
      <c r="P1260" s="8" t="b">
        <f>AND(TrafficData[[#This Row],[pendingCourt]]&lt;=TrafficData[[#This Row],[totalCourt]],TrafficData[[#This Row],[disposedCourt]]&lt;=TrafficData[[#This Row],[totalCourt]])</f>
        <v>1</v>
      </c>
    </row>
    <row r="1261" spans="1:16">
      <c r="A1261" s="1">
        <v>43264</v>
      </c>
      <c r="B1261">
        <v>17223</v>
      </c>
      <c r="C1261">
        <v>13290</v>
      </c>
      <c r="D1261">
        <v>3933</v>
      </c>
      <c r="E1261">
        <v>11252225</v>
      </c>
      <c r="F1261">
        <v>24275071</v>
      </c>
      <c r="G1261">
        <v>35527296</v>
      </c>
      <c r="H1261">
        <v>2705</v>
      </c>
      <c r="I1261">
        <v>760</v>
      </c>
      <c r="J1261">
        <v>3465</v>
      </c>
      <c r="K1261" t="b">
        <f>TrafficData[[#This Row],[disposedChallan]]+TrafficData[[#This Row],[pendingChallan]]=TrafficData[[#This Row],[totalChallan]]</f>
        <v>1</v>
      </c>
      <c r="L1261" t="b">
        <f>TrafficData[[#This Row],[pendingAmount]]+TrafficData[[#This Row],[disposedAmount]]=TrafficData[[#This Row],[totalAmount]]</f>
        <v>1</v>
      </c>
      <c r="M1261" t="b">
        <f>TrafficData[[#This Row],[pendingCourt]]+TrafficData[[#This Row],[disposedCourt]]=TrafficData[[#This Row],[totalCourt]]</f>
        <v>1</v>
      </c>
      <c r="N1261" s="8" t="b">
        <f>AND(TrafficData[[#This Row],[disposedChallan]]&lt;=TrafficData[[#This Row],[totalChallan]],TrafficData[[#This Row],[pendingChallan]]&lt;=TrafficData[[#This Row],[totalChallan]])</f>
        <v>1</v>
      </c>
      <c r="O1261" s="8" t="b">
        <f>AND(TrafficData[[#This Row],[pendingAmount]]&lt;=TrafficData[[#This Row],[totalAmount]],TrafficData[[#This Row],[disposedAmount]]&lt;=TrafficData[[#This Row],[totalAmount]])</f>
        <v>1</v>
      </c>
      <c r="P1261" s="8" t="b">
        <f>AND(TrafficData[[#This Row],[pendingCourt]]&lt;=TrafficData[[#This Row],[totalCourt]],TrafficData[[#This Row],[disposedCourt]]&lt;=TrafficData[[#This Row],[totalCourt]])</f>
        <v>1</v>
      </c>
    </row>
    <row r="1262" spans="1:16">
      <c r="A1262" s="1">
        <v>43265</v>
      </c>
      <c r="B1262">
        <v>10945</v>
      </c>
      <c r="C1262">
        <v>8923</v>
      </c>
      <c r="D1262">
        <v>2022</v>
      </c>
      <c r="E1262">
        <v>9950225</v>
      </c>
      <c r="F1262">
        <v>22240028</v>
      </c>
      <c r="G1262">
        <v>32190253</v>
      </c>
      <c r="H1262">
        <v>855</v>
      </c>
      <c r="I1262">
        <v>247</v>
      </c>
      <c r="J1262">
        <v>1102</v>
      </c>
      <c r="K1262" t="b">
        <f>TrafficData[[#This Row],[disposedChallan]]+TrafficData[[#This Row],[pendingChallan]]=TrafficData[[#This Row],[totalChallan]]</f>
        <v>1</v>
      </c>
      <c r="L1262" t="b">
        <f>TrafficData[[#This Row],[pendingAmount]]+TrafficData[[#This Row],[disposedAmount]]=TrafficData[[#This Row],[totalAmount]]</f>
        <v>1</v>
      </c>
      <c r="M1262" t="b">
        <f>TrafficData[[#This Row],[pendingCourt]]+TrafficData[[#This Row],[disposedCourt]]=TrafficData[[#This Row],[totalCourt]]</f>
        <v>1</v>
      </c>
      <c r="N1262" s="8" t="b">
        <f>AND(TrafficData[[#This Row],[disposedChallan]]&lt;=TrafficData[[#This Row],[totalChallan]],TrafficData[[#This Row],[pendingChallan]]&lt;=TrafficData[[#This Row],[totalChallan]])</f>
        <v>1</v>
      </c>
      <c r="O1262" s="8" t="b">
        <f>AND(TrafficData[[#This Row],[pendingAmount]]&lt;=TrafficData[[#This Row],[totalAmount]],TrafficData[[#This Row],[disposedAmount]]&lt;=TrafficData[[#This Row],[totalAmount]])</f>
        <v>1</v>
      </c>
      <c r="P1262" s="8" t="b">
        <f>AND(TrafficData[[#This Row],[pendingCourt]]&lt;=TrafficData[[#This Row],[totalCourt]],TrafficData[[#This Row],[disposedCourt]]&lt;=TrafficData[[#This Row],[totalCourt]])</f>
        <v>1</v>
      </c>
    </row>
    <row r="1263" spans="1:16">
      <c r="A1263" s="1">
        <v>43266</v>
      </c>
      <c r="B1263">
        <v>11869</v>
      </c>
      <c r="C1263">
        <v>9789</v>
      </c>
      <c r="D1263">
        <v>2080</v>
      </c>
      <c r="E1263">
        <v>3386549</v>
      </c>
      <c r="F1263">
        <v>18505071</v>
      </c>
      <c r="G1263">
        <v>21891620</v>
      </c>
      <c r="H1263">
        <v>877</v>
      </c>
      <c r="I1263">
        <v>363</v>
      </c>
      <c r="J1263">
        <v>1240</v>
      </c>
      <c r="K1263" t="b">
        <f>TrafficData[[#This Row],[disposedChallan]]+TrafficData[[#This Row],[pendingChallan]]=TrafficData[[#This Row],[totalChallan]]</f>
        <v>1</v>
      </c>
      <c r="L1263" t="b">
        <f>TrafficData[[#This Row],[pendingAmount]]+TrafficData[[#This Row],[disposedAmount]]=TrafficData[[#This Row],[totalAmount]]</f>
        <v>1</v>
      </c>
      <c r="M1263" t="b">
        <f>TrafficData[[#This Row],[pendingCourt]]+TrafficData[[#This Row],[disposedCourt]]=TrafficData[[#This Row],[totalCourt]]</f>
        <v>1</v>
      </c>
      <c r="N1263" s="8" t="b">
        <f>AND(TrafficData[[#This Row],[disposedChallan]]&lt;=TrafficData[[#This Row],[totalChallan]],TrafficData[[#This Row],[pendingChallan]]&lt;=TrafficData[[#This Row],[totalChallan]])</f>
        <v>1</v>
      </c>
      <c r="O1263" s="8" t="b">
        <f>AND(TrafficData[[#This Row],[pendingAmount]]&lt;=TrafficData[[#This Row],[totalAmount]],TrafficData[[#This Row],[disposedAmount]]&lt;=TrafficData[[#This Row],[totalAmount]])</f>
        <v>1</v>
      </c>
      <c r="P1263" s="8" t="b">
        <f>AND(TrafficData[[#This Row],[pendingCourt]]&lt;=TrafficData[[#This Row],[totalCourt]],TrafficData[[#This Row],[disposedCourt]]&lt;=TrafficData[[#This Row],[totalCourt]])</f>
        <v>1</v>
      </c>
    </row>
    <row r="1264" spans="1:16">
      <c r="A1264" s="1">
        <v>43267</v>
      </c>
      <c r="B1264">
        <v>7670</v>
      </c>
      <c r="C1264">
        <v>6597</v>
      </c>
      <c r="D1264">
        <v>1073</v>
      </c>
      <c r="E1264">
        <v>1399200</v>
      </c>
      <c r="F1264">
        <v>7657297</v>
      </c>
      <c r="G1264">
        <v>9056497</v>
      </c>
      <c r="H1264">
        <v>628</v>
      </c>
      <c r="I1264">
        <v>179</v>
      </c>
      <c r="J1264">
        <v>807</v>
      </c>
      <c r="K1264" t="b">
        <f>TrafficData[[#This Row],[disposedChallan]]+TrafficData[[#This Row],[pendingChallan]]=TrafficData[[#This Row],[totalChallan]]</f>
        <v>1</v>
      </c>
      <c r="L1264" t="b">
        <f>TrafficData[[#This Row],[pendingAmount]]+TrafficData[[#This Row],[disposedAmount]]=TrafficData[[#This Row],[totalAmount]]</f>
        <v>1</v>
      </c>
      <c r="M1264" t="b">
        <f>TrafficData[[#This Row],[pendingCourt]]+TrafficData[[#This Row],[disposedCourt]]=TrafficData[[#This Row],[totalCourt]]</f>
        <v>1</v>
      </c>
      <c r="N1264" s="8" t="b">
        <f>AND(TrafficData[[#This Row],[disposedChallan]]&lt;=TrafficData[[#This Row],[totalChallan]],TrafficData[[#This Row],[pendingChallan]]&lt;=TrafficData[[#This Row],[totalChallan]])</f>
        <v>1</v>
      </c>
      <c r="O1264" s="8" t="b">
        <f>AND(TrafficData[[#This Row],[pendingAmount]]&lt;=TrafficData[[#This Row],[totalAmount]],TrafficData[[#This Row],[disposedAmount]]&lt;=TrafficData[[#This Row],[totalAmount]])</f>
        <v>1</v>
      </c>
      <c r="P1264" s="8" t="b">
        <f>AND(TrafficData[[#This Row],[pendingCourt]]&lt;=TrafficData[[#This Row],[totalCourt]],TrafficData[[#This Row],[disposedCourt]]&lt;=TrafficData[[#This Row],[totalCourt]])</f>
        <v>1</v>
      </c>
    </row>
    <row r="1265" spans="1:16">
      <c r="A1265" s="1">
        <v>43268</v>
      </c>
      <c r="B1265">
        <v>5822</v>
      </c>
      <c r="C1265">
        <v>4995</v>
      </c>
      <c r="D1265">
        <v>827</v>
      </c>
      <c r="E1265">
        <v>1886575</v>
      </c>
      <c r="F1265">
        <v>7981250</v>
      </c>
      <c r="G1265">
        <v>9867825</v>
      </c>
      <c r="H1265">
        <v>539</v>
      </c>
      <c r="I1265">
        <v>92</v>
      </c>
      <c r="J1265">
        <v>631</v>
      </c>
      <c r="K1265" t="b">
        <f>TrafficData[[#This Row],[disposedChallan]]+TrafficData[[#This Row],[pendingChallan]]=TrafficData[[#This Row],[totalChallan]]</f>
        <v>1</v>
      </c>
      <c r="L1265" t="b">
        <f>TrafficData[[#This Row],[pendingAmount]]+TrafficData[[#This Row],[disposedAmount]]=TrafficData[[#This Row],[totalAmount]]</f>
        <v>1</v>
      </c>
      <c r="M1265" t="b">
        <f>TrafficData[[#This Row],[pendingCourt]]+TrafficData[[#This Row],[disposedCourt]]=TrafficData[[#This Row],[totalCourt]]</f>
        <v>1</v>
      </c>
      <c r="N1265" s="8" t="b">
        <f>AND(TrafficData[[#This Row],[disposedChallan]]&lt;=TrafficData[[#This Row],[totalChallan]],TrafficData[[#This Row],[pendingChallan]]&lt;=TrafficData[[#This Row],[totalChallan]])</f>
        <v>1</v>
      </c>
      <c r="O1265" s="8" t="b">
        <f>AND(TrafficData[[#This Row],[pendingAmount]]&lt;=TrafficData[[#This Row],[totalAmount]],TrafficData[[#This Row],[disposedAmount]]&lt;=TrafficData[[#This Row],[totalAmount]])</f>
        <v>1</v>
      </c>
      <c r="P1265" s="8" t="b">
        <f>AND(TrafficData[[#This Row],[pendingCourt]]&lt;=TrafficData[[#This Row],[totalCourt]],TrafficData[[#This Row],[disposedCourt]]&lt;=TrafficData[[#This Row],[totalCourt]])</f>
        <v>1</v>
      </c>
    </row>
    <row r="1266" spans="1:16">
      <c r="A1266" s="1">
        <v>43269</v>
      </c>
      <c r="B1266">
        <v>10308</v>
      </c>
      <c r="C1266">
        <v>8635</v>
      </c>
      <c r="D1266">
        <v>1673</v>
      </c>
      <c r="E1266">
        <v>4175700</v>
      </c>
      <c r="F1266">
        <v>12210600</v>
      </c>
      <c r="G1266">
        <v>16386300</v>
      </c>
      <c r="H1266">
        <v>881</v>
      </c>
      <c r="I1266">
        <v>261</v>
      </c>
      <c r="J1266">
        <v>1142</v>
      </c>
      <c r="K1266" t="b">
        <f>TrafficData[[#This Row],[disposedChallan]]+TrafficData[[#This Row],[pendingChallan]]=TrafficData[[#This Row],[totalChallan]]</f>
        <v>1</v>
      </c>
      <c r="L1266" t="b">
        <f>TrafficData[[#This Row],[pendingAmount]]+TrafficData[[#This Row],[disposedAmount]]=TrafficData[[#This Row],[totalAmount]]</f>
        <v>1</v>
      </c>
      <c r="M1266" t="b">
        <f>TrafficData[[#This Row],[pendingCourt]]+TrafficData[[#This Row],[disposedCourt]]=TrafficData[[#This Row],[totalCourt]]</f>
        <v>1</v>
      </c>
      <c r="N1266" s="8" t="b">
        <f>AND(TrafficData[[#This Row],[disposedChallan]]&lt;=TrafficData[[#This Row],[totalChallan]],TrafficData[[#This Row],[pendingChallan]]&lt;=TrafficData[[#This Row],[totalChallan]])</f>
        <v>1</v>
      </c>
      <c r="O1266" s="8" t="b">
        <f>AND(TrafficData[[#This Row],[pendingAmount]]&lt;=TrafficData[[#This Row],[totalAmount]],TrafficData[[#This Row],[disposedAmount]]&lt;=TrafficData[[#This Row],[totalAmount]])</f>
        <v>1</v>
      </c>
      <c r="P1266" s="8" t="b">
        <f>AND(TrafficData[[#This Row],[pendingCourt]]&lt;=TrafficData[[#This Row],[totalCourt]],TrafficData[[#This Row],[disposedCourt]]&lt;=TrafficData[[#This Row],[totalCourt]])</f>
        <v>1</v>
      </c>
    </row>
    <row r="1267" spans="1:16">
      <c r="A1267" s="1">
        <v>43270</v>
      </c>
      <c r="B1267">
        <v>18124</v>
      </c>
      <c r="C1267">
        <v>16557</v>
      </c>
      <c r="D1267">
        <v>1567</v>
      </c>
      <c r="E1267">
        <v>5535475</v>
      </c>
      <c r="F1267">
        <v>23250380</v>
      </c>
      <c r="G1267">
        <v>28785855</v>
      </c>
      <c r="H1267">
        <v>806</v>
      </c>
      <c r="I1267">
        <v>279</v>
      </c>
      <c r="J1267">
        <v>1085</v>
      </c>
      <c r="K1267" t="b">
        <f>TrafficData[[#This Row],[disposedChallan]]+TrafficData[[#This Row],[pendingChallan]]=TrafficData[[#This Row],[totalChallan]]</f>
        <v>1</v>
      </c>
      <c r="L1267" t="b">
        <f>TrafficData[[#This Row],[pendingAmount]]+TrafficData[[#This Row],[disposedAmount]]=TrafficData[[#This Row],[totalAmount]]</f>
        <v>1</v>
      </c>
      <c r="M1267" t="b">
        <f>TrafficData[[#This Row],[pendingCourt]]+TrafficData[[#This Row],[disposedCourt]]=TrafficData[[#This Row],[totalCourt]]</f>
        <v>1</v>
      </c>
      <c r="N1267" s="8" t="b">
        <f>AND(TrafficData[[#This Row],[disposedChallan]]&lt;=TrafficData[[#This Row],[totalChallan]],TrafficData[[#This Row],[pendingChallan]]&lt;=TrafficData[[#This Row],[totalChallan]])</f>
        <v>1</v>
      </c>
      <c r="O1267" s="8" t="b">
        <f>AND(TrafficData[[#This Row],[pendingAmount]]&lt;=TrafficData[[#This Row],[totalAmount]],TrafficData[[#This Row],[disposedAmount]]&lt;=TrafficData[[#This Row],[totalAmount]])</f>
        <v>1</v>
      </c>
      <c r="P1267" s="8" t="b">
        <f>AND(TrafficData[[#This Row],[pendingCourt]]&lt;=TrafficData[[#This Row],[totalCourt]],TrafficData[[#This Row],[disposedCourt]]&lt;=TrafficData[[#This Row],[totalCourt]])</f>
        <v>1</v>
      </c>
    </row>
    <row r="1268" spans="1:16">
      <c r="A1268" s="1">
        <v>43271</v>
      </c>
      <c r="B1268">
        <v>16755</v>
      </c>
      <c r="C1268">
        <v>13051</v>
      </c>
      <c r="D1268">
        <v>3704</v>
      </c>
      <c r="E1268">
        <v>9145254</v>
      </c>
      <c r="F1268">
        <v>19998365</v>
      </c>
      <c r="G1268">
        <v>29143619</v>
      </c>
      <c r="H1268">
        <v>2563</v>
      </c>
      <c r="I1268">
        <v>798</v>
      </c>
      <c r="J1268">
        <v>3361</v>
      </c>
      <c r="K1268" t="b">
        <f>TrafficData[[#This Row],[disposedChallan]]+TrafficData[[#This Row],[pendingChallan]]=TrafficData[[#This Row],[totalChallan]]</f>
        <v>1</v>
      </c>
      <c r="L1268" t="b">
        <f>TrafficData[[#This Row],[pendingAmount]]+TrafficData[[#This Row],[disposedAmount]]=TrafficData[[#This Row],[totalAmount]]</f>
        <v>1</v>
      </c>
      <c r="M1268" t="b">
        <f>TrafficData[[#This Row],[pendingCourt]]+TrafficData[[#This Row],[disposedCourt]]=TrafficData[[#This Row],[totalCourt]]</f>
        <v>1</v>
      </c>
      <c r="N1268" s="8" t="b">
        <f>AND(TrafficData[[#This Row],[disposedChallan]]&lt;=TrafficData[[#This Row],[totalChallan]],TrafficData[[#This Row],[pendingChallan]]&lt;=TrafficData[[#This Row],[totalChallan]])</f>
        <v>1</v>
      </c>
      <c r="O1268" s="8" t="b">
        <f>AND(TrafficData[[#This Row],[pendingAmount]]&lt;=TrafficData[[#This Row],[totalAmount]],TrafficData[[#This Row],[disposedAmount]]&lt;=TrafficData[[#This Row],[totalAmount]])</f>
        <v>1</v>
      </c>
      <c r="P1268" s="8" t="b">
        <f>AND(TrafficData[[#This Row],[pendingCourt]]&lt;=TrafficData[[#This Row],[totalCourt]],TrafficData[[#This Row],[disposedCourt]]&lt;=TrafficData[[#This Row],[totalCourt]])</f>
        <v>1</v>
      </c>
    </row>
    <row r="1269" spans="1:16">
      <c r="A1269" s="1">
        <v>43272</v>
      </c>
      <c r="B1269">
        <v>10467</v>
      </c>
      <c r="C1269">
        <v>8408</v>
      </c>
      <c r="D1269">
        <v>2059</v>
      </c>
      <c r="E1269">
        <v>9100184</v>
      </c>
      <c r="F1269">
        <v>19468756</v>
      </c>
      <c r="G1269">
        <v>28568940</v>
      </c>
      <c r="H1269">
        <v>698</v>
      </c>
      <c r="I1269">
        <v>196</v>
      </c>
      <c r="J1269">
        <v>894</v>
      </c>
      <c r="K1269" t="b">
        <f>TrafficData[[#This Row],[disposedChallan]]+TrafficData[[#This Row],[pendingChallan]]=TrafficData[[#This Row],[totalChallan]]</f>
        <v>1</v>
      </c>
      <c r="L1269" t="b">
        <f>TrafficData[[#This Row],[pendingAmount]]+TrafficData[[#This Row],[disposedAmount]]=TrafficData[[#This Row],[totalAmount]]</f>
        <v>1</v>
      </c>
      <c r="M1269" t="b">
        <f>TrafficData[[#This Row],[pendingCourt]]+TrafficData[[#This Row],[disposedCourt]]=TrafficData[[#This Row],[totalCourt]]</f>
        <v>1</v>
      </c>
      <c r="N1269" s="8" t="b">
        <f>AND(TrafficData[[#This Row],[disposedChallan]]&lt;=TrafficData[[#This Row],[totalChallan]],TrafficData[[#This Row],[pendingChallan]]&lt;=TrafficData[[#This Row],[totalChallan]])</f>
        <v>1</v>
      </c>
      <c r="O1269" s="8" t="b">
        <f>AND(TrafficData[[#This Row],[pendingAmount]]&lt;=TrafficData[[#This Row],[totalAmount]],TrafficData[[#This Row],[disposedAmount]]&lt;=TrafficData[[#This Row],[totalAmount]])</f>
        <v>1</v>
      </c>
      <c r="P1269" s="8" t="b">
        <f>AND(TrafficData[[#This Row],[pendingCourt]]&lt;=TrafficData[[#This Row],[totalCourt]],TrafficData[[#This Row],[disposedCourt]]&lt;=TrafficData[[#This Row],[totalCourt]])</f>
        <v>1</v>
      </c>
    </row>
    <row r="1270" spans="1:16">
      <c r="A1270" s="1">
        <v>43273</v>
      </c>
      <c r="B1270">
        <v>12173</v>
      </c>
      <c r="C1270">
        <v>9203</v>
      </c>
      <c r="D1270">
        <v>2970</v>
      </c>
      <c r="E1270">
        <v>14228547</v>
      </c>
      <c r="F1270">
        <v>21433452</v>
      </c>
      <c r="G1270">
        <v>35661999</v>
      </c>
      <c r="H1270">
        <v>1020</v>
      </c>
      <c r="I1270">
        <v>336</v>
      </c>
      <c r="J1270">
        <v>1356</v>
      </c>
      <c r="K1270" t="b">
        <f>TrafficData[[#This Row],[disposedChallan]]+TrafficData[[#This Row],[pendingChallan]]=TrafficData[[#This Row],[totalChallan]]</f>
        <v>1</v>
      </c>
      <c r="L1270" t="b">
        <f>TrafficData[[#This Row],[pendingAmount]]+TrafficData[[#This Row],[disposedAmount]]=TrafficData[[#This Row],[totalAmount]]</f>
        <v>1</v>
      </c>
      <c r="M1270" t="b">
        <f>TrafficData[[#This Row],[pendingCourt]]+TrafficData[[#This Row],[disposedCourt]]=TrafficData[[#This Row],[totalCourt]]</f>
        <v>1</v>
      </c>
      <c r="N1270" s="8" t="b">
        <f>AND(TrafficData[[#This Row],[disposedChallan]]&lt;=TrafficData[[#This Row],[totalChallan]],TrafficData[[#This Row],[pendingChallan]]&lt;=TrafficData[[#This Row],[totalChallan]])</f>
        <v>1</v>
      </c>
      <c r="O1270" s="8" t="b">
        <f>AND(TrafficData[[#This Row],[pendingAmount]]&lt;=TrafficData[[#This Row],[totalAmount]],TrafficData[[#This Row],[disposedAmount]]&lt;=TrafficData[[#This Row],[totalAmount]])</f>
        <v>1</v>
      </c>
      <c r="P1270" s="8" t="b">
        <f>AND(TrafficData[[#This Row],[pendingCourt]]&lt;=TrafficData[[#This Row],[totalCourt]],TrafficData[[#This Row],[disposedCourt]]&lt;=TrafficData[[#This Row],[totalCourt]])</f>
        <v>1</v>
      </c>
    </row>
    <row r="1271" spans="1:16">
      <c r="A1271" s="1">
        <v>43274</v>
      </c>
      <c r="B1271">
        <v>10717</v>
      </c>
      <c r="C1271">
        <v>8491</v>
      </c>
      <c r="D1271">
        <v>2226</v>
      </c>
      <c r="E1271">
        <v>8665650</v>
      </c>
      <c r="F1271">
        <v>14676588</v>
      </c>
      <c r="G1271">
        <v>23342238</v>
      </c>
      <c r="H1271">
        <v>741</v>
      </c>
      <c r="I1271">
        <v>349</v>
      </c>
      <c r="J1271">
        <v>1090</v>
      </c>
      <c r="K1271" t="b">
        <f>TrafficData[[#This Row],[disposedChallan]]+TrafficData[[#This Row],[pendingChallan]]=TrafficData[[#This Row],[totalChallan]]</f>
        <v>1</v>
      </c>
      <c r="L1271" t="b">
        <f>TrafficData[[#This Row],[pendingAmount]]+TrafficData[[#This Row],[disposedAmount]]=TrafficData[[#This Row],[totalAmount]]</f>
        <v>1</v>
      </c>
      <c r="M1271" t="b">
        <f>TrafficData[[#This Row],[pendingCourt]]+TrafficData[[#This Row],[disposedCourt]]=TrafficData[[#This Row],[totalCourt]]</f>
        <v>1</v>
      </c>
      <c r="N1271" s="8" t="b">
        <f>AND(TrafficData[[#This Row],[disposedChallan]]&lt;=TrafficData[[#This Row],[totalChallan]],TrafficData[[#This Row],[pendingChallan]]&lt;=TrafficData[[#This Row],[totalChallan]])</f>
        <v>1</v>
      </c>
      <c r="O1271" s="8" t="b">
        <f>AND(TrafficData[[#This Row],[pendingAmount]]&lt;=TrafficData[[#This Row],[totalAmount]],TrafficData[[#This Row],[disposedAmount]]&lt;=TrafficData[[#This Row],[totalAmount]])</f>
        <v>1</v>
      </c>
      <c r="P1271" s="8" t="b">
        <f>AND(TrafficData[[#This Row],[pendingCourt]]&lt;=TrafficData[[#This Row],[totalCourt]],TrafficData[[#This Row],[disposedCourt]]&lt;=TrafficData[[#This Row],[totalCourt]])</f>
        <v>1</v>
      </c>
    </row>
    <row r="1272" spans="1:16">
      <c r="A1272" s="1">
        <v>43275</v>
      </c>
      <c r="B1272">
        <v>6148</v>
      </c>
      <c r="C1272">
        <v>5090</v>
      </c>
      <c r="D1272">
        <v>1058</v>
      </c>
      <c r="E1272">
        <v>2163286</v>
      </c>
      <c r="F1272">
        <v>10057549</v>
      </c>
      <c r="G1272">
        <v>12220835</v>
      </c>
      <c r="H1272">
        <v>565</v>
      </c>
      <c r="I1272">
        <v>127</v>
      </c>
      <c r="J1272">
        <v>692</v>
      </c>
      <c r="K1272" t="b">
        <f>TrafficData[[#This Row],[disposedChallan]]+TrafficData[[#This Row],[pendingChallan]]=TrafficData[[#This Row],[totalChallan]]</f>
        <v>1</v>
      </c>
      <c r="L1272" t="b">
        <f>TrafficData[[#This Row],[pendingAmount]]+TrafficData[[#This Row],[disposedAmount]]=TrafficData[[#This Row],[totalAmount]]</f>
        <v>1</v>
      </c>
      <c r="M1272" t="b">
        <f>TrafficData[[#This Row],[pendingCourt]]+TrafficData[[#This Row],[disposedCourt]]=TrafficData[[#This Row],[totalCourt]]</f>
        <v>1</v>
      </c>
      <c r="N1272" s="8" t="b">
        <f>AND(TrafficData[[#This Row],[disposedChallan]]&lt;=TrafficData[[#This Row],[totalChallan]],TrafficData[[#This Row],[pendingChallan]]&lt;=TrafficData[[#This Row],[totalChallan]])</f>
        <v>1</v>
      </c>
      <c r="O1272" s="8" t="b">
        <f>AND(TrafficData[[#This Row],[pendingAmount]]&lt;=TrafficData[[#This Row],[totalAmount]],TrafficData[[#This Row],[disposedAmount]]&lt;=TrafficData[[#This Row],[totalAmount]])</f>
        <v>1</v>
      </c>
      <c r="P1272" s="8" t="b">
        <f>AND(TrafficData[[#This Row],[pendingCourt]]&lt;=TrafficData[[#This Row],[totalCourt]],TrafficData[[#This Row],[disposedCourt]]&lt;=TrafficData[[#This Row],[totalCourt]])</f>
        <v>1</v>
      </c>
    </row>
    <row r="1273" spans="1:16">
      <c r="A1273" s="1">
        <v>43276</v>
      </c>
      <c r="B1273">
        <v>10235</v>
      </c>
      <c r="C1273">
        <v>8127</v>
      </c>
      <c r="D1273">
        <v>2108</v>
      </c>
      <c r="E1273">
        <v>9756617</v>
      </c>
      <c r="F1273">
        <v>16219141</v>
      </c>
      <c r="G1273">
        <v>25975758</v>
      </c>
      <c r="H1273">
        <v>714</v>
      </c>
      <c r="I1273">
        <v>252</v>
      </c>
      <c r="J1273">
        <v>966</v>
      </c>
      <c r="K1273" t="b">
        <f>TrafficData[[#This Row],[disposedChallan]]+TrafficData[[#This Row],[pendingChallan]]=TrafficData[[#This Row],[totalChallan]]</f>
        <v>1</v>
      </c>
      <c r="L1273" t="b">
        <f>TrafficData[[#This Row],[pendingAmount]]+TrafficData[[#This Row],[disposedAmount]]=TrafficData[[#This Row],[totalAmount]]</f>
        <v>1</v>
      </c>
      <c r="M1273" t="b">
        <f>TrafficData[[#This Row],[pendingCourt]]+TrafficData[[#This Row],[disposedCourt]]=TrafficData[[#This Row],[totalCourt]]</f>
        <v>1</v>
      </c>
      <c r="N1273" s="8" t="b">
        <f>AND(TrafficData[[#This Row],[disposedChallan]]&lt;=TrafficData[[#This Row],[totalChallan]],TrafficData[[#This Row],[pendingChallan]]&lt;=TrafficData[[#This Row],[totalChallan]])</f>
        <v>1</v>
      </c>
      <c r="O1273" s="8" t="b">
        <f>AND(TrafficData[[#This Row],[pendingAmount]]&lt;=TrafficData[[#This Row],[totalAmount]],TrafficData[[#This Row],[disposedAmount]]&lt;=TrafficData[[#This Row],[totalAmount]])</f>
        <v>1</v>
      </c>
      <c r="P1273" s="8" t="b">
        <f>AND(TrafficData[[#This Row],[pendingCourt]]&lt;=TrafficData[[#This Row],[totalCourt]],TrafficData[[#This Row],[disposedCourt]]&lt;=TrafficData[[#This Row],[totalCourt]])</f>
        <v>1</v>
      </c>
    </row>
    <row r="1274" spans="1:16">
      <c r="A1274" s="1">
        <v>43277</v>
      </c>
      <c r="B1274">
        <v>21973</v>
      </c>
      <c r="C1274">
        <v>18748</v>
      </c>
      <c r="D1274">
        <v>3225</v>
      </c>
      <c r="E1274">
        <v>27133632</v>
      </c>
      <c r="F1274">
        <v>26970437</v>
      </c>
      <c r="G1274">
        <v>54104069</v>
      </c>
      <c r="H1274">
        <v>560</v>
      </c>
      <c r="I1274">
        <v>363</v>
      </c>
      <c r="J1274">
        <v>923</v>
      </c>
      <c r="K1274" t="b">
        <f>TrafficData[[#This Row],[disposedChallan]]+TrafficData[[#This Row],[pendingChallan]]=TrafficData[[#This Row],[totalChallan]]</f>
        <v>1</v>
      </c>
      <c r="L1274" t="b">
        <f>TrafficData[[#This Row],[pendingAmount]]+TrafficData[[#This Row],[disposedAmount]]=TrafficData[[#This Row],[totalAmount]]</f>
        <v>1</v>
      </c>
      <c r="M1274" t="b">
        <f>TrafficData[[#This Row],[pendingCourt]]+TrafficData[[#This Row],[disposedCourt]]=TrafficData[[#This Row],[totalCourt]]</f>
        <v>1</v>
      </c>
      <c r="N1274" s="8" t="b">
        <f>AND(TrafficData[[#This Row],[disposedChallan]]&lt;=TrafficData[[#This Row],[totalChallan]],TrafficData[[#This Row],[pendingChallan]]&lt;=TrafficData[[#This Row],[totalChallan]])</f>
        <v>1</v>
      </c>
      <c r="O1274" s="8" t="b">
        <f>AND(TrafficData[[#This Row],[pendingAmount]]&lt;=TrafficData[[#This Row],[totalAmount]],TrafficData[[#This Row],[disposedAmount]]&lt;=TrafficData[[#This Row],[totalAmount]])</f>
        <v>1</v>
      </c>
      <c r="P1274" s="8" t="b">
        <f>AND(TrafficData[[#This Row],[pendingCourt]]&lt;=TrafficData[[#This Row],[totalCourt]],TrafficData[[#This Row],[disposedCourt]]&lt;=TrafficData[[#This Row],[totalCourt]])</f>
        <v>1</v>
      </c>
    </row>
    <row r="1275" spans="1:16">
      <c r="A1275" s="1">
        <v>43278</v>
      </c>
      <c r="B1275">
        <v>19070</v>
      </c>
      <c r="C1275">
        <v>13788</v>
      </c>
      <c r="D1275">
        <v>5282</v>
      </c>
      <c r="E1275">
        <v>41384448</v>
      </c>
      <c r="F1275">
        <v>21214766</v>
      </c>
      <c r="G1275">
        <v>62599214</v>
      </c>
      <c r="H1275">
        <v>2673</v>
      </c>
      <c r="I1275">
        <v>753</v>
      </c>
      <c r="J1275">
        <v>3426</v>
      </c>
      <c r="K1275" t="b">
        <f>TrafficData[[#This Row],[disposedChallan]]+TrafficData[[#This Row],[pendingChallan]]=TrafficData[[#This Row],[totalChallan]]</f>
        <v>1</v>
      </c>
      <c r="L1275" t="b">
        <f>TrafficData[[#This Row],[pendingAmount]]+TrafficData[[#This Row],[disposedAmount]]=TrafficData[[#This Row],[totalAmount]]</f>
        <v>1</v>
      </c>
      <c r="M1275" t="b">
        <f>TrafficData[[#This Row],[pendingCourt]]+TrafficData[[#This Row],[disposedCourt]]=TrafficData[[#This Row],[totalCourt]]</f>
        <v>1</v>
      </c>
      <c r="N1275" s="8" t="b">
        <f>AND(TrafficData[[#This Row],[disposedChallan]]&lt;=TrafficData[[#This Row],[totalChallan]],TrafficData[[#This Row],[pendingChallan]]&lt;=TrafficData[[#This Row],[totalChallan]])</f>
        <v>1</v>
      </c>
      <c r="O1275" s="8" t="b">
        <f>AND(TrafficData[[#This Row],[pendingAmount]]&lt;=TrafficData[[#This Row],[totalAmount]],TrafficData[[#This Row],[disposedAmount]]&lt;=TrafficData[[#This Row],[totalAmount]])</f>
        <v>1</v>
      </c>
      <c r="P1275" s="8" t="b">
        <f>AND(TrafficData[[#This Row],[pendingCourt]]&lt;=TrafficData[[#This Row],[totalCourt]],TrafficData[[#This Row],[disposedCourt]]&lt;=TrafficData[[#This Row],[totalCourt]])</f>
        <v>1</v>
      </c>
    </row>
    <row r="1276" spans="1:16">
      <c r="A1276" s="1">
        <v>43279</v>
      </c>
      <c r="B1276">
        <v>14284</v>
      </c>
      <c r="C1276">
        <v>9983</v>
      </c>
      <c r="D1276">
        <v>4301</v>
      </c>
      <c r="E1276">
        <v>20121948</v>
      </c>
      <c r="F1276">
        <v>20222782</v>
      </c>
      <c r="G1276">
        <v>40344730</v>
      </c>
      <c r="H1276">
        <v>700</v>
      </c>
      <c r="I1276">
        <v>314</v>
      </c>
      <c r="J1276">
        <v>1014</v>
      </c>
      <c r="K1276" t="b">
        <f>TrafficData[[#This Row],[disposedChallan]]+TrafficData[[#This Row],[pendingChallan]]=TrafficData[[#This Row],[totalChallan]]</f>
        <v>1</v>
      </c>
      <c r="L1276" t="b">
        <f>TrafficData[[#This Row],[pendingAmount]]+TrafficData[[#This Row],[disposedAmount]]=TrafficData[[#This Row],[totalAmount]]</f>
        <v>1</v>
      </c>
      <c r="M1276" t="b">
        <f>TrafficData[[#This Row],[pendingCourt]]+TrafficData[[#This Row],[disposedCourt]]=TrafficData[[#This Row],[totalCourt]]</f>
        <v>1</v>
      </c>
      <c r="N1276" s="8" t="b">
        <f>AND(TrafficData[[#This Row],[disposedChallan]]&lt;=TrafficData[[#This Row],[totalChallan]],TrafficData[[#This Row],[pendingChallan]]&lt;=TrafficData[[#This Row],[totalChallan]])</f>
        <v>1</v>
      </c>
      <c r="O1276" s="8" t="b">
        <f>AND(TrafficData[[#This Row],[pendingAmount]]&lt;=TrafficData[[#This Row],[totalAmount]],TrafficData[[#This Row],[disposedAmount]]&lt;=TrafficData[[#This Row],[totalAmount]])</f>
        <v>1</v>
      </c>
      <c r="P1276" s="8" t="b">
        <f>AND(TrafficData[[#This Row],[pendingCourt]]&lt;=TrafficData[[#This Row],[totalCourt]],TrafficData[[#This Row],[disposedCourt]]&lt;=TrafficData[[#This Row],[totalCourt]])</f>
        <v>1</v>
      </c>
    </row>
    <row r="1277" spans="1:16">
      <c r="A1277" s="1">
        <v>43280</v>
      </c>
      <c r="B1277">
        <v>13879</v>
      </c>
      <c r="C1277">
        <v>9330</v>
      </c>
      <c r="D1277">
        <v>4549</v>
      </c>
      <c r="E1277">
        <v>31142312</v>
      </c>
      <c r="F1277">
        <v>21755309</v>
      </c>
      <c r="G1277">
        <v>52897621</v>
      </c>
      <c r="H1277">
        <v>956</v>
      </c>
      <c r="I1277">
        <v>303</v>
      </c>
      <c r="J1277">
        <v>1259</v>
      </c>
      <c r="K1277" t="b">
        <f>TrafficData[[#This Row],[disposedChallan]]+TrafficData[[#This Row],[pendingChallan]]=TrafficData[[#This Row],[totalChallan]]</f>
        <v>1</v>
      </c>
      <c r="L1277" t="b">
        <f>TrafficData[[#This Row],[pendingAmount]]+TrafficData[[#This Row],[disposedAmount]]=TrafficData[[#This Row],[totalAmount]]</f>
        <v>1</v>
      </c>
      <c r="M1277" t="b">
        <f>TrafficData[[#This Row],[pendingCourt]]+TrafficData[[#This Row],[disposedCourt]]=TrafficData[[#This Row],[totalCourt]]</f>
        <v>1</v>
      </c>
      <c r="N1277" s="8" t="b">
        <f>AND(TrafficData[[#This Row],[disposedChallan]]&lt;=TrafficData[[#This Row],[totalChallan]],TrafficData[[#This Row],[pendingChallan]]&lt;=TrafficData[[#This Row],[totalChallan]])</f>
        <v>1</v>
      </c>
      <c r="O1277" s="8" t="b">
        <f>AND(TrafficData[[#This Row],[pendingAmount]]&lt;=TrafficData[[#This Row],[totalAmount]],TrafficData[[#This Row],[disposedAmount]]&lt;=TrafficData[[#This Row],[totalAmount]])</f>
        <v>1</v>
      </c>
      <c r="P1277" s="8" t="b">
        <f>AND(TrafficData[[#This Row],[pendingCourt]]&lt;=TrafficData[[#This Row],[totalCourt]],TrafficData[[#This Row],[disposedCourt]]&lt;=TrafficData[[#This Row],[totalCourt]])</f>
        <v>1</v>
      </c>
    </row>
    <row r="1278" spans="1:16">
      <c r="A1278" s="1">
        <v>43281</v>
      </c>
      <c r="B1278">
        <v>12276</v>
      </c>
      <c r="C1278">
        <v>8481</v>
      </c>
      <c r="D1278">
        <v>3795</v>
      </c>
      <c r="E1278">
        <v>18864332</v>
      </c>
      <c r="F1278">
        <v>13954689</v>
      </c>
      <c r="G1278">
        <v>32819021</v>
      </c>
      <c r="H1278">
        <v>788</v>
      </c>
      <c r="I1278">
        <v>164</v>
      </c>
      <c r="J1278">
        <v>952</v>
      </c>
      <c r="K1278" t="b">
        <f>TrafficData[[#This Row],[disposedChallan]]+TrafficData[[#This Row],[pendingChallan]]=TrafficData[[#This Row],[totalChallan]]</f>
        <v>1</v>
      </c>
      <c r="L1278" t="b">
        <f>TrafficData[[#This Row],[pendingAmount]]+TrafficData[[#This Row],[disposedAmount]]=TrafficData[[#This Row],[totalAmount]]</f>
        <v>1</v>
      </c>
      <c r="M1278" t="b">
        <f>TrafficData[[#This Row],[pendingCourt]]+TrafficData[[#This Row],[disposedCourt]]=TrafficData[[#This Row],[totalCourt]]</f>
        <v>1</v>
      </c>
      <c r="N1278" s="8" t="b">
        <f>AND(TrafficData[[#This Row],[disposedChallan]]&lt;=TrafficData[[#This Row],[totalChallan]],TrafficData[[#This Row],[pendingChallan]]&lt;=TrafficData[[#This Row],[totalChallan]])</f>
        <v>1</v>
      </c>
      <c r="O1278" s="8" t="b">
        <f>AND(TrafficData[[#This Row],[pendingAmount]]&lt;=TrafficData[[#This Row],[totalAmount]],TrafficData[[#This Row],[disposedAmount]]&lt;=TrafficData[[#This Row],[totalAmount]])</f>
        <v>1</v>
      </c>
      <c r="P1278" s="8" t="b">
        <f>AND(TrafficData[[#This Row],[pendingCourt]]&lt;=TrafficData[[#This Row],[totalCourt]],TrafficData[[#This Row],[disposedCourt]]&lt;=TrafficData[[#This Row],[totalCourt]])</f>
        <v>1</v>
      </c>
    </row>
    <row r="1279" spans="1:16">
      <c r="A1279" s="1">
        <v>43282</v>
      </c>
      <c r="B1279">
        <v>5517</v>
      </c>
      <c r="C1279">
        <v>4421</v>
      </c>
      <c r="D1279">
        <v>1096</v>
      </c>
      <c r="E1279">
        <v>3295599</v>
      </c>
      <c r="F1279">
        <v>11339452</v>
      </c>
      <c r="G1279">
        <v>14635051</v>
      </c>
      <c r="H1279">
        <v>545</v>
      </c>
      <c r="I1279">
        <v>89</v>
      </c>
      <c r="J1279">
        <v>634</v>
      </c>
      <c r="K1279" t="b">
        <f>TrafficData[[#This Row],[disposedChallan]]+TrafficData[[#This Row],[pendingChallan]]=TrafficData[[#This Row],[totalChallan]]</f>
        <v>1</v>
      </c>
      <c r="L1279" t="b">
        <f>TrafficData[[#This Row],[pendingAmount]]+TrafficData[[#This Row],[disposedAmount]]=TrafficData[[#This Row],[totalAmount]]</f>
        <v>1</v>
      </c>
      <c r="M1279" t="b">
        <f>TrafficData[[#This Row],[pendingCourt]]+TrafficData[[#This Row],[disposedCourt]]=TrafficData[[#This Row],[totalCourt]]</f>
        <v>1</v>
      </c>
      <c r="N1279" s="8" t="b">
        <f>AND(TrafficData[[#This Row],[disposedChallan]]&lt;=TrafficData[[#This Row],[totalChallan]],TrafficData[[#This Row],[pendingChallan]]&lt;=TrafficData[[#This Row],[totalChallan]])</f>
        <v>1</v>
      </c>
      <c r="O1279" s="8" t="b">
        <f>AND(TrafficData[[#This Row],[pendingAmount]]&lt;=TrafficData[[#This Row],[totalAmount]],TrafficData[[#This Row],[disposedAmount]]&lt;=TrafficData[[#This Row],[totalAmount]])</f>
        <v>1</v>
      </c>
      <c r="P1279" s="8" t="b">
        <f>AND(TrafficData[[#This Row],[pendingCourt]]&lt;=TrafficData[[#This Row],[totalCourt]],TrafficData[[#This Row],[disposedCourt]]&lt;=TrafficData[[#This Row],[totalCourt]])</f>
        <v>1</v>
      </c>
    </row>
    <row r="1280" spans="1:16">
      <c r="A1280" s="1">
        <v>43283</v>
      </c>
      <c r="B1280">
        <v>11857</v>
      </c>
      <c r="C1280">
        <v>8447</v>
      </c>
      <c r="D1280">
        <v>3410</v>
      </c>
      <c r="E1280">
        <v>15721599</v>
      </c>
      <c r="F1280">
        <v>17427521</v>
      </c>
      <c r="G1280">
        <v>33149120</v>
      </c>
      <c r="H1280">
        <v>1250</v>
      </c>
      <c r="I1280">
        <v>323</v>
      </c>
      <c r="J1280">
        <v>1573</v>
      </c>
      <c r="K1280" t="b">
        <f>TrafficData[[#This Row],[disposedChallan]]+TrafficData[[#This Row],[pendingChallan]]=TrafficData[[#This Row],[totalChallan]]</f>
        <v>1</v>
      </c>
      <c r="L1280" t="b">
        <f>TrafficData[[#This Row],[pendingAmount]]+TrafficData[[#This Row],[disposedAmount]]=TrafficData[[#This Row],[totalAmount]]</f>
        <v>1</v>
      </c>
      <c r="M1280" t="b">
        <f>TrafficData[[#This Row],[pendingCourt]]+TrafficData[[#This Row],[disposedCourt]]=TrafficData[[#This Row],[totalCourt]]</f>
        <v>1</v>
      </c>
      <c r="N1280" s="8" t="b">
        <f>AND(TrafficData[[#This Row],[disposedChallan]]&lt;=TrafficData[[#This Row],[totalChallan]],TrafficData[[#This Row],[pendingChallan]]&lt;=TrafficData[[#This Row],[totalChallan]])</f>
        <v>1</v>
      </c>
      <c r="O1280" s="8" t="b">
        <f>AND(TrafficData[[#This Row],[pendingAmount]]&lt;=TrafficData[[#This Row],[totalAmount]],TrafficData[[#This Row],[disposedAmount]]&lt;=TrafficData[[#This Row],[totalAmount]])</f>
        <v>1</v>
      </c>
      <c r="P1280" s="8" t="b">
        <f>AND(TrafficData[[#This Row],[pendingCourt]]&lt;=TrafficData[[#This Row],[totalCourt]],TrafficData[[#This Row],[disposedCourt]]&lt;=TrafficData[[#This Row],[totalCourt]])</f>
        <v>1</v>
      </c>
    </row>
    <row r="1281" spans="1:16">
      <c r="A1281" s="1">
        <v>43284</v>
      </c>
      <c r="B1281">
        <v>12508</v>
      </c>
      <c r="C1281">
        <v>9269</v>
      </c>
      <c r="D1281">
        <v>3239</v>
      </c>
      <c r="E1281">
        <v>13175929</v>
      </c>
      <c r="F1281">
        <v>18137874</v>
      </c>
      <c r="G1281">
        <v>31313803</v>
      </c>
      <c r="H1281">
        <v>1232</v>
      </c>
      <c r="I1281">
        <v>358</v>
      </c>
      <c r="J1281">
        <v>1590</v>
      </c>
      <c r="K1281" t="b">
        <f>TrafficData[[#This Row],[disposedChallan]]+TrafficData[[#This Row],[pendingChallan]]=TrafficData[[#This Row],[totalChallan]]</f>
        <v>1</v>
      </c>
      <c r="L1281" t="b">
        <f>TrafficData[[#This Row],[pendingAmount]]+TrafficData[[#This Row],[disposedAmount]]=TrafficData[[#This Row],[totalAmount]]</f>
        <v>1</v>
      </c>
      <c r="M1281" t="b">
        <f>TrafficData[[#This Row],[pendingCourt]]+TrafficData[[#This Row],[disposedCourt]]=TrafficData[[#This Row],[totalCourt]]</f>
        <v>1</v>
      </c>
      <c r="N1281" s="8" t="b">
        <f>AND(TrafficData[[#This Row],[disposedChallan]]&lt;=TrafficData[[#This Row],[totalChallan]],TrafficData[[#This Row],[pendingChallan]]&lt;=TrafficData[[#This Row],[totalChallan]])</f>
        <v>1</v>
      </c>
      <c r="O1281" s="8" t="b">
        <f>AND(TrafficData[[#This Row],[pendingAmount]]&lt;=TrafficData[[#This Row],[totalAmount]],TrafficData[[#This Row],[disposedAmount]]&lt;=TrafficData[[#This Row],[totalAmount]])</f>
        <v>1</v>
      </c>
      <c r="P1281" s="8" t="b">
        <f>AND(TrafficData[[#This Row],[pendingCourt]]&lt;=TrafficData[[#This Row],[totalCourt]],TrafficData[[#This Row],[disposedCourt]]&lt;=TrafficData[[#This Row],[totalCourt]])</f>
        <v>1</v>
      </c>
    </row>
    <row r="1282" spans="1:16">
      <c r="A1282" s="1">
        <v>43285</v>
      </c>
      <c r="B1282">
        <v>22496</v>
      </c>
      <c r="C1282">
        <v>15919</v>
      </c>
      <c r="D1282">
        <v>6577</v>
      </c>
      <c r="E1282">
        <v>20744607</v>
      </c>
      <c r="F1282">
        <v>17377150</v>
      </c>
      <c r="G1282">
        <v>38121757</v>
      </c>
      <c r="H1282">
        <v>3920</v>
      </c>
      <c r="I1282">
        <v>1104</v>
      </c>
      <c r="J1282">
        <v>5024</v>
      </c>
      <c r="K1282" t="b">
        <f>TrafficData[[#This Row],[disposedChallan]]+TrafficData[[#This Row],[pendingChallan]]=TrafficData[[#This Row],[totalChallan]]</f>
        <v>1</v>
      </c>
      <c r="L1282" t="b">
        <f>TrafficData[[#This Row],[pendingAmount]]+TrafficData[[#This Row],[disposedAmount]]=TrafficData[[#This Row],[totalAmount]]</f>
        <v>1</v>
      </c>
      <c r="M1282" t="b">
        <f>TrafficData[[#This Row],[pendingCourt]]+TrafficData[[#This Row],[disposedCourt]]=TrafficData[[#This Row],[totalCourt]]</f>
        <v>1</v>
      </c>
      <c r="N1282" s="8" t="b">
        <f>AND(TrafficData[[#This Row],[disposedChallan]]&lt;=TrafficData[[#This Row],[totalChallan]],TrafficData[[#This Row],[pendingChallan]]&lt;=TrafficData[[#This Row],[totalChallan]])</f>
        <v>1</v>
      </c>
      <c r="O1282" s="8" t="b">
        <f>AND(TrafficData[[#This Row],[pendingAmount]]&lt;=TrafficData[[#This Row],[totalAmount]],TrafficData[[#This Row],[disposedAmount]]&lt;=TrafficData[[#This Row],[totalAmount]])</f>
        <v>1</v>
      </c>
      <c r="P1282" s="8" t="b">
        <f>AND(TrafficData[[#This Row],[pendingCourt]]&lt;=TrafficData[[#This Row],[totalCourt]],TrafficData[[#This Row],[disposedCourt]]&lt;=TrafficData[[#This Row],[totalCourt]])</f>
        <v>1</v>
      </c>
    </row>
    <row r="1283" spans="1:16">
      <c r="A1283" s="1">
        <v>43286</v>
      </c>
      <c r="B1283">
        <v>12604</v>
      </c>
      <c r="C1283">
        <v>9459</v>
      </c>
      <c r="D1283">
        <v>3145</v>
      </c>
      <c r="E1283">
        <v>12754608</v>
      </c>
      <c r="F1283">
        <v>19798622</v>
      </c>
      <c r="G1283">
        <v>32553230</v>
      </c>
      <c r="H1283">
        <v>1059</v>
      </c>
      <c r="I1283">
        <v>270</v>
      </c>
      <c r="J1283">
        <v>1329</v>
      </c>
      <c r="K1283" t="b">
        <f>TrafficData[[#This Row],[disposedChallan]]+TrafficData[[#This Row],[pendingChallan]]=TrafficData[[#This Row],[totalChallan]]</f>
        <v>1</v>
      </c>
      <c r="L1283" t="b">
        <f>TrafficData[[#This Row],[pendingAmount]]+TrafficData[[#This Row],[disposedAmount]]=TrafficData[[#This Row],[totalAmount]]</f>
        <v>1</v>
      </c>
      <c r="M1283" t="b">
        <f>TrafficData[[#This Row],[pendingCourt]]+TrafficData[[#This Row],[disposedCourt]]=TrafficData[[#This Row],[totalCourt]]</f>
        <v>1</v>
      </c>
      <c r="N1283" s="8" t="b">
        <f>AND(TrafficData[[#This Row],[disposedChallan]]&lt;=TrafficData[[#This Row],[totalChallan]],TrafficData[[#This Row],[pendingChallan]]&lt;=TrafficData[[#This Row],[totalChallan]])</f>
        <v>1</v>
      </c>
      <c r="O1283" s="8" t="b">
        <f>AND(TrafficData[[#This Row],[pendingAmount]]&lt;=TrafficData[[#This Row],[totalAmount]],TrafficData[[#This Row],[disposedAmount]]&lt;=TrafficData[[#This Row],[totalAmount]])</f>
        <v>1</v>
      </c>
      <c r="P1283" s="8" t="b">
        <f>AND(TrafficData[[#This Row],[pendingCourt]]&lt;=TrafficData[[#This Row],[totalCourt]],TrafficData[[#This Row],[disposedCourt]]&lt;=TrafficData[[#This Row],[totalCourt]])</f>
        <v>1</v>
      </c>
    </row>
    <row r="1284" spans="1:16">
      <c r="A1284" s="1">
        <v>43287</v>
      </c>
      <c r="B1284">
        <v>12529</v>
      </c>
      <c r="C1284">
        <v>9287</v>
      </c>
      <c r="D1284">
        <v>3242</v>
      </c>
      <c r="E1284">
        <v>13315455</v>
      </c>
      <c r="F1284">
        <v>18388498</v>
      </c>
      <c r="G1284">
        <v>31703953</v>
      </c>
      <c r="H1284">
        <v>1068</v>
      </c>
      <c r="I1284">
        <v>304</v>
      </c>
      <c r="J1284">
        <v>1372</v>
      </c>
      <c r="K1284" t="b">
        <f>TrafficData[[#This Row],[disposedChallan]]+TrafficData[[#This Row],[pendingChallan]]=TrafficData[[#This Row],[totalChallan]]</f>
        <v>1</v>
      </c>
      <c r="L1284" t="b">
        <f>TrafficData[[#This Row],[pendingAmount]]+TrafficData[[#This Row],[disposedAmount]]=TrafficData[[#This Row],[totalAmount]]</f>
        <v>1</v>
      </c>
      <c r="M1284" t="b">
        <f>TrafficData[[#This Row],[pendingCourt]]+TrafficData[[#This Row],[disposedCourt]]=TrafficData[[#This Row],[totalCourt]]</f>
        <v>1</v>
      </c>
      <c r="N1284" s="8" t="b">
        <f>AND(TrafficData[[#This Row],[disposedChallan]]&lt;=TrafficData[[#This Row],[totalChallan]],TrafficData[[#This Row],[pendingChallan]]&lt;=TrafficData[[#This Row],[totalChallan]])</f>
        <v>1</v>
      </c>
      <c r="O1284" s="8" t="b">
        <f>AND(TrafficData[[#This Row],[pendingAmount]]&lt;=TrafficData[[#This Row],[totalAmount]],TrafficData[[#This Row],[disposedAmount]]&lt;=TrafficData[[#This Row],[totalAmount]])</f>
        <v>1</v>
      </c>
      <c r="P1284" s="8" t="b">
        <f>AND(TrafficData[[#This Row],[pendingCourt]]&lt;=TrafficData[[#This Row],[totalCourt]],TrafficData[[#This Row],[disposedCourt]]&lt;=TrafficData[[#This Row],[totalCourt]])</f>
        <v>1</v>
      </c>
    </row>
    <row r="1285" spans="1:16">
      <c r="A1285" s="1">
        <v>43288</v>
      </c>
      <c r="B1285">
        <v>12141</v>
      </c>
      <c r="C1285">
        <v>8396</v>
      </c>
      <c r="D1285">
        <v>3745</v>
      </c>
      <c r="E1285">
        <v>14991544</v>
      </c>
      <c r="F1285">
        <v>18136127</v>
      </c>
      <c r="G1285">
        <v>33127671</v>
      </c>
      <c r="H1285">
        <v>1035</v>
      </c>
      <c r="I1285">
        <v>314</v>
      </c>
      <c r="J1285">
        <v>1349</v>
      </c>
      <c r="K1285" t="b">
        <f>TrafficData[[#This Row],[disposedChallan]]+TrafficData[[#This Row],[pendingChallan]]=TrafficData[[#This Row],[totalChallan]]</f>
        <v>1</v>
      </c>
      <c r="L1285" t="b">
        <f>TrafficData[[#This Row],[pendingAmount]]+TrafficData[[#This Row],[disposedAmount]]=TrafficData[[#This Row],[totalAmount]]</f>
        <v>1</v>
      </c>
      <c r="M1285" t="b">
        <f>TrafficData[[#This Row],[pendingCourt]]+TrafficData[[#This Row],[disposedCourt]]=TrafficData[[#This Row],[totalCourt]]</f>
        <v>1</v>
      </c>
      <c r="N1285" s="8" t="b">
        <f>AND(TrafficData[[#This Row],[disposedChallan]]&lt;=TrafficData[[#This Row],[totalChallan]],TrafficData[[#This Row],[pendingChallan]]&lt;=TrafficData[[#This Row],[totalChallan]])</f>
        <v>1</v>
      </c>
      <c r="O1285" s="8" t="b">
        <f>AND(TrafficData[[#This Row],[pendingAmount]]&lt;=TrafficData[[#This Row],[totalAmount]],TrafficData[[#This Row],[disposedAmount]]&lt;=TrafficData[[#This Row],[totalAmount]])</f>
        <v>1</v>
      </c>
      <c r="P1285" s="8" t="b">
        <f>AND(TrafficData[[#This Row],[pendingCourt]]&lt;=TrafficData[[#This Row],[totalCourt]],TrafficData[[#This Row],[disposedCourt]]&lt;=TrafficData[[#This Row],[totalCourt]])</f>
        <v>1</v>
      </c>
    </row>
    <row r="1286" spans="1:16">
      <c r="A1286" s="1">
        <v>43289</v>
      </c>
      <c r="B1286">
        <v>5956</v>
      </c>
      <c r="C1286">
        <v>4487</v>
      </c>
      <c r="D1286">
        <v>1469</v>
      </c>
      <c r="E1286">
        <v>4464511</v>
      </c>
      <c r="F1286">
        <v>9291926</v>
      </c>
      <c r="G1286">
        <v>13756437</v>
      </c>
      <c r="H1286">
        <v>516</v>
      </c>
      <c r="I1286">
        <v>145</v>
      </c>
      <c r="J1286">
        <v>661</v>
      </c>
      <c r="K1286" t="b">
        <f>TrafficData[[#This Row],[disposedChallan]]+TrafficData[[#This Row],[pendingChallan]]=TrafficData[[#This Row],[totalChallan]]</f>
        <v>1</v>
      </c>
      <c r="L1286" t="b">
        <f>TrafficData[[#This Row],[pendingAmount]]+TrafficData[[#This Row],[disposedAmount]]=TrafficData[[#This Row],[totalAmount]]</f>
        <v>1</v>
      </c>
      <c r="M1286" t="b">
        <f>TrafficData[[#This Row],[pendingCourt]]+TrafficData[[#This Row],[disposedCourt]]=TrafficData[[#This Row],[totalCourt]]</f>
        <v>1</v>
      </c>
      <c r="N1286" s="8" t="b">
        <f>AND(TrafficData[[#This Row],[disposedChallan]]&lt;=TrafficData[[#This Row],[totalChallan]],TrafficData[[#This Row],[pendingChallan]]&lt;=TrafficData[[#This Row],[totalChallan]])</f>
        <v>1</v>
      </c>
      <c r="O1286" s="8" t="b">
        <f>AND(TrafficData[[#This Row],[pendingAmount]]&lt;=TrafficData[[#This Row],[totalAmount]],TrafficData[[#This Row],[disposedAmount]]&lt;=TrafficData[[#This Row],[totalAmount]])</f>
        <v>1</v>
      </c>
      <c r="P1286" s="8" t="b">
        <f>AND(TrafficData[[#This Row],[pendingCourt]]&lt;=TrafficData[[#This Row],[totalCourt]],TrafficData[[#This Row],[disposedCourt]]&lt;=TrafficData[[#This Row],[totalCourt]])</f>
        <v>1</v>
      </c>
    </row>
    <row r="1287" spans="1:16">
      <c r="A1287" s="1">
        <v>43290</v>
      </c>
      <c r="B1287">
        <v>10548</v>
      </c>
      <c r="C1287">
        <v>7723</v>
      </c>
      <c r="D1287">
        <v>2825</v>
      </c>
      <c r="E1287">
        <v>11631578</v>
      </c>
      <c r="F1287">
        <v>15730831</v>
      </c>
      <c r="G1287">
        <v>27362409</v>
      </c>
      <c r="H1287">
        <v>954</v>
      </c>
      <c r="I1287">
        <v>280</v>
      </c>
      <c r="J1287">
        <v>1234</v>
      </c>
      <c r="K1287" t="b">
        <f>TrafficData[[#This Row],[disposedChallan]]+TrafficData[[#This Row],[pendingChallan]]=TrafficData[[#This Row],[totalChallan]]</f>
        <v>1</v>
      </c>
      <c r="L1287" t="b">
        <f>TrafficData[[#This Row],[pendingAmount]]+TrafficData[[#This Row],[disposedAmount]]=TrafficData[[#This Row],[totalAmount]]</f>
        <v>1</v>
      </c>
      <c r="M1287" t="b">
        <f>TrafficData[[#This Row],[pendingCourt]]+TrafficData[[#This Row],[disposedCourt]]=TrafficData[[#This Row],[totalCourt]]</f>
        <v>1</v>
      </c>
      <c r="N1287" s="8" t="b">
        <f>AND(TrafficData[[#This Row],[disposedChallan]]&lt;=TrafficData[[#This Row],[totalChallan]],TrafficData[[#This Row],[pendingChallan]]&lt;=TrafficData[[#This Row],[totalChallan]])</f>
        <v>1</v>
      </c>
      <c r="O1287" s="8" t="b">
        <f>AND(TrafficData[[#This Row],[pendingAmount]]&lt;=TrafficData[[#This Row],[totalAmount]],TrafficData[[#This Row],[disposedAmount]]&lt;=TrafficData[[#This Row],[totalAmount]])</f>
        <v>1</v>
      </c>
      <c r="P1287" s="8" t="b">
        <f>AND(TrafficData[[#This Row],[pendingCourt]]&lt;=TrafficData[[#This Row],[totalCourt]],TrafficData[[#This Row],[disposedCourt]]&lt;=TrafficData[[#This Row],[totalCourt]])</f>
        <v>1</v>
      </c>
    </row>
    <row r="1288" spans="1:16">
      <c r="A1288" s="1">
        <v>43291</v>
      </c>
      <c r="B1288">
        <v>12344</v>
      </c>
      <c r="C1288">
        <v>8806</v>
      </c>
      <c r="D1288">
        <v>3538</v>
      </c>
      <c r="E1288">
        <v>14285091</v>
      </c>
      <c r="F1288">
        <v>26694829</v>
      </c>
      <c r="G1288">
        <v>40979920</v>
      </c>
      <c r="H1288">
        <v>1083</v>
      </c>
      <c r="I1288">
        <v>458</v>
      </c>
      <c r="J1288">
        <v>1541</v>
      </c>
      <c r="K1288" t="b">
        <f>TrafficData[[#This Row],[disposedChallan]]+TrafficData[[#This Row],[pendingChallan]]=TrafficData[[#This Row],[totalChallan]]</f>
        <v>1</v>
      </c>
      <c r="L1288" t="b">
        <f>TrafficData[[#This Row],[pendingAmount]]+TrafficData[[#This Row],[disposedAmount]]=TrafficData[[#This Row],[totalAmount]]</f>
        <v>1</v>
      </c>
      <c r="M1288" t="b">
        <f>TrafficData[[#This Row],[pendingCourt]]+TrafficData[[#This Row],[disposedCourt]]=TrafficData[[#This Row],[totalCourt]]</f>
        <v>1</v>
      </c>
      <c r="N1288" s="8" t="b">
        <f>AND(TrafficData[[#This Row],[disposedChallan]]&lt;=TrafficData[[#This Row],[totalChallan]],TrafficData[[#This Row],[pendingChallan]]&lt;=TrafficData[[#This Row],[totalChallan]])</f>
        <v>1</v>
      </c>
      <c r="O1288" s="8" t="b">
        <f>AND(TrafficData[[#This Row],[pendingAmount]]&lt;=TrafficData[[#This Row],[totalAmount]],TrafficData[[#This Row],[disposedAmount]]&lt;=TrafficData[[#This Row],[totalAmount]])</f>
        <v>1</v>
      </c>
      <c r="P1288" s="8" t="b">
        <f>AND(TrafficData[[#This Row],[pendingCourt]]&lt;=TrafficData[[#This Row],[totalCourt]],TrafficData[[#This Row],[disposedCourt]]&lt;=TrafficData[[#This Row],[totalCourt]])</f>
        <v>1</v>
      </c>
    </row>
    <row r="1289" spans="1:16">
      <c r="A1289" s="1">
        <v>43292</v>
      </c>
      <c r="B1289">
        <v>19905</v>
      </c>
      <c r="C1289">
        <v>13871</v>
      </c>
      <c r="D1289">
        <v>6034</v>
      </c>
      <c r="E1289">
        <v>20756899</v>
      </c>
      <c r="F1289">
        <v>22736287</v>
      </c>
      <c r="G1289">
        <v>43493186</v>
      </c>
      <c r="H1289">
        <v>3639</v>
      </c>
      <c r="I1289">
        <v>892</v>
      </c>
      <c r="J1289">
        <v>4531</v>
      </c>
      <c r="K1289" t="b">
        <f>TrafficData[[#This Row],[disposedChallan]]+TrafficData[[#This Row],[pendingChallan]]=TrafficData[[#This Row],[totalChallan]]</f>
        <v>1</v>
      </c>
      <c r="L1289" t="b">
        <f>TrafficData[[#This Row],[pendingAmount]]+TrafficData[[#This Row],[disposedAmount]]=TrafficData[[#This Row],[totalAmount]]</f>
        <v>1</v>
      </c>
      <c r="M1289" t="b">
        <f>TrafficData[[#This Row],[pendingCourt]]+TrafficData[[#This Row],[disposedCourt]]=TrafficData[[#This Row],[totalCourt]]</f>
        <v>1</v>
      </c>
      <c r="N1289" s="8" t="b">
        <f>AND(TrafficData[[#This Row],[disposedChallan]]&lt;=TrafficData[[#This Row],[totalChallan]],TrafficData[[#This Row],[pendingChallan]]&lt;=TrafficData[[#This Row],[totalChallan]])</f>
        <v>1</v>
      </c>
      <c r="O1289" s="8" t="b">
        <f>AND(TrafficData[[#This Row],[pendingAmount]]&lt;=TrafficData[[#This Row],[totalAmount]],TrafficData[[#This Row],[disposedAmount]]&lt;=TrafficData[[#This Row],[totalAmount]])</f>
        <v>1</v>
      </c>
      <c r="P1289" s="8" t="b">
        <f>AND(TrafficData[[#This Row],[pendingCourt]]&lt;=TrafficData[[#This Row],[totalCourt]],TrafficData[[#This Row],[disposedCourt]]&lt;=TrafficData[[#This Row],[totalCourt]])</f>
        <v>1</v>
      </c>
    </row>
    <row r="1290" spans="1:16">
      <c r="A1290" s="1">
        <v>43293</v>
      </c>
      <c r="B1290">
        <v>11278</v>
      </c>
      <c r="C1290">
        <v>7898</v>
      </c>
      <c r="D1290">
        <v>3380</v>
      </c>
      <c r="E1290">
        <v>10968974</v>
      </c>
      <c r="F1290">
        <v>20216263</v>
      </c>
      <c r="G1290">
        <v>31185237</v>
      </c>
      <c r="H1290">
        <v>1251</v>
      </c>
      <c r="I1290">
        <v>335</v>
      </c>
      <c r="J1290">
        <v>1586</v>
      </c>
      <c r="K1290" t="b">
        <f>TrafficData[[#This Row],[disposedChallan]]+TrafficData[[#This Row],[pendingChallan]]=TrafficData[[#This Row],[totalChallan]]</f>
        <v>1</v>
      </c>
      <c r="L1290" t="b">
        <f>TrafficData[[#This Row],[pendingAmount]]+TrafficData[[#This Row],[disposedAmount]]=TrafficData[[#This Row],[totalAmount]]</f>
        <v>1</v>
      </c>
      <c r="M1290" t="b">
        <f>TrafficData[[#This Row],[pendingCourt]]+TrafficData[[#This Row],[disposedCourt]]=TrafficData[[#This Row],[totalCourt]]</f>
        <v>1</v>
      </c>
      <c r="N1290" s="8" t="b">
        <f>AND(TrafficData[[#This Row],[disposedChallan]]&lt;=TrafficData[[#This Row],[totalChallan]],TrafficData[[#This Row],[pendingChallan]]&lt;=TrafficData[[#This Row],[totalChallan]])</f>
        <v>1</v>
      </c>
      <c r="O1290" s="8" t="b">
        <f>AND(TrafficData[[#This Row],[pendingAmount]]&lt;=TrafficData[[#This Row],[totalAmount]],TrafficData[[#This Row],[disposedAmount]]&lt;=TrafficData[[#This Row],[totalAmount]])</f>
        <v>1</v>
      </c>
      <c r="P1290" s="8" t="b">
        <f>AND(TrafficData[[#This Row],[pendingCourt]]&lt;=TrafficData[[#This Row],[totalCourt]],TrafficData[[#This Row],[disposedCourt]]&lt;=TrafficData[[#This Row],[totalCourt]])</f>
        <v>1</v>
      </c>
    </row>
    <row r="1291" spans="1:16">
      <c r="A1291" s="1">
        <v>43294</v>
      </c>
      <c r="B1291">
        <v>9546</v>
      </c>
      <c r="C1291">
        <v>7096</v>
      </c>
      <c r="D1291">
        <v>2450</v>
      </c>
      <c r="E1291">
        <v>10049079</v>
      </c>
      <c r="F1291">
        <v>23668348</v>
      </c>
      <c r="G1291">
        <v>33717427</v>
      </c>
      <c r="H1291">
        <v>922</v>
      </c>
      <c r="I1291">
        <v>265</v>
      </c>
      <c r="J1291">
        <v>1187</v>
      </c>
      <c r="K1291" t="b">
        <f>TrafficData[[#This Row],[disposedChallan]]+TrafficData[[#This Row],[pendingChallan]]=TrafficData[[#This Row],[totalChallan]]</f>
        <v>1</v>
      </c>
      <c r="L1291" t="b">
        <f>TrafficData[[#This Row],[pendingAmount]]+TrafficData[[#This Row],[disposedAmount]]=TrafficData[[#This Row],[totalAmount]]</f>
        <v>1</v>
      </c>
      <c r="M1291" t="b">
        <f>TrafficData[[#This Row],[pendingCourt]]+TrafficData[[#This Row],[disposedCourt]]=TrafficData[[#This Row],[totalCourt]]</f>
        <v>1</v>
      </c>
      <c r="N1291" s="8" t="b">
        <f>AND(TrafficData[[#This Row],[disposedChallan]]&lt;=TrafficData[[#This Row],[totalChallan]],TrafficData[[#This Row],[pendingChallan]]&lt;=TrafficData[[#This Row],[totalChallan]])</f>
        <v>1</v>
      </c>
      <c r="O1291" s="8" t="b">
        <f>AND(TrafficData[[#This Row],[pendingAmount]]&lt;=TrafficData[[#This Row],[totalAmount]],TrafficData[[#This Row],[disposedAmount]]&lt;=TrafficData[[#This Row],[totalAmount]])</f>
        <v>1</v>
      </c>
      <c r="P1291" s="8" t="b">
        <f>AND(TrafficData[[#This Row],[pendingCourt]]&lt;=TrafficData[[#This Row],[totalCourt]],TrafficData[[#This Row],[disposedCourt]]&lt;=TrafficData[[#This Row],[totalCourt]])</f>
        <v>1</v>
      </c>
    </row>
    <row r="1292" spans="1:16">
      <c r="A1292" s="1">
        <v>43295</v>
      </c>
      <c r="B1292">
        <v>9313</v>
      </c>
      <c r="C1292">
        <v>6706</v>
      </c>
      <c r="D1292">
        <v>2607</v>
      </c>
      <c r="E1292">
        <v>4629588</v>
      </c>
      <c r="F1292">
        <v>9199913</v>
      </c>
      <c r="G1292">
        <v>13829501</v>
      </c>
      <c r="H1292">
        <v>1072</v>
      </c>
      <c r="I1292">
        <v>293</v>
      </c>
      <c r="J1292">
        <v>1365</v>
      </c>
      <c r="K1292" t="b">
        <f>TrafficData[[#This Row],[disposedChallan]]+TrafficData[[#This Row],[pendingChallan]]=TrafficData[[#This Row],[totalChallan]]</f>
        <v>1</v>
      </c>
      <c r="L1292" t="b">
        <f>TrafficData[[#This Row],[pendingAmount]]+TrafficData[[#This Row],[disposedAmount]]=TrafficData[[#This Row],[totalAmount]]</f>
        <v>1</v>
      </c>
      <c r="M1292" t="b">
        <f>TrafficData[[#This Row],[pendingCourt]]+TrafficData[[#This Row],[disposedCourt]]=TrafficData[[#This Row],[totalCourt]]</f>
        <v>1</v>
      </c>
      <c r="N1292" s="8" t="b">
        <f>AND(TrafficData[[#This Row],[disposedChallan]]&lt;=TrafficData[[#This Row],[totalChallan]],TrafficData[[#This Row],[pendingChallan]]&lt;=TrafficData[[#This Row],[totalChallan]])</f>
        <v>1</v>
      </c>
      <c r="O1292" s="8" t="b">
        <f>AND(TrafficData[[#This Row],[pendingAmount]]&lt;=TrafficData[[#This Row],[totalAmount]],TrafficData[[#This Row],[disposedAmount]]&lt;=TrafficData[[#This Row],[totalAmount]])</f>
        <v>1</v>
      </c>
      <c r="P1292" s="8" t="b">
        <f>AND(TrafficData[[#This Row],[pendingCourt]]&lt;=TrafficData[[#This Row],[totalCourt]],TrafficData[[#This Row],[disposedCourt]]&lt;=TrafficData[[#This Row],[totalCourt]])</f>
        <v>1</v>
      </c>
    </row>
    <row r="1293" spans="1:16">
      <c r="A1293" s="1">
        <v>43296</v>
      </c>
      <c r="B1293">
        <v>6407</v>
      </c>
      <c r="C1293">
        <v>4461</v>
      </c>
      <c r="D1293">
        <v>1946</v>
      </c>
      <c r="E1293">
        <v>2966724</v>
      </c>
      <c r="F1293">
        <v>7239858</v>
      </c>
      <c r="G1293">
        <v>10206582</v>
      </c>
      <c r="H1293">
        <v>976</v>
      </c>
      <c r="I1293">
        <v>137</v>
      </c>
      <c r="J1293">
        <v>1113</v>
      </c>
      <c r="K1293" t="b">
        <f>TrafficData[[#This Row],[disposedChallan]]+TrafficData[[#This Row],[pendingChallan]]=TrafficData[[#This Row],[totalChallan]]</f>
        <v>1</v>
      </c>
      <c r="L1293" t="b">
        <f>TrafficData[[#This Row],[pendingAmount]]+TrafficData[[#This Row],[disposedAmount]]=TrafficData[[#This Row],[totalAmount]]</f>
        <v>1</v>
      </c>
      <c r="M1293" t="b">
        <f>TrafficData[[#This Row],[pendingCourt]]+TrafficData[[#This Row],[disposedCourt]]=TrafficData[[#This Row],[totalCourt]]</f>
        <v>1</v>
      </c>
      <c r="N1293" s="8" t="b">
        <f>AND(TrafficData[[#This Row],[disposedChallan]]&lt;=TrafficData[[#This Row],[totalChallan]],TrafficData[[#This Row],[pendingChallan]]&lt;=TrafficData[[#This Row],[totalChallan]])</f>
        <v>1</v>
      </c>
      <c r="O1293" s="8" t="b">
        <f>AND(TrafficData[[#This Row],[pendingAmount]]&lt;=TrafficData[[#This Row],[totalAmount]],TrafficData[[#This Row],[disposedAmount]]&lt;=TrafficData[[#This Row],[totalAmount]])</f>
        <v>1</v>
      </c>
      <c r="P1293" s="8" t="b">
        <f>AND(TrafficData[[#This Row],[pendingCourt]]&lt;=TrafficData[[#This Row],[totalCourt]],TrafficData[[#This Row],[disposedCourt]]&lt;=TrafficData[[#This Row],[totalCourt]])</f>
        <v>1</v>
      </c>
    </row>
    <row r="1294" spans="1:16">
      <c r="A1294" s="1">
        <v>43297</v>
      </c>
      <c r="B1294">
        <v>10575</v>
      </c>
      <c r="C1294">
        <v>8059</v>
      </c>
      <c r="D1294">
        <v>2516</v>
      </c>
      <c r="E1294">
        <v>11198613</v>
      </c>
      <c r="F1294">
        <v>16168651</v>
      </c>
      <c r="G1294">
        <v>27367264</v>
      </c>
      <c r="H1294">
        <v>969</v>
      </c>
      <c r="I1294">
        <v>388</v>
      </c>
      <c r="J1294">
        <v>1357</v>
      </c>
      <c r="K1294" t="b">
        <f>TrafficData[[#This Row],[disposedChallan]]+TrafficData[[#This Row],[pendingChallan]]=TrafficData[[#This Row],[totalChallan]]</f>
        <v>1</v>
      </c>
      <c r="L1294" t="b">
        <f>TrafficData[[#This Row],[pendingAmount]]+TrafficData[[#This Row],[disposedAmount]]=TrafficData[[#This Row],[totalAmount]]</f>
        <v>1</v>
      </c>
      <c r="M1294" t="b">
        <f>TrafficData[[#This Row],[pendingCourt]]+TrafficData[[#This Row],[disposedCourt]]=TrafficData[[#This Row],[totalCourt]]</f>
        <v>1</v>
      </c>
      <c r="N1294" s="8" t="b">
        <f>AND(TrafficData[[#This Row],[disposedChallan]]&lt;=TrafficData[[#This Row],[totalChallan]],TrafficData[[#This Row],[pendingChallan]]&lt;=TrafficData[[#This Row],[totalChallan]])</f>
        <v>1</v>
      </c>
      <c r="O1294" s="8" t="b">
        <f>AND(TrafficData[[#This Row],[pendingAmount]]&lt;=TrafficData[[#This Row],[totalAmount]],TrafficData[[#This Row],[disposedAmount]]&lt;=TrafficData[[#This Row],[totalAmount]])</f>
        <v>1</v>
      </c>
      <c r="P1294" s="8" t="b">
        <f>AND(TrafficData[[#This Row],[pendingCourt]]&lt;=TrafficData[[#This Row],[totalCourt]],TrafficData[[#This Row],[disposedCourt]]&lt;=TrafficData[[#This Row],[totalCourt]])</f>
        <v>1</v>
      </c>
    </row>
    <row r="1295" spans="1:16">
      <c r="A1295" s="1">
        <v>43298</v>
      </c>
      <c r="B1295">
        <v>13152</v>
      </c>
      <c r="C1295">
        <v>9423</v>
      </c>
      <c r="D1295">
        <v>3729</v>
      </c>
      <c r="E1295">
        <v>12337899</v>
      </c>
      <c r="F1295">
        <v>19067727</v>
      </c>
      <c r="G1295">
        <v>31405626</v>
      </c>
      <c r="H1295">
        <v>1541</v>
      </c>
      <c r="I1295">
        <v>397</v>
      </c>
      <c r="J1295">
        <v>1938</v>
      </c>
      <c r="K1295" t="b">
        <f>TrafficData[[#This Row],[disposedChallan]]+TrafficData[[#This Row],[pendingChallan]]=TrafficData[[#This Row],[totalChallan]]</f>
        <v>1</v>
      </c>
      <c r="L1295" t="b">
        <f>TrafficData[[#This Row],[pendingAmount]]+TrafficData[[#This Row],[disposedAmount]]=TrafficData[[#This Row],[totalAmount]]</f>
        <v>1</v>
      </c>
      <c r="M1295" t="b">
        <f>TrafficData[[#This Row],[pendingCourt]]+TrafficData[[#This Row],[disposedCourt]]=TrafficData[[#This Row],[totalCourt]]</f>
        <v>1</v>
      </c>
      <c r="N1295" s="8" t="b">
        <f>AND(TrafficData[[#This Row],[disposedChallan]]&lt;=TrafficData[[#This Row],[totalChallan]],TrafficData[[#This Row],[pendingChallan]]&lt;=TrafficData[[#This Row],[totalChallan]])</f>
        <v>1</v>
      </c>
      <c r="O1295" s="8" t="b">
        <f>AND(TrafficData[[#This Row],[pendingAmount]]&lt;=TrafficData[[#This Row],[totalAmount]],TrafficData[[#This Row],[disposedAmount]]&lt;=TrafficData[[#This Row],[totalAmount]])</f>
        <v>1</v>
      </c>
      <c r="P1295" s="8" t="b">
        <f>AND(TrafficData[[#This Row],[pendingCourt]]&lt;=TrafficData[[#This Row],[totalCourt]],TrafficData[[#This Row],[disposedCourt]]&lt;=TrafficData[[#This Row],[totalCourt]])</f>
        <v>1</v>
      </c>
    </row>
    <row r="1296" spans="1:16">
      <c r="A1296" s="1">
        <v>43299</v>
      </c>
      <c r="B1296">
        <v>20270</v>
      </c>
      <c r="C1296">
        <v>13690</v>
      </c>
      <c r="D1296">
        <v>6580</v>
      </c>
      <c r="E1296">
        <v>16180439</v>
      </c>
      <c r="F1296">
        <v>18708729</v>
      </c>
      <c r="G1296">
        <v>34889168</v>
      </c>
      <c r="H1296">
        <v>4103</v>
      </c>
      <c r="I1296">
        <v>1116</v>
      </c>
      <c r="J1296">
        <v>5219</v>
      </c>
      <c r="K1296" t="b">
        <f>TrafficData[[#This Row],[disposedChallan]]+TrafficData[[#This Row],[pendingChallan]]=TrafficData[[#This Row],[totalChallan]]</f>
        <v>1</v>
      </c>
      <c r="L1296" t="b">
        <f>TrafficData[[#This Row],[pendingAmount]]+TrafficData[[#This Row],[disposedAmount]]=TrafficData[[#This Row],[totalAmount]]</f>
        <v>1</v>
      </c>
      <c r="M1296" t="b">
        <f>TrafficData[[#This Row],[pendingCourt]]+TrafficData[[#This Row],[disposedCourt]]=TrafficData[[#This Row],[totalCourt]]</f>
        <v>1</v>
      </c>
      <c r="N1296" s="8" t="b">
        <f>AND(TrafficData[[#This Row],[disposedChallan]]&lt;=TrafficData[[#This Row],[totalChallan]],TrafficData[[#This Row],[pendingChallan]]&lt;=TrafficData[[#This Row],[totalChallan]])</f>
        <v>1</v>
      </c>
      <c r="O1296" s="8" t="b">
        <f>AND(TrafficData[[#This Row],[pendingAmount]]&lt;=TrafficData[[#This Row],[totalAmount]],TrafficData[[#This Row],[disposedAmount]]&lt;=TrafficData[[#This Row],[totalAmount]])</f>
        <v>1</v>
      </c>
      <c r="P1296" s="8" t="b">
        <f>AND(TrafficData[[#This Row],[pendingCourt]]&lt;=TrafficData[[#This Row],[totalCourt]],TrafficData[[#This Row],[disposedCourt]]&lt;=TrafficData[[#This Row],[totalCourt]])</f>
        <v>1</v>
      </c>
    </row>
    <row r="1297" spans="1:16">
      <c r="A1297" s="1">
        <v>43300</v>
      </c>
      <c r="B1297">
        <v>11892</v>
      </c>
      <c r="C1297">
        <v>8550</v>
      </c>
      <c r="D1297">
        <v>3342</v>
      </c>
      <c r="E1297">
        <v>13231752</v>
      </c>
      <c r="F1297">
        <v>18909120</v>
      </c>
      <c r="G1297">
        <v>32140872</v>
      </c>
      <c r="H1297">
        <v>1127</v>
      </c>
      <c r="I1297">
        <v>366</v>
      </c>
      <c r="J1297">
        <v>1493</v>
      </c>
      <c r="K1297" t="b">
        <f>TrafficData[[#This Row],[disposedChallan]]+TrafficData[[#This Row],[pendingChallan]]=TrafficData[[#This Row],[totalChallan]]</f>
        <v>1</v>
      </c>
      <c r="L1297" t="b">
        <f>TrafficData[[#This Row],[pendingAmount]]+TrafficData[[#This Row],[disposedAmount]]=TrafficData[[#This Row],[totalAmount]]</f>
        <v>1</v>
      </c>
      <c r="M1297" t="b">
        <f>TrafficData[[#This Row],[pendingCourt]]+TrafficData[[#This Row],[disposedCourt]]=TrafficData[[#This Row],[totalCourt]]</f>
        <v>1</v>
      </c>
      <c r="N1297" s="8" t="b">
        <f>AND(TrafficData[[#This Row],[disposedChallan]]&lt;=TrafficData[[#This Row],[totalChallan]],TrafficData[[#This Row],[pendingChallan]]&lt;=TrafficData[[#This Row],[totalChallan]])</f>
        <v>1</v>
      </c>
      <c r="O1297" s="8" t="b">
        <f>AND(TrafficData[[#This Row],[pendingAmount]]&lt;=TrafficData[[#This Row],[totalAmount]],TrafficData[[#This Row],[disposedAmount]]&lt;=TrafficData[[#This Row],[totalAmount]])</f>
        <v>1</v>
      </c>
      <c r="P1297" s="8" t="b">
        <f>AND(TrafficData[[#This Row],[pendingCourt]]&lt;=TrafficData[[#This Row],[totalCourt]],TrafficData[[#This Row],[disposedCourt]]&lt;=TrafficData[[#This Row],[totalCourt]])</f>
        <v>1</v>
      </c>
    </row>
    <row r="1298" spans="1:16">
      <c r="A1298" s="1">
        <v>43301</v>
      </c>
      <c r="B1298">
        <v>14283</v>
      </c>
      <c r="C1298">
        <v>8960</v>
      </c>
      <c r="D1298">
        <v>5323</v>
      </c>
      <c r="E1298">
        <v>14492525</v>
      </c>
      <c r="F1298">
        <v>20500871</v>
      </c>
      <c r="G1298">
        <v>34993396</v>
      </c>
      <c r="H1298">
        <v>1053</v>
      </c>
      <c r="I1298">
        <v>396</v>
      </c>
      <c r="J1298">
        <v>1449</v>
      </c>
      <c r="K1298" t="b">
        <f>TrafficData[[#This Row],[disposedChallan]]+TrafficData[[#This Row],[pendingChallan]]=TrafficData[[#This Row],[totalChallan]]</f>
        <v>1</v>
      </c>
      <c r="L1298" t="b">
        <f>TrafficData[[#This Row],[pendingAmount]]+TrafficData[[#This Row],[disposedAmount]]=TrafficData[[#This Row],[totalAmount]]</f>
        <v>1</v>
      </c>
      <c r="M1298" t="b">
        <f>TrafficData[[#This Row],[pendingCourt]]+TrafficData[[#This Row],[disposedCourt]]=TrafficData[[#This Row],[totalCourt]]</f>
        <v>1</v>
      </c>
      <c r="N1298" s="8" t="b">
        <f>AND(TrafficData[[#This Row],[disposedChallan]]&lt;=TrafficData[[#This Row],[totalChallan]],TrafficData[[#This Row],[pendingChallan]]&lt;=TrafficData[[#This Row],[totalChallan]])</f>
        <v>1</v>
      </c>
      <c r="O1298" s="8" t="b">
        <f>AND(TrafficData[[#This Row],[pendingAmount]]&lt;=TrafficData[[#This Row],[totalAmount]],TrafficData[[#This Row],[disposedAmount]]&lt;=TrafficData[[#This Row],[totalAmount]])</f>
        <v>1</v>
      </c>
      <c r="P1298" s="8" t="b">
        <f>AND(TrafficData[[#This Row],[pendingCourt]]&lt;=TrafficData[[#This Row],[totalCourt]],TrafficData[[#This Row],[disposedCourt]]&lt;=TrafficData[[#This Row],[totalCourt]])</f>
        <v>1</v>
      </c>
    </row>
    <row r="1299" spans="1:16">
      <c r="A1299" s="1">
        <v>43302</v>
      </c>
      <c r="B1299">
        <v>10004</v>
      </c>
      <c r="C1299">
        <v>6245</v>
      </c>
      <c r="D1299">
        <v>3759</v>
      </c>
      <c r="E1299">
        <v>10825410</v>
      </c>
      <c r="F1299">
        <v>10112812</v>
      </c>
      <c r="G1299">
        <v>20938222</v>
      </c>
      <c r="H1299">
        <v>1030</v>
      </c>
      <c r="I1299">
        <v>259</v>
      </c>
      <c r="J1299">
        <v>1289</v>
      </c>
      <c r="K1299" t="b">
        <f>TrafficData[[#This Row],[disposedChallan]]+TrafficData[[#This Row],[pendingChallan]]=TrafficData[[#This Row],[totalChallan]]</f>
        <v>1</v>
      </c>
      <c r="L1299" t="b">
        <f>TrafficData[[#This Row],[pendingAmount]]+TrafficData[[#This Row],[disposedAmount]]=TrafficData[[#This Row],[totalAmount]]</f>
        <v>1</v>
      </c>
      <c r="M1299" t="b">
        <f>TrafficData[[#This Row],[pendingCourt]]+TrafficData[[#This Row],[disposedCourt]]=TrafficData[[#This Row],[totalCourt]]</f>
        <v>1</v>
      </c>
      <c r="N1299" s="8" t="b">
        <f>AND(TrafficData[[#This Row],[disposedChallan]]&lt;=TrafficData[[#This Row],[totalChallan]],TrafficData[[#This Row],[pendingChallan]]&lt;=TrafficData[[#This Row],[totalChallan]])</f>
        <v>1</v>
      </c>
      <c r="O1299" s="8" t="b">
        <f>AND(TrafficData[[#This Row],[pendingAmount]]&lt;=TrafficData[[#This Row],[totalAmount]],TrafficData[[#This Row],[disposedAmount]]&lt;=TrafficData[[#This Row],[totalAmount]])</f>
        <v>1</v>
      </c>
      <c r="P1299" s="8" t="b">
        <f>AND(TrafficData[[#This Row],[pendingCourt]]&lt;=TrafficData[[#This Row],[totalCourt]],TrafficData[[#This Row],[disposedCourt]]&lt;=TrafficData[[#This Row],[totalCourt]])</f>
        <v>1</v>
      </c>
    </row>
    <row r="1300" spans="1:16">
      <c r="A1300" s="1">
        <v>43303</v>
      </c>
      <c r="B1300">
        <v>6547</v>
      </c>
      <c r="C1300">
        <v>4704</v>
      </c>
      <c r="D1300">
        <v>1843</v>
      </c>
      <c r="E1300">
        <v>4108231</v>
      </c>
      <c r="F1300">
        <v>5301679</v>
      </c>
      <c r="G1300">
        <v>9409910</v>
      </c>
      <c r="H1300">
        <v>599</v>
      </c>
      <c r="I1300">
        <v>120</v>
      </c>
      <c r="J1300">
        <v>719</v>
      </c>
      <c r="K1300" t="b">
        <f>TrafficData[[#This Row],[disposedChallan]]+TrafficData[[#This Row],[pendingChallan]]=TrafficData[[#This Row],[totalChallan]]</f>
        <v>1</v>
      </c>
      <c r="L1300" t="b">
        <f>TrafficData[[#This Row],[pendingAmount]]+TrafficData[[#This Row],[disposedAmount]]=TrafficData[[#This Row],[totalAmount]]</f>
        <v>1</v>
      </c>
      <c r="M1300" t="b">
        <f>TrafficData[[#This Row],[pendingCourt]]+TrafficData[[#This Row],[disposedCourt]]=TrafficData[[#This Row],[totalCourt]]</f>
        <v>1</v>
      </c>
      <c r="N1300" s="8" t="b">
        <f>AND(TrafficData[[#This Row],[disposedChallan]]&lt;=TrafficData[[#This Row],[totalChallan]],TrafficData[[#This Row],[pendingChallan]]&lt;=TrafficData[[#This Row],[totalChallan]])</f>
        <v>1</v>
      </c>
      <c r="O1300" s="8" t="b">
        <f>AND(TrafficData[[#This Row],[pendingAmount]]&lt;=TrafficData[[#This Row],[totalAmount]],TrafficData[[#This Row],[disposedAmount]]&lt;=TrafficData[[#This Row],[totalAmount]])</f>
        <v>1</v>
      </c>
      <c r="P1300" s="8" t="b">
        <f>AND(TrafficData[[#This Row],[pendingCourt]]&lt;=TrafficData[[#This Row],[totalCourt]],TrafficData[[#This Row],[disposedCourt]]&lt;=TrafficData[[#This Row],[totalCourt]])</f>
        <v>1</v>
      </c>
    </row>
    <row r="1301" spans="1:16">
      <c r="A1301" s="1">
        <v>43304</v>
      </c>
      <c r="B1301">
        <v>14254</v>
      </c>
      <c r="C1301">
        <v>9861</v>
      </c>
      <c r="D1301">
        <v>4393</v>
      </c>
      <c r="E1301">
        <v>8025418</v>
      </c>
      <c r="F1301">
        <v>13332645</v>
      </c>
      <c r="G1301">
        <v>21358063</v>
      </c>
      <c r="H1301">
        <v>1056</v>
      </c>
      <c r="I1301">
        <v>503</v>
      </c>
      <c r="J1301">
        <v>1559</v>
      </c>
      <c r="K1301" t="b">
        <f>TrafficData[[#This Row],[disposedChallan]]+TrafficData[[#This Row],[pendingChallan]]=TrafficData[[#This Row],[totalChallan]]</f>
        <v>1</v>
      </c>
      <c r="L1301" t="b">
        <f>TrafficData[[#This Row],[pendingAmount]]+TrafficData[[#This Row],[disposedAmount]]=TrafficData[[#This Row],[totalAmount]]</f>
        <v>1</v>
      </c>
      <c r="M1301" t="b">
        <f>TrafficData[[#This Row],[pendingCourt]]+TrafficData[[#This Row],[disposedCourt]]=TrafficData[[#This Row],[totalCourt]]</f>
        <v>1</v>
      </c>
      <c r="N1301" s="8" t="b">
        <f>AND(TrafficData[[#This Row],[disposedChallan]]&lt;=TrafficData[[#This Row],[totalChallan]],TrafficData[[#This Row],[pendingChallan]]&lt;=TrafficData[[#This Row],[totalChallan]])</f>
        <v>1</v>
      </c>
      <c r="O1301" s="8" t="b">
        <f>AND(TrafficData[[#This Row],[pendingAmount]]&lt;=TrafficData[[#This Row],[totalAmount]],TrafficData[[#This Row],[disposedAmount]]&lt;=TrafficData[[#This Row],[totalAmount]])</f>
        <v>1</v>
      </c>
      <c r="P1301" s="8" t="b">
        <f>AND(TrafficData[[#This Row],[pendingCourt]]&lt;=TrafficData[[#This Row],[totalCourt]],TrafficData[[#This Row],[disposedCourt]]&lt;=TrafficData[[#This Row],[totalCourt]])</f>
        <v>1</v>
      </c>
    </row>
    <row r="1302" spans="1:16">
      <c r="A1302" s="1">
        <v>43305</v>
      </c>
      <c r="B1302">
        <v>13636</v>
      </c>
      <c r="C1302">
        <v>8894</v>
      </c>
      <c r="D1302">
        <v>4742</v>
      </c>
      <c r="E1302">
        <v>10672400</v>
      </c>
      <c r="F1302">
        <v>20000752</v>
      </c>
      <c r="G1302">
        <v>30673152</v>
      </c>
      <c r="H1302">
        <v>1492</v>
      </c>
      <c r="I1302">
        <v>381</v>
      </c>
      <c r="J1302">
        <v>1873</v>
      </c>
      <c r="K1302" t="b">
        <f>TrafficData[[#This Row],[disposedChallan]]+TrafficData[[#This Row],[pendingChallan]]=TrafficData[[#This Row],[totalChallan]]</f>
        <v>1</v>
      </c>
      <c r="L1302" t="b">
        <f>TrafficData[[#This Row],[pendingAmount]]+TrafficData[[#This Row],[disposedAmount]]=TrafficData[[#This Row],[totalAmount]]</f>
        <v>1</v>
      </c>
      <c r="M1302" t="b">
        <f>TrafficData[[#This Row],[pendingCourt]]+TrafficData[[#This Row],[disposedCourt]]=TrafficData[[#This Row],[totalCourt]]</f>
        <v>1</v>
      </c>
      <c r="N1302" s="8" t="b">
        <f>AND(TrafficData[[#This Row],[disposedChallan]]&lt;=TrafficData[[#This Row],[totalChallan]],TrafficData[[#This Row],[pendingChallan]]&lt;=TrafficData[[#This Row],[totalChallan]])</f>
        <v>1</v>
      </c>
      <c r="O1302" s="8" t="b">
        <f>AND(TrafficData[[#This Row],[pendingAmount]]&lt;=TrafficData[[#This Row],[totalAmount]],TrafficData[[#This Row],[disposedAmount]]&lt;=TrafficData[[#This Row],[totalAmount]])</f>
        <v>1</v>
      </c>
      <c r="P1302" s="8" t="b">
        <f>AND(TrafficData[[#This Row],[pendingCourt]]&lt;=TrafficData[[#This Row],[totalCourt]],TrafficData[[#This Row],[disposedCourt]]&lt;=TrafficData[[#This Row],[totalCourt]])</f>
        <v>1</v>
      </c>
    </row>
    <row r="1303" spans="1:16">
      <c r="A1303" s="1">
        <v>43306</v>
      </c>
      <c r="B1303">
        <v>23267</v>
      </c>
      <c r="C1303">
        <v>14462</v>
      </c>
      <c r="D1303">
        <v>8805</v>
      </c>
      <c r="E1303">
        <v>21368021</v>
      </c>
      <c r="F1303">
        <v>18544736</v>
      </c>
      <c r="G1303">
        <v>39912757</v>
      </c>
      <c r="H1303">
        <v>4286</v>
      </c>
      <c r="I1303">
        <v>1011</v>
      </c>
      <c r="J1303">
        <v>5297</v>
      </c>
      <c r="K1303" t="b">
        <f>TrafficData[[#This Row],[disposedChallan]]+TrafficData[[#This Row],[pendingChallan]]=TrafficData[[#This Row],[totalChallan]]</f>
        <v>1</v>
      </c>
      <c r="L1303" t="b">
        <f>TrafficData[[#This Row],[pendingAmount]]+TrafficData[[#This Row],[disposedAmount]]=TrafficData[[#This Row],[totalAmount]]</f>
        <v>1</v>
      </c>
      <c r="M1303" t="b">
        <f>TrafficData[[#This Row],[pendingCourt]]+TrafficData[[#This Row],[disposedCourt]]=TrafficData[[#This Row],[totalCourt]]</f>
        <v>1</v>
      </c>
      <c r="N1303" s="8" t="b">
        <f>AND(TrafficData[[#This Row],[disposedChallan]]&lt;=TrafficData[[#This Row],[totalChallan]],TrafficData[[#This Row],[pendingChallan]]&lt;=TrafficData[[#This Row],[totalChallan]])</f>
        <v>1</v>
      </c>
      <c r="O1303" s="8" t="b">
        <f>AND(TrafficData[[#This Row],[pendingAmount]]&lt;=TrafficData[[#This Row],[totalAmount]],TrafficData[[#This Row],[disposedAmount]]&lt;=TrafficData[[#This Row],[totalAmount]])</f>
        <v>1</v>
      </c>
      <c r="P1303" s="8" t="b">
        <f>AND(TrafficData[[#This Row],[pendingCourt]]&lt;=TrafficData[[#This Row],[totalCourt]],TrafficData[[#This Row],[disposedCourt]]&lt;=TrafficData[[#This Row],[totalCourt]])</f>
        <v>1</v>
      </c>
    </row>
    <row r="1304" spans="1:16">
      <c r="A1304" s="1">
        <v>43307</v>
      </c>
      <c r="B1304">
        <v>11428</v>
      </c>
      <c r="C1304">
        <v>7805</v>
      </c>
      <c r="D1304">
        <v>3623</v>
      </c>
      <c r="E1304">
        <v>10413406</v>
      </c>
      <c r="F1304">
        <v>15846974</v>
      </c>
      <c r="G1304">
        <v>26260380</v>
      </c>
      <c r="H1304">
        <v>951</v>
      </c>
      <c r="I1304">
        <v>247</v>
      </c>
      <c r="J1304">
        <v>1198</v>
      </c>
      <c r="K1304" t="b">
        <f>TrafficData[[#This Row],[disposedChallan]]+TrafficData[[#This Row],[pendingChallan]]=TrafficData[[#This Row],[totalChallan]]</f>
        <v>1</v>
      </c>
      <c r="L1304" t="b">
        <f>TrafficData[[#This Row],[pendingAmount]]+TrafficData[[#This Row],[disposedAmount]]=TrafficData[[#This Row],[totalAmount]]</f>
        <v>1</v>
      </c>
      <c r="M1304" t="b">
        <f>TrafficData[[#This Row],[pendingCourt]]+TrafficData[[#This Row],[disposedCourt]]=TrafficData[[#This Row],[totalCourt]]</f>
        <v>1</v>
      </c>
      <c r="N1304" s="8" t="b">
        <f>AND(TrafficData[[#This Row],[disposedChallan]]&lt;=TrafficData[[#This Row],[totalChallan]],TrafficData[[#This Row],[pendingChallan]]&lt;=TrafficData[[#This Row],[totalChallan]])</f>
        <v>1</v>
      </c>
      <c r="O1304" s="8" t="b">
        <f>AND(TrafficData[[#This Row],[pendingAmount]]&lt;=TrafficData[[#This Row],[totalAmount]],TrafficData[[#This Row],[disposedAmount]]&lt;=TrafficData[[#This Row],[totalAmount]])</f>
        <v>1</v>
      </c>
      <c r="P1304" s="8" t="b">
        <f>AND(TrafficData[[#This Row],[pendingCourt]]&lt;=TrafficData[[#This Row],[totalCourt]],TrafficData[[#This Row],[disposedCourt]]&lt;=TrafficData[[#This Row],[totalCourt]])</f>
        <v>1</v>
      </c>
    </row>
    <row r="1305" spans="1:16">
      <c r="A1305" s="1">
        <v>43308</v>
      </c>
      <c r="B1305">
        <v>12741</v>
      </c>
      <c r="C1305">
        <v>8037</v>
      </c>
      <c r="D1305">
        <v>4704</v>
      </c>
      <c r="E1305">
        <v>13161895</v>
      </c>
      <c r="F1305">
        <v>14553228</v>
      </c>
      <c r="G1305">
        <v>27715123</v>
      </c>
      <c r="H1305">
        <v>1438</v>
      </c>
      <c r="I1305">
        <v>378</v>
      </c>
      <c r="J1305">
        <v>1816</v>
      </c>
      <c r="K1305" t="b">
        <f>TrafficData[[#This Row],[disposedChallan]]+TrafficData[[#This Row],[pendingChallan]]=TrafficData[[#This Row],[totalChallan]]</f>
        <v>1</v>
      </c>
      <c r="L1305" t="b">
        <f>TrafficData[[#This Row],[pendingAmount]]+TrafficData[[#This Row],[disposedAmount]]=TrafficData[[#This Row],[totalAmount]]</f>
        <v>1</v>
      </c>
      <c r="M1305" t="b">
        <f>TrafficData[[#This Row],[pendingCourt]]+TrafficData[[#This Row],[disposedCourt]]=TrafficData[[#This Row],[totalCourt]]</f>
        <v>1</v>
      </c>
      <c r="N1305" s="8" t="b">
        <f>AND(TrafficData[[#This Row],[disposedChallan]]&lt;=TrafficData[[#This Row],[totalChallan]],TrafficData[[#This Row],[pendingChallan]]&lt;=TrafficData[[#This Row],[totalChallan]])</f>
        <v>1</v>
      </c>
      <c r="O1305" s="8" t="b">
        <f>AND(TrafficData[[#This Row],[pendingAmount]]&lt;=TrafficData[[#This Row],[totalAmount]],TrafficData[[#This Row],[disposedAmount]]&lt;=TrafficData[[#This Row],[totalAmount]])</f>
        <v>1</v>
      </c>
      <c r="P1305" s="8" t="b">
        <f>AND(TrafficData[[#This Row],[pendingCourt]]&lt;=TrafficData[[#This Row],[totalCourt]],TrafficData[[#This Row],[disposedCourt]]&lt;=TrafficData[[#This Row],[totalCourt]])</f>
        <v>1</v>
      </c>
    </row>
    <row r="1306" spans="1:16">
      <c r="A1306" s="1">
        <v>43309</v>
      </c>
      <c r="B1306">
        <v>13333</v>
      </c>
      <c r="C1306">
        <v>9349</v>
      </c>
      <c r="D1306">
        <v>3984</v>
      </c>
      <c r="E1306">
        <v>6685181</v>
      </c>
      <c r="F1306">
        <v>14635162</v>
      </c>
      <c r="G1306">
        <v>21320343</v>
      </c>
      <c r="H1306">
        <v>1335</v>
      </c>
      <c r="I1306">
        <v>284</v>
      </c>
      <c r="J1306">
        <v>1619</v>
      </c>
      <c r="K1306" t="b">
        <f>TrafficData[[#This Row],[disposedChallan]]+TrafficData[[#This Row],[pendingChallan]]=TrafficData[[#This Row],[totalChallan]]</f>
        <v>1</v>
      </c>
      <c r="L1306" t="b">
        <f>TrafficData[[#This Row],[pendingAmount]]+TrafficData[[#This Row],[disposedAmount]]=TrafficData[[#This Row],[totalAmount]]</f>
        <v>1</v>
      </c>
      <c r="M1306" t="b">
        <f>TrafficData[[#This Row],[pendingCourt]]+TrafficData[[#This Row],[disposedCourt]]=TrafficData[[#This Row],[totalCourt]]</f>
        <v>1</v>
      </c>
      <c r="N1306" s="8" t="b">
        <f>AND(TrafficData[[#This Row],[disposedChallan]]&lt;=TrafficData[[#This Row],[totalChallan]],TrafficData[[#This Row],[pendingChallan]]&lt;=TrafficData[[#This Row],[totalChallan]])</f>
        <v>1</v>
      </c>
      <c r="O1306" s="8" t="b">
        <f>AND(TrafficData[[#This Row],[pendingAmount]]&lt;=TrafficData[[#This Row],[totalAmount]],TrafficData[[#This Row],[disposedAmount]]&lt;=TrafficData[[#This Row],[totalAmount]])</f>
        <v>1</v>
      </c>
      <c r="P1306" s="8" t="b">
        <f>AND(TrafficData[[#This Row],[pendingCourt]]&lt;=TrafficData[[#This Row],[totalCourt]],TrafficData[[#This Row],[disposedCourt]]&lt;=TrafficData[[#This Row],[totalCourt]])</f>
        <v>1</v>
      </c>
    </row>
    <row r="1307" spans="1:16">
      <c r="A1307" s="1">
        <v>43310</v>
      </c>
      <c r="B1307">
        <v>11085</v>
      </c>
      <c r="C1307">
        <v>8204</v>
      </c>
      <c r="D1307">
        <v>2881</v>
      </c>
      <c r="E1307">
        <v>8252055</v>
      </c>
      <c r="F1307">
        <v>11221745</v>
      </c>
      <c r="G1307">
        <v>19473800</v>
      </c>
      <c r="H1307">
        <v>803</v>
      </c>
      <c r="I1307">
        <v>145</v>
      </c>
      <c r="J1307">
        <v>948</v>
      </c>
      <c r="K1307" t="b">
        <f>TrafficData[[#This Row],[disposedChallan]]+TrafficData[[#This Row],[pendingChallan]]=TrafficData[[#This Row],[totalChallan]]</f>
        <v>1</v>
      </c>
      <c r="L1307" t="b">
        <f>TrafficData[[#This Row],[pendingAmount]]+TrafficData[[#This Row],[disposedAmount]]=TrafficData[[#This Row],[totalAmount]]</f>
        <v>1</v>
      </c>
      <c r="M1307" t="b">
        <f>TrafficData[[#This Row],[pendingCourt]]+TrafficData[[#This Row],[disposedCourt]]=TrafficData[[#This Row],[totalCourt]]</f>
        <v>1</v>
      </c>
      <c r="N1307" s="8" t="b">
        <f>AND(TrafficData[[#This Row],[disposedChallan]]&lt;=TrafficData[[#This Row],[totalChallan]],TrafficData[[#This Row],[pendingChallan]]&lt;=TrafficData[[#This Row],[totalChallan]])</f>
        <v>1</v>
      </c>
      <c r="O1307" s="8" t="b">
        <f>AND(TrafficData[[#This Row],[pendingAmount]]&lt;=TrafficData[[#This Row],[totalAmount]],TrafficData[[#This Row],[disposedAmount]]&lt;=TrafficData[[#This Row],[totalAmount]])</f>
        <v>1</v>
      </c>
      <c r="P1307" s="8" t="b">
        <f>AND(TrafficData[[#This Row],[pendingCourt]]&lt;=TrafficData[[#This Row],[totalCourt]],TrafficData[[#This Row],[disposedCourt]]&lt;=TrafficData[[#This Row],[totalCourt]])</f>
        <v>1</v>
      </c>
    </row>
    <row r="1308" spans="1:16">
      <c r="A1308" s="1">
        <v>43311</v>
      </c>
      <c r="B1308">
        <v>15344</v>
      </c>
      <c r="C1308">
        <v>11163</v>
      </c>
      <c r="D1308">
        <v>4181</v>
      </c>
      <c r="E1308">
        <v>11461174</v>
      </c>
      <c r="F1308">
        <v>17123365</v>
      </c>
      <c r="G1308">
        <v>28584539</v>
      </c>
      <c r="H1308">
        <v>1542</v>
      </c>
      <c r="I1308">
        <v>410</v>
      </c>
      <c r="J1308">
        <v>1952</v>
      </c>
      <c r="K1308" t="b">
        <f>TrafficData[[#This Row],[disposedChallan]]+TrafficData[[#This Row],[pendingChallan]]=TrafficData[[#This Row],[totalChallan]]</f>
        <v>1</v>
      </c>
      <c r="L1308" t="b">
        <f>TrafficData[[#This Row],[pendingAmount]]+TrafficData[[#This Row],[disposedAmount]]=TrafficData[[#This Row],[totalAmount]]</f>
        <v>1</v>
      </c>
      <c r="M1308" t="b">
        <f>TrafficData[[#This Row],[pendingCourt]]+TrafficData[[#This Row],[disposedCourt]]=TrafficData[[#This Row],[totalCourt]]</f>
        <v>1</v>
      </c>
      <c r="N1308" s="8" t="b">
        <f>AND(TrafficData[[#This Row],[disposedChallan]]&lt;=TrafficData[[#This Row],[totalChallan]],TrafficData[[#This Row],[pendingChallan]]&lt;=TrafficData[[#This Row],[totalChallan]])</f>
        <v>1</v>
      </c>
      <c r="O1308" s="8" t="b">
        <f>AND(TrafficData[[#This Row],[pendingAmount]]&lt;=TrafficData[[#This Row],[totalAmount]],TrafficData[[#This Row],[disposedAmount]]&lt;=TrafficData[[#This Row],[totalAmount]])</f>
        <v>1</v>
      </c>
      <c r="P1308" s="8" t="b">
        <f>AND(TrafficData[[#This Row],[pendingCourt]]&lt;=TrafficData[[#This Row],[totalCourt]],TrafficData[[#This Row],[disposedCourt]]&lt;=TrafficData[[#This Row],[totalCourt]])</f>
        <v>1</v>
      </c>
    </row>
    <row r="1309" spans="1:16">
      <c r="A1309" s="1">
        <v>43312</v>
      </c>
      <c r="B1309">
        <v>16519</v>
      </c>
      <c r="C1309">
        <v>12108</v>
      </c>
      <c r="D1309">
        <v>4411</v>
      </c>
      <c r="E1309">
        <v>10084451</v>
      </c>
      <c r="F1309">
        <v>24436113</v>
      </c>
      <c r="G1309">
        <v>34520564</v>
      </c>
      <c r="H1309">
        <v>1926</v>
      </c>
      <c r="I1309">
        <v>396</v>
      </c>
      <c r="J1309">
        <v>2322</v>
      </c>
      <c r="K1309" t="b">
        <f>TrafficData[[#This Row],[disposedChallan]]+TrafficData[[#This Row],[pendingChallan]]=TrafficData[[#This Row],[totalChallan]]</f>
        <v>1</v>
      </c>
      <c r="L1309" t="b">
        <f>TrafficData[[#This Row],[pendingAmount]]+TrafficData[[#This Row],[disposedAmount]]=TrafficData[[#This Row],[totalAmount]]</f>
        <v>1</v>
      </c>
      <c r="M1309" t="b">
        <f>TrafficData[[#This Row],[pendingCourt]]+TrafficData[[#This Row],[disposedCourt]]=TrafficData[[#This Row],[totalCourt]]</f>
        <v>1</v>
      </c>
      <c r="N1309" s="8" t="b">
        <f>AND(TrafficData[[#This Row],[disposedChallan]]&lt;=TrafficData[[#This Row],[totalChallan]],TrafficData[[#This Row],[pendingChallan]]&lt;=TrafficData[[#This Row],[totalChallan]])</f>
        <v>1</v>
      </c>
      <c r="O1309" s="8" t="b">
        <f>AND(TrafficData[[#This Row],[pendingAmount]]&lt;=TrafficData[[#This Row],[totalAmount]],TrafficData[[#This Row],[disposedAmount]]&lt;=TrafficData[[#This Row],[totalAmount]])</f>
        <v>1</v>
      </c>
      <c r="P1309" s="8" t="b">
        <f>AND(TrafficData[[#This Row],[pendingCourt]]&lt;=TrafficData[[#This Row],[totalCourt]],TrafficData[[#This Row],[disposedCourt]]&lt;=TrafficData[[#This Row],[totalCourt]])</f>
        <v>1</v>
      </c>
    </row>
    <row r="1310" spans="1:16">
      <c r="A1310" s="1">
        <v>43313</v>
      </c>
      <c r="B1310">
        <v>23240</v>
      </c>
      <c r="C1310">
        <v>16538</v>
      </c>
      <c r="D1310">
        <v>6702</v>
      </c>
      <c r="E1310">
        <v>14906334</v>
      </c>
      <c r="F1310">
        <v>26328390</v>
      </c>
      <c r="G1310">
        <v>41234724</v>
      </c>
      <c r="H1310">
        <v>4262</v>
      </c>
      <c r="I1310">
        <v>860</v>
      </c>
      <c r="J1310">
        <v>5122</v>
      </c>
      <c r="K1310" t="b">
        <f>TrafficData[[#This Row],[disposedChallan]]+TrafficData[[#This Row],[pendingChallan]]=TrafficData[[#This Row],[totalChallan]]</f>
        <v>1</v>
      </c>
      <c r="L1310" t="b">
        <f>TrafficData[[#This Row],[pendingAmount]]+TrafficData[[#This Row],[disposedAmount]]=TrafficData[[#This Row],[totalAmount]]</f>
        <v>1</v>
      </c>
      <c r="M1310" t="b">
        <f>TrafficData[[#This Row],[pendingCourt]]+TrafficData[[#This Row],[disposedCourt]]=TrafficData[[#This Row],[totalCourt]]</f>
        <v>1</v>
      </c>
      <c r="N1310" s="8" t="b">
        <f>AND(TrafficData[[#This Row],[disposedChallan]]&lt;=TrafficData[[#This Row],[totalChallan]],TrafficData[[#This Row],[pendingChallan]]&lt;=TrafficData[[#This Row],[totalChallan]])</f>
        <v>1</v>
      </c>
      <c r="O1310" s="8" t="b">
        <f>AND(TrafficData[[#This Row],[pendingAmount]]&lt;=TrafficData[[#This Row],[totalAmount]],TrafficData[[#This Row],[disposedAmount]]&lt;=TrafficData[[#This Row],[totalAmount]])</f>
        <v>1</v>
      </c>
      <c r="P1310" s="8" t="b">
        <f>AND(TrafficData[[#This Row],[pendingCourt]]&lt;=TrafficData[[#This Row],[totalCourt]],TrafficData[[#This Row],[disposedCourt]]&lt;=TrafficData[[#This Row],[totalCourt]])</f>
        <v>1</v>
      </c>
    </row>
    <row r="1311" spans="1:16">
      <c r="A1311" s="1">
        <v>43314</v>
      </c>
      <c r="B1311">
        <v>14939</v>
      </c>
      <c r="C1311">
        <v>11199</v>
      </c>
      <c r="D1311">
        <v>3740</v>
      </c>
      <c r="E1311">
        <v>9267905</v>
      </c>
      <c r="F1311">
        <v>24901180</v>
      </c>
      <c r="G1311">
        <v>34169085</v>
      </c>
      <c r="H1311">
        <v>1218</v>
      </c>
      <c r="I1311">
        <v>433</v>
      </c>
      <c r="J1311">
        <v>1651</v>
      </c>
      <c r="K1311" t="b">
        <f>TrafficData[[#This Row],[disposedChallan]]+TrafficData[[#This Row],[pendingChallan]]=TrafficData[[#This Row],[totalChallan]]</f>
        <v>1</v>
      </c>
      <c r="L1311" t="b">
        <f>TrafficData[[#This Row],[pendingAmount]]+TrafficData[[#This Row],[disposedAmount]]=TrafficData[[#This Row],[totalAmount]]</f>
        <v>1</v>
      </c>
      <c r="M1311" t="b">
        <f>TrafficData[[#This Row],[pendingCourt]]+TrafficData[[#This Row],[disposedCourt]]=TrafficData[[#This Row],[totalCourt]]</f>
        <v>1</v>
      </c>
      <c r="N1311" s="8" t="b">
        <f>AND(TrafficData[[#This Row],[disposedChallan]]&lt;=TrafficData[[#This Row],[totalChallan]],TrafficData[[#This Row],[pendingChallan]]&lt;=TrafficData[[#This Row],[totalChallan]])</f>
        <v>1</v>
      </c>
      <c r="O1311" s="8" t="b">
        <f>AND(TrafficData[[#This Row],[pendingAmount]]&lt;=TrafficData[[#This Row],[totalAmount]],TrafficData[[#This Row],[disposedAmount]]&lt;=TrafficData[[#This Row],[totalAmount]])</f>
        <v>1</v>
      </c>
      <c r="P1311" s="8" t="b">
        <f>AND(TrafficData[[#This Row],[pendingCourt]]&lt;=TrafficData[[#This Row],[totalCourt]],TrafficData[[#This Row],[disposedCourt]]&lt;=TrafficData[[#This Row],[totalCourt]])</f>
        <v>1</v>
      </c>
    </row>
    <row r="1312" spans="1:16">
      <c r="A1312" s="1">
        <v>43315</v>
      </c>
      <c r="B1312">
        <v>14681</v>
      </c>
      <c r="C1312">
        <v>11073</v>
      </c>
      <c r="D1312">
        <v>3608</v>
      </c>
      <c r="E1312">
        <v>10893085</v>
      </c>
      <c r="F1312">
        <v>21637393</v>
      </c>
      <c r="G1312">
        <v>32530478</v>
      </c>
      <c r="H1312">
        <v>1549</v>
      </c>
      <c r="I1312">
        <v>407</v>
      </c>
      <c r="J1312">
        <v>1956</v>
      </c>
      <c r="K1312" t="b">
        <f>TrafficData[[#This Row],[disposedChallan]]+TrafficData[[#This Row],[pendingChallan]]=TrafficData[[#This Row],[totalChallan]]</f>
        <v>1</v>
      </c>
      <c r="L1312" t="b">
        <f>TrafficData[[#This Row],[pendingAmount]]+TrafficData[[#This Row],[disposedAmount]]=TrafficData[[#This Row],[totalAmount]]</f>
        <v>1</v>
      </c>
      <c r="M1312" t="b">
        <f>TrafficData[[#This Row],[pendingCourt]]+TrafficData[[#This Row],[disposedCourt]]=TrafficData[[#This Row],[totalCourt]]</f>
        <v>1</v>
      </c>
      <c r="N1312" s="8" t="b">
        <f>AND(TrafficData[[#This Row],[disposedChallan]]&lt;=TrafficData[[#This Row],[totalChallan]],TrafficData[[#This Row],[pendingChallan]]&lt;=TrafficData[[#This Row],[totalChallan]])</f>
        <v>1</v>
      </c>
      <c r="O1312" s="8" t="b">
        <f>AND(TrafficData[[#This Row],[pendingAmount]]&lt;=TrafficData[[#This Row],[totalAmount]],TrafficData[[#This Row],[disposedAmount]]&lt;=TrafficData[[#This Row],[totalAmount]])</f>
        <v>1</v>
      </c>
      <c r="P1312" s="8" t="b">
        <f>AND(TrafficData[[#This Row],[pendingCourt]]&lt;=TrafficData[[#This Row],[totalCourt]],TrafficData[[#This Row],[disposedCourt]]&lt;=TrafficData[[#This Row],[totalCourt]])</f>
        <v>1</v>
      </c>
    </row>
    <row r="1313" spans="1:16">
      <c r="A1313" s="1">
        <v>43316</v>
      </c>
      <c r="B1313">
        <v>15329</v>
      </c>
      <c r="C1313">
        <v>11304</v>
      </c>
      <c r="D1313">
        <v>4025</v>
      </c>
      <c r="E1313">
        <v>9599425</v>
      </c>
      <c r="F1313">
        <v>21423154</v>
      </c>
      <c r="G1313">
        <v>31022579</v>
      </c>
      <c r="H1313">
        <v>1621</v>
      </c>
      <c r="I1313">
        <v>558</v>
      </c>
      <c r="J1313">
        <v>2179</v>
      </c>
      <c r="K1313" t="b">
        <f>TrafficData[[#This Row],[disposedChallan]]+TrafficData[[#This Row],[pendingChallan]]=TrafficData[[#This Row],[totalChallan]]</f>
        <v>1</v>
      </c>
      <c r="L1313" t="b">
        <f>TrafficData[[#This Row],[pendingAmount]]+TrafficData[[#This Row],[disposedAmount]]=TrafficData[[#This Row],[totalAmount]]</f>
        <v>1</v>
      </c>
      <c r="M1313" t="b">
        <f>TrafficData[[#This Row],[pendingCourt]]+TrafficData[[#This Row],[disposedCourt]]=TrafficData[[#This Row],[totalCourt]]</f>
        <v>1</v>
      </c>
      <c r="N1313" s="8" t="b">
        <f>AND(TrafficData[[#This Row],[disposedChallan]]&lt;=TrafficData[[#This Row],[totalChallan]],TrafficData[[#This Row],[pendingChallan]]&lt;=TrafficData[[#This Row],[totalChallan]])</f>
        <v>1</v>
      </c>
      <c r="O1313" s="8" t="b">
        <f>AND(TrafficData[[#This Row],[pendingAmount]]&lt;=TrafficData[[#This Row],[totalAmount]],TrafficData[[#This Row],[disposedAmount]]&lt;=TrafficData[[#This Row],[totalAmount]])</f>
        <v>1</v>
      </c>
      <c r="P1313" s="8" t="b">
        <f>AND(TrafficData[[#This Row],[pendingCourt]]&lt;=TrafficData[[#This Row],[totalCourt]],TrafficData[[#This Row],[disposedCourt]]&lt;=TrafficData[[#This Row],[totalCourt]])</f>
        <v>1</v>
      </c>
    </row>
    <row r="1314" spans="1:16">
      <c r="A1314" s="1">
        <v>43317</v>
      </c>
      <c r="B1314">
        <v>11338</v>
      </c>
      <c r="C1314">
        <v>9688</v>
      </c>
      <c r="D1314">
        <v>1650</v>
      </c>
      <c r="E1314">
        <v>3132205</v>
      </c>
      <c r="F1314">
        <v>13267664</v>
      </c>
      <c r="G1314">
        <v>16399869</v>
      </c>
      <c r="H1314">
        <v>761</v>
      </c>
      <c r="I1314">
        <v>246</v>
      </c>
      <c r="J1314">
        <v>1007</v>
      </c>
      <c r="K1314" t="b">
        <f>TrafficData[[#This Row],[disposedChallan]]+TrafficData[[#This Row],[pendingChallan]]=TrafficData[[#This Row],[totalChallan]]</f>
        <v>1</v>
      </c>
      <c r="L1314" t="b">
        <f>TrafficData[[#This Row],[pendingAmount]]+TrafficData[[#This Row],[disposedAmount]]=TrafficData[[#This Row],[totalAmount]]</f>
        <v>1</v>
      </c>
      <c r="M1314" t="b">
        <f>TrafficData[[#This Row],[pendingCourt]]+TrafficData[[#This Row],[disposedCourt]]=TrafficData[[#This Row],[totalCourt]]</f>
        <v>1</v>
      </c>
      <c r="N1314" s="8" t="b">
        <f>AND(TrafficData[[#This Row],[disposedChallan]]&lt;=TrafficData[[#This Row],[totalChallan]],TrafficData[[#This Row],[pendingChallan]]&lt;=TrafficData[[#This Row],[totalChallan]])</f>
        <v>1</v>
      </c>
      <c r="O1314" s="8" t="b">
        <f>AND(TrafficData[[#This Row],[pendingAmount]]&lt;=TrafficData[[#This Row],[totalAmount]],TrafficData[[#This Row],[disposedAmount]]&lt;=TrafficData[[#This Row],[totalAmount]])</f>
        <v>1</v>
      </c>
      <c r="P1314" s="8" t="b">
        <f>AND(TrafficData[[#This Row],[pendingCourt]]&lt;=TrafficData[[#This Row],[totalCourt]],TrafficData[[#This Row],[disposedCourt]]&lt;=TrafficData[[#This Row],[totalCourt]])</f>
        <v>1</v>
      </c>
    </row>
    <row r="1315" spans="1:16">
      <c r="A1315" s="1">
        <v>43318</v>
      </c>
      <c r="B1315">
        <v>13851</v>
      </c>
      <c r="C1315">
        <v>11033</v>
      </c>
      <c r="D1315">
        <v>2818</v>
      </c>
      <c r="E1315">
        <v>5709114</v>
      </c>
      <c r="F1315">
        <v>19108436</v>
      </c>
      <c r="G1315">
        <v>24817550</v>
      </c>
      <c r="H1315">
        <v>1151</v>
      </c>
      <c r="I1315">
        <v>445</v>
      </c>
      <c r="J1315">
        <v>1596</v>
      </c>
      <c r="K1315" t="b">
        <f>TrafficData[[#This Row],[disposedChallan]]+TrafficData[[#This Row],[pendingChallan]]=TrafficData[[#This Row],[totalChallan]]</f>
        <v>1</v>
      </c>
      <c r="L1315" t="b">
        <f>TrafficData[[#This Row],[pendingAmount]]+TrafficData[[#This Row],[disposedAmount]]=TrafficData[[#This Row],[totalAmount]]</f>
        <v>1</v>
      </c>
      <c r="M1315" t="b">
        <f>TrafficData[[#This Row],[pendingCourt]]+TrafficData[[#This Row],[disposedCourt]]=TrafficData[[#This Row],[totalCourt]]</f>
        <v>1</v>
      </c>
      <c r="N1315" s="8" t="b">
        <f>AND(TrafficData[[#This Row],[disposedChallan]]&lt;=TrafficData[[#This Row],[totalChallan]],TrafficData[[#This Row],[pendingChallan]]&lt;=TrafficData[[#This Row],[totalChallan]])</f>
        <v>1</v>
      </c>
      <c r="O1315" s="8" t="b">
        <f>AND(TrafficData[[#This Row],[pendingAmount]]&lt;=TrafficData[[#This Row],[totalAmount]],TrafficData[[#This Row],[disposedAmount]]&lt;=TrafficData[[#This Row],[totalAmount]])</f>
        <v>1</v>
      </c>
      <c r="P1315" s="8" t="b">
        <f>AND(TrafficData[[#This Row],[pendingCourt]]&lt;=TrafficData[[#This Row],[totalCourt]],TrafficData[[#This Row],[disposedCourt]]&lt;=TrafficData[[#This Row],[totalCourt]])</f>
        <v>1</v>
      </c>
    </row>
    <row r="1316" spans="1:16">
      <c r="A1316" s="1">
        <v>43319</v>
      </c>
      <c r="B1316">
        <v>13778</v>
      </c>
      <c r="C1316">
        <v>10770</v>
      </c>
      <c r="D1316">
        <v>3008</v>
      </c>
      <c r="E1316">
        <v>5748975</v>
      </c>
      <c r="F1316">
        <v>21873492</v>
      </c>
      <c r="G1316">
        <v>27622467</v>
      </c>
      <c r="H1316">
        <v>1294</v>
      </c>
      <c r="I1316">
        <v>445</v>
      </c>
      <c r="J1316">
        <v>1739</v>
      </c>
      <c r="K1316" t="b">
        <f>TrafficData[[#This Row],[disposedChallan]]+TrafficData[[#This Row],[pendingChallan]]=TrafficData[[#This Row],[totalChallan]]</f>
        <v>1</v>
      </c>
      <c r="L1316" t="b">
        <f>TrafficData[[#This Row],[pendingAmount]]+TrafficData[[#This Row],[disposedAmount]]=TrafficData[[#This Row],[totalAmount]]</f>
        <v>1</v>
      </c>
      <c r="M1316" t="b">
        <f>TrafficData[[#This Row],[pendingCourt]]+TrafficData[[#This Row],[disposedCourt]]=TrafficData[[#This Row],[totalCourt]]</f>
        <v>1</v>
      </c>
      <c r="N1316" s="8" t="b">
        <f>AND(TrafficData[[#This Row],[disposedChallan]]&lt;=TrafficData[[#This Row],[totalChallan]],TrafficData[[#This Row],[pendingChallan]]&lt;=TrafficData[[#This Row],[totalChallan]])</f>
        <v>1</v>
      </c>
      <c r="O1316" s="8" t="b">
        <f>AND(TrafficData[[#This Row],[pendingAmount]]&lt;=TrafficData[[#This Row],[totalAmount]],TrafficData[[#This Row],[disposedAmount]]&lt;=TrafficData[[#This Row],[totalAmount]])</f>
        <v>1</v>
      </c>
      <c r="P1316" s="8" t="b">
        <f>AND(TrafficData[[#This Row],[pendingCourt]]&lt;=TrafficData[[#This Row],[totalCourt]],TrafficData[[#This Row],[disposedCourt]]&lt;=TrafficData[[#This Row],[totalCourt]])</f>
        <v>1</v>
      </c>
    </row>
    <row r="1317" spans="1:16">
      <c r="A1317" s="1">
        <v>43320</v>
      </c>
      <c r="B1317">
        <v>20399</v>
      </c>
      <c r="C1317">
        <v>15309</v>
      </c>
      <c r="D1317">
        <v>5090</v>
      </c>
      <c r="E1317">
        <v>8718747</v>
      </c>
      <c r="F1317">
        <v>28985231</v>
      </c>
      <c r="G1317">
        <v>37703978</v>
      </c>
      <c r="H1317">
        <v>3564</v>
      </c>
      <c r="I1317">
        <v>947</v>
      </c>
      <c r="J1317">
        <v>4511</v>
      </c>
      <c r="K1317" t="b">
        <f>TrafficData[[#This Row],[disposedChallan]]+TrafficData[[#This Row],[pendingChallan]]=TrafficData[[#This Row],[totalChallan]]</f>
        <v>1</v>
      </c>
      <c r="L1317" t="b">
        <f>TrafficData[[#This Row],[pendingAmount]]+TrafficData[[#This Row],[disposedAmount]]=TrafficData[[#This Row],[totalAmount]]</f>
        <v>1</v>
      </c>
      <c r="M1317" t="b">
        <f>TrafficData[[#This Row],[pendingCourt]]+TrafficData[[#This Row],[disposedCourt]]=TrafficData[[#This Row],[totalCourt]]</f>
        <v>1</v>
      </c>
      <c r="N1317" s="8" t="b">
        <f>AND(TrafficData[[#This Row],[disposedChallan]]&lt;=TrafficData[[#This Row],[totalChallan]],TrafficData[[#This Row],[pendingChallan]]&lt;=TrafficData[[#This Row],[totalChallan]])</f>
        <v>1</v>
      </c>
      <c r="O1317" s="8" t="b">
        <f>AND(TrafficData[[#This Row],[pendingAmount]]&lt;=TrafficData[[#This Row],[totalAmount]],TrafficData[[#This Row],[disposedAmount]]&lt;=TrafficData[[#This Row],[totalAmount]])</f>
        <v>1</v>
      </c>
      <c r="P1317" s="8" t="b">
        <f>AND(TrafficData[[#This Row],[pendingCourt]]&lt;=TrafficData[[#This Row],[totalCourt]],TrafficData[[#This Row],[disposedCourt]]&lt;=TrafficData[[#This Row],[totalCourt]])</f>
        <v>1</v>
      </c>
    </row>
    <row r="1318" spans="1:16">
      <c r="A1318" s="1">
        <v>43321</v>
      </c>
      <c r="B1318">
        <v>12263</v>
      </c>
      <c r="C1318">
        <v>9603</v>
      </c>
      <c r="D1318">
        <v>2660</v>
      </c>
      <c r="E1318">
        <v>12622286</v>
      </c>
      <c r="F1318">
        <v>18397354</v>
      </c>
      <c r="G1318">
        <v>31019640</v>
      </c>
      <c r="H1318">
        <v>1290</v>
      </c>
      <c r="I1318">
        <v>416</v>
      </c>
      <c r="J1318">
        <v>1706</v>
      </c>
      <c r="K1318" t="b">
        <f>TrafficData[[#This Row],[disposedChallan]]+TrafficData[[#This Row],[pendingChallan]]=TrafficData[[#This Row],[totalChallan]]</f>
        <v>1</v>
      </c>
      <c r="L1318" t="b">
        <f>TrafficData[[#This Row],[pendingAmount]]+TrafficData[[#This Row],[disposedAmount]]=TrafficData[[#This Row],[totalAmount]]</f>
        <v>1</v>
      </c>
      <c r="M1318" t="b">
        <f>TrafficData[[#This Row],[pendingCourt]]+TrafficData[[#This Row],[disposedCourt]]=TrafficData[[#This Row],[totalCourt]]</f>
        <v>1</v>
      </c>
      <c r="N1318" s="8" t="b">
        <f>AND(TrafficData[[#This Row],[disposedChallan]]&lt;=TrafficData[[#This Row],[totalChallan]],TrafficData[[#This Row],[pendingChallan]]&lt;=TrafficData[[#This Row],[totalChallan]])</f>
        <v>1</v>
      </c>
      <c r="O1318" s="8" t="b">
        <f>AND(TrafficData[[#This Row],[pendingAmount]]&lt;=TrafficData[[#This Row],[totalAmount]],TrafficData[[#This Row],[disposedAmount]]&lt;=TrafficData[[#This Row],[totalAmount]])</f>
        <v>1</v>
      </c>
      <c r="P1318" s="8" t="b">
        <f>AND(TrafficData[[#This Row],[pendingCourt]]&lt;=TrafficData[[#This Row],[totalCourt]],TrafficData[[#This Row],[disposedCourt]]&lt;=TrafficData[[#This Row],[totalCourt]])</f>
        <v>1</v>
      </c>
    </row>
    <row r="1319" spans="1:16">
      <c r="A1319" s="1">
        <v>43322</v>
      </c>
      <c r="B1319">
        <v>13924</v>
      </c>
      <c r="C1319">
        <v>11299</v>
      </c>
      <c r="D1319">
        <v>2625</v>
      </c>
      <c r="E1319">
        <v>5309243</v>
      </c>
      <c r="F1319">
        <v>22107027</v>
      </c>
      <c r="G1319">
        <v>27416270</v>
      </c>
      <c r="H1319">
        <v>1204</v>
      </c>
      <c r="I1319">
        <v>460</v>
      </c>
      <c r="J1319">
        <v>1664</v>
      </c>
      <c r="K1319" t="b">
        <f>TrafficData[[#This Row],[disposedChallan]]+TrafficData[[#This Row],[pendingChallan]]=TrafficData[[#This Row],[totalChallan]]</f>
        <v>1</v>
      </c>
      <c r="L1319" t="b">
        <f>TrafficData[[#This Row],[pendingAmount]]+TrafficData[[#This Row],[disposedAmount]]=TrafficData[[#This Row],[totalAmount]]</f>
        <v>1</v>
      </c>
      <c r="M1319" t="b">
        <f>TrafficData[[#This Row],[pendingCourt]]+TrafficData[[#This Row],[disposedCourt]]=TrafficData[[#This Row],[totalCourt]]</f>
        <v>1</v>
      </c>
      <c r="N1319" s="8" t="b">
        <f>AND(TrafficData[[#This Row],[disposedChallan]]&lt;=TrafficData[[#This Row],[totalChallan]],TrafficData[[#This Row],[pendingChallan]]&lt;=TrafficData[[#This Row],[totalChallan]])</f>
        <v>1</v>
      </c>
      <c r="O1319" s="8" t="b">
        <f>AND(TrafficData[[#This Row],[pendingAmount]]&lt;=TrafficData[[#This Row],[totalAmount]],TrafficData[[#This Row],[disposedAmount]]&lt;=TrafficData[[#This Row],[totalAmount]])</f>
        <v>1</v>
      </c>
      <c r="P1319" s="8" t="b">
        <f>AND(TrafficData[[#This Row],[pendingCourt]]&lt;=TrafficData[[#This Row],[totalCourt]],TrafficData[[#This Row],[disposedCourt]]&lt;=TrafficData[[#This Row],[totalCourt]])</f>
        <v>1</v>
      </c>
    </row>
    <row r="1320" spans="1:16">
      <c r="A1320" s="1">
        <v>43323</v>
      </c>
      <c r="B1320">
        <v>12243</v>
      </c>
      <c r="C1320">
        <v>10258</v>
      </c>
      <c r="D1320">
        <v>1985</v>
      </c>
      <c r="E1320">
        <v>3115000</v>
      </c>
      <c r="F1320">
        <v>22961119</v>
      </c>
      <c r="G1320">
        <v>26076119</v>
      </c>
      <c r="H1320">
        <v>1156</v>
      </c>
      <c r="I1320">
        <v>347</v>
      </c>
      <c r="J1320">
        <v>1503</v>
      </c>
      <c r="K1320" t="b">
        <f>TrafficData[[#This Row],[disposedChallan]]+TrafficData[[#This Row],[pendingChallan]]=TrafficData[[#This Row],[totalChallan]]</f>
        <v>1</v>
      </c>
      <c r="L1320" t="b">
        <f>TrafficData[[#This Row],[pendingAmount]]+TrafficData[[#This Row],[disposedAmount]]=TrafficData[[#This Row],[totalAmount]]</f>
        <v>1</v>
      </c>
      <c r="M1320" t="b">
        <f>TrafficData[[#This Row],[pendingCourt]]+TrafficData[[#This Row],[disposedCourt]]=TrafficData[[#This Row],[totalCourt]]</f>
        <v>1</v>
      </c>
      <c r="N1320" s="8" t="b">
        <f>AND(TrafficData[[#This Row],[disposedChallan]]&lt;=TrafficData[[#This Row],[totalChallan]],TrafficData[[#This Row],[pendingChallan]]&lt;=TrafficData[[#This Row],[totalChallan]])</f>
        <v>1</v>
      </c>
      <c r="O1320" s="8" t="b">
        <f>AND(TrafficData[[#This Row],[pendingAmount]]&lt;=TrafficData[[#This Row],[totalAmount]],TrafficData[[#This Row],[disposedAmount]]&lt;=TrafficData[[#This Row],[totalAmount]])</f>
        <v>1</v>
      </c>
      <c r="P1320" s="8" t="b">
        <f>AND(TrafficData[[#This Row],[pendingCourt]]&lt;=TrafficData[[#This Row],[totalCourt]],TrafficData[[#This Row],[disposedCourt]]&lt;=TrafficData[[#This Row],[totalCourt]])</f>
        <v>1</v>
      </c>
    </row>
    <row r="1321" spans="1:16">
      <c r="A1321" s="1">
        <v>43324</v>
      </c>
      <c r="B1321">
        <v>9302</v>
      </c>
      <c r="C1321">
        <v>7880</v>
      </c>
      <c r="D1321">
        <v>1422</v>
      </c>
      <c r="E1321">
        <v>2128297</v>
      </c>
      <c r="F1321">
        <v>13270604</v>
      </c>
      <c r="G1321">
        <v>15398901</v>
      </c>
      <c r="H1321">
        <v>809</v>
      </c>
      <c r="I1321">
        <v>154</v>
      </c>
      <c r="J1321">
        <v>963</v>
      </c>
      <c r="K1321" t="b">
        <f>TrafficData[[#This Row],[disposedChallan]]+TrafficData[[#This Row],[pendingChallan]]=TrafficData[[#This Row],[totalChallan]]</f>
        <v>1</v>
      </c>
      <c r="L1321" t="b">
        <f>TrafficData[[#This Row],[pendingAmount]]+TrafficData[[#This Row],[disposedAmount]]=TrafficData[[#This Row],[totalAmount]]</f>
        <v>1</v>
      </c>
      <c r="M1321" t="b">
        <f>TrafficData[[#This Row],[pendingCourt]]+TrafficData[[#This Row],[disposedCourt]]=TrafficData[[#This Row],[totalCourt]]</f>
        <v>1</v>
      </c>
      <c r="N1321" s="8" t="b">
        <f>AND(TrafficData[[#This Row],[disposedChallan]]&lt;=TrafficData[[#This Row],[totalChallan]],TrafficData[[#This Row],[pendingChallan]]&lt;=TrafficData[[#This Row],[totalChallan]])</f>
        <v>1</v>
      </c>
      <c r="O1321" s="8" t="b">
        <f>AND(TrafficData[[#This Row],[pendingAmount]]&lt;=TrafficData[[#This Row],[totalAmount]],TrafficData[[#This Row],[disposedAmount]]&lt;=TrafficData[[#This Row],[totalAmount]])</f>
        <v>1</v>
      </c>
      <c r="P1321" s="8" t="b">
        <f>AND(TrafficData[[#This Row],[pendingCourt]]&lt;=TrafficData[[#This Row],[totalCourt]],TrafficData[[#This Row],[disposedCourt]]&lt;=TrafficData[[#This Row],[totalCourt]])</f>
        <v>1</v>
      </c>
    </row>
    <row r="1322" spans="1:16">
      <c r="A1322" s="1">
        <v>43325</v>
      </c>
      <c r="B1322">
        <v>11768</v>
      </c>
      <c r="C1322">
        <v>10020</v>
      </c>
      <c r="D1322">
        <v>1748</v>
      </c>
      <c r="E1322">
        <v>2560274</v>
      </c>
      <c r="F1322">
        <v>17497107</v>
      </c>
      <c r="G1322">
        <v>20057381</v>
      </c>
      <c r="H1322">
        <v>858</v>
      </c>
      <c r="I1322">
        <v>434</v>
      </c>
      <c r="J1322">
        <v>1292</v>
      </c>
      <c r="K1322" t="b">
        <f>TrafficData[[#This Row],[disposedChallan]]+TrafficData[[#This Row],[pendingChallan]]=TrafficData[[#This Row],[totalChallan]]</f>
        <v>1</v>
      </c>
      <c r="L1322" t="b">
        <f>TrafficData[[#This Row],[pendingAmount]]+TrafficData[[#This Row],[disposedAmount]]=TrafficData[[#This Row],[totalAmount]]</f>
        <v>1</v>
      </c>
      <c r="M1322" t="b">
        <f>TrafficData[[#This Row],[pendingCourt]]+TrafficData[[#This Row],[disposedCourt]]=TrafficData[[#This Row],[totalCourt]]</f>
        <v>1</v>
      </c>
      <c r="N1322" s="8" t="b">
        <f>AND(TrafficData[[#This Row],[disposedChallan]]&lt;=TrafficData[[#This Row],[totalChallan]],TrafficData[[#This Row],[pendingChallan]]&lt;=TrafficData[[#This Row],[totalChallan]])</f>
        <v>1</v>
      </c>
      <c r="O1322" s="8" t="b">
        <f>AND(TrafficData[[#This Row],[pendingAmount]]&lt;=TrafficData[[#This Row],[totalAmount]],TrafficData[[#This Row],[disposedAmount]]&lt;=TrafficData[[#This Row],[totalAmount]])</f>
        <v>1</v>
      </c>
      <c r="P1322" s="8" t="b">
        <f>AND(TrafficData[[#This Row],[pendingCourt]]&lt;=TrafficData[[#This Row],[totalCourt]],TrafficData[[#This Row],[disposedCourt]]&lt;=TrafficData[[#This Row],[totalCourt]])</f>
        <v>1</v>
      </c>
    </row>
    <row r="1323" spans="1:16">
      <c r="A1323" s="1">
        <v>43326</v>
      </c>
      <c r="B1323">
        <v>13118</v>
      </c>
      <c r="C1323">
        <v>11264</v>
      </c>
      <c r="D1323">
        <v>1854</v>
      </c>
      <c r="E1323">
        <v>3939882</v>
      </c>
      <c r="F1323">
        <v>22877320</v>
      </c>
      <c r="G1323">
        <v>26817202</v>
      </c>
      <c r="H1323">
        <v>838</v>
      </c>
      <c r="I1323">
        <v>462</v>
      </c>
      <c r="J1323">
        <v>1300</v>
      </c>
      <c r="K1323" t="b">
        <f>TrafficData[[#This Row],[disposedChallan]]+TrafficData[[#This Row],[pendingChallan]]=TrafficData[[#This Row],[totalChallan]]</f>
        <v>1</v>
      </c>
      <c r="L1323" t="b">
        <f>TrafficData[[#This Row],[pendingAmount]]+TrafficData[[#This Row],[disposedAmount]]=TrafficData[[#This Row],[totalAmount]]</f>
        <v>1</v>
      </c>
      <c r="M1323" t="b">
        <f>TrafficData[[#This Row],[pendingCourt]]+TrafficData[[#This Row],[disposedCourt]]=TrafficData[[#This Row],[totalCourt]]</f>
        <v>1</v>
      </c>
      <c r="N1323" s="8" t="b">
        <f>AND(TrafficData[[#This Row],[disposedChallan]]&lt;=TrafficData[[#This Row],[totalChallan]],TrafficData[[#This Row],[pendingChallan]]&lt;=TrafficData[[#This Row],[totalChallan]])</f>
        <v>1</v>
      </c>
      <c r="O1323" s="8" t="b">
        <f>AND(TrafficData[[#This Row],[pendingAmount]]&lt;=TrafficData[[#This Row],[totalAmount]],TrafficData[[#This Row],[disposedAmount]]&lt;=TrafficData[[#This Row],[totalAmount]])</f>
        <v>1</v>
      </c>
      <c r="P1323" s="8" t="b">
        <f>AND(TrafficData[[#This Row],[pendingCourt]]&lt;=TrafficData[[#This Row],[totalCourt]],TrafficData[[#This Row],[disposedCourt]]&lt;=TrafficData[[#This Row],[totalCourt]])</f>
        <v>1</v>
      </c>
    </row>
    <row r="1324" spans="1:16">
      <c r="A1324" s="1">
        <v>43327</v>
      </c>
      <c r="B1324">
        <v>6712</v>
      </c>
      <c r="C1324">
        <v>5467</v>
      </c>
      <c r="D1324">
        <v>1245</v>
      </c>
      <c r="E1324">
        <v>1421374</v>
      </c>
      <c r="F1324">
        <v>10906914</v>
      </c>
      <c r="G1324">
        <v>12328288</v>
      </c>
      <c r="H1324">
        <v>416</v>
      </c>
      <c r="I1324">
        <v>150</v>
      </c>
      <c r="J1324">
        <v>566</v>
      </c>
      <c r="K1324" t="b">
        <f>TrafficData[[#This Row],[disposedChallan]]+TrafficData[[#This Row],[pendingChallan]]=TrafficData[[#This Row],[totalChallan]]</f>
        <v>1</v>
      </c>
      <c r="L1324" t="b">
        <f>TrafficData[[#This Row],[pendingAmount]]+TrafficData[[#This Row],[disposedAmount]]=TrafficData[[#This Row],[totalAmount]]</f>
        <v>1</v>
      </c>
      <c r="M1324" t="b">
        <f>TrafficData[[#This Row],[pendingCourt]]+TrafficData[[#This Row],[disposedCourt]]=TrafficData[[#This Row],[totalCourt]]</f>
        <v>1</v>
      </c>
      <c r="N1324" s="8" t="b">
        <f>AND(TrafficData[[#This Row],[disposedChallan]]&lt;=TrafficData[[#This Row],[totalChallan]],TrafficData[[#This Row],[pendingChallan]]&lt;=TrafficData[[#This Row],[totalChallan]])</f>
        <v>1</v>
      </c>
      <c r="O1324" s="8" t="b">
        <f>AND(TrafficData[[#This Row],[pendingAmount]]&lt;=TrafficData[[#This Row],[totalAmount]],TrafficData[[#This Row],[disposedAmount]]&lt;=TrafficData[[#This Row],[totalAmount]])</f>
        <v>1</v>
      </c>
      <c r="P1324" s="8" t="b">
        <f>AND(TrafficData[[#This Row],[pendingCourt]]&lt;=TrafficData[[#This Row],[totalCourt]],TrafficData[[#This Row],[disposedCourt]]&lt;=TrafficData[[#This Row],[totalCourt]])</f>
        <v>1</v>
      </c>
    </row>
    <row r="1325" spans="1:16">
      <c r="A1325" s="1">
        <v>43328</v>
      </c>
      <c r="B1325">
        <v>15459</v>
      </c>
      <c r="C1325">
        <v>12931</v>
      </c>
      <c r="D1325">
        <v>2528</v>
      </c>
      <c r="E1325">
        <v>5830575</v>
      </c>
      <c r="F1325">
        <v>22518397</v>
      </c>
      <c r="G1325">
        <v>28348972</v>
      </c>
      <c r="H1325">
        <v>1394</v>
      </c>
      <c r="I1325">
        <v>558</v>
      </c>
      <c r="J1325">
        <v>1952</v>
      </c>
      <c r="K1325" t="b">
        <f>TrafficData[[#This Row],[disposedChallan]]+TrafficData[[#This Row],[pendingChallan]]=TrafficData[[#This Row],[totalChallan]]</f>
        <v>1</v>
      </c>
      <c r="L1325" t="b">
        <f>TrafficData[[#This Row],[pendingAmount]]+TrafficData[[#This Row],[disposedAmount]]=TrafficData[[#This Row],[totalAmount]]</f>
        <v>1</v>
      </c>
      <c r="M1325" t="b">
        <f>TrafficData[[#This Row],[pendingCourt]]+TrafficData[[#This Row],[disposedCourt]]=TrafficData[[#This Row],[totalCourt]]</f>
        <v>1</v>
      </c>
      <c r="N1325" s="8" t="b">
        <f>AND(TrafficData[[#This Row],[disposedChallan]]&lt;=TrafficData[[#This Row],[totalChallan]],TrafficData[[#This Row],[pendingChallan]]&lt;=TrafficData[[#This Row],[totalChallan]])</f>
        <v>1</v>
      </c>
      <c r="O1325" s="8" t="b">
        <f>AND(TrafficData[[#This Row],[pendingAmount]]&lt;=TrafficData[[#This Row],[totalAmount]],TrafficData[[#This Row],[disposedAmount]]&lt;=TrafficData[[#This Row],[totalAmount]])</f>
        <v>1</v>
      </c>
      <c r="P1325" s="8" t="b">
        <f>AND(TrafficData[[#This Row],[pendingCourt]]&lt;=TrafficData[[#This Row],[totalCourt]],TrafficData[[#This Row],[disposedCourt]]&lt;=TrafficData[[#This Row],[totalCourt]])</f>
        <v>1</v>
      </c>
    </row>
    <row r="1326" spans="1:16">
      <c r="A1326" s="1">
        <v>43329</v>
      </c>
      <c r="B1326">
        <v>12762</v>
      </c>
      <c r="C1326">
        <v>10993</v>
      </c>
      <c r="D1326">
        <v>1769</v>
      </c>
      <c r="E1326">
        <v>2661050</v>
      </c>
      <c r="F1326">
        <v>22272165</v>
      </c>
      <c r="G1326">
        <v>24933215</v>
      </c>
      <c r="H1326">
        <v>596</v>
      </c>
      <c r="I1326">
        <v>338</v>
      </c>
      <c r="J1326">
        <v>934</v>
      </c>
      <c r="K1326" t="b">
        <f>TrafficData[[#This Row],[disposedChallan]]+TrafficData[[#This Row],[pendingChallan]]=TrafficData[[#This Row],[totalChallan]]</f>
        <v>1</v>
      </c>
      <c r="L1326" t="b">
        <f>TrafficData[[#This Row],[pendingAmount]]+TrafficData[[#This Row],[disposedAmount]]=TrafficData[[#This Row],[totalAmount]]</f>
        <v>1</v>
      </c>
      <c r="M1326" t="b">
        <f>TrafficData[[#This Row],[pendingCourt]]+TrafficData[[#This Row],[disposedCourt]]=TrafficData[[#This Row],[totalCourt]]</f>
        <v>1</v>
      </c>
      <c r="N1326" s="8" t="b">
        <f>AND(TrafficData[[#This Row],[disposedChallan]]&lt;=TrafficData[[#This Row],[totalChallan]],TrafficData[[#This Row],[pendingChallan]]&lt;=TrafficData[[#This Row],[totalChallan]])</f>
        <v>1</v>
      </c>
      <c r="O1326" s="8" t="b">
        <f>AND(TrafficData[[#This Row],[pendingAmount]]&lt;=TrafficData[[#This Row],[totalAmount]],TrafficData[[#This Row],[disposedAmount]]&lt;=TrafficData[[#This Row],[totalAmount]])</f>
        <v>1</v>
      </c>
      <c r="P1326" s="8" t="b">
        <f>AND(TrafficData[[#This Row],[pendingCourt]]&lt;=TrafficData[[#This Row],[totalCourt]],TrafficData[[#This Row],[disposedCourt]]&lt;=TrafficData[[#This Row],[totalCourt]])</f>
        <v>1</v>
      </c>
    </row>
    <row r="1327" spans="1:16">
      <c r="A1327" s="1">
        <v>43330</v>
      </c>
      <c r="B1327">
        <v>13831</v>
      </c>
      <c r="C1327">
        <v>11523</v>
      </c>
      <c r="D1327">
        <v>2308</v>
      </c>
      <c r="E1327">
        <v>3515700</v>
      </c>
      <c r="F1327">
        <v>26221167</v>
      </c>
      <c r="G1327">
        <v>29736867</v>
      </c>
      <c r="H1327">
        <v>1291</v>
      </c>
      <c r="I1327">
        <v>377</v>
      </c>
      <c r="J1327">
        <v>1668</v>
      </c>
      <c r="K1327" t="b">
        <f>TrafficData[[#This Row],[disposedChallan]]+TrafficData[[#This Row],[pendingChallan]]=TrafficData[[#This Row],[totalChallan]]</f>
        <v>1</v>
      </c>
      <c r="L1327" t="b">
        <f>TrafficData[[#This Row],[pendingAmount]]+TrafficData[[#This Row],[disposedAmount]]=TrafficData[[#This Row],[totalAmount]]</f>
        <v>1</v>
      </c>
      <c r="M1327" t="b">
        <f>TrafficData[[#This Row],[pendingCourt]]+TrafficData[[#This Row],[disposedCourt]]=TrafficData[[#This Row],[totalCourt]]</f>
        <v>1</v>
      </c>
      <c r="N1327" s="8" t="b">
        <f>AND(TrafficData[[#This Row],[disposedChallan]]&lt;=TrafficData[[#This Row],[totalChallan]],TrafficData[[#This Row],[pendingChallan]]&lt;=TrafficData[[#This Row],[totalChallan]])</f>
        <v>1</v>
      </c>
      <c r="O1327" s="8" t="b">
        <f>AND(TrafficData[[#This Row],[pendingAmount]]&lt;=TrafficData[[#This Row],[totalAmount]],TrafficData[[#This Row],[disposedAmount]]&lt;=TrafficData[[#This Row],[totalAmount]])</f>
        <v>1</v>
      </c>
      <c r="P1327" s="8" t="b">
        <f>AND(TrafficData[[#This Row],[pendingCourt]]&lt;=TrafficData[[#This Row],[totalCourt]],TrafficData[[#This Row],[disposedCourt]]&lt;=TrafficData[[#This Row],[totalCourt]])</f>
        <v>1</v>
      </c>
    </row>
    <row r="1328" spans="1:16">
      <c r="A1328" s="1">
        <v>43331</v>
      </c>
      <c r="B1328">
        <v>10339</v>
      </c>
      <c r="C1328">
        <v>8753</v>
      </c>
      <c r="D1328">
        <v>1586</v>
      </c>
      <c r="E1328">
        <v>1896111</v>
      </c>
      <c r="F1328">
        <v>15951031</v>
      </c>
      <c r="G1328">
        <v>17847142</v>
      </c>
      <c r="H1328">
        <v>852</v>
      </c>
      <c r="I1328">
        <v>282</v>
      </c>
      <c r="J1328">
        <v>1134</v>
      </c>
      <c r="K1328" t="b">
        <f>TrafficData[[#This Row],[disposedChallan]]+TrafficData[[#This Row],[pendingChallan]]=TrafficData[[#This Row],[totalChallan]]</f>
        <v>1</v>
      </c>
      <c r="L1328" t="b">
        <f>TrafficData[[#This Row],[pendingAmount]]+TrafficData[[#This Row],[disposedAmount]]=TrafficData[[#This Row],[totalAmount]]</f>
        <v>1</v>
      </c>
      <c r="M1328" t="b">
        <f>TrafficData[[#This Row],[pendingCourt]]+TrafficData[[#This Row],[disposedCourt]]=TrafficData[[#This Row],[totalCourt]]</f>
        <v>1</v>
      </c>
      <c r="N1328" s="8" t="b">
        <f>AND(TrafficData[[#This Row],[disposedChallan]]&lt;=TrafficData[[#This Row],[totalChallan]],TrafficData[[#This Row],[pendingChallan]]&lt;=TrafficData[[#This Row],[totalChallan]])</f>
        <v>1</v>
      </c>
      <c r="O1328" s="8" t="b">
        <f>AND(TrafficData[[#This Row],[pendingAmount]]&lt;=TrafficData[[#This Row],[totalAmount]],TrafficData[[#This Row],[disposedAmount]]&lt;=TrafficData[[#This Row],[totalAmount]])</f>
        <v>1</v>
      </c>
      <c r="P1328" s="8" t="b">
        <f>AND(TrafficData[[#This Row],[pendingCourt]]&lt;=TrafficData[[#This Row],[totalCourt]],TrafficData[[#This Row],[disposedCourt]]&lt;=TrafficData[[#This Row],[totalCourt]])</f>
        <v>1</v>
      </c>
    </row>
    <row r="1329" spans="1:16">
      <c r="A1329" s="1">
        <v>43332</v>
      </c>
      <c r="B1329">
        <v>13106</v>
      </c>
      <c r="C1329">
        <v>11051</v>
      </c>
      <c r="D1329">
        <v>2055</v>
      </c>
      <c r="E1329">
        <v>3342570</v>
      </c>
      <c r="F1329">
        <v>21567995</v>
      </c>
      <c r="G1329">
        <v>24910565</v>
      </c>
      <c r="H1329">
        <v>1157</v>
      </c>
      <c r="I1329">
        <v>410</v>
      </c>
      <c r="J1329">
        <v>1567</v>
      </c>
      <c r="K1329" t="b">
        <f>TrafficData[[#This Row],[disposedChallan]]+TrafficData[[#This Row],[pendingChallan]]=TrafficData[[#This Row],[totalChallan]]</f>
        <v>1</v>
      </c>
      <c r="L1329" t="b">
        <f>TrafficData[[#This Row],[pendingAmount]]+TrafficData[[#This Row],[disposedAmount]]=TrafficData[[#This Row],[totalAmount]]</f>
        <v>1</v>
      </c>
      <c r="M1329" t="b">
        <f>TrafficData[[#This Row],[pendingCourt]]+TrafficData[[#This Row],[disposedCourt]]=TrafficData[[#This Row],[totalCourt]]</f>
        <v>1</v>
      </c>
      <c r="N1329" s="8" t="b">
        <f>AND(TrafficData[[#This Row],[disposedChallan]]&lt;=TrafficData[[#This Row],[totalChallan]],TrafficData[[#This Row],[pendingChallan]]&lt;=TrafficData[[#This Row],[totalChallan]])</f>
        <v>1</v>
      </c>
      <c r="O1329" s="8" t="b">
        <f>AND(TrafficData[[#This Row],[pendingAmount]]&lt;=TrafficData[[#This Row],[totalAmount]],TrafficData[[#This Row],[disposedAmount]]&lt;=TrafficData[[#This Row],[totalAmount]])</f>
        <v>1</v>
      </c>
      <c r="P1329" s="8" t="b">
        <f>AND(TrafficData[[#This Row],[pendingCourt]]&lt;=TrafficData[[#This Row],[totalCourt]],TrafficData[[#This Row],[disposedCourt]]&lt;=TrafficData[[#This Row],[totalCourt]])</f>
        <v>1</v>
      </c>
    </row>
    <row r="1330" spans="1:16">
      <c r="A1330" s="1">
        <v>43333</v>
      </c>
      <c r="B1330">
        <v>15220</v>
      </c>
      <c r="C1330">
        <v>12594</v>
      </c>
      <c r="D1330">
        <v>2626</v>
      </c>
      <c r="E1330">
        <v>5422725</v>
      </c>
      <c r="F1330">
        <v>27449632</v>
      </c>
      <c r="G1330">
        <v>32872357</v>
      </c>
      <c r="H1330">
        <v>1219</v>
      </c>
      <c r="I1330">
        <v>546</v>
      </c>
      <c r="J1330">
        <v>1765</v>
      </c>
      <c r="K1330" t="b">
        <f>TrafficData[[#This Row],[disposedChallan]]+TrafficData[[#This Row],[pendingChallan]]=TrafficData[[#This Row],[totalChallan]]</f>
        <v>1</v>
      </c>
      <c r="L1330" t="b">
        <f>TrafficData[[#This Row],[pendingAmount]]+TrafficData[[#This Row],[disposedAmount]]=TrafficData[[#This Row],[totalAmount]]</f>
        <v>1</v>
      </c>
      <c r="M1330" t="b">
        <f>TrafficData[[#This Row],[pendingCourt]]+TrafficData[[#This Row],[disposedCourt]]=TrafficData[[#This Row],[totalCourt]]</f>
        <v>1</v>
      </c>
      <c r="N1330" s="8" t="b">
        <f>AND(TrafficData[[#This Row],[disposedChallan]]&lt;=TrafficData[[#This Row],[totalChallan]],TrafficData[[#This Row],[pendingChallan]]&lt;=TrafficData[[#This Row],[totalChallan]])</f>
        <v>1</v>
      </c>
      <c r="O1330" s="8" t="b">
        <f>AND(TrafficData[[#This Row],[pendingAmount]]&lt;=TrafficData[[#This Row],[totalAmount]],TrafficData[[#This Row],[disposedAmount]]&lt;=TrafficData[[#This Row],[totalAmount]])</f>
        <v>1</v>
      </c>
      <c r="P1330" s="8" t="b">
        <f>AND(TrafficData[[#This Row],[pendingCourt]]&lt;=TrafficData[[#This Row],[totalCourt]],TrafficData[[#This Row],[disposedCourt]]&lt;=TrafficData[[#This Row],[totalCourt]])</f>
        <v>1</v>
      </c>
    </row>
    <row r="1331" spans="1:16">
      <c r="A1331" s="1">
        <v>43334</v>
      </c>
      <c r="B1331">
        <v>12374</v>
      </c>
      <c r="C1331">
        <v>10455</v>
      </c>
      <c r="D1331">
        <v>1919</v>
      </c>
      <c r="E1331">
        <v>3229624</v>
      </c>
      <c r="F1331">
        <v>19461877</v>
      </c>
      <c r="G1331">
        <v>22691501</v>
      </c>
      <c r="H1331">
        <v>815</v>
      </c>
      <c r="I1331">
        <v>436</v>
      </c>
      <c r="J1331">
        <v>1251</v>
      </c>
      <c r="K1331" t="b">
        <f>TrafficData[[#This Row],[disposedChallan]]+TrafficData[[#This Row],[pendingChallan]]=TrafficData[[#This Row],[totalChallan]]</f>
        <v>1</v>
      </c>
      <c r="L1331" t="b">
        <f>TrafficData[[#This Row],[pendingAmount]]+TrafficData[[#This Row],[disposedAmount]]=TrafficData[[#This Row],[totalAmount]]</f>
        <v>1</v>
      </c>
      <c r="M1331" t="b">
        <f>TrafficData[[#This Row],[pendingCourt]]+TrafficData[[#This Row],[disposedCourt]]=TrafficData[[#This Row],[totalCourt]]</f>
        <v>1</v>
      </c>
      <c r="N1331" s="8" t="b">
        <f>AND(TrafficData[[#This Row],[disposedChallan]]&lt;=TrafficData[[#This Row],[totalChallan]],TrafficData[[#This Row],[pendingChallan]]&lt;=TrafficData[[#This Row],[totalChallan]])</f>
        <v>1</v>
      </c>
      <c r="O1331" s="8" t="b">
        <f>AND(TrafficData[[#This Row],[pendingAmount]]&lt;=TrafficData[[#This Row],[totalAmount]],TrafficData[[#This Row],[disposedAmount]]&lt;=TrafficData[[#This Row],[totalAmount]])</f>
        <v>1</v>
      </c>
      <c r="P1331" s="8" t="b">
        <f>AND(TrafficData[[#This Row],[pendingCourt]]&lt;=TrafficData[[#This Row],[totalCourt]],TrafficData[[#This Row],[disposedCourt]]&lt;=TrafficData[[#This Row],[totalCourt]])</f>
        <v>1</v>
      </c>
    </row>
    <row r="1332" spans="1:16">
      <c r="A1332" s="1">
        <v>43335</v>
      </c>
      <c r="B1332">
        <v>16410</v>
      </c>
      <c r="C1332">
        <v>13643</v>
      </c>
      <c r="D1332">
        <v>2767</v>
      </c>
      <c r="E1332">
        <v>4945874</v>
      </c>
      <c r="F1332">
        <v>24280951</v>
      </c>
      <c r="G1332">
        <v>29226825</v>
      </c>
      <c r="H1332">
        <v>1602</v>
      </c>
      <c r="I1332">
        <v>568</v>
      </c>
      <c r="J1332">
        <v>2170</v>
      </c>
      <c r="K1332" t="b">
        <f>TrafficData[[#This Row],[disposedChallan]]+TrafficData[[#This Row],[pendingChallan]]=TrafficData[[#This Row],[totalChallan]]</f>
        <v>1</v>
      </c>
      <c r="L1332" t="b">
        <f>TrafficData[[#This Row],[pendingAmount]]+TrafficData[[#This Row],[disposedAmount]]=TrafficData[[#This Row],[totalAmount]]</f>
        <v>1</v>
      </c>
      <c r="M1332" t="b">
        <f>TrafficData[[#This Row],[pendingCourt]]+TrafficData[[#This Row],[disposedCourt]]=TrafficData[[#This Row],[totalCourt]]</f>
        <v>1</v>
      </c>
      <c r="N1332" s="8" t="b">
        <f>AND(TrafficData[[#This Row],[disposedChallan]]&lt;=TrafficData[[#This Row],[totalChallan]],TrafficData[[#This Row],[pendingChallan]]&lt;=TrafficData[[#This Row],[totalChallan]])</f>
        <v>1</v>
      </c>
      <c r="O1332" s="8" t="b">
        <f>AND(TrafficData[[#This Row],[pendingAmount]]&lt;=TrafficData[[#This Row],[totalAmount]],TrafficData[[#This Row],[disposedAmount]]&lt;=TrafficData[[#This Row],[totalAmount]])</f>
        <v>1</v>
      </c>
      <c r="P1332" s="8" t="b">
        <f>AND(TrafficData[[#This Row],[pendingCourt]]&lt;=TrafficData[[#This Row],[totalCourt]],TrafficData[[#This Row],[disposedCourt]]&lt;=TrafficData[[#This Row],[totalCourt]])</f>
        <v>1</v>
      </c>
    </row>
    <row r="1333" spans="1:16">
      <c r="A1333" s="1">
        <v>43336</v>
      </c>
      <c r="B1333">
        <v>15814</v>
      </c>
      <c r="C1333">
        <v>13113</v>
      </c>
      <c r="D1333">
        <v>2701</v>
      </c>
      <c r="E1333">
        <v>4978736</v>
      </c>
      <c r="F1333">
        <v>25023270</v>
      </c>
      <c r="G1333">
        <v>30002006</v>
      </c>
      <c r="H1333">
        <v>1394</v>
      </c>
      <c r="I1333">
        <v>475</v>
      </c>
      <c r="J1333">
        <v>1869</v>
      </c>
      <c r="K1333" t="b">
        <f>TrafficData[[#This Row],[disposedChallan]]+TrafficData[[#This Row],[pendingChallan]]=TrafficData[[#This Row],[totalChallan]]</f>
        <v>1</v>
      </c>
      <c r="L1333" t="b">
        <f>TrafficData[[#This Row],[pendingAmount]]+TrafficData[[#This Row],[disposedAmount]]=TrafficData[[#This Row],[totalAmount]]</f>
        <v>1</v>
      </c>
      <c r="M1333" t="b">
        <f>TrafficData[[#This Row],[pendingCourt]]+TrafficData[[#This Row],[disposedCourt]]=TrafficData[[#This Row],[totalCourt]]</f>
        <v>1</v>
      </c>
      <c r="N1333" s="8" t="b">
        <f>AND(TrafficData[[#This Row],[disposedChallan]]&lt;=TrafficData[[#This Row],[totalChallan]],TrafficData[[#This Row],[pendingChallan]]&lt;=TrafficData[[#This Row],[totalChallan]])</f>
        <v>1</v>
      </c>
      <c r="O1333" s="8" t="b">
        <f>AND(TrafficData[[#This Row],[pendingAmount]]&lt;=TrafficData[[#This Row],[totalAmount]],TrafficData[[#This Row],[disposedAmount]]&lt;=TrafficData[[#This Row],[totalAmount]])</f>
        <v>1</v>
      </c>
      <c r="P1333" s="8" t="b">
        <f>AND(TrafficData[[#This Row],[pendingCourt]]&lt;=TrafficData[[#This Row],[totalCourt]],TrafficData[[#This Row],[disposedCourt]]&lt;=TrafficData[[#This Row],[totalCourt]])</f>
        <v>1</v>
      </c>
    </row>
    <row r="1334" spans="1:16">
      <c r="A1334" s="1">
        <v>43337</v>
      </c>
      <c r="B1334">
        <v>12923</v>
      </c>
      <c r="C1334">
        <v>10870</v>
      </c>
      <c r="D1334">
        <v>2053</v>
      </c>
      <c r="E1334">
        <v>3181908</v>
      </c>
      <c r="F1334">
        <v>21138158</v>
      </c>
      <c r="G1334">
        <v>24320066</v>
      </c>
      <c r="H1334">
        <v>1007</v>
      </c>
      <c r="I1334">
        <v>380</v>
      </c>
      <c r="J1334">
        <v>1387</v>
      </c>
      <c r="K1334" t="b">
        <f>TrafficData[[#This Row],[disposedChallan]]+TrafficData[[#This Row],[pendingChallan]]=TrafficData[[#This Row],[totalChallan]]</f>
        <v>1</v>
      </c>
      <c r="L1334" t="b">
        <f>TrafficData[[#This Row],[pendingAmount]]+TrafficData[[#This Row],[disposedAmount]]=TrafficData[[#This Row],[totalAmount]]</f>
        <v>1</v>
      </c>
      <c r="M1334" t="b">
        <f>TrafficData[[#This Row],[pendingCourt]]+TrafficData[[#This Row],[disposedCourt]]=TrafficData[[#This Row],[totalCourt]]</f>
        <v>1</v>
      </c>
      <c r="N1334" s="8" t="b">
        <f>AND(TrafficData[[#This Row],[disposedChallan]]&lt;=TrafficData[[#This Row],[totalChallan]],TrafficData[[#This Row],[pendingChallan]]&lt;=TrafficData[[#This Row],[totalChallan]])</f>
        <v>1</v>
      </c>
      <c r="O1334" s="8" t="b">
        <f>AND(TrafficData[[#This Row],[pendingAmount]]&lt;=TrafficData[[#This Row],[totalAmount]],TrafficData[[#This Row],[disposedAmount]]&lt;=TrafficData[[#This Row],[totalAmount]])</f>
        <v>1</v>
      </c>
      <c r="P1334" s="8" t="b">
        <f>AND(TrafficData[[#This Row],[pendingCourt]]&lt;=TrafficData[[#This Row],[totalCourt]],TrafficData[[#This Row],[disposedCourt]]&lt;=TrafficData[[#This Row],[totalCourt]])</f>
        <v>1</v>
      </c>
    </row>
    <row r="1335" spans="1:16">
      <c r="A1335" s="1">
        <v>43338</v>
      </c>
      <c r="B1335">
        <v>6847</v>
      </c>
      <c r="C1335">
        <v>5892</v>
      </c>
      <c r="D1335">
        <v>955</v>
      </c>
      <c r="E1335">
        <v>1012520</v>
      </c>
      <c r="F1335">
        <v>7953507</v>
      </c>
      <c r="G1335">
        <v>8966027</v>
      </c>
      <c r="H1335">
        <v>383</v>
      </c>
      <c r="I1335">
        <v>139</v>
      </c>
      <c r="J1335">
        <v>522</v>
      </c>
      <c r="K1335" t="b">
        <f>TrafficData[[#This Row],[disposedChallan]]+TrafficData[[#This Row],[pendingChallan]]=TrafficData[[#This Row],[totalChallan]]</f>
        <v>1</v>
      </c>
      <c r="L1335" t="b">
        <f>TrafficData[[#This Row],[pendingAmount]]+TrafficData[[#This Row],[disposedAmount]]=TrafficData[[#This Row],[totalAmount]]</f>
        <v>1</v>
      </c>
      <c r="M1335" t="b">
        <f>TrafficData[[#This Row],[pendingCourt]]+TrafficData[[#This Row],[disposedCourt]]=TrafficData[[#This Row],[totalCourt]]</f>
        <v>1</v>
      </c>
      <c r="N1335" s="8" t="b">
        <f>AND(TrafficData[[#This Row],[disposedChallan]]&lt;=TrafficData[[#This Row],[totalChallan]],TrafficData[[#This Row],[pendingChallan]]&lt;=TrafficData[[#This Row],[totalChallan]])</f>
        <v>1</v>
      </c>
      <c r="O1335" s="8" t="b">
        <f>AND(TrafficData[[#This Row],[pendingAmount]]&lt;=TrafficData[[#This Row],[totalAmount]],TrafficData[[#This Row],[disposedAmount]]&lt;=TrafficData[[#This Row],[totalAmount]])</f>
        <v>1</v>
      </c>
      <c r="P1335" s="8" t="b">
        <f>AND(TrafficData[[#This Row],[pendingCourt]]&lt;=TrafficData[[#This Row],[totalCourt]],TrafficData[[#This Row],[disposedCourt]]&lt;=TrafficData[[#This Row],[totalCourt]])</f>
        <v>1</v>
      </c>
    </row>
    <row r="1336" spans="1:16">
      <c r="A1336" s="1">
        <v>43339</v>
      </c>
      <c r="B1336">
        <v>13274</v>
      </c>
      <c r="C1336">
        <v>11103</v>
      </c>
      <c r="D1336">
        <v>2171</v>
      </c>
      <c r="E1336">
        <v>3258642</v>
      </c>
      <c r="F1336">
        <v>14873986</v>
      </c>
      <c r="G1336">
        <v>18132628</v>
      </c>
      <c r="H1336">
        <v>908</v>
      </c>
      <c r="I1336">
        <v>356</v>
      </c>
      <c r="J1336">
        <v>1264</v>
      </c>
      <c r="K1336" t="b">
        <f>TrafficData[[#This Row],[disposedChallan]]+TrafficData[[#This Row],[pendingChallan]]=TrafficData[[#This Row],[totalChallan]]</f>
        <v>1</v>
      </c>
      <c r="L1336" t="b">
        <f>TrafficData[[#This Row],[pendingAmount]]+TrafficData[[#This Row],[disposedAmount]]=TrafficData[[#This Row],[totalAmount]]</f>
        <v>1</v>
      </c>
      <c r="M1336" t="b">
        <f>TrafficData[[#This Row],[pendingCourt]]+TrafficData[[#This Row],[disposedCourt]]=TrafficData[[#This Row],[totalCourt]]</f>
        <v>1</v>
      </c>
      <c r="N1336" s="8" t="b">
        <f>AND(TrafficData[[#This Row],[disposedChallan]]&lt;=TrafficData[[#This Row],[totalChallan]],TrafficData[[#This Row],[pendingChallan]]&lt;=TrafficData[[#This Row],[totalChallan]])</f>
        <v>1</v>
      </c>
      <c r="O1336" s="8" t="b">
        <f>AND(TrafficData[[#This Row],[pendingAmount]]&lt;=TrafficData[[#This Row],[totalAmount]],TrafficData[[#This Row],[disposedAmount]]&lt;=TrafficData[[#This Row],[totalAmount]])</f>
        <v>1</v>
      </c>
      <c r="P1336" s="8" t="b">
        <f>AND(TrafficData[[#This Row],[pendingCourt]]&lt;=TrafficData[[#This Row],[totalCourt]],TrafficData[[#This Row],[disposedCourt]]&lt;=TrafficData[[#This Row],[totalCourt]])</f>
        <v>1</v>
      </c>
    </row>
    <row r="1337" spans="1:16">
      <c r="A1337" s="1">
        <v>43340</v>
      </c>
      <c r="B1337">
        <v>12064</v>
      </c>
      <c r="C1337">
        <v>9733</v>
      </c>
      <c r="D1337">
        <v>2331</v>
      </c>
      <c r="E1337">
        <v>5196754</v>
      </c>
      <c r="F1337">
        <v>22386213</v>
      </c>
      <c r="G1337">
        <v>27582967</v>
      </c>
      <c r="H1337">
        <v>1234</v>
      </c>
      <c r="I1337">
        <v>348</v>
      </c>
      <c r="J1337">
        <v>1582</v>
      </c>
      <c r="K1337" t="b">
        <f>TrafficData[[#This Row],[disposedChallan]]+TrafficData[[#This Row],[pendingChallan]]=TrafficData[[#This Row],[totalChallan]]</f>
        <v>1</v>
      </c>
      <c r="L1337" t="b">
        <f>TrafficData[[#This Row],[pendingAmount]]+TrafficData[[#This Row],[disposedAmount]]=TrafficData[[#This Row],[totalAmount]]</f>
        <v>1</v>
      </c>
      <c r="M1337" t="b">
        <f>TrafficData[[#This Row],[pendingCourt]]+TrafficData[[#This Row],[disposedCourt]]=TrafficData[[#This Row],[totalCourt]]</f>
        <v>1</v>
      </c>
      <c r="N1337" s="8" t="b">
        <f>AND(TrafficData[[#This Row],[disposedChallan]]&lt;=TrafficData[[#This Row],[totalChallan]],TrafficData[[#This Row],[pendingChallan]]&lt;=TrafficData[[#This Row],[totalChallan]])</f>
        <v>1</v>
      </c>
      <c r="O1337" s="8" t="b">
        <f>AND(TrafficData[[#This Row],[pendingAmount]]&lt;=TrafficData[[#This Row],[totalAmount]],TrafficData[[#This Row],[disposedAmount]]&lt;=TrafficData[[#This Row],[totalAmount]])</f>
        <v>1</v>
      </c>
      <c r="P1337" s="8" t="b">
        <f>AND(TrafficData[[#This Row],[pendingCourt]]&lt;=TrafficData[[#This Row],[totalCourt]],TrafficData[[#This Row],[disposedCourt]]&lt;=TrafficData[[#This Row],[totalCourt]])</f>
        <v>1</v>
      </c>
    </row>
    <row r="1338" spans="1:16">
      <c r="A1338" s="1">
        <v>43341</v>
      </c>
      <c r="B1338">
        <v>22980</v>
      </c>
      <c r="C1338">
        <v>17533</v>
      </c>
      <c r="D1338">
        <v>5447</v>
      </c>
      <c r="E1338">
        <v>9756415</v>
      </c>
      <c r="F1338">
        <v>27312939</v>
      </c>
      <c r="G1338">
        <v>37069354</v>
      </c>
      <c r="H1338">
        <v>4040</v>
      </c>
      <c r="I1338">
        <v>952</v>
      </c>
      <c r="J1338">
        <v>4992</v>
      </c>
      <c r="K1338" t="b">
        <f>TrafficData[[#This Row],[disposedChallan]]+TrafficData[[#This Row],[pendingChallan]]=TrafficData[[#This Row],[totalChallan]]</f>
        <v>1</v>
      </c>
      <c r="L1338" t="b">
        <f>TrafficData[[#This Row],[pendingAmount]]+TrafficData[[#This Row],[disposedAmount]]=TrafficData[[#This Row],[totalAmount]]</f>
        <v>1</v>
      </c>
      <c r="M1338" t="b">
        <f>TrafficData[[#This Row],[pendingCourt]]+TrafficData[[#This Row],[disposedCourt]]=TrafficData[[#This Row],[totalCourt]]</f>
        <v>1</v>
      </c>
      <c r="N1338" s="8" t="b">
        <f>AND(TrafficData[[#This Row],[disposedChallan]]&lt;=TrafficData[[#This Row],[totalChallan]],TrafficData[[#This Row],[pendingChallan]]&lt;=TrafficData[[#This Row],[totalChallan]])</f>
        <v>1</v>
      </c>
      <c r="O1338" s="8" t="b">
        <f>AND(TrafficData[[#This Row],[pendingAmount]]&lt;=TrafficData[[#This Row],[totalAmount]],TrafficData[[#This Row],[disposedAmount]]&lt;=TrafficData[[#This Row],[totalAmount]])</f>
        <v>1</v>
      </c>
      <c r="P1338" s="8" t="b">
        <f>AND(TrafficData[[#This Row],[pendingCourt]]&lt;=TrafficData[[#This Row],[totalCourt]],TrafficData[[#This Row],[disposedCourt]]&lt;=TrafficData[[#This Row],[totalCourt]])</f>
        <v>1</v>
      </c>
    </row>
    <row r="1339" spans="1:16">
      <c r="A1339" s="1">
        <v>43342</v>
      </c>
      <c r="B1339">
        <v>17272</v>
      </c>
      <c r="C1339">
        <v>14352</v>
      </c>
      <c r="D1339">
        <v>2920</v>
      </c>
      <c r="E1339">
        <v>5061945</v>
      </c>
      <c r="F1339">
        <v>34353702</v>
      </c>
      <c r="G1339">
        <v>39415647</v>
      </c>
      <c r="H1339">
        <v>1618</v>
      </c>
      <c r="I1339">
        <v>547</v>
      </c>
      <c r="J1339">
        <v>2165</v>
      </c>
      <c r="K1339" t="b">
        <f>TrafficData[[#This Row],[disposedChallan]]+TrafficData[[#This Row],[pendingChallan]]=TrafficData[[#This Row],[totalChallan]]</f>
        <v>1</v>
      </c>
      <c r="L1339" t="b">
        <f>TrafficData[[#This Row],[pendingAmount]]+TrafficData[[#This Row],[disposedAmount]]=TrafficData[[#This Row],[totalAmount]]</f>
        <v>1</v>
      </c>
      <c r="M1339" t="b">
        <f>TrafficData[[#This Row],[pendingCourt]]+TrafficData[[#This Row],[disposedCourt]]=TrafficData[[#This Row],[totalCourt]]</f>
        <v>1</v>
      </c>
      <c r="N1339" s="8" t="b">
        <f>AND(TrafficData[[#This Row],[disposedChallan]]&lt;=TrafficData[[#This Row],[totalChallan]],TrafficData[[#This Row],[pendingChallan]]&lt;=TrafficData[[#This Row],[totalChallan]])</f>
        <v>1</v>
      </c>
      <c r="O1339" s="8" t="b">
        <f>AND(TrafficData[[#This Row],[pendingAmount]]&lt;=TrafficData[[#This Row],[totalAmount]],TrafficData[[#This Row],[disposedAmount]]&lt;=TrafficData[[#This Row],[totalAmount]])</f>
        <v>1</v>
      </c>
      <c r="P1339" s="8" t="b">
        <f>AND(TrafficData[[#This Row],[pendingCourt]]&lt;=TrafficData[[#This Row],[totalCourt]],TrafficData[[#This Row],[disposedCourt]]&lt;=TrafficData[[#This Row],[totalCourt]])</f>
        <v>1</v>
      </c>
    </row>
    <row r="1340" spans="1:16">
      <c r="A1340" s="1">
        <v>43343</v>
      </c>
      <c r="B1340">
        <v>15963</v>
      </c>
      <c r="C1340">
        <v>13046</v>
      </c>
      <c r="D1340">
        <v>2917</v>
      </c>
      <c r="E1340">
        <v>3485985</v>
      </c>
      <c r="F1340">
        <v>24851527</v>
      </c>
      <c r="G1340">
        <v>28337512</v>
      </c>
      <c r="H1340">
        <v>1555</v>
      </c>
      <c r="I1340">
        <v>505</v>
      </c>
      <c r="J1340">
        <v>2060</v>
      </c>
      <c r="K1340" t="b">
        <f>TrafficData[[#This Row],[disposedChallan]]+TrafficData[[#This Row],[pendingChallan]]=TrafficData[[#This Row],[totalChallan]]</f>
        <v>1</v>
      </c>
      <c r="L1340" t="b">
        <f>TrafficData[[#This Row],[pendingAmount]]+TrafficData[[#This Row],[disposedAmount]]=TrafficData[[#This Row],[totalAmount]]</f>
        <v>1</v>
      </c>
      <c r="M1340" t="b">
        <f>TrafficData[[#This Row],[pendingCourt]]+TrafficData[[#This Row],[disposedCourt]]=TrafficData[[#This Row],[totalCourt]]</f>
        <v>1</v>
      </c>
      <c r="N1340" s="8" t="b">
        <f>AND(TrafficData[[#This Row],[disposedChallan]]&lt;=TrafficData[[#This Row],[totalChallan]],TrafficData[[#This Row],[pendingChallan]]&lt;=TrafficData[[#This Row],[totalChallan]])</f>
        <v>1</v>
      </c>
      <c r="O1340" s="8" t="b">
        <f>AND(TrafficData[[#This Row],[pendingAmount]]&lt;=TrafficData[[#This Row],[totalAmount]],TrafficData[[#This Row],[disposedAmount]]&lt;=TrafficData[[#This Row],[totalAmount]])</f>
        <v>1</v>
      </c>
      <c r="P1340" s="8" t="b">
        <f>AND(TrafficData[[#This Row],[pendingCourt]]&lt;=TrafficData[[#This Row],[totalCourt]],TrafficData[[#This Row],[disposedCourt]]&lt;=TrafficData[[#This Row],[totalCourt]])</f>
        <v>1</v>
      </c>
    </row>
    <row r="1341" spans="1:16">
      <c r="A1341" s="1">
        <v>43344</v>
      </c>
      <c r="B1341">
        <v>14948</v>
      </c>
      <c r="C1341">
        <v>12304</v>
      </c>
      <c r="D1341">
        <v>2644</v>
      </c>
      <c r="E1341">
        <v>2933148</v>
      </c>
      <c r="F1341">
        <v>25561527</v>
      </c>
      <c r="G1341">
        <v>28494675</v>
      </c>
      <c r="H1341">
        <v>1548</v>
      </c>
      <c r="I1341">
        <v>305</v>
      </c>
      <c r="J1341">
        <v>1853</v>
      </c>
      <c r="K1341" t="b">
        <f>TrafficData[[#This Row],[disposedChallan]]+TrafficData[[#This Row],[pendingChallan]]=TrafficData[[#This Row],[totalChallan]]</f>
        <v>1</v>
      </c>
      <c r="L1341" t="b">
        <f>TrafficData[[#This Row],[pendingAmount]]+TrafficData[[#This Row],[disposedAmount]]=TrafficData[[#This Row],[totalAmount]]</f>
        <v>1</v>
      </c>
      <c r="M1341" t="b">
        <f>TrafficData[[#This Row],[pendingCourt]]+TrafficData[[#This Row],[disposedCourt]]=TrafficData[[#This Row],[totalCourt]]</f>
        <v>1</v>
      </c>
      <c r="N1341" s="8" t="b">
        <f>AND(TrafficData[[#This Row],[disposedChallan]]&lt;=TrafficData[[#This Row],[totalChallan]],TrafficData[[#This Row],[pendingChallan]]&lt;=TrafficData[[#This Row],[totalChallan]])</f>
        <v>1</v>
      </c>
      <c r="O1341" s="8" t="b">
        <f>AND(TrafficData[[#This Row],[pendingAmount]]&lt;=TrafficData[[#This Row],[totalAmount]],TrafficData[[#This Row],[disposedAmount]]&lt;=TrafficData[[#This Row],[totalAmount]])</f>
        <v>1</v>
      </c>
      <c r="P1341" s="8" t="b">
        <f>AND(TrafficData[[#This Row],[pendingCourt]]&lt;=TrafficData[[#This Row],[totalCourt]],TrafficData[[#This Row],[disposedCourt]]&lt;=TrafficData[[#This Row],[totalCourt]])</f>
        <v>1</v>
      </c>
    </row>
    <row r="1342" spans="1:16">
      <c r="A1342" s="1">
        <v>43345</v>
      </c>
      <c r="B1342">
        <v>10639</v>
      </c>
      <c r="C1342">
        <v>8829</v>
      </c>
      <c r="D1342">
        <v>1810</v>
      </c>
      <c r="E1342">
        <v>2175066</v>
      </c>
      <c r="F1342">
        <v>21741470</v>
      </c>
      <c r="G1342">
        <v>23916536</v>
      </c>
      <c r="H1342">
        <v>1212</v>
      </c>
      <c r="I1342">
        <v>139</v>
      </c>
      <c r="J1342">
        <v>1351</v>
      </c>
      <c r="K1342" t="b">
        <f>TrafficData[[#This Row],[disposedChallan]]+TrafficData[[#This Row],[pendingChallan]]=TrafficData[[#This Row],[totalChallan]]</f>
        <v>1</v>
      </c>
      <c r="L1342" t="b">
        <f>TrafficData[[#This Row],[pendingAmount]]+TrafficData[[#This Row],[disposedAmount]]=TrafficData[[#This Row],[totalAmount]]</f>
        <v>1</v>
      </c>
      <c r="M1342" t="b">
        <f>TrafficData[[#This Row],[pendingCourt]]+TrafficData[[#This Row],[disposedCourt]]=TrafficData[[#This Row],[totalCourt]]</f>
        <v>1</v>
      </c>
      <c r="N1342" s="8" t="b">
        <f>AND(TrafficData[[#This Row],[disposedChallan]]&lt;=TrafficData[[#This Row],[totalChallan]],TrafficData[[#This Row],[pendingChallan]]&lt;=TrafficData[[#This Row],[totalChallan]])</f>
        <v>1</v>
      </c>
      <c r="O1342" s="8" t="b">
        <f>AND(TrafficData[[#This Row],[pendingAmount]]&lt;=TrafficData[[#This Row],[totalAmount]],TrafficData[[#This Row],[disposedAmount]]&lt;=TrafficData[[#This Row],[totalAmount]])</f>
        <v>1</v>
      </c>
      <c r="P1342" s="8" t="b">
        <f>AND(TrafficData[[#This Row],[pendingCourt]]&lt;=TrafficData[[#This Row],[totalCourt]],TrafficData[[#This Row],[disposedCourt]]&lt;=TrafficData[[#This Row],[totalCourt]])</f>
        <v>1</v>
      </c>
    </row>
    <row r="1343" spans="1:16">
      <c r="A1343" s="1">
        <v>43346</v>
      </c>
      <c r="B1343">
        <v>13508</v>
      </c>
      <c r="C1343">
        <v>10950</v>
      </c>
      <c r="D1343">
        <v>2558</v>
      </c>
      <c r="E1343">
        <v>2273255</v>
      </c>
      <c r="F1343">
        <v>16211254</v>
      </c>
      <c r="G1343">
        <v>18484509</v>
      </c>
      <c r="H1343">
        <v>1522</v>
      </c>
      <c r="I1343">
        <v>334</v>
      </c>
      <c r="J1343">
        <v>1856</v>
      </c>
      <c r="K1343" t="b">
        <f>TrafficData[[#This Row],[disposedChallan]]+TrafficData[[#This Row],[pendingChallan]]=TrafficData[[#This Row],[totalChallan]]</f>
        <v>1</v>
      </c>
      <c r="L1343" t="b">
        <f>TrafficData[[#This Row],[pendingAmount]]+TrafficData[[#This Row],[disposedAmount]]=TrafficData[[#This Row],[totalAmount]]</f>
        <v>1</v>
      </c>
      <c r="M1343" t="b">
        <f>TrafficData[[#This Row],[pendingCourt]]+TrafficData[[#This Row],[disposedCourt]]=TrafficData[[#This Row],[totalCourt]]</f>
        <v>1</v>
      </c>
      <c r="N1343" s="8" t="b">
        <f>AND(TrafficData[[#This Row],[disposedChallan]]&lt;=TrafficData[[#This Row],[totalChallan]],TrafficData[[#This Row],[pendingChallan]]&lt;=TrafficData[[#This Row],[totalChallan]])</f>
        <v>1</v>
      </c>
      <c r="O1343" s="8" t="b">
        <f>AND(TrafficData[[#This Row],[pendingAmount]]&lt;=TrafficData[[#This Row],[totalAmount]],TrafficData[[#This Row],[disposedAmount]]&lt;=TrafficData[[#This Row],[totalAmount]])</f>
        <v>1</v>
      </c>
      <c r="P1343" s="8" t="b">
        <f>AND(TrafficData[[#This Row],[pendingCourt]]&lt;=TrafficData[[#This Row],[totalCourt]],TrafficData[[#This Row],[disposedCourt]]&lt;=TrafficData[[#This Row],[totalCourt]])</f>
        <v>1</v>
      </c>
    </row>
    <row r="1344" spans="1:16">
      <c r="A1344" s="1">
        <v>43347</v>
      </c>
      <c r="B1344">
        <v>15921</v>
      </c>
      <c r="C1344">
        <v>12383</v>
      </c>
      <c r="D1344">
        <v>3538</v>
      </c>
      <c r="E1344">
        <v>4295338</v>
      </c>
      <c r="F1344">
        <v>18229384</v>
      </c>
      <c r="G1344">
        <v>22524722</v>
      </c>
      <c r="H1344">
        <v>2337</v>
      </c>
      <c r="I1344">
        <v>473</v>
      </c>
      <c r="J1344">
        <v>2810</v>
      </c>
      <c r="K1344" t="b">
        <f>TrafficData[[#This Row],[disposedChallan]]+TrafficData[[#This Row],[pendingChallan]]=TrafficData[[#This Row],[totalChallan]]</f>
        <v>1</v>
      </c>
      <c r="L1344" t="b">
        <f>TrafficData[[#This Row],[pendingAmount]]+TrafficData[[#This Row],[disposedAmount]]=TrafficData[[#This Row],[totalAmount]]</f>
        <v>1</v>
      </c>
      <c r="M1344" t="b">
        <f>TrafficData[[#This Row],[pendingCourt]]+TrafficData[[#This Row],[disposedCourt]]=TrafficData[[#This Row],[totalCourt]]</f>
        <v>1</v>
      </c>
      <c r="N1344" s="8" t="b">
        <f>AND(TrafficData[[#This Row],[disposedChallan]]&lt;=TrafficData[[#This Row],[totalChallan]],TrafficData[[#This Row],[pendingChallan]]&lt;=TrafficData[[#This Row],[totalChallan]])</f>
        <v>1</v>
      </c>
      <c r="O1344" s="8" t="b">
        <f>AND(TrafficData[[#This Row],[pendingAmount]]&lt;=TrafficData[[#This Row],[totalAmount]],TrafficData[[#This Row],[disposedAmount]]&lt;=TrafficData[[#This Row],[totalAmount]])</f>
        <v>1</v>
      </c>
      <c r="P1344" s="8" t="b">
        <f>AND(TrafficData[[#This Row],[pendingCourt]]&lt;=TrafficData[[#This Row],[totalCourt]],TrafficData[[#This Row],[disposedCourt]]&lt;=TrafficData[[#This Row],[totalCourt]])</f>
        <v>1</v>
      </c>
    </row>
    <row r="1345" spans="1:16">
      <c r="A1345" s="1">
        <v>43348</v>
      </c>
      <c r="B1345">
        <v>22431</v>
      </c>
      <c r="C1345">
        <v>16453</v>
      </c>
      <c r="D1345">
        <v>5978</v>
      </c>
      <c r="E1345">
        <v>8306262</v>
      </c>
      <c r="F1345">
        <v>24452030</v>
      </c>
      <c r="G1345">
        <v>32758292</v>
      </c>
      <c r="H1345">
        <v>4470</v>
      </c>
      <c r="I1345">
        <v>987</v>
      </c>
      <c r="J1345">
        <v>5457</v>
      </c>
      <c r="K1345" t="b">
        <f>TrafficData[[#This Row],[disposedChallan]]+TrafficData[[#This Row],[pendingChallan]]=TrafficData[[#This Row],[totalChallan]]</f>
        <v>1</v>
      </c>
      <c r="L1345" t="b">
        <f>TrafficData[[#This Row],[pendingAmount]]+TrafficData[[#This Row],[disposedAmount]]=TrafficData[[#This Row],[totalAmount]]</f>
        <v>1</v>
      </c>
      <c r="M1345" t="b">
        <f>TrafficData[[#This Row],[pendingCourt]]+TrafficData[[#This Row],[disposedCourt]]=TrafficData[[#This Row],[totalCourt]]</f>
        <v>1</v>
      </c>
      <c r="N1345" s="8" t="b">
        <f>AND(TrafficData[[#This Row],[disposedChallan]]&lt;=TrafficData[[#This Row],[totalChallan]],TrafficData[[#This Row],[pendingChallan]]&lt;=TrafficData[[#This Row],[totalChallan]])</f>
        <v>1</v>
      </c>
      <c r="O1345" s="8" t="b">
        <f>AND(TrafficData[[#This Row],[pendingAmount]]&lt;=TrafficData[[#This Row],[totalAmount]],TrafficData[[#This Row],[disposedAmount]]&lt;=TrafficData[[#This Row],[totalAmount]])</f>
        <v>1</v>
      </c>
      <c r="P1345" s="8" t="b">
        <f>AND(TrafficData[[#This Row],[pendingCourt]]&lt;=TrafficData[[#This Row],[totalCourt]],TrafficData[[#This Row],[disposedCourt]]&lt;=TrafficData[[#This Row],[totalCourt]])</f>
        <v>1</v>
      </c>
    </row>
    <row r="1346" spans="1:16">
      <c r="A1346" s="1">
        <v>43349</v>
      </c>
      <c r="B1346">
        <v>16870</v>
      </c>
      <c r="C1346">
        <v>13154</v>
      </c>
      <c r="D1346">
        <v>3716</v>
      </c>
      <c r="E1346">
        <v>5129260</v>
      </c>
      <c r="F1346">
        <v>26173038</v>
      </c>
      <c r="G1346">
        <v>31302298</v>
      </c>
      <c r="H1346">
        <v>2467</v>
      </c>
      <c r="I1346">
        <v>624</v>
      </c>
      <c r="J1346">
        <v>3091</v>
      </c>
      <c r="K1346" t="b">
        <f>TrafficData[[#This Row],[disposedChallan]]+TrafficData[[#This Row],[pendingChallan]]=TrafficData[[#This Row],[totalChallan]]</f>
        <v>1</v>
      </c>
      <c r="L1346" t="b">
        <f>TrafficData[[#This Row],[pendingAmount]]+TrafficData[[#This Row],[disposedAmount]]=TrafficData[[#This Row],[totalAmount]]</f>
        <v>1</v>
      </c>
      <c r="M1346" t="b">
        <f>TrafficData[[#This Row],[pendingCourt]]+TrafficData[[#This Row],[disposedCourt]]=TrafficData[[#This Row],[totalCourt]]</f>
        <v>1</v>
      </c>
      <c r="N1346" s="8" t="b">
        <f>AND(TrafficData[[#This Row],[disposedChallan]]&lt;=TrafficData[[#This Row],[totalChallan]],TrafficData[[#This Row],[pendingChallan]]&lt;=TrafficData[[#This Row],[totalChallan]])</f>
        <v>1</v>
      </c>
      <c r="O1346" s="8" t="b">
        <f>AND(TrafficData[[#This Row],[pendingAmount]]&lt;=TrafficData[[#This Row],[totalAmount]],TrafficData[[#This Row],[disposedAmount]]&lt;=TrafficData[[#This Row],[totalAmount]])</f>
        <v>1</v>
      </c>
      <c r="P1346" s="8" t="b">
        <f>AND(TrafficData[[#This Row],[pendingCourt]]&lt;=TrafficData[[#This Row],[totalCourt]],TrafficData[[#This Row],[disposedCourt]]&lt;=TrafficData[[#This Row],[totalCourt]])</f>
        <v>1</v>
      </c>
    </row>
    <row r="1347" spans="1:16">
      <c r="A1347" s="1">
        <v>43350</v>
      </c>
      <c r="B1347">
        <v>19387</v>
      </c>
      <c r="C1347">
        <v>14192</v>
      </c>
      <c r="D1347">
        <v>5195</v>
      </c>
      <c r="E1347">
        <v>6538327</v>
      </c>
      <c r="F1347">
        <v>29617671</v>
      </c>
      <c r="G1347">
        <v>36155998</v>
      </c>
      <c r="H1347">
        <v>3523</v>
      </c>
      <c r="I1347">
        <v>771</v>
      </c>
      <c r="J1347">
        <v>4294</v>
      </c>
      <c r="K1347" t="b">
        <f>TrafficData[[#This Row],[disposedChallan]]+TrafficData[[#This Row],[pendingChallan]]=TrafficData[[#This Row],[totalChallan]]</f>
        <v>1</v>
      </c>
      <c r="L1347" t="b">
        <f>TrafficData[[#This Row],[pendingAmount]]+TrafficData[[#This Row],[disposedAmount]]=TrafficData[[#This Row],[totalAmount]]</f>
        <v>1</v>
      </c>
      <c r="M1347" t="b">
        <f>TrafficData[[#This Row],[pendingCourt]]+TrafficData[[#This Row],[disposedCourt]]=TrafficData[[#This Row],[totalCourt]]</f>
        <v>1</v>
      </c>
      <c r="N1347" s="8" t="b">
        <f>AND(TrafficData[[#This Row],[disposedChallan]]&lt;=TrafficData[[#This Row],[totalChallan]],TrafficData[[#This Row],[pendingChallan]]&lt;=TrafficData[[#This Row],[totalChallan]])</f>
        <v>1</v>
      </c>
      <c r="O1347" s="8" t="b">
        <f>AND(TrafficData[[#This Row],[pendingAmount]]&lt;=TrafficData[[#This Row],[totalAmount]],TrafficData[[#This Row],[disposedAmount]]&lt;=TrafficData[[#This Row],[totalAmount]])</f>
        <v>1</v>
      </c>
      <c r="P1347" s="8" t="b">
        <f>AND(TrafficData[[#This Row],[pendingCourt]]&lt;=TrafficData[[#This Row],[totalCourt]],TrafficData[[#This Row],[disposedCourt]]&lt;=TrafficData[[#This Row],[totalCourt]])</f>
        <v>1</v>
      </c>
    </row>
    <row r="1348" spans="1:16">
      <c r="A1348" s="1">
        <v>43351</v>
      </c>
      <c r="B1348">
        <v>14792</v>
      </c>
      <c r="C1348">
        <v>10793</v>
      </c>
      <c r="D1348">
        <v>3999</v>
      </c>
      <c r="E1348">
        <v>3863678</v>
      </c>
      <c r="F1348">
        <v>21555899</v>
      </c>
      <c r="G1348">
        <v>25419577</v>
      </c>
      <c r="H1348">
        <v>2757</v>
      </c>
      <c r="I1348">
        <v>565</v>
      </c>
      <c r="J1348">
        <v>3322</v>
      </c>
      <c r="K1348" t="b">
        <f>TrafficData[[#This Row],[disposedChallan]]+TrafficData[[#This Row],[pendingChallan]]=TrafficData[[#This Row],[totalChallan]]</f>
        <v>1</v>
      </c>
      <c r="L1348" t="b">
        <f>TrafficData[[#This Row],[pendingAmount]]+TrafficData[[#This Row],[disposedAmount]]=TrafficData[[#This Row],[totalAmount]]</f>
        <v>1</v>
      </c>
      <c r="M1348" t="b">
        <f>TrafficData[[#This Row],[pendingCourt]]+TrafficData[[#This Row],[disposedCourt]]=TrafficData[[#This Row],[totalCourt]]</f>
        <v>1</v>
      </c>
      <c r="N1348" s="8" t="b">
        <f>AND(TrafficData[[#This Row],[disposedChallan]]&lt;=TrafficData[[#This Row],[totalChallan]],TrafficData[[#This Row],[pendingChallan]]&lt;=TrafficData[[#This Row],[totalChallan]])</f>
        <v>1</v>
      </c>
      <c r="O1348" s="8" t="b">
        <f>AND(TrafficData[[#This Row],[pendingAmount]]&lt;=TrafficData[[#This Row],[totalAmount]],TrafficData[[#This Row],[disposedAmount]]&lt;=TrafficData[[#This Row],[totalAmount]])</f>
        <v>1</v>
      </c>
      <c r="P1348" s="8" t="b">
        <f>AND(TrafficData[[#This Row],[pendingCourt]]&lt;=TrafficData[[#This Row],[totalCourt]],TrafficData[[#This Row],[disposedCourt]]&lt;=TrafficData[[#This Row],[totalCourt]])</f>
        <v>1</v>
      </c>
    </row>
    <row r="1349" spans="1:16">
      <c r="A1349" s="1">
        <v>43352</v>
      </c>
      <c r="B1349">
        <v>10989</v>
      </c>
      <c r="C1349">
        <v>8511</v>
      </c>
      <c r="D1349">
        <v>2478</v>
      </c>
      <c r="E1349">
        <v>1540598</v>
      </c>
      <c r="F1349">
        <v>14229657</v>
      </c>
      <c r="G1349">
        <v>15770255</v>
      </c>
      <c r="H1349">
        <v>1681</v>
      </c>
      <c r="I1349">
        <v>360</v>
      </c>
      <c r="J1349">
        <v>2041</v>
      </c>
      <c r="K1349" t="b">
        <f>TrafficData[[#This Row],[disposedChallan]]+TrafficData[[#This Row],[pendingChallan]]=TrafficData[[#This Row],[totalChallan]]</f>
        <v>1</v>
      </c>
      <c r="L1349" t="b">
        <f>TrafficData[[#This Row],[pendingAmount]]+TrafficData[[#This Row],[disposedAmount]]=TrafficData[[#This Row],[totalAmount]]</f>
        <v>1</v>
      </c>
      <c r="M1349" t="b">
        <f>TrafficData[[#This Row],[pendingCourt]]+TrafficData[[#This Row],[disposedCourt]]=TrafficData[[#This Row],[totalCourt]]</f>
        <v>1</v>
      </c>
      <c r="N1349" s="8" t="b">
        <f>AND(TrafficData[[#This Row],[disposedChallan]]&lt;=TrafficData[[#This Row],[totalChallan]],TrafficData[[#This Row],[pendingChallan]]&lt;=TrafficData[[#This Row],[totalChallan]])</f>
        <v>1</v>
      </c>
      <c r="O1349" s="8" t="b">
        <f>AND(TrafficData[[#This Row],[pendingAmount]]&lt;=TrafficData[[#This Row],[totalAmount]],TrafficData[[#This Row],[disposedAmount]]&lt;=TrafficData[[#This Row],[totalAmount]])</f>
        <v>1</v>
      </c>
      <c r="P1349" s="8" t="b">
        <f>AND(TrafficData[[#This Row],[pendingCourt]]&lt;=TrafficData[[#This Row],[totalCourt]],TrafficData[[#This Row],[disposedCourt]]&lt;=TrafficData[[#This Row],[totalCourt]])</f>
        <v>1</v>
      </c>
    </row>
    <row r="1350" spans="1:16">
      <c r="A1350" s="1">
        <v>43353</v>
      </c>
      <c r="B1350">
        <v>16570</v>
      </c>
      <c r="C1350">
        <v>12045</v>
      </c>
      <c r="D1350">
        <v>4525</v>
      </c>
      <c r="E1350">
        <v>4727051</v>
      </c>
      <c r="F1350">
        <v>18565344</v>
      </c>
      <c r="G1350">
        <v>23292395</v>
      </c>
      <c r="H1350">
        <v>2955</v>
      </c>
      <c r="I1350">
        <v>699</v>
      </c>
      <c r="J1350">
        <v>3654</v>
      </c>
      <c r="K1350" t="b">
        <f>TrafficData[[#This Row],[disposedChallan]]+TrafficData[[#This Row],[pendingChallan]]=TrafficData[[#This Row],[totalChallan]]</f>
        <v>1</v>
      </c>
      <c r="L1350" t="b">
        <f>TrafficData[[#This Row],[pendingAmount]]+TrafficData[[#This Row],[disposedAmount]]=TrafficData[[#This Row],[totalAmount]]</f>
        <v>1</v>
      </c>
      <c r="M1350" t="b">
        <f>TrafficData[[#This Row],[pendingCourt]]+TrafficData[[#This Row],[disposedCourt]]=TrafficData[[#This Row],[totalCourt]]</f>
        <v>1</v>
      </c>
      <c r="N1350" s="8" t="b">
        <f>AND(TrafficData[[#This Row],[disposedChallan]]&lt;=TrafficData[[#This Row],[totalChallan]],TrafficData[[#This Row],[pendingChallan]]&lt;=TrafficData[[#This Row],[totalChallan]])</f>
        <v>1</v>
      </c>
      <c r="O1350" s="8" t="b">
        <f>AND(TrafficData[[#This Row],[pendingAmount]]&lt;=TrafficData[[#This Row],[totalAmount]],TrafficData[[#This Row],[disposedAmount]]&lt;=TrafficData[[#This Row],[totalAmount]])</f>
        <v>1</v>
      </c>
      <c r="P1350" s="8" t="b">
        <f>AND(TrafficData[[#This Row],[pendingCourt]]&lt;=TrafficData[[#This Row],[totalCourt]],TrafficData[[#This Row],[disposedCourt]]&lt;=TrafficData[[#This Row],[totalCourt]])</f>
        <v>1</v>
      </c>
    </row>
    <row r="1351" spans="1:16">
      <c r="A1351" s="1">
        <v>43354</v>
      </c>
      <c r="B1351">
        <v>19675</v>
      </c>
      <c r="C1351">
        <v>15030</v>
      </c>
      <c r="D1351">
        <v>4645</v>
      </c>
      <c r="E1351">
        <v>6377088</v>
      </c>
      <c r="F1351">
        <v>29462043</v>
      </c>
      <c r="G1351">
        <v>35839131</v>
      </c>
      <c r="H1351">
        <v>3061</v>
      </c>
      <c r="I1351">
        <v>751</v>
      </c>
      <c r="J1351">
        <v>3812</v>
      </c>
      <c r="K1351" t="b">
        <f>TrafficData[[#This Row],[disposedChallan]]+TrafficData[[#This Row],[pendingChallan]]=TrafficData[[#This Row],[totalChallan]]</f>
        <v>1</v>
      </c>
      <c r="L1351" t="b">
        <f>TrafficData[[#This Row],[pendingAmount]]+TrafficData[[#This Row],[disposedAmount]]=TrafficData[[#This Row],[totalAmount]]</f>
        <v>1</v>
      </c>
      <c r="M1351" t="b">
        <f>TrafficData[[#This Row],[pendingCourt]]+TrafficData[[#This Row],[disposedCourt]]=TrafficData[[#This Row],[totalCourt]]</f>
        <v>1</v>
      </c>
      <c r="N1351" s="8" t="b">
        <f>AND(TrafficData[[#This Row],[disposedChallan]]&lt;=TrafficData[[#This Row],[totalChallan]],TrafficData[[#This Row],[pendingChallan]]&lt;=TrafficData[[#This Row],[totalChallan]])</f>
        <v>1</v>
      </c>
      <c r="O1351" s="8" t="b">
        <f>AND(TrafficData[[#This Row],[pendingAmount]]&lt;=TrafficData[[#This Row],[totalAmount]],TrafficData[[#This Row],[disposedAmount]]&lt;=TrafficData[[#This Row],[totalAmount]])</f>
        <v>1</v>
      </c>
      <c r="P1351" s="8" t="b">
        <f>AND(TrafficData[[#This Row],[pendingCourt]]&lt;=TrafficData[[#This Row],[totalCourt]],TrafficData[[#This Row],[disposedCourt]]&lt;=TrafficData[[#This Row],[totalCourt]])</f>
        <v>1</v>
      </c>
    </row>
    <row r="1352" spans="1:16">
      <c r="A1352" s="1">
        <v>43355</v>
      </c>
      <c r="B1352">
        <v>27971</v>
      </c>
      <c r="C1352">
        <v>20253</v>
      </c>
      <c r="D1352">
        <v>7718</v>
      </c>
      <c r="E1352">
        <v>10000145</v>
      </c>
      <c r="F1352">
        <v>27916974</v>
      </c>
      <c r="G1352">
        <v>37917119</v>
      </c>
      <c r="H1352">
        <v>5654</v>
      </c>
      <c r="I1352">
        <v>1298</v>
      </c>
      <c r="J1352">
        <v>6952</v>
      </c>
      <c r="K1352" t="b">
        <f>TrafficData[[#This Row],[disposedChallan]]+TrafficData[[#This Row],[pendingChallan]]=TrafficData[[#This Row],[totalChallan]]</f>
        <v>1</v>
      </c>
      <c r="L1352" t="b">
        <f>TrafficData[[#This Row],[pendingAmount]]+TrafficData[[#This Row],[disposedAmount]]=TrafficData[[#This Row],[totalAmount]]</f>
        <v>1</v>
      </c>
      <c r="M1352" t="b">
        <f>TrafficData[[#This Row],[pendingCourt]]+TrafficData[[#This Row],[disposedCourt]]=TrafficData[[#This Row],[totalCourt]]</f>
        <v>1</v>
      </c>
      <c r="N1352" s="8" t="b">
        <f>AND(TrafficData[[#This Row],[disposedChallan]]&lt;=TrafficData[[#This Row],[totalChallan]],TrafficData[[#This Row],[pendingChallan]]&lt;=TrafficData[[#This Row],[totalChallan]])</f>
        <v>1</v>
      </c>
      <c r="O1352" s="8" t="b">
        <f>AND(TrafficData[[#This Row],[pendingAmount]]&lt;=TrafficData[[#This Row],[totalAmount]],TrafficData[[#This Row],[disposedAmount]]&lt;=TrafficData[[#This Row],[totalAmount]])</f>
        <v>1</v>
      </c>
      <c r="P1352" s="8" t="b">
        <f>AND(TrafficData[[#This Row],[pendingCourt]]&lt;=TrafficData[[#This Row],[totalCourt]],TrafficData[[#This Row],[disposedCourt]]&lt;=TrafficData[[#This Row],[totalCourt]])</f>
        <v>1</v>
      </c>
    </row>
    <row r="1353" spans="1:16">
      <c r="A1353" s="1">
        <v>43356</v>
      </c>
      <c r="B1353">
        <v>19211</v>
      </c>
      <c r="C1353">
        <v>14702</v>
      </c>
      <c r="D1353">
        <v>4509</v>
      </c>
      <c r="E1353">
        <v>4434625</v>
      </c>
      <c r="F1353">
        <v>28043546</v>
      </c>
      <c r="G1353">
        <v>32478171</v>
      </c>
      <c r="H1353">
        <v>2949</v>
      </c>
      <c r="I1353">
        <v>837</v>
      </c>
      <c r="J1353">
        <v>3786</v>
      </c>
      <c r="K1353" t="b">
        <f>TrafficData[[#This Row],[disposedChallan]]+TrafficData[[#This Row],[pendingChallan]]=TrafficData[[#This Row],[totalChallan]]</f>
        <v>1</v>
      </c>
      <c r="L1353" t="b">
        <f>TrafficData[[#This Row],[pendingAmount]]+TrafficData[[#This Row],[disposedAmount]]=TrafficData[[#This Row],[totalAmount]]</f>
        <v>1</v>
      </c>
      <c r="M1353" t="b">
        <f>TrafficData[[#This Row],[pendingCourt]]+TrafficData[[#This Row],[disposedCourt]]=TrafficData[[#This Row],[totalCourt]]</f>
        <v>1</v>
      </c>
      <c r="N1353" s="8" t="b">
        <f>AND(TrafficData[[#This Row],[disposedChallan]]&lt;=TrafficData[[#This Row],[totalChallan]],TrafficData[[#This Row],[pendingChallan]]&lt;=TrafficData[[#This Row],[totalChallan]])</f>
        <v>1</v>
      </c>
      <c r="O1353" s="8" t="b">
        <f>AND(TrafficData[[#This Row],[pendingAmount]]&lt;=TrafficData[[#This Row],[totalAmount]],TrafficData[[#This Row],[disposedAmount]]&lt;=TrafficData[[#This Row],[totalAmount]])</f>
        <v>1</v>
      </c>
      <c r="P1353" s="8" t="b">
        <f>AND(TrafficData[[#This Row],[pendingCourt]]&lt;=TrafficData[[#This Row],[totalCourt]],TrafficData[[#This Row],[disposedCourt]]&lt;=TrafficData[[#This Row],[totalCourt]])</f>
        <v>1</v>
      </c>
    </row>
    <row r="1354" spans="1:16">
      <c r="A1354" s="1">
        <v>43357</v>
      </c>
      <c r="B1354">
        <v>20097</v>
      </c>
      <c r="C1354">
        <v>15385</v>
      </c>
      <c r="D1354">
        <v>4712</v>
      </c>
      <c r="E1354">
        <v>6662599</v>
      </c>
      <c r="F1354">
        <v>28359673</v>
      </c>
      <c r="G1354">
        <v>35022272</v>
      </c>
      <c r="H1354">
        <v>2934</v>
      </c>
      <c r="I1354">
        <v>931</v>
      </c>
      <c r="J1354">
        <v>3865</v>
      </c>
      <c r="K1354" t="b">
        <f>TrafficData[[#This Row],[disposedChallan]]+TrafficData[[#This Row],[pendingChallan]]=TrafficData[[#This Row],[totalChallan]]</f>
        <v>1</v>
      </c>
      <c r="L1354" t="b">
        <f>TrafficData[[#This Row],[pendingAmount]]+TrafficData[[#This Row],[disposedAmount]]=TrafficData[[#This Row],[totalAmount]]</f>
        <v>1</v>
      </c>
      <c r="M1354" t="b">
        <f>TrafficData[[#This Row],[pendingCourt]]+TrafficData[[#This Row],[disposedCourt]]=TrafficData[[#This Row],[totalCourt]]</f>
        <v>1</v>
      </c>
      <c r="N1354" s="8" t="b">
        <f>AND(TrafficData[[#This Row],[disposedChallan]]&lt;=TrafficData[[#This Row],[totalChallan]],TrafficData[[#This Row],[pendingChallan]]&lt;=TrafficData[[#This Row],[totalChallan]])</f>
        <v>1</v>
      </c>
      <c r="O1354" s="8" t="b">
        <f>AND(TrafficData[[#This Row],[pendingAmount]]&lt;=TrafficData[[#This Row],[totalAmount]],TrafficData[[#This Row],[disposedAmount]]&lt;=TrafficData[[#This Row],[totalAmount]])</f>
        <v>1</v>
      </c>
      <c r="P1354" s="8" t="b">
        <f>AND(TrafficData[[#This Row],[pendingCourt]]&lt;=TrafficData[[#This Row],[totalCourt]],TrafficData[[#This Row],[disposedCourt]]&lt;=TrafficData[[#This Row],[totalCourt]])</f>
        <v>1</v>
      </c>
    </row>
    <row r="1355" spans="1:16">
      <c r="A1355" s="1">
        <v>43358</v>
      </c>
      <c r="B1355">
        <v>16341</v>
      </c>
      <c r="C1355">
        <v>12365</v>
      </c>
      <c r="D1355">
        <v>3976</v>
      </c>
      <c r="E1355">
        <v>4368306</v>
      </c>
      <c r="F1355">
        <v>23930742</v>
      </c>
      <c r="G1355">
        <v>28299048</v>
      </c>
      <c r="H1355">
        <v>2784</v>
      </c>
      <c r="I1355">
        <v>660</v>
      </c>
      <c r="J1355">
        <v>3444</v>
      </c>
      <c r="K1355" t="b">
        <f>TrafficData[[#This Row],[disposedChallan]]+TrafficData[[#This Row],[pendingChallan]]=TrafficData[[#This Row],[totalChallan]]</f>
        <v>1</v>
      </c>
      <c r="L1355" t="b">
        <f>TrafficData[[#This Row],[pendingAmount]]+TrafficData[[#This Row],[disposedAmount]]=TrafficData[[#This Row],[totalAmount]]</f>
        <v>1</v>
      </c>
      <c r="M1355" t="b">
        <f>TrafficData[[#This Row],[pendingCourt]]+TrafficData[[#This Row],[disposedCourt]]=TrafficData[[#This Row],[totalCourt]]</f>
        <v>1</v>
      </c>
      <c r="N1355" s="8" t="b">
        <f>AND(TrafficData[[#This Row],[disposedChallan]]&lt;=TrafficData[[#This Row],[totalChallan]],TrafficData[[#This Row],[pendingChallan]]&lt;=TrafficData[[#This Row],[totalChallan]])</f>
        <v>1</v>
      </c>
      <c r="O1355" s="8" t="b">
        <f>AND(TrafficData[[#This Row],[pendingAmount]]&lt;=TrafficData[[#This Row],[totalAmount]],TrafficData[[#This Row],[disposedAmount]]&lt;=TrafficData[[#This Row],[totalAmount]])</f>
        <v>1</v>
      </c>
      <c r="P1355" s="8" t="b">
        <f>AND(TrafficData[[#This Row],[pendingCourt]]&lt;=TrafficData[[#This Row],[totalCourt]],TrafficData[[#This Row],[disposedCourt]]&lt;=TrafficData[[#This Row],[totalCourt]])</f>
        <v>1</v>
      </c>
    </row>
    <row r="1356" spans="1:16">
      <c r="A1356" s="1">
        <v>43359</v>
      </c>
      <c r="B1356">
        <v>10943</v>
      </c>
      <c r="C1356">
        <v>8668</v>
      </c>
      <c r="D1356">
        <v>2275</v>
      </c>
      <c r="E1356">
        <v>2213275</v>
      </c>
      <c r="F1356">
        <v>18670727</v>
      </c>
      <c r="G1356">
        <v>20884002</v>
      </c>
      <c r="H1356">
        <v>1437</v>
      </c>
      <c r="I1356">
        <v>352</v>
      </c>
      <c r="J1356">
        <v>1789</v>
      </c>
      <c r="K1356" t="b">
        <f>TrafficData[[#This Row],[disposedChallan]]+TrafficData[[#This Row],[pendingChallan]]=TrafficData[[#This Row],[totalChallan]]</f>
        <v>1</v>
      </c>
      <c r="L1356" t="b">
        <f>TrafficData[[#This Row],[pendingAmount]]+TrafficData[[#This Row],[disposedAmount]]=TrafficData[[#This Row],[totalAmount]]</f>
        <v>1</v>
      </c>
      <c r="M1356" t="b">
        <f>TrafficData[[#This Row],[pendingCourt]]+TrafficData[[#This Row],[disposedCourt]]=TrafficData[[#This Row],[totalCourt]]</f>
        <v>1</v>
      </c>
      <c r="N1356" s="8" t="b">
        <f>AND(TrafficData[[#This Row],[disposedChallan]]&lt;=TrafficData[[#This Row],[totalChallan]],TrafficData[[#This Row],[pendingChallan]]&lt;=TrafficData[[#This Row],[totalChallan]])</f>
        <v>1</v>
      </c>
      <c r="O1356" s="8" t="b">
        <f>AND(TrafficData[[#This Row],[pendingAmount]]&lt;=TrafficData[[#This Row],[totalAmount]],TrafficData[[#This Row],[disposedAmount]]&lt;=TrafficData[[#This Row],[totalAmount]])</f>
        <v>1</v>
      </c>
      <c r="P1356" s="8" t="b">
        <f>AND(TrafficData[[#This Row],[pendingCourt]]&lt;=TrafficData[[#This Row],[totalCourt]],TrafficData[[#This Row],[disposedCourt]]&lt;=TrafficData[[#This Row],[totalCourt]])</f>
        <v>1</v>
      </c>
    </row>
    <row r="1357" spans="1:16">
      <c r="A1357" s="1">
        <v>43360</v>
      </c>
      <c r="B1357">
        <v>17394</v>
      </c>
      <c r="C1357">
        <v>13553</v>
      </c>
      <c r="D1357">
        <v>3841</v>
      </c>
      <c r="E1357">
        <v>3506750</v>
      </c>
      <c r="F1357">
        <v>18998964</v>
      </c>
      <c r="G1357">
        <v>22505714</v>
      </c>
      <c r="H1357">
        <v>2478</v>
      </c>
      <c r="I1357">
        <v>765</v>
      </c>
      <c r="J1357">
        <v>3243</v>
      </c>
      <c r="K1357" t="b">
        <f>TrafficData[[#This Row],[disposedChallan]]+TrafficData[[#This Row],[pendingChallan]]=TrafficData[[#This Row],[totalChallan]]</f>
        <v>1</v>
      </c>
      <c r="L1357" t="b">
        <f>TrafficData[[#This Row],[pendingAmount]]+TrafficData[[#This Row],[disposedAmount]]=TrafficData[[#This Row],[totalAmount]]</f>
        <v>1</v>
      </c>
      <c r="M1357" t="b">
        <f>TrafficData[[#This Row],[pendingCourt]]+TrafficData[[#This Row],[disposedCourt]]=TrafficData[[#This Row],[totalCourt]]</f>
        <v>1</v>
      </c>
      <c r="N1357" s="8" t="b">
        <f>AND(TrafficData[[#This Row],[disposedChallan]]&lt;=TrafficData[[#This Row],[totalChallan]],TrafficData[[#This Row],[pendingChallan]]&lt;=TrafficData[[#This Row],[totalChallan]])</f>
        <v>1</v>
      </c>
      <c r="O1357" s="8" t="b">
        <f>AND(TrafficData[[#This Row],[pendingAmount]]&lt;=TrafficData[[#This Row],[totalAmount]],TrafficData[[#This Row],[disposedAmount]]&lt;=TrafficData[[#This Row],[totalAmount]])</f>
        <v>1</v>
      </c>
      <c r="P1357" s="8" t="b">
        <f>AND(TrafficData[[#This Row],[pendingCourt]]&lt;=TrafficData[[#This Row],[totalCourt]],TrafficData[[#This Row],[disposedCourt]]&lt;=TrafficData[[#This Row],[totalCourt]])</f>
        <v>1</v>
      </c>
    </row>
    <row r="1358" spans="1:16">
      <c r="A1358" s="1">
        <v>43361</v>
      </c>
      <c r="B1358">
        <v>18435</v>
      </c>
      <c r="C1358">
        <v>14627</v>
      </c>
      <c r="D1358">
        <v>3808</v>
      </c>
      <c r="E1358">
        <v>4955795</v>
      </c>
      <c r="F1358">
        <v>25720740</v>
      </c>
      <c r="G1358">
        <v>30676535</v>
      </c>
      <c r="H1358">
        <v>2380</v>
      </c>
      <c r="I1358">
        <v>859</v>
      </c>
      <c r="J1358">
        <v>3239</v>
      </c>
      <c r="K1358" t="b">
        <f>TrafficData[[#This Row],[disposedChallan]]+TrafficData[[#This Row],[pendingChallan]]=TrafficData[[#This Row],[totalChallan]]</f>
        <v>1</v>
      </c>
      <c r="L1358" t="b">
        <f>TrafficData[[#This Row],[pendingAmount]]+TrafficData[[#This Row],[disposedAmount]]=TrafficData[[#This Row],[totalAmount]]</f>
        <v>1</v>
      </c>
      <c r="M1358" t="b">
        <f>TrafficData[[#This Row],[pendingCourt]]+TrafficData[[#This Row],[disposedCourt]]=TrafficData[[#This Row],[totalCourt]]</f>
        <v>1</v>
      </c>
      <c r="N1358" s="8" t="b">
        <f>AND(TrafficData[[#This Row],[disposedChallan]]&lt;=TrafficData[[#This Row],[totalChallan]],TrafficData[[#This Row],[pendingChallan]]&lt;=TrafficData[[#This Row],[totalChallan]])</f>
        <v>1</v>
      </c>
      <c r="O1358" s="8" t="b">
        <f>AND(TrafficData[[#This Row],[pendingAmount]]&lt;=TrafficData[[#This Row],[totalAmount]],TrafficData[[#This Row],[disposedAmount]]&lt;=TrafficData[[#This Row],[totalAmount]])</f>
        <v>1</v>
      </c>
      <c r="P1358" s="8" t="b">
        <f>AND(TrafficData[[#This Row],[pendingCourt]]&lt;=TrafficData[[#This Row],[totalCourt]],TrafficData[[#This Row],[disposedCourt]]&lt;=TrafficData[[#This Row],[totalCourt]])</f>
        <v>1</v>
      </c>
    </row>
    <row r="1359" spans="1:16">
      <c r="A1359" s="1">
        <v>43362</v>
      </c>
      <c r="B1359">
        <v>27759</v>
      </c>
      <c r="C1359">
        <v>20322</v>
      </c>
      <c r="D1359">
        <v>7437</v>
      </c>
      <c r="E1359">
        <v>9285621</v>
      </c>
      <c r="F1359">
        <v>31917243</v>
      </c>
      <c r="G1359">
        <v>41202864</v>
      </c>
      <c r="H1359">
        <v>5588</v>
      </c>
      <c r="I1359">
        <v>1435</v>
      </c>
      <c r="J1359">
        <v>7023</v>
      </c>
      <c r="K1359" t="b">
        <f>TrafficData[[#This Row],[disposedChallan]]+TrafficData[[#This Row],[pendingChallan]]=TrafficData[[#This Row],[totalChallan]]</f>
        <v>1</v>
      </c>
      <c r="L1359" t="b">
        <f>TrafficData[[#This Row],[pendingAmount]]+TrafficData[[#This Row],[disposedAmount]]=TrafficData[[#This Row],[totalAmount]]</f>
        <v>1</v>
      </c>
      <c r="M1359" t="b">
        <f>TrafficData[[#This Row],[pendingCourt]]+TrafficData[[#This Row],[disposedCourt]]=TrafficData[[#This Row],[totalCourt]]</f>
        <v>1</v>
      </c>
      <c r="N1359" s="8" t="b">
        <f>AND(TrafficData[[#This Row],[disposedChallan]]&lt;=TrafficData[[#This Row],[totalChallan]],TrafficData[[#This Row],[pendingChallan]]&lt;=TrafficData[[#This Row],[totalChallan]])</f>
        <v>1</v>
      </c>
      <c r="O1359" s="8" t="b">
        <f>AND(TrafficData[[#This Row],[pendingAmount]]&lt;=TrafficData[[#This Row],[totalAmount]],TrafficData[[#This Row],[disposedAmount]]&lt;=TrafficData[[#This Row],[totalAmount]])</f>
        <v>1</v>
      </c>
      <c r="P1359" s="8" t="b">
        <f>AND(TrafficData[[#This Row],[pendingCourt]]&lt;=TrafficData[[#This Row],[totalCourt]],TrafficData[[#This Row],[disposedCourt]]&lt;=TrafficData[[#This Row],[totalCourt]])</f>
        <v>1</v>
      </c>
    </row>
    <row r="1360" spans="1:16">
      <c r="A1360" s="1">
        <v>43363</v>
      </c>
      <c r="B1360">
        <v>18037</v>
      </c>
      <c r="C1360">
        <v>13741</v>
      </c>
      <c r="D1360">
        <v>4296</v>
      </c>
      <c r="E1360">
        <v>4547548</v>
      </c>
      <c r="F1360">
        <v>25807332</v>
      </c>
      <c r="G1360">
        <v>30354880</v>
      </c>
      <c r="H1360">
        <v>2882</v>
      </c>
      <c r="I1360">
        <v>726</v>
      </c>
      <c r="J1360">
        <v>3608</v>
      </c>
      <c r="K1360" t="b">
        <f>TrafficData[[#This Row],[disposedChallan]]+TrafficData[[#This Row],[pendingChallan]]=TrafficData[[#This Row],[totalChallan]]</f>
        <v>1</v>
      </c>
      <c r="L1360" t="b">
        <f>TrafficData[[#This Row],[pendingAmount]]+TrafficData[[#This Row],[disposedAmount]]=TrafficData[[#This Row],[totalAmount]]</f>
        <v>1</v>
      </c>
      <c r="M1360" t="b">
        <f>TrafficData[[#This Row],[pendingCourt]]+TrafficData[[#This Row],[disposedCourt]]=TrafficData[[#This Row],[totalCourt]]</f>
        <v>1</v>
      </c>
      <c r="N1360" s="8" t="b">
        <f>AND(TrafficData[[#This Row],[disposedChallan]]&lt;=TrafficData[[#This Row],[totalChallan]],TrafficData[[#This Row],[pendingChallan]]&lt;=TrafficData[[#This Row],[totalChallan]])</f>
        <v>1</v>
      </c>
      <c r="O1360" s="8" t="b">
        <f>AND(TrafficData[[#This Row],[pendingAmount]]&lt;=TrafficData[[#This Row],[totalAmount]],TrafficData[[#This Row],[disposedAmount]]&lt;=TrafficData[[#This Row],[totalAmount]])</f>
        <v>1</v>
      </c>
      <c r="P1360" s="8" t="b">
        <f>AND(TrafficData[[#This Row],[pendingCourt]]&lt;=TrafficData[[#This Row],[totalCourt]],TrafficData[[#This Row],[disposedCourt]]&lt;=TrafficData[[#This Row],[totalCourt]])</f>
        <v>1</v>
      </c>
    </row>
    <row r="1361" spans="1:16">
      <c r="A1361" s="1">
        <v>43364</v>
      </c>
      <c r="B1361">
        <v>16308</v>
      </c>
      <c r="C1361">
        <v>12816</v>
      </c>
      <c r="D1361">
        <v>3492</v>
      </c>
      <c r="E1361">
        <v>2825838</v>
      </c>
      <c r="F1361">
        <v>21362753</v>
      </c>
      <c r="G1361">
        <v>24188591</v>
      </c>
      <c r="H1361">
        <v>2310</v>
      </c>
      <c r="I1361">
        <v>661</v>
      </c>
      <c r="J1361">
        <v>2971</v>
      </c>
      <c r="K1361" t="b">
        <f>TrafficData[[#This Row],[disposedChallan]]+TrafficData[[#This Row],[pendingChallan]]=TrafficData[[#This Row],[totalChallan]]</f>
        <v>1</v>
      </c>
      <c r="L1361" t="b">
        <f>TrafficData[[#This Row],[pendingAmount]]+TrafficData[[#This Row],[disposedAmount]]=TrafficData[[#This Row],[totalAmount]]</f>
        <v>1</v>
      </c>
      <c r="M1361" t="b">
        <f>TrafficData[[#This Row],[pendingCourt]]+TrafficData[[#This Row],[disposedCourt]]=TrafficData[[#This Row],[totalCourt]]</f>
        <v>1</v>
      </c>
      <c r="N1361" s="8" t="b">
        <f>AND(TrafficData[[#This Row],[disposedChallan]]&lt;=TrafficData[[#This Row],[totalChallan]],TrafficData[[#This Row],[pendingChallan]]&lt;=TrafficData[[#This Row],[totalChallan]])</f>
        <v>1</v>
      </c>
      <c r="O1361" s="8" t="b">
        <f>AND(TrafficData[[#This Row],[pendingAmount]]&lt;=TrafficData[[#This Row],[totalAmount]],TrafficData[[#This Row],[disposedAmount]]&lt;=TrafficData[[#This Row],[totalAmount]])</f>
        <v>1</v>
      </c>
      <c r="P1361" s="8" t="b">
        <f>AND(TrafficData[[#This Row],[pendingCourt]]&lt;=TrafficData[[#This Row],[totalCourt]],TrafficData[[#This Row],[disposedCourt]]&lt;=TrafficData[[#This Row],[totalCourt]])</f>
        <v>1</v>
      </c>
    </row>
    <row r="1362" spans="1:16">
      <c r="A1362" s="1">
        <v>43365</v>
      </c>
      <c r="B1362">
        <v>14452</v>
      </c>
      <c r="C1362">
        <v>11147</v>
      </c>
      <c r="D1362">
        <v>3305</v>
      </c>
      <c r="E1362">
        <v>3147700</v>
      </c>
      <c r="F1362">
        <v>25901928</v>
      </c>
      <c r="G1362">
        <v>29049628</v>
      </c>
      <c r="H1362">
        <v>2159</v>
      </c>
      <c r="I1362">
        <v>458</v>
      </c>
      <c r="J1362">
        <v>2617</v>
      </c>
      <c r="K1362" t="b">
        <f>TrafficData[[#This Row],[disposedChallan]]+TrafficData[[#This Row],[pendingChallan]]=TrafficData[[#This Row],[totalChallan]]</f>
        <v>1</v>
      </c>
      <c r="L1362" t="b">
        <f>TrafficData[[#This Row],[pendingAmount]]+TrafficData[[#This Row],[disposedAmount]]=TrafficData[[#This Row],[totalAmount]]</f>
        <v>1</v>
      </c>
      <c r="M1362" t="b">
        <f>TrafficData[[#This Row],[pendingCourt]]+TrafficData[[#This Row],[disposedCourt]]=TrafficData[[#This Row],[totalCourt]]</f>
        <v>1</v>
      </c>
      <c r="N1362" s="8" t="b">
        <f>AND(TrafficData[[#This Row],[disposedChallan]]&lt;=TrafficData[[#This Row],[totalChallan]],TrafficData[[#This Row],[pendingChallan]]&lt;=TrafficData[[#This Row],[totalChallan]])</f>
        <v>1</v>
      </c>
      <c r="O1362" s="8" t="b">
        <f>AND(TrafficData[[#This Row],[pendingAmount]]&lt;=TrafficData[[#This Row],[totalAmount]],TrafficData[[#This Row],[disposedAmount]]&lt;=TrafficData[[#This Row],[totalAmount]])</f>
        <v>1</v>
      </c>
      <c r="P1362" s="8" t="b">
        <f>AND(TrafficData[[#This Row],[pendingCourt]]&lt;=TrafficData[[#This Row],[totalCourt]],TrafficData[[#This Row],[disposedCourt]]&lt;=TrafficData[[#This Row],[totalCourt]])</f>
        <v>1</v>
      </c>
    </row>
    <row r="1363" spans="1:16">
      <c r="A1363" s="1">
        <v>43366</v>
      </c>
      <c r="B1363">
        <v>10116</v>
      </c>
      <c r="C1363">
        <v>7989</v>
      </c>
      <c r="D1363">
        <v>2127</v>
      </c>
      <c r="E1363">
        <v>1483275</v>
      </c>
      <c r="F1363">
        <v>14079338</v>
      </c>
      <c r="G1363">
        <v>15562613</v>
      </c>
      <c r="H1363">
        <v>1395</v>
      </c>
      <c r="I1363">
        <v>280</v>
      </c>
      <c r="J1363">
        <v>1675</v>
      </c>
      <c r="K1363" t="b">
        <f>TrafficData[[#This Row],[disposedChallan]]+TrafficData[[#This Row],[pendingChallan]]=TrafficData[[#This Row],[totalChallan]]</f>
        <v>1</v>
      </c>
      <c r="L1363" t="b">
        <f>TrafficData[[#This Row],[pendingAmount]]+TrafficData[[#This Row],[disposedAmount]]=TrafficData[[#This Row],[totalAmount]]</f>
        <v>1</v>
      </c>
      <c r="M1363" t="b">
        <f>TrafficData[[#This Row],[pendingCourt]]+TrafficData[[#This Row],[disposedCourt]]=TrafficData[[#This Row],[totalCourt]]</f>
        <v>1</v>
      </c>
      <c r="N1363" s="8" t="b">
        <f>AND(TrafficData[[#This Row],[disposedChallan]]&lt;=TrafficData[[#This Row],[totalChallan]],TrafficData[[#This Row],[pendingChallan]]&lt;=TrafficData[[#This Row],[totalChallan]])</f>
        <v>1</v>
      </c>
      <c r="O1363" s="8" t="b">
        <f>AND(TrafficData[[#This Row],[pendingAmount]]&lt;=TrafficData[[#This Row],[totalAmount]],TrafficData[[#This Row],[disposedAmount]]&lt;=TrafficData[[#This Row],[totalAmount]])</f>
        <v>1</v>
      </c>
      <c r="P1363" s="8" t="b">
        <f>AND(TrafficData[[#This Row],[pendingCourt]]&lt;=TrafficData[[#This Row],[totalCourt]],TrafficData[[#This Row],[disposedCourt]]&lt;=TrafficData[[#This Row],[totalCourt]])</f>
        <v>1</v>
      </c>
    </row>
    <row r="1364" spans="1:16">
      <c r="A1364" s="1">
        <v>43367</v>
      </c>
      <c r="B1364">
        <v>13058</v>
      </c>
      <c r="C1364">
        <v>10044</v>
      </c>
      <c r="D1364">
        <v>3014</v>
      </c>
      <c r="E1364">
        <v>3218212</v>
      </c>
      <c r="F1364">
        <v>17356846</v>
      </c>
      <c r="G1364">
        <v>20575058</v>
      </c>
      <c r="H1364">
        <v>1963</v>
      </c>
      <c r="I1364">
        <v>468</v>
      </c>
      <c r="J1364">
        <v>2431</v>
      </c>
      <c r="K1364" t="b">
        <f>TrafficData[[#This Row],[disposedChallan]]+TrafficData[[#This Row],[pendingChallan]]=TrafficData[[#This Row],[totalChallan]]</f>
        <v>1</v>
      </c>
      <c r="L1364" t="b">
        <f>TrafficData[[#This Row],[pendingAmount]]+TrafficData[[#This Row],[disposedAmount]]=TrafficData[[#This Row],[totalAmount]]</f>
        <v>1</v>
      </c>
      <c r="M1364" t="b">
        <f>TrafficData[[#This Row],[pendingCourt]]+TrafficData[[#This Row],[disposedCourt]]=TrafficData[[#This Row],[totalCourt]]</f>
        <v>1</v>
      </c>
      <c r="N1364" s="8" t="b">
        <f>AND(TrafficData[[#This Row],[disposedChallan]]&lt;=TrafficData[[#This Row],[totalChallan]],TrafficData[[#This Row],[pendingChallan]]&lt;=TrafficData[[#This Row],[totalChallan]])</f>
        <v>1</v>
      </c>
      <c r="O1364" s="8" t="b">
        <f>AND(TrafficData[[#This Row],[pendingAmount]]&lt;=TrafficData[[#This Row],[totalAmount]],TrafficData[[#This Row],[disposedAmount]]&lt;=TrafficData[[#This Row],[totalAmount]])</f>
        <v>1</v>
      </c>
      <c r="P1364" s="8" t="b">
        <f>AND(TrafficData[[#This Row],[pendingCourt]]&lt;=TrafficData[[#This Row],[totalCourt]],TrafficData[[#This Row],[disposedCourt]]&lt;=TrafficData[[#This Row],[totalCourt]])</f>
        <v>1</v>
      </c>
    </row>
    <row r="1365" spans="1:16">
      <c r="A1365" s="1">
        <v>43368</v>
      </c>
      <c r="B1365">
        <v>20380</v>
      </c>
      <c r="C1365">
        <v>15567</v>
      </c>
      <c r="D1365">
        <v>4813</v>
      </c>
      <c r="E1365">
        <v>4480093</v>
      </c>
      <c r="F1365">
        <v>24342084</v>
      </c>
      <c r="G1365">
        <v>28822177</v>
      </c>
      <c r="H1365">
        <v>3147</v>
      </c>
      <c r="I1365">
        <v>924</v>
      </c>
      <c r="J1365">
        <v>4071</v>
      </c>
      <c r="K1365" t="b">
        <f>TrafficData[[#This Row],[disposedChallan]]+TrafficData[[#This Row],[pendingChallan]]=TrafficData[[#This Row],[totalChallan]]</f>
        <v>1</v>
      </c>
      <c r="L1365" t="b">
        <f>TrafficData[[#This Row],[pendingAmount]]+TrafficData[[#This Row],[disposedAmount]]=TrafficData[[#This Row],[totalAmount]]</f>
        <v>1</v>
      </c>
      <c r="M1365" t="b">
        <f>TrafficData[[#This Row],[pendingCourt]]+TrafficData[[#This Row],[disposedCourt]]=TrafficData[[#This Row],[totalCourt]]</f>
        <v>1</v>
      </c>
      <c r="N1365" s="8" t="b">
        <f>AND(TrafficData[[#This Row],[disposedChallan]]&lt;=TrafficData[[#This Row],[totalChallan]],TrafficData[[#This Row],[pendingChallan]]&lt;=TrafficData[[#This Row],[totalChallan]])</f>
        <v>1</v>
      </c>
      <c r="O1365" s="8" t="b">
        <f>AND(TrafficData[[#This Row],[pendingAmount]]&lt;=TrafficData[[#This Row],[totalAmount]],TrafficData[[#This Row],[disposedAmount]]&lt;=TrafficData[[#This Row],[totalAmount]])</f>
        <v>1</v>
      </c>
      <c r="P1365" s="8" t="b">
        <f>AND(TrafficData[[#This Row],[pendingCourt]]&lt;=TrafficData[[#This Row],[totalCourt]],TrafficData[[#This Row],[disposedCourt]]&lt;=TrafficData[[#This Row],[totalCourt]])</f>
        <v>1</v>
      </c>
    </row>
    <row r="1366" spans="1:16">
      <c r="A1366" s="1">
        <v>43369</v>
      </c>
      <c r="B1366">
        <v>29367</v>
      </c>
      <c r="C1366">
        <v>21211</v>
      </c>
      <c r="D1366">
        <v>8156</v>
      </c>
      <c r="E1366">
        <v>10821825</v>
      </c>
      <c r="F1366">
        <v>28541622</v>
      </c>
      <c r="G1366">
        <v>39363447</v>
      </c>
      <c r="H1366">
        <v>6175</v>
      </c>
      <c r="I1366">
        <v>1609</v>
      </c>
      <c r="J1366">
        <v>7784</v>
      </c>
      <c r="K1366" t="b">
        <f>TrafficData[[#This Row],[disposedChallan]]+TrafficData[[#This Row],[pendingChallan]]=TrafficData[[#This Row],[totalChallan]]</f>
        <v>1</v>
      </c>
      <c r="L1366" t="b">
        <f>TrafficData[[#This Row],[pendingAmount]]+TrafficData[[#This Row],[disposedAmount]]=TrafficData[[#This Row],[totalAmount]]</f>
        <v>1</v>
      </c>
      <c r="M1366" t="b">
        <f>TrafficData[[#This Row],[pendingCourt]]+TrafficData[[#This Row],[disposedCourt]]=TrafficData[[#This Row],[totalCourt]]</f>
        <v>1</v>
      </c>
      <c r="N1366" s="8" t="b">
        <f>AND(TrafficData[[#This Row],[disposedChallan]]&lt;=TrafficData[[#This Row],[totalChallan]],TrafficData[[#This Row],[pendingChallan]]&lt;=TrafficData[[#This Row],[totalChallan]])</f>
        <v>1</v>
      </c>
      <c r="O1366" s="8" t="b">
        <f>AND(TrafficData[[#This Row],[pendingAmount]]&lt;=TrafficData[[#This Row],[totalAmount]],TrafficData[[#This Row],[disposedAmount]]&lt;=TrafficData[[#This Row],[totalAmount]])</f>
        <v>1</v>
      </c>
      <c r="P1366" s="8" t="b">
        <f>AND(TrafficData[[#This Row],[pendingCourt]]&lt;=TrafficData[[#This Row],[totalCourt]],TrafficData[[#This Row],[disposedCourt]]&lt;=TrafficData[[#This Row],[totalCourt]])</f>
        <v>1</v>
      </c>
    </row>
    <row r="1367" spans="1:16">
      <c r="A1367" s="1">
        <v>43370</v>
      </c>
      <c r="B1367">
        <v>18812</v>
      </c>
      <c r="C1367">
        <v>14540</v>
      </c>
      <c r="D1367">
        <v>4272</v>
      </c>
      <c r="E1367">
        <v>4431874</v>
      </c>
      <c r="F1367">
        <v>25433808</v>
      </c>
      <c r="G1367">
        <v>29865682</v>
      </c>
      <c r="H1367">
        <v>2789</v>
      </c>
      <c r="I1367">
        <v>811</v>
      </c>
      <c r="J1367">
        <v>3600</v>
      </c>
      <c r="K1367" t="b">
        <f>TrafficData[[#This Row],[disposedChallan]]+TrafficData[[#This Row],[pendingChallan]]=TrafficData[[#This Row],[totalChallan]]</f>
        <v>1</v>
      </c>
      <c r="L1367" t="b">
        <f>TrafficData[[#This Row],[pendingAmount]]+TrafficData[[#This Row],[disposedAmount]]=TrafficData[[#This Row],[totalAmount]]</f>
        <v>1</v>
      </c>
      <c r="M1367" t="b">
        <f>TrafficData[[#This Row],[pendingCourt]]+TrafficData[[#This Row],[disposedCourt]]=TrafficData[[#This Row],[totalCourt]]</f>
        <v>1</v>
      </c>
      <c r="N1367" s="8" t="b">
        <f>AND(TrafficData[[#This Row],[disposedChallan]]&lt;=TrafficData[[#This Row],[totalChallan]],TrafficData[[#This Row],[pendingChallan]]&lt;=TrafficData[[#This Row],[totalChallan]])</f>
        <v>1</v>
      </c>
      <c r="O1367" s="8" t="b">
        <f>AND(TrafficData[[#This Row],[pendingAmount]]&lt;=TrafficData[[#This Row],[totalAmount]],TrafficData[[#This Row],[disposedAmount]]&lt;=TrafficData[[#This Row],[totalAmount]])</f>
        <v>1</v>
      </c>
      <c r="P1367" s="8" t="b">
        <f>AND(TrafficData[[#This Row],[pendingCourt]]&lt;=TrafficData[[#This Row],[totalCourt]],TrafficData[[#This Row],[disposedCourt]]&lt;=TrafficData[[#This Row],[totalCourt]])</f>
        <v>1</v>
      </c>
    </row>
    <row r="1368" spans="1:16">
      <c r="A1368" s="1">
        <v>43371</v>
      </c>
      <c r="B1368">
        <v>19002</v>
      </c>
      <c r="C1368">
        <v>14721</v>
      </c>
      <c r="D1368">
        <v>4281</v>
      </c>
      <c r="E1368">
        <v>5327834</v>
      </c>
      <c r="F1368">
        <v>27416806</v>
      </c>
      <c r="G1368">
        <v>32744640</v>
      </c>
      <c r="H1368">
        <v>2795</v>
      </c>
      <c r="I1368">
        <v>768</v>
      </c>
      <c r="J1368">
        <v>3563</v>
      </c>
      <c r="K1368" t="b">
        <f>TrafficData[[#This Row],[disposedChallan]]+TrafficData[[#This Row],[pendingChallan]]=TrafficData[[#This Row],[totalChallan]]</f>
        <v>1</v>
      </c>
      <c r="L1368" t="b">
        <f>TrafficData[[#This Row],[pendingAmount]]+TrafficData[[#This Row],[disposedAmount]]=TrafficData[[#This Row],[totalAmount]]</f>
        <v>1</v>
      </c>
      <c r="M1368" t="b">
        <f>TrafficData[[#This Row],[pendingCourt]]+TrafficData[[#This Row],[disposedCourt]]=TrafficData[[#This Row],[totalCourt]]</f>
        <v>1</v>
      </c>
      <c r="N1368" s="8" t="b">
        <f>AND(TrafficData[[#This Row],[disposedChallan]]&lt;=TrafficData[[#This Row],[totalChallan]],TrafficData[[#This Row],[pendingChallan]]&lt;=TrafficData[[#This Row],[totalChallan]])</f>
        <v>1</v>
      </c>
      <c r="O1368" s="8" t="b">
        <f>AND(TrafficData[[#This Row],[pendingAmount]]&lt;=TrafficData[[#This Row],[totalAmount]],TrafficData[[#This Row],[disposedAmount]]&lt;=TrafficData[[#This Row],[totalAmount]])</f>
        <v>1</v>
      </c>
      <c r="P1368" s="8" t="b">
        <f>AND(TrafficData[[#This Row],[pendingCourt]]&lt;=TrafficData[[#This Row],[totalCourt]],TrafficData[[#This Row],[disposedCourt]]&lt;=TrafficData[[#This Row],[totalCourt]])</f>
        <v>1</v>
      </c>
    </row>
    <row r="1369" spans="1:16">
      <c r="A1369" s="1">
        <v>43372</v>
      </c>
      <c r="B1369">
        <v>18273</v>
      </c>
      <c r="C1369">
        <v>13463</v>
      </c>
      <c r="D1369">
        <v>4810</v>
      </c>
      <c r="E1369">
        <v>12058962</v>
      </c>
      <c r="F1369">
        <v>25184282</v>
      </c>
      <c r="G1369">
        <v>37243244</v>
      </c>
      <c r="H1369">
        <v>3066</v>
      </c>
      <c r="I1369">
        <v>856</v>
      </c>
      <c r="J1369">
        <v>3922</v>
      </c>
      <c r="K1369" t="b">
        <f>TrafficData[[#This Row],[disposedChallan]]+TrafficData[[#This Row],[pendingChallan]]=TrafficData[[#This Row],[totalChallan]]</f>
        <v>1</v>
      </c>
      <c r="L1369" t="b">
        <f>TrafficData[[#This Row],[pendingAmount]]+TrafficData[[#This Row],[disposedAmount]]=TrafficData[[#This Row],[totalAmount]]</f>
        <v>1</v>
      </c>
      <c r="M1369" t="b">
        <f>TrafficData[[#This Row],[pendingCourt]]+TrafficData[[#This Row],[disposedCourt]]=TrafficData[[#This Row],[totalCourt]]</f>
        <v>1</v>
      </c>
      <c r="N1369" s="8" t="b">
        <f>AND(TrafficData[[#This Row],[disposedChallan]]&lt;=TrafficData[[#This Row],[totalChallan]],TrafficData[[#This Row],[pendingChallan]]&lt;=TrafficData[[#This Row],[totalChallan]])</f>
        <v>1</v>
      </c>
      <c r="O1369" s="8" t="b">
        <f>AND(TrafficData[[#This Row],[pendingAmount]]&lt;=TrafficData[[#This Row],[totalAmount]],TrafficData[[#This Row],[disposedAmount]]&lt;=TrafficData[[#This Row],[totalAmount]])</f>
        <v>1</v>
      </c>
      <c r="P1369" s="8" t="b">
        <f>AND(TrafficData[[#This Row],[pendingCourt]]&lt;=TrafficData[[#This Row],[totalCourt]],TrafficData[[#This Row],[disposedCourt]]&lt;=TrafficData[[#This Row],[totalCourt]])</f>
        <v>1</v>
      </c>
    </row>
    <row r="1370" spans="1:16">
      <c r="A1370" s="1">
        <v>43373</v>
      </c>
      <c r="B1370">
        <v>11246</v>
      </c>
      <c r="C1370">
        <v>9174</v>
      </c>
      <c r="D1370">
        <v>2072</v>
      </c>
      <c r="E1370">
        <v>2148120</v>
      </c>
      <c r="F1370">
        <v>19998317</v>
      </c>
      <c r="G1370">
        <v>22146437</v>
      </c>
      <c r="H1370">
        <v>1511</v>
      </c>
      <c r="I1370">
        <v>300</v>
      </c>
      <c r="J1370">
        <v>1811</v>
      </c>
      <c r="K1370" t="b">
        <f>TrafficData[[#This Row],[disposedChallan]]+TrafficData[[#This Row],[pendingChallan]]=TrafficData[[#This Row],[totalChallan]]</f>
        <v>1</v>
      </c>
      <c r="L1370" t="b">
        <f>TrafficData[[#This Row],[pendingAmount]]+TrafficData[[#This Row],[disposedAmount]]=TrafficData[[#This Row],[totalAmount]]</f>
        <v>1</v>
      </c>
      <c r="M1370" t="b">
        <f>TrafficData[[#This Row],[pendingCourt]]+TrafficData[[#This Row],[disposedCourt]]=TrafficData[[#This Row],[totalCourt]]</f>
        <v>1</v>
      </c>
      <c r="N1370" s="8" t="b">
        <f>AND(TrafficData[[#This Row],[disposedChallan]]&lt;=TrafficData[[#This Row],[totalChallan]],TrafficData[[#This Row],[pendingChallan]]&lt;=TrafficData[[#This Row],[totalChallan]])</f>
        <v>1</v>
      </c>
      <c r="O1370" s="8" t="b">
        <f>AND(TrafficData[[#This Row],[pendingAmount]]&lt;=TrafficData[[#This Row],[totalAmount]],TrafficData[[#This Row],[disposedAmount]]&lt;=TrafficData[[#This Row],[totalAmount]])</f>
        <v>1</v>
      </c>
      <c r="P1370" s="8" t="b">
        <f>AND(TrafficData[[#This Row],[pendingCourt]]&lt;=TrafficData[[#This Row],[totalCourt]],TrafficData[[#This Row],[disposedCourt]]&lt;=TrafficData[[#This Row],[totalCourt]])</f>
        <v>1</v>
      </c>
    </row>
    <row r="1371" spans="1:16">
      <c r="A1371" s="1">
        <v>43374</v>
      </c>
      <c r="B1371">
        <v>19221</v>
      </c>
      <c r="C1371">
        <v>15597</v>
      </c>
      <c r="D1371">
        <v>3624</v>
      </c>
      <c r="E1371">
        <v>3391020</v>
      </c>
      <c r="F1371">
        <v>33035293</v>
      </c>
      <c r="G1371">
        <v>36426313</v>
      </c>
      <c r="H1371">
        <v>2245</v>
      </c>
      <c r="I1371">
        <v>667</v>
      </c>
      <c r="J1371">
        <v>2912</v>
      </c>
      <c r="K1371" t="b">
        <f>TrafficData[[#This Row],[disposedChallan]]+TrafficData[[#This Row],[pendingChallan]]=TrafficData[[#This Row],[totalChallan]]</f>
        <v>1</v>
      </c>
      <c r="L1371" t="b">
        <f>TrafficData[[#This Row],[pendingAmount]]+TrafficData[[#This Row],[disposedAmount]]=TrafficData[[#This Row],[totalAmount]]</f>
        <v>1</v>
      </c>
      <c r="M1371" t="b">
        <f>TrafficData[[#This Row],[pendingCourt]]+TrafficData[[#This Row],[disposedCourt]]=TrafficData[[#This Row],[totalCourt]]</f>
        <v>1</v>
      </c>
      <c r="N1371" s="8" t="b">
        <f>AND(TrafficData[[#This Row],[disposedChallan]]&lt;=TrafficData[[#This Row],[totalChallan]],TrafficData[[#This Row],[pendingChallan]]&lt;=TrafficData[[#This Row],[totalChallan]])</f>
        <v>1</v>
      </c>
      <c r="O1371" s="8" t="b">
        <f>AND(TrafficData[[#This Row],[pendingAmount]]&lt;=TrafficData[[#This Row],[totalAmount]],TrafficData[[#This Row],[disposedAmount]]&lt;=TrafficData[[#This Row],[totalAmount]])</f>
        <v>1</v>
      </c>
      <c r="P1371" s="8" t="b">
        <f>AND(TrafficData[[#This Row],[pendingCourt]]&lt;=TrafficData[[#This Row],[totalCourt]],TrafficData[[#This Row],[disposedCourt]]&lt;=TrafficData[[#This Row],[totalCourt]])</f>
        <v>1</v>
      </c>
    </row>
    <row r="1372" spans="1:16">
      <c r="A1372" s="1">
        <v>43375</v>
      </c>
      <c r="B1372">
        <v>15570</v>
      </c>
      <c r="C1372">
        <v>12848</v>
      </c>
      <c r="D1372">
        <v>2722</v>
      </c>
      <c r="E1372">
        <v>4872426</v>
      </c>
      <c r="F1372">
        <v>24281176</v>
      </c>
      <c r="G1372">
        <v>29153602</v>
      </c>
      <c r="H1372">
        <v>1448</v>
      </c>
      <c r="I1372">
        <v>622</v>
      </c>
      <c r="J1372">
        <v>2070</v>
      </c>
      <c r="K1372" t="b">
        <f>TrafficData[[#This Row],[disposedChallan]]+TrafficData[[#This Row],[pendingChallan]]=TrafficData[[#This Row],[totalChallan]]</f>
        <v>1</v>
      </c>
      <c r="L1372" t="b">
        <f>TrafficData[[#This Row],[pendingAmount]]+TrafficData[[#This Row],[disposedAmount]]=TrafficData[[#This Row],[totalAmount]]</f>
        <v>1</v>
      </c>
      <c r="M1372" t="b">
        <f>TrafficData[[#This Row],[pendingCourt]]+TrafficData[[#This Row],[disposedCourt]]=TrafficData[[#This Row],[totalCourt]]</f>
        <v>1</v>
      </c>
      <c r="N1372" s="8" t="b">
        <f>AND(TrafficData[[#This Row],[disposedChallan]]&lt;=TrafficData[[#This Row],[totalChallan]],TrafficData[[#This Row],[pendingChallan]]&lt;=TrafficData[[#This Row],[totalChallan]])</f>
        <v>1</v>
      </c>
      <c r="O1372" s="8" t="b">
        <f>AND(TrafficData[[#This Row],[pendingAmount]]&lt;=TrafficData[[#This Row],[totalAmount]],TrafficData[[#This Row],[disposedAmount]]&lt;=TrafficData[[#This Row],[totalAmount]])</f>
        <v>1</v>
      </c>
      <c r="P1372" s="8" t="b">
        <f>AND(TrafficData[[#This Row],[pendingCourt]]&lt;=TrafficData[[#This Row],[totalCourt]],TrafficData[[#This Row],[disposedCourt]]&lt;=TrafficData[[#This Row],[totalCourt]])</f>
        <v>1</v>
      </c>
    </row>
    <row r="1373" spans="1:16">
      <c r="A1373" s="1">
        <v>43376</v>
      </c>
      <c r="B1373">
        <v>28358</v>
      </c>
      <c r="C1373">
        <v>21032</v>
      </c>
      <c r="D1373">
        <v>7326</v>
      </c>
      <c r="E1373">
        <v>10761333</v>
      </c>
      <c r="F1373">
        <v>24661887</v>
      </c>
      <c r="G1373">
        <v>35423220</v>
      </c>
      <c r="H1373">
        <v>5469</v>
      </c>
      <c r="I1373">
        <v>1462</v>
      </c>
      <c r="J1373">
        <v>6931</v>
      </c>
      <c r="K1373" t="b">
        <f>TrafficData[[#This Row],[disposedChallan]]+TrafficData[[#This Row],[pendingChallan]]=TrafficData[[#This Row],[totalChallan]]</f>
        <v>1</v>
      </c>
      <c r="L1373" t="b">
        <f>TrafficData[[#This Row],[pendingAmount]]+TrafficData[[#This Row],[disposedAmount]]=TrafficData[[#This Row],[totalAmount]]</f>
        <v>1</v>
      </c>
      <c r="M1373" t="b">
        <f>TrafficData[[#This Row],[pendingCourt]]+TrafficData[[#This Row],[disposedCourt]]=TrafficData[[#This Row],[totalCourt]]</f>
        <v>1</v>
      </c>
      <c r="N1373" s="8" t="b">
        <f>AND(TrafficData[[#This Row],[disposedChallan]]&lt;=TrafficData[[#This Row],[totalChallan]],TrafficData[[#This Row],[pendingChallan]]&lt;=TrafficData[[#This Row],[totalChallan]])</f>
        <v>1</v>
      </c>
      <c r="O1373" s="8" t="b">
        <f>AND(TrafficData[[#This Row],[pendingAmount]]&lt;=TrafficData[[#This Row],[totalAmount]],TrafficData[[#This Row],[disposedAmount]]&lt;=TrafficData[[#This Row],[totalAmount]])</f>
        <v>1</v>
      </c>
      <c r="P1373" s="8" t="b">
        <f>AND(TrafficData[[#This Row],[pendingCourt]]&lt;=TrafficData[[#This Row],[totalCourt]],TrafficData[[#This Row],[disposedCourt]]&lt;=TrafficData[[#This Row],[totalCourt]])</f>
        <v>1</v>
      </c>
    </row>
    <row r="1374" spans="1:16">
      <c r="A1374" s="1">
        <v>43377</v>
      </c>
      <c r="B1374">
        <v>19914</v>
      </c>
      <c r="C1374">
        <v>15347</v>
      </c>
      <c r="D1374">
        <v>4567</v>
      </c>
      <c r="E1374">
        <v>9550753</v>
      </c>
      <c r="F1374">
        <v>27455872</v>
      </c>
      <c r="G1374">
        <v>37006625</v>
      </c>
      <c r="H1374">
        <v>2674</v>
      </c>
      <c r="I1374">
        <v>897</v>
      </c>
      <c r="J1374">
        <v>3571</v>
      </c>
      <c r="K1374" t="b">
        <f>TrafficData[[#This Row],[disposedChallan]]+TrafficData[[#This Row],[pendingChallan]]=TrafficData[[#This Row],[totalChallan]]</f>
        <v>1</v>
      </c>
      <c r="L1374" t="b">
        <f>TrafficData[[#This Row],[pendingAmount]]+TrafficData[[#This Row],[disposedAmount]]=TrafficData[[#This Row],[totalAmount]]</f>
        <v>1</v>
      </c>
      <c r="M1374" t="b">
        <f>TrafficData[[#This Row],[pendingCourt]]+TrafficData[[#This Row],[disposedCourt]]=TrafficData[[#This Row],[totalCourt]]</f>
        <v>1</v>
      </c>
      <c r="N1374" s="8" t="b">
        <f>AND(TrafficData[[#This Row],[disposedChallan]]&lt;=TrafficData[[#This Row],[totalChallan]],TrafficData[[#This Row],[pendingChallan]]&lt;=TrafficData[[#This Row],[totalChallan]])</f>
        <v>1</v>
      </c>
      <c r="O1374" s="8" t="b">
        <f>AND(TrafficData[[#This Row],[pendingAmount]]&lt;=TrafficData[[#This Row],[totalAmount]],TrafficData[[#This Row],[disposedAmount]]&lt;=TrafficData[[#This Row],[totalAmount]])</f>
        <v>1</v>
      </c>
      <c r="P1374" s="8" t="b">
        <f>AND(TrafficData[[#This Row],[pendingCourt]]&lt;=TrafficData[[#This Row],[totalCourt]],TrafficData[[#This Row],[disposedCourt]]&lt;=TrafficData[[#This Row],[totalCourt]])</f>
        <v>1</v>
      </c>
    </row>
    <row r="1375" spans="1:16">
      <c r="A1375" s="1">
        <v>43378</v>
      </c>
      <c r="B1375">
        <v>19798</v>
      </c>
      <c r="C1375">
        <v>14915</v>
      </c>
      <c r="D1375">
        <v>4883</v>
      </c>
      <c r="E1375">
        <v>15234169</v>
      </c>
      <c r="F1375">
        <v>32542019</v>
      </c>
      <c r="G1375">
        <v>47776188</v>
      </c>
      <c r="H1375">
        <v>2526</v>
      </c>
      <c r="I1375">
        <v>837</v>
      </c>
      <c r="J1375">
        <v>3363</v>
      </c>
      <c r="K1375" t="b">
        <f>TrafficData[[#This Row],[disposedChallan]]+TrafficData[[#This Row],[pendingChallan]]=TrafficData[[#This Row],[totalChallan]]</f>
        <v>1</v>
      </c>
      <c r="L1375" t="b">
        <f>TrafficData[[#This Row],[pendingAmount]]+TrafficData[[#This Row],[disposedAmount]]=TrafficData[[#This Row],[totalAmount]]</f>
        <v>1</v>
      </c>
      <c r="M1375" t="b">
        <f>TrafficData[[#This Row],[pendingCourt]]+TrafficData[[#This Row],[disposedCourt]]=TrafficData[[#This Row],[totalCourt]]</f>
        <v>1</v>
      </c>
      <c r="N1375" s="8" t="b">
        <f>AND(TrafficData[[#This Row],[disposedChallan]]&lt;=TrafficData[[#This Row],[totalChallan]],TrafficData[[#This Row],[pendingChallan]]&lt;=TrafficData[[#This Row],[totalChallan]])</f>
        <v>1</v>
      </c>
      <c r="O1375" s="8" t="b">
        <f>AND(TrafficData[[#This Row],[pendingAmount]]&lt;=TrafficData[[#This Row],[totalAmount]],TrafficData[[#This Row],[disposedAmount]]&lt;=TrafficData[[#This Row],[totalAmount]])</f>
        <v>1</v>
      </c>
      <c r="P1375" s="8" t="b">
        <f>AND(TrafficData[[#This Row],[pendingCourt]]&lt;=TrafficData[[#This Row],[totalCourt]],TrafficData[[#This Row],[disposedCourt]]&lt;=TrafficData[[#This Row],[totalCourt]])</f>
        <v>1</v>
      </c>
    </row>
    <row r="1376" spans="1:16">
      <c r="A1376" s="1">
        <v>43379</v>
      </c>
      <c r="B1376">
        <v>18840</v>
      </c>
      <c r="C1376">
        <v>13632</v>
      </c>
      <c r="D1376">
        <v>5208</v>
      </c>
      <c r="E1376">
        <v>15202101</v>
      </c>
      <c r="F1376">
        <v>22486955</v>
      </c>
      <c r="G1376">
        <v>37689056</v>
      </c>
      <c r="H1376">
        <v>2228</v>
      </c>
      <c r="I1376">
        <v>695</v>
      </c>
      <c r="J1376">
        <v>2923</v>
      </c>
      <c r="K1376" t="b">
        <f>TrafficData[[#This Row],[disposedChallan]]+TrafficData[[#This Row],[pendingChallan]]=TrafficData[[#This Row],[totalChallan]]</f>
        <v>1</v>
      </c>
      <c r="L1376" t="b">
        <f>TrafficData[[#This Row],[pendingAmount]]+TrafficData[[#This Row],[disposedAmount]]=TrafficData[[#This Row],[totalAmount]]</f>
        <v>1</v>
      </c>
      <c r="M1376" t="b">
        <f>TrafficData[[#This Row],[pendingCourt]]+TrafficData[[#This Row],[disposedCourt]]=TrafficData[[#This Row],[totalCourt]]</f>
        <v>1</v>
      </c>
      <c r="N1376" s="8" t="b">
        <f>AND(TrafficData[[#This Row],[disposedChallan]]&lt;=TrafficData[[#This Row],[totalChallan]],TrafficData[[#This Row],[pendingChallan]]&lt;=TrafficData[[#This Row],[totalChallan]])</f>
        <v>1</v>
      </c>
      <c r="O1376" s="8" t="b">
        <f>AND(TrafficData[[#This Row],[pendingAmount]]&lt;=TrafficData[[#This Row],[totalAmount]],TrafficData[[#This Row],[disposedAmount]]&lt;=TrafficData[[#This Row],[totalAmount]])</f>
        <v>1</v>
      </c>
      <c r="P1376" s="8" t="b">
        <f>AND(TrafficData[[#This Row],[pendingCourt]]&lt;=TrafficData[[#This Row],[totalCourt]],TrafficData[[#This Row],[disposedCourt]]&lt;=TrafficData[[#This Row],[totalCourt]])</f>
        <v>1</v>
      </c>
    </row>
    <row r="1377" spans="1:16">
      <c r="A1377" s="1">
        <v>43380</v>
      </c>
      <c r="B1377">
        <v>12342</v>
      </c>
      <c r="C1377">
        <v>9953</v>
      </c>
      <c r="D1377">
        <v>2389</v>
      </c>
      <c r="E1377">
        <v>3691430</v>
      </c>
      <c r="F1377">
        <v>18311579</v>
      </c>
      <c r="G1377">
        <v>22003009</v>
      </c>
      <c r="H1377">
        <v>1311</v>
      </c>
      <c r="I1377">
        <v>480</v>
      </c>
      <c r="J1377">
        <v>1791</v>
      </c>
      <c r="K1377" t="b">
        <f>TrafficData[[#This Row],[disposedChallan]]+TrafficData[[#This Row],[pendingChallan]]=TrafficData[[#This Row],[totalChallan]]</f>
        <v>1</v>
      </c>
      <c r="L1377" t="b">
        <f>TrafficData[[#This Row],[pendingAmount]]+TrafficData[[#This Row],[disposedAmount]]=TrafficData[[#This Row],[totalAmount]]</f>
        <v>1</v>
      </c>
      <c r="M1377" t="b">
        <f>TrafficData[[#This Row],[pendingCourt]]+TrafficData[[#This Row],[disposedCourt]]=TrafficData[[#This Row],[totalCourt]]</f>
        <v>1</v>
      </c>
      <c r="N1377" s="8" t="b">
        <f>AND(TrafficData[[#This Row],[disposedChallan]]&lt;=TrafficData[[#This Row],[totalChallan]],TrafficData[[#This Row],[pendingChallan]]&lt;=TrafficData[[#This Row],[totalChallan]])</f>
        <v>1</v>
      </c>
      <c r="O1377" s="8" t="b">
        <f>AND(TrafficData[[#This Row],[pendingAmount]]&lt;=TrafficData[[#This Row],[totalAmount]],TrafficData[[#This Row],[disposedAmount]]&lt;=TrafficData[[#This Row],[totalAmount]])</f>
        <v>1</v>
      </c>
      <c r="P1377" s="8" t="b">
        <f>AND(TrafficData[[#This Row],[pendingCourt]]&lt;=TrafficData[[#This Row],[totalCourt]],TrafficData[[#This Row],[disposedCourt]]&lt;=TrafficData[[#This Row],[totalCourt]])</f>
        <v>1</v>
      </c>
    </row>
    <row r="1378" spans="1:16">
      <c r="A1378" s="1">
        <v>43381</v>
      </c>
      <c r="B1378">
        <v>17374</v>
      </c>
      <c r="C1378">
        <v>13449</v>
      </c>
      <c r="D1378">
        <v>3925</v>
      </c>
      <c r="E1378">
        <v>6817919</v>
      </c>
      <c r="F1378">
        <v>18586466</v>
      </c>
      <c r="G1378">
        <v>25404385</v>
      </c>
      <c r="H1378">
        <v>1934</v>
      </c>
      <c r="I1378">
        <v>684</v>
      </c>
      <c r="J1378">
        <v>2618</v>
      </c>
      <c r="K1378" t="b">
        <f>TrafficData[[#This Row],[disposedChallan]]+TrafficData[[#This Row],[pendingChallan]]=TrafficData[[#This Row],[totalChallan]]</f>
        <v>1</v>
      </c>
      <c r="L1378" t="b">
        <f>TrafficData[[#This Row],[pendingAmount]]+TrafficData[[#This Row],[disposedAmount]]=TrafficData[[#This Row],[totalAmount]]</f>
        <v>1</v>
      </c>
      <c r="M1378" t="b">
        <f>TrafficData[[#This Row],[pendingCourt]]+TrafficData[[#This Row],[disposedCourt]]=TrafficData[[#This Row],[totalCourt]]</f>
        <v>1</v>
      </c>
      <c r="N1378" s="8" t="b">
        <f>AND(TrafficData[[#This Row],[disposedChallan]]&lt;=TrafficData[[#This Row],[totalChallan]],TrafficData[[#This Row],[pendingChallan]]&lt;=TrafficData[[#This Row],[totalChallan]])</f>
        <v>1</v>
      </c>
      <c r="O1378" s="8" t="b">
        <f>AND(TrafficData[[#This Row],[pendingAmount]]&lt;=TrafficData[[#This Row],[totalAmount]],TrafficData[[#This Row],[disposedAmount]]&lt;=TrafficData[[#This Row],[totalAmount]])</f>
        <v>1</v>
      </c>
      <c r="P1378" s="8" t="b">
        <f>AND(TrafficData[[#This Row],[pendingCourt]]&lt;=TrafficData[[#This Row],[totalCourt]],TrafficData[[#This Row],[disposedCourt]]&lt;=TrafficData[[#This Row],[totalCourt]])</f>
        <v>1</v>
      </c>
    </row>
    <row r="1379" spans="1:16">
      <c r="A1379" s="1">
        <v>43382</v>
      </c>
      <c r="B1379">
        <v>17207</v>
      </c>
      <c r="C1379">
        <v>14030</v>
      </c>
      <c r="D1379">
        <v>3177</v>
      </c>
      <c r="E1379">
        <v>6496542</v>
      </c>
      <c r="F1379">
        <v>23701868</v>
      </c>
      <c r="G1379">
        <v>30198410</v>
      </c>
      <c r="H1379">
        <v>1498</v>
      </c>
      <c r="I1379">
        <v>765</v>
      </c>
      <c r="J1379">
        <v>2263</v>
      </c>
      <c r="K1379" t="b">
        <f>TrafficData[[#This Row],[disposedChallan]]+TrafficData[[#This Row],[pendingChallan]]=TrafficData[[#This Row],[totalChallan]]</f>
        <v>1</v>
      </c>
      <c r="L1379" t="b">
        <f>TrafficData[[#This Row],[pendingAmount]]+TrafficData[[#This Row],[disposedAmount]]=TrafficData[[#This Row],[totalAmount]]</f>
        <v>1</v>
      </c>
      <c r="M1379" t="b">
        <f>TrafficData[[#This Row],[pendingCourt]]+TrafficData[[#This Row],[disposedCourt]]=TrafficData[[#This Row],[totalCourt]]</f>
        <v>1</v>
      </c>
      <c r="N1379" s="8" t="b">
        <f>AND(TrafficData[[#This Row],[disposedChallan]]&lt;=TrafficData[[#This Row],[totalChallan]],TrafficData[[#This Row],[pendingChallan]]&lt;=TrafficData[[#This Row],[totalChallan]])</f>
        <v>1</v>
      </c>
      <c r="O1379" s="8" t="b">
        <f>AND(TrafficData[[#This Row],[pendingAmount]]&lt;=TrafficData[[#This Row],[totalAmount]],TrafficData[[#This Row],[disposedAmount]]&lt;=TrafficData[[#This Row],[totalAmount]])</f>
        <v>1</v>
      </c>
      <c r="P1379" s="8" t="b">
        <f>AND(TrafficData[[#This Row],[pendingCourt]]&lt;=TrafficData[[#This Row],[totalCourt]],TrafficData[[#This Row],[disposedCourt]]&lt;=TrafficData[[#This Row],[totalCourt]])</f>
        <v>1</v>
      </c>
    </row>
    <row r="1380" spans="1:16">
      <c r="A1380" s="1">
        <v>43383</v>
      </c>
      <c r="B1380">
        <v>25110</v>
      </c>
      <c r="C1380">
        <v>19201</v>
      </c>
      <c r="D1380">
        <v>5909</v>
      </c>
      <c r="E1380">
        <v>8648124</v>
      </c>
      <c r="F1380">
        <v>27066535</v>
      </c>
      <c r="G1380">
        <v>35714659</v>
      </c>
      <c r="H1380">
        <v>4228</v>
      </c>
      <c r="I1380">
        <v>1532</v>
      </c>
      <c r="J1380">
        <v>5760</v>
      </c>
      <c r="K1380" t="b">
        <f>TrafficData[[#This Row],[disposedChallan]]+TrafficData[[#This Row],[pendingChallan]]=TrafficData[[#This Row],[totalChallan]]</f>
        <v>1</v>
      </c>
      <c r="L1380" t="b">
        <f>TrafficData[[#This Row],[pendingAmount]]+TrafficData[[#This Row],[disposedAmount]]=TrafficData[[#This Row],[totalAmount]]</f>
        <v>1</v>
      </c>
      <c r="M1380" t="b">
        <f>TrafficData[[#This Row],[pendingCourt]]+TrafficData[[#This Row],[disposedCourt]]=TrafficData[[#This Row],[totalCourt]]</f>
        <v>1</v>
      </c>
      <c r="N1380" s="8" t="b">
        <f>AND(TrafficData[[#This Row],[disposedChallan]]&lt;=TrafficData[[#This Row],[totalChallan]],TrafficData[[#This Row],[pendingChallan]]&lt;=TrafficData[[#This Row],[totalChallan]])</f>
        <v>1</v>
      </c>
      <c r="O1380" s="8" t="b">
        <f>AND(TrafficData[[#This Row],[pendingAmount]]&lt;=TrafficData[[#This Row],[totalAmount]],TrafficData[[#This Row],[disposedAmount]]&lt;=TrafficData[[#This Row],[totalAmount]])</f>
        <v>1</v>
      </c>
      <c r="P1380" s="8" t="b">
        <f>AND(TrafficData[[#This Row],[pendingCourt]]&lt;=TrafficData[[#This Row],[totalCourt]],TrafficData[[#This Row],[disposedCourt]]&lt;=TrafficData[[#This Row],[totalCourt]])</f>
        <v>1</v>
      </c>
    </row>
    <row r="1381" spans="1:16">
      <c r="A1381" s="1">
        <v>43384</v>
      </c>
      <c r="B1381">
        <v>18109</v>
      </c>
      <c r="C1381">
        <v>14512</v>
      </c>
      <c r="D1381">
        <v>3597</v>
      </c>
      <c r="E1381">
        <v>7370061</v>
      </c>
      <c r="F1381">
        <v>23432962</v>
      </c>
      <c r="G1381">
        <v>30803023</v>
      </c>
      <c r="H1381">
        <v>1690</v>
      </c>
      <c r="I1381">
        <v>845</v>
      </c>
      <c r="J1381">
        <v>2535</v>
      </c>
      <c r="K1381" t="b">
        <f>TrafficData[[#This Row],[disposedChallan]]+TrafficData[[#This Row],[pendingChallan]]=TrafficData[[#This Row],[totalChallan]]</f>
        <v>1</v>
      </c>
      <c r="L1381" t="b">
        <f>TrafficData[[#This Row],[pendingAmount]]+TrafficData[[#This Row],[disposedAmount]]=TrafficData[[#This Row],[totalAmount]]</f>
        <v>1</v>
      </c>
      <c r="M1381" t="b">
        <f>TrafficData[[#This Row],[pendingCourt]]+TrafficData[[#This Row],[disposedCourt]]=TrafficData[[#This Row],[totalCourt]]</f>
        <v>1</v>
      </c>
      <c r="N1381" s="8" t="b">
        <f>AND(TrafficData[[#This Row],[disposedChallan]]&lt;=TrafficData[[#This Row],[totalChallan]],TrafficData[[#This Row],[pendingChallan]]&lt;=TrafficData[[#This Row],[totalChallan]])</f>
        <v>1</v>
      </c>
      <c r="O1381" s="8" t="b">
        <f>AND(TrafficData[[#This Row],[pendingAmount]]&lt;=TrafficData[[#This Row],[totalAmount]],TrafficData[[#This Row],[disposedAmount]]&lt;=TrafficData[[#This Row],[totalAmount]])</f>
        <v>1</v>
      </c>
      <c r="P1381" s="8" t="b">
        <f>AND(TrafficData[[#This Row],[pendingCourt]]&lt;=TrafficData[[#This Row],[totalCourt]],TrafficData[[#This Row],[disposedCourt]]&lt;=TrafficData[[#This Row],[totalCourt]])</f>
        <v>1</v>
      </c>
    </row>
    <row r="1382" spans="1:16">
      <c r="A1382" s="1">
        <v>43385</v>
      </c>
      <c r="B1382">
        <v>18720</v>
      </c>
      <c r="C1382">
        <v>14320</v>
      </c>
      <c r="D1382">
        <v>4400</v>
      </c>
      <c r="E1382">
        <v>5583125</v>
      </c>
      <c r="F1382">
        <v>27654457</v>
      </c>
      <c r="G1382">
        <v>33237582</v>
      </c>
      <c r="H1382">
        <v>2912</v>
      </c>
      <c r="I1382">
        <v>811</v>
      </c>
      <c r="J1382">
        <v>3723</v>
      </c>
      <c r="K1382" t="b">
        <f>TrafficData[[#This Row],[disposedChallan]]+TrafficData[[#This Row],[pendingChallan]]=TrafficData[[#This Row],[totalChallan]]</f>
        <v>1</v>
      </c>
      <c r="L1382" t="b">
        <f>TrafficData[[#This Row],[pendingAmount]]+TrafficData[[#This Row],[disposedAmount]]=TrafficData[[#This Row],[totalAmount]]</f>
        <v>1</v>
      </c>
      <c r="M1382" t="b">
        <f>TrafficData[[#This Row],[pendingCourt]]+TrafficData[[#This Row],[disposedCourt]]=TrafficData[[#This Row],[totalCourt]]</f>
        <v>1</v>
      </c>
      <c r="N1382" s="8" t="b">
        <f>AND(TrafficData[[#This Row],[disposedChallan]]&lt;=TrafficData[[#This Row],[totalChallan]],TrafficData[[#This Row],[pendingChallan]]&lt;=TrafficData[[#This Row],[totalChallan]])</f>
        <v>1</v>
      </c>
      <c r="O1382" s="8" t="b">
        <f>AND(TrafficData[[#This Row],[pendingAmount]]&lt;=TrafficData[[#This Row],[totalAmount]],TrafficData[[#This Row],[disposedAmount]]&lt;=TrafficData[[#This Row],[totalAmount]])</f>
        <v>1</v>
      </c>
      <c r="P1382" s="8" t="b">
        <f>AND(TrafficData[[#This Row],[pendingCourt]]&lt;=TrafficData[[#This Row],[totalCourt]],TrafficData[[#This Row],[disposedCourt]]&lt;=TrafficData[[#This Row],[totalCourt]])</f>
        <v>1</v>
      </c>
    </row>
    <row r="1383" spans="1:16">
      <c r="A1383" s="1">
        <v>43386</v>
      </c>
      <c r="B1383">
        <v>17653</v>
      </c>
      <c r="C1383">
        <v>13488</v>
      </c>
      <c r="D1383">
        <v>4165</v>
      </c>
      <c r="E1383">
        <v>4409712</v>
      </c>
      <c r="F1383">
        <v>24073327</v>
      </c>
      <c r="G1383">
        <v>28483039</v>
      </c>
      <c r="H1383">
        <v>2767</v>
      </c>
      <c r="I1383">
        <v>641</v>
      </c>
      <c r="J1383">
        <v>3408</v>
      </c>
      <c r="K1383" t="b">
        <f>TrafficData[[#This Row],[disposedChallan]]+TrafficData[[#This Row],[pendingChallan]]=TrafficData[[#This Row],[totalChallan]]</f>
        <v>1</v>
      </c>
      <c r="L1383" t="b">
        <f>TrafficData[[#This Row],[pendingAmount]]+TrafficData[[#This Row],[disposedAmount]]=TrafficData[[#This Row],[totalAmount]]</f>
        <v>1</v>
      </c>
      <c r="M1383" t="b">
        <f>TrafficData[[#This Row],[pendingCourt]]+TrafficData[[#This Row],[disposedCourt]]=TrafficData[[#This Row],[totalCourt]]</f>
        <v>1</v>
      </c>
      <c r="N1383" s="8" t="b">
        <f>AND(TrafficData[[#This Row],[disposedChallan]]&lt;=TrafficData[[#This Row],[totalChallan]],TrafficData[[#This Row],[pendingChallan]]&lt;=TrafficData[[#This Row],[totalChallan]])</f>
        <v>1</v>
      </c>
      <c r="O1383" s="8" t="b">
        <f>AND(TrafficData[[#This Row],[pendingAmount]]&lt;=TrafficData[[#This Row],[totalAmount]],TrafficData[[#This Row],[disposedAmount]]&lt;=TrafficData[[#This Row],[totalAmount]])</f>
        <v>1</v>
      </c>
      <c r="P1383" s="8" t="b">
        <f>AND(TrafficData[[#This Row],[pendingCourt]]&lt;=TrafficData[[#This Row],[totalCourt]],TrafficData[[#This Row],[disposedCourt]]&lt;=TrafficData[[#This Row],[totalCourt]])</f>
        <v>1</v>
      </c>
    </row>
    <row r="1384" spans="1:16">
      <c r="A1384" s="1">
        <v>43387</v>
      </c>
      <c r="B1384">
        <v>13474</v>
      </c>
      <c r="C1384">
        <v>10480</v>
      </c>
      <c r="D1384">
        <v>2994</v>
      </c>
      <c r="E1384">
        <v>3292340</v>
      </c>
      <c r="F1384">
        <v>16870634</v>
      </c>
      <c r="G1384">
        <v>20162974</v>
      </c>
      <c r="H1384">
        <v>1909</v>
      </c>
      <c r="I1384">
        <v>572</v>
      </c>
      <c r="J1384">
        <v>2481</v>
      </c>
      <c r="K1384" t="b">
        <f>TrafficData[[#This Row],[disposedChallan]]+TrafficData[[#This Row],[pendingChallan]]=TrafficData[[#This Row],[totalChallan]]</f>
        <v>1</v>
      </c>
      <c r="L1384" t="b">
        <f>TrafficData[[#This Row],[pendingAmount]]+TrafficData[[#This Row],[disposedAmount]]=TrafficData[[#This Row],[totalAmount]]</f>
        <v>1</v>
      </c>
      <c r="M1384" t="b">
        <f>TrafficData[[#This Row],[pendingCourt]]+TrafficData[[#This Row],[disposedCourt]]=TrafficData[[#This Row],[totalCourt]]</f>
        <v>1</v>
      </c>
      <c r="N1384" s="8" t="b">
        <f>AND(TrafficData[[#This Row],[disposedChallan]]&lt;=TrafficData[[#This Row],[totalChallan]],TrafficData[[#This Row],[pendingChallan]]&lt;=TrafficData[[#This Row],[totalChallan]])</f>
        <v>1</v>
      </c>
      <c r="O1384" s="8" t="b">
        <f>AND(TrafficData[[#This Row],[pendingAmount]]&lt;=TrafficData[[#This Row],[totalAmount]],TrafficData[[#This Row],[disposedAmount]]&lt;=TrafficData[[#This Row],[totalAmount]])</f>
        <v>1</v>
      </c>
      <c r="P1384" s="8" t="b">
        <f>AND(TrafficData[[#This Row],[pendingCourt]]&lt;=TrafficData[[#This Row],[totalCourt]],TrafficData[[#This Row],[disposedCourt]]&lt;=TrafficData[[#This Row],[totalCourt]])</f>
        <v>1</v>
      </c>
    </row>
    <row r="1385" spans="1:16">
      <c r="A1385" s="1">
        <v>43388</v>
      </c>
      <c r="B1385">
        <v>17912</v>
      </c>
      <c r="C1385">
        <v>13379</v>
      </c>
      <c r="D1385">
        <v>4533</v>
      </c>
      <c r="E1385">
        <v>5600725</v>
      </c>
      <c r="F1385">
        <v>19636815</v>
      </c>
      <c r="G1385">
        <v>25237540</v>
      </c>
      <c r="H1385">
        <v>2827</v>
      </c>
      <c r="I1385">
        <v>820</v>
      </c>
      <c r="J1385">
        <v>3647</v>
      </c>
      <c r="K1385" t="b">
        <f>TrafficData[[#This Row],[disposedChallan]]+TrafficData[[#This Row],[pendingChallan]]=TrafficData[[#This Row],[totalChallan]]</f>
        <v>1</v>
      </c>
      <c r="L1385" t="b">
        <f>TrafficData[[#This Row],[pendingAmount]]+TrafficData[[#This Row],[disposedAmount]]=TrafficData[[#This Row],[totalAmount]]</f>
        <v>1</v>
      </c>
      <c r="M1385" t="b">
        <f>TrafficData[[#This Row],[pendingCourt]]+TrafficData[[#This Row],[disposedCourt]]=TrafficData[[#This Row],[totalCourt]]</f>
        <v>1</v>
      </c>
      <c r="N1385" s="8" t="b">
        <f>AND(TrafficData[[#This Row],[disposedChallan]]&lt;=TrafficData[[#This Row],[totalChallan]],TrafficData[[#This Row],[pendingChallan]]&lt;=TrafficData[[#This Row],[totalChallan]])</f>
        <v>1</v>
      </c>
      <c r="O1385" s="8" t="b">
        <f>AND(TrafficData[[#This Row],[pendingAmount]]&lt;=TrafficData[[#This Row],[totalAmount]],TrafficData[[#This Row],[disposedAmount]]&lt;=TrafficData[[#This Row],[totalAmount]])</f>
        <v>1</v>
      </c>
      <c r="P1385" s="8" t="b">
        <f>AND(TrafficData[[#This Row],[pendingCourt]]&lt;=TrafficData[[#This Row],[totalCourt]],TrafficData[[#This Row],[disposedCourt]]&lt;=TrafficData[[#This Row],[totalCourt]])</f>
        <v>1</v>
      </c>
    </row>
    <row r="1386" spans="1:16">
      <c r="A1386" s="1">
        <v>43389</v>
      </c>
      <c r="B1386">
        <v>20024</v>
      </c>
      <c r="C1386">
        <v>15339</v>
      </c>
      <c r="D1386">
        <v>4685</v>
      </c>
      <c r="E1386">
        <v>5968668</v>
      </c>
      <c r="F1386">
        <v>25708215</v>
      </c>
      <c r="G1386">
        <v>31676883</v>
      </c>
      <c r="H1386">
        <v>3041</v>
      </c>
      <c r="I1386">
        <v>815</v>
      </c>
      <c r="J1386">
        <v>3856</v>
      </c>
      <c r="K1386" t="b">
        <f>TrafficData[[#This Row],[disposedChallan]]+TrafficData[[#This Row],[pendingChallan]]=TrafficData[[#This Row],[totalChallan]]</f>
        <v>1</v>
      </c>
      <c r="L1386" t="b">
        <f>TrafficData[[#This Row],[pendingAmount]]+TrafficData[[#This Row],[disposedAmount]]=TrafficData[[#This Row],[totalAmount]]</f>
        <v>1</v>
      </c>
      <c r="M1386" t="b">
        <f>TrafficData[[#This Row],[pendingCourt]]+TrafficData[[#This Row],[disposedCourt]]=TrafficData[[#This Row],[totalCourt]]</f>
        <v>1</v>
      </c>
      <c r="N1386" s="8" t="b">
        <f>AND(TrafficData[[#This Row],[disposedChallan]]&lt;=TrafficData[[#This Row],[totalChallan]],TrafficData[[#This Row],[pendingChallan]]&lt;=TrafficData[[#This Row],[totalChallan]])</f>
        <v>1</v>
      </c>
      <c r="O1386" s="8" t="b">
        <f>AND(TrafficData[[#This Row],[pendingAmount]]&lt;=TrafficData[[#This Row],[totalAmount]],TrafficData[[#This Row],[disposedAmount]]&lt;=TrafficData[[#This Row],[totalAmount]])</f>
        <v>1</v>
      </c>
      <c r="P1386" s="8" t="b">
        <f>AND(TrafficData[[#This Row],[pendingCourt]]&lt;=TrafficData[[#This Row],[totalCourt]],TrafficData[[#This Row],[disposedCourt]]&lt;=TrafficData[[#This Row],[totalCourt]])</f>
        <v>1</v>
      </c>
    </row>
    <row r="1387" spans="1:16">
      <c r="A1387" s="1">
        <v>43390</v>
      </c>
      <c r="B1387">
        <v>27182</v>
      </c>
      <c r="C1387">
        <v>19815</v>
      </c>
      <c r="D1387">
        <v>7367</v>
      </c>
      <c r="E1387">
        <v>10558646</v>
      </c>
      <c r="F1387">
        <v>26502838</v>
      </c>
      <c r="G1387">
        <v>37061484</v>
      </c>
      <c r="H1387">
        <v>5337</v>
      </c>
      <c r="I1387">
        <v>1272</v>
      </c>
      <c r="J1387">
        <v>6609</v>
      </c>
      <c r="K1387" t="b">
        <f>TrafficData[[#This Row],[disposedChallan]]+TrafficData[[#This Row],[pendingChallan]]=TrafficData[[#This Row],[totalChallan]]</f>
        <v>1</v>
      </c>
      <c r="L1387" t="b">
        <f>TrafficData[[#This Row],[pendingAmount]]+TrafficData[[#This Row],[disposedAmount]]=TrafficData[[#This Row],[totalAmount]]</f>
        <v>1</v>
      </c>
      <c r="M1387" t="b">
        <f>TrafficData[[#This Row],[pendingCourt]]+TrafficData[[#This Row],[disposedCourt]]=TrafficData[[#This Row],[totalCourt]]</f>
        <v>1</v>
      </c>
      <c r="N1387" s="8" t="b">
        <f>AND(TrafficData[[#This Row],[disposedChallan]]&lt;=TrafficData[[#This Row],[totalChallan]],TrafficData[[#This Row],[pendingChallan]]&lt;=TrafficData[[#This Row],[totalChallan]])</f>
        <v>1</v>
      </c>
      <c r="O1387" s="8" t="b">
        <f>AND(TrafficData[[#This Row],[pendingAmount]]&lt;=TrafficData[[#This Row],[totalAmount]],TrafficData[[#This Row],[disposedAmount]]&lt;=TrafficData[[#This Row],[totalAmount]])</f>
        <v>1</v>
      </c>
      <c r="P1387" s="8" t="b">
        <f>AND(TrafficData[[#This Row],[pendingCourt]]&lt;=TrafficData[[#This Row],[totalCourt]],TrafficData[[#This Row],[disposedCourt]]&lt;=TrafficData[[#This Row],[totalCourt]])</f>
        <v>1</v>
      </c>
    </row>
    <row r="1388" spans="1:16">
      <c r="A1388" s="1">
        <v>43391</v>
      </c>
      <c r="B1388">
        <v>16536</v>
      </c>
      <c r="C1388">
        <v>12613</v>
      </c>
      <c r="D1388">
        <v>3923</v>
      </c>
      <c r="E1388">
        <v>5943350</v>
      </c>
      <c r="F1388">
        <v>16743349</v>
      </c>
      <c r="G1388">
        <v>22686699</v>
      </c>
      <c r="H1388">
        <v>2364</v>
      </c>
      <c r="I1388">
        <v>702</v>
      </c>
      <c r="J1388">
        <v>3066</v>
      </c>
      <c r="K1388" t="b">
        <f>TrafficData[[#This Row],[disposedChallan]]+TrafficData[[#This Row],[pendingChallan]]=TrafficData[[#This Row],[totalChallan]]</f>
        <v>1</v>
      </c>
      <c r="L1388" t="b">
        <f>TrafficData[[#This Row],[pendingAmount]]+TrafficData[[#This Row],[disposedAmount]]=TrafficData[[#This Row],[totalAmount]]</f>
        <v>1</v>
      </c>
      <c r="M1388" t="b">
        <f>TrafficData[[#This Row],[pendingCourt]]+TrafficData[[#This Row],[disposedCourt]]=TrafficData[[#This Row],[totalCourt]]</f>
        <v>1</v>
      </c>
      <c r="N1388" s="8" t="b">
        <f>AND(TrafficData[[#This Row],[disposedChallan]]&lt;=TrafficData[[#This Row],[totalChallan]],TrafficData[[#This Row],[pendingChallan]]&lt;=TrafficData[[#This Row],[totalChallan]])</f>
        <v>1</v>
      </c>
      <c r="O1388" s="8" t="b">
        <f>AND(TrafficData[[#This Row],[pendingAmount]]&lt;=TrafficData[[#This Row],[totalAmount]],TrafficData[[#This Row],[disposedAmount]]&lt;=TrafficData[[#This Row],[totalAmount]])</f>
        <v>1</v>
      </c>
      <c r="P1388" s="8" t="b">
        <f>AND(TrafficData[[#This Row],[pendingCourt]]&lt;=TrafficData[[#This Row],[totalCourt]],TrafficData[[#This Row],[disposedCourt]]&lt;=TrafficData[[#This Row],[totalCourt]])</f>
        <v>1</v>
      </c>
    </row>
    <row r="1389" spans="1:16">
      <c r="A1389" s="1">
        <v>43392</v>
      </c>
      <c r="B1389">
        <v>13162</v>
      </c>
      <c r="C1389">
        <v>10370</v>
      </c>
      <c r="D1389">
        <v>2792</v>
      </c>
      <c r="E1389">
        <v>3794190</v>
      </c>
      <c r="F1389">
        <v>10761369</v>
      </c>
      <c r="G1389">
        <v>14555559</v>
      </c>
      <c r="H1389">
        <v>1545</v>
      </c>
      <c r="I1389">
        <v>448</v>
      </c>
      <c r="J1389">
        <v>1993</v>
      </c>
      <c r="K1389" t="b">
        <f>TrafficData[[#This Row],[disposedChallan]]+TrafficData[[#This Row],[pendingChallan]]=TrafficData[[#This Row],[totalChallan]]</f>
        <v>1</v>
      </c>
      <c r="L1389" t="b">
        <f>TrafficData[[#This Row],[pendingAmount]]+TrafficData[[#This Row],[disposedAmount]]=TrafficData[[#This Row],[totalAmount]]</f>
        <v>1</v>
      </c>
      <c r="M1389" t="b">
        <f>TrafficData[[#This Row],[pendingCourt]]+TrafficData[[#This Row],[disposedCourt]]=TrafficData[[#This Row],[totalCourt]]</f>
        <v>1</v>
      </c>
      <c r="N1389" s="8" t="b">
        <f>AND(TrafficData[[#This Row],[disposedChallan]]&lt;=TrafficData[[#This Row],[totalChallan]],TrafficData[[#This Row],[pendingChallan]]&lt;=TrafficData[[#This Row],[totalChallan]])</f>
        <v>1</v>
      </c>
      <c r="O1389" s="8" t="b">
        <f>AND(TrafficData[[#This Row],[pendingAmount]]&lt;=TrafficData[[#This Row],[totalAmount]],TrafficData[[#This Row],[disposedAmount]]&lt;=TrafficData[[#This Row],[totalAmount]])</f>
        <v>1</v>
      </c>
      <c r="P1389" s="8" t="b">
        <f>AND(TrafficData[[#This Row],[pendingCourt]]&lt;=TrafficData[[#This Row],[totalCourt]],TrafficData[[#This Row],[disposedCourt]]&lt;=TrafficData[[#This Row],[totalCourt]])</f>
        <v>1</v>
      </c>
    </row>
    <row r="1390" spans="1:16">
      <c r="A1390" s="1">
        <v>43393</v>
      </c>
      <c r="B1390">
        <v>16545</v>
      </c>
      <c r="C1390">
        <v>12915</v>
      </c>
      <c r="D1390">
        <v>3630</v>
      </c>
      <c r="E1390">
        <v>4037900</v>
      </c>
      <c r="F1390">
        <v>13998354</v>
      </c>
      <c r="G1390">
        <v>18036254</v>
      </c>
      <c r="H1390">
        <v>2100</v>
      </c>
      <c r="I1390">
        <v>539</v>
      </c>
      <c r="J1390">
        <v>2639</v>
      </c>
      <c r="K1390" t="b">
        <f>TrafficData[[#This Row],[disposedChallan]]+TrafficData[[#This Row],[pendingChallan]]=TrafficData[[#This Row],[totalChallan]]</f>
        <v>1</v>
      </c>
      <c r="L1390" t="b">
        <f>TrafficData[[#This Row],[pendingAmount]]+TrafficData[[#This Row],[disposedAmount]]=TrafficData[[#This Row],[totalAmount]]</f>
        <v>1</v>
      </c>
      <c r="M1390" t="b">
        <f>TrafficData[[#This Row],[pendingCourt]]+TrafficData[[#This Row],[disposedCourt]]=TrafficData[[#This Row],[totalCourt]]</f>
        <v>1</v>
      </c>
      <c r="N1390" s="8" t="b">
        <f>AND(TrafficData[[#This Row],[disposedChallan]]&lt;=TrafficData[[#This Row],[totalChallan]],TrafficData[[#This Row],[pendingChallan]]&lt;=TrafficData[[#This Row],[totalChallan]])</f>
        <v>1</v>
      </c>
      <c r="O1390" s="8" t="b">
        <f>AND(TrafficData[[#This Row],[pendingAmount]]&lt;=TrafficData[[#This Row],[totalAmount]],TrafficData[[#This Row],[disposedAmount]]&lt;=TrafficData[[#This Row],[totalAmount]])</f>
        <v>1</v>
      </c>
      <c r="P1390" s="8" t="b">
        <f>AND(TrafficData[[#This Row],[pendingCourt]]&lt;=TrafficData[[#This Row],[totalCourt]],TrafficData[[#This Row],[disposedCourt]]&lt;=TrafficData[[#This Row],[totalCourt]])</f>
        <v>1</v>
      </c>
    </row>
    <row r="1391" spans="1:16">
      <c r="A1391" s="1">
        <v>43394</v>
      </c>
      <c r="B1391">
        <v>12360</v>
      </c>
      <c r="C1391">
        <v>10046</v>
      </c>
      <c r="D1391">
        <v>2314</v>
      </c>
      <c r="E1391">
        <v>2196451</v>
      </c>
      <c r="F1391">
        <v>14412820</v>
      </c>
      <c r="G1391">
        <v>16609271</v>
      </c>
      <c r="H1391">
        <v>1450</v>
      </c>
      <c r="I1391">
        <v>410</v>
      </c>
      <c r="J1391">
        <v>1860</v>
      </c>
      <c r="K1391" t="b">
        <f>TrafficData[[#This Row],[disposedChallan]]+TrafficData[[#This Row],[pendingChallan]]=TrafficData[[#This Row],[totalChallan]]</f>
        <v>1</v>
      </c>
      <c r="L1391" t="b">
        <f>TrafficData[[#This Row],[pendingAmount]]+TrafficData[[#This Row],[disposedAmount]]=TrafficData[[#This Row],[totalAmount]]</f>
        <v>1</v>
      </c>
      <c r="M1391" t="b">
        <f>TrafficData[[#This Row],[pendingCourt]]+TrafficData[[#This Row],[disposedCourt]]=TrafficData[[#This Row],[totalCourt]]</f>
        <v>1</v>
      </c>
      <c r="N1391" s="8" t="b">
        <f>AND(TrafficData[[#This Row],[disposedChallan]]&lt;=TrafficData[[#This Row],[totalChallan]],TrafficData[[#This Row],[pendingChallan]]&lt;=TrafficData[[#This Row],[totalChallan]])</f>
        <v>1</v>
      </c>
      <c r="O1391" s="8" t="b">
        <f>AND(TrafficData[[#This Row],[pendingAmount]]&lt;=TrafficData[[#This Row],[totalAmount]],TrafficData[[#This Row],[disposedAmount]]&lt;=TrafficData[[#This Row],[totalAmount]])</f>
        <v>1</v>
      </c>
      <c r="P1391" s="8" t="b">
        <f>AND(TrafficData[[#This Row],[pendingCourt]]&lt;=TrafficData[[#This Row],[totalCourt]],TrafficData[[#This Row],[disposedCourt]]&lt;=TrafficData[[#This Row],[totalCourt]])</f>
        <v>1</v>
      </c>
    </row>
    <row r="1392" spans="1:16">
      <c r="A1392" s="1">
        <v>43395</v>
      </c>
      <c r="B1392">
        <v>17806</v>
      </c>
      <c r="C1392">
        <v>13906</v>
      </c>
      <c r="D1392">
        <v>3900</v>
      </c>
      <c r="E1392">
        <v>5208225</v>
      </c>
      <c r="F1392">
        <v>19490329</v>
      </c>
      <c r="G1392">
        <v>24698554</v>
      </c>
      <c r="H1392">
        <v>2226</v>
      </c>
      <c r="I1392">
        <v>732</v>
      </c>
      <c r="J1392">
        <v>2958</v>
      </c>
      <c r="K1392" t="b">
        <f>TrafficData[[#This Row],[disposedChallan]]+TrafficData[[#This Row],[pendingChallan]]=TrafficData[[#This Row],[totalChallan]]</f>
        <v>1</v>
      </c>
      <c r="L1392" t="b">
        <f>TrafficData[[#This Row],[pendingAmount]]+TrafficData[[#This Row],[disposedAmount]]=TrafficData[[#This Row],[totalAmount]]</f>
        <v>1</v>
      </c>
      <c r="M1392" t="b">
        <f>TrafficData[[#This Row],[pendingCourt]]+TrafficData[[#This Row],[disposedCourt]]=TrafficData[[#This Row],[totalCourt]]</f>
        <v>1</v>
      </c>
      <c r="N1392" s="8" t="b">
        <f>AND(TrafficData[[#This Row],[disposedChallan]]&lt;=TrafficData[[#This Row],[totalChallan]],TrafficData[[#This Row],[pendingChallan]]&lt;=TrafficData[[#This Row],[totalChallan]])</f>
        <v>1</v>
      </c>
      <c r="O1392" s="8" t="b">
        <f>AND(TrafficData[[#This Row],[pendingAmount]]&lt;=TrafficData[[#This Row],[totalAmount]],TrafficData[[#This Row],[disposedAmount]]&lt;=TrafficData[[#This Row],[totalAmount]])</f>
        <v>1</v>
      </c>
      <c r="P1392" s="8" t="b">
        <f>AND(TrafficData[[#This Row],[pendingCourt]]&lt;=TrafficData[[#This Row],[totalCourt]],TrafficData[[#This Row],[disposedCourt]]&lt;=TrafficData[[#This Row],[totalCourt]])</f>
        <v>1</v>
      </c>
    </row>
    <row r="1393" spans="1:16">
      <c r="A1393" s="1">
        <v>43396</v>
      </c>
      <c r="B1393">
        <v>19793</v>
      </c>
      <c r="C1393">
        <v>15229</v>
      </c>
      <c r="D1393">
        <v>4564</v>
      </c>
      <c r="E1393">
        <v>8170354</v>
      </c>
      <c r="F1393">
        <v>25865187</v>
      </c>
      <c r="G1393">
        <v>34035541</v>
      </c>
      <c r="H1393">
        <v>2390</v>
      </c>
      <c r="I1393">
        <v>707</v>
      </c>
      <c r="J1393">
        <v>3097</v>
      </c>
      <c r="K1393" t="b">
        <f>TrafficData[[#This Row],[disposedChallan]]+TrafficData[[#This Row],[pendingChallan]]=TrafficData[[#This Row],[totalChallan]]</f>
        <v>1</v>
      </c>
      <c r="L1393" t="b">
        <f>TrafficData[[#This Row],[pendingAmount]]+TrafficData[[#This Row],[disposedAmount]]=TrafficData[[#This Row],[totalAmount]]</f>
        <v>1</v>
      </c>
      <c r="M1393" t="b">
        <f>TrafficData[[#This Row],[pendingCourt]]+TrafficData[[#This Row],[disposedCourt]]=TrafficData[[#This Row],[totalCourt]]</f>
        <v>1</v>
      </c>
      <c r="N1393" s="8" t="b">
        <f>AND(TrafficData[[#This Row],[disposedChallan]]&lt;=TrafficData[[#This Row],[totalChallan]],TrafficData[[#This Row],[pendingChallan]]&lt;=TrafficData[[#This Row],[totalChallan]])</f>
        <v>1</v>
      </c>
      <c r="O1393" s="8" t="b">
        <f>AND(TrafficData[[#This Row],[pendingAmount]]&lt;=TrafficData[[#This Row],[totalAmount]],TrafficData[[#This Row],[disposedAmount]]&lt;=TrafficData[[#This Row],[totalAmount]])</f>
        <v>1</v>
      </c>
      <c r="P1393" s="8" t="b">
        <f>AND(TrafficData[[#This Row],[pendingCourt]]&lt;=TrafficData[[#This Row],[totalCourt]],TrafficData[[#This Row],[disposedCourt]]&lt;=TrafficData[[#This Row],[totalCourt]])</f>
        <v>1</v>
      </c>
    </row>
    <row r="1394" spans="1:16">
      <c r="A1394" s="1">
        <v>43397</v>
      </c>
      <c r="B1394">
        <v>28234</v>
      </c>
      <c r="C1394">
        <v>20304</v>
      </c>
      <c r="D1394">
        <v>7930</v>
      </c>
      <c r="E1394">
        <v>16580242</v>
      </c>
      <c r="F1394">
        <v>24482062</v>
      </c>
      <c r="G1394">
        <v>41062304</v>
      </c>
      <c r="H1394">
        <v>5223</v>
      </c>
      <c r="I1394">
        <v>1339</v>
      </c>
      <c r="J1394">
        <v>6562</v>
      </c>
      <c r="K1394" t="b">
        <f>TrafficData[[#This Row],[disposedChallan]]+TrafficData[[#This Row],[pendingChallan]]=TrafficData[[#This Row],[totalChallan]]</f>
        <v>1</v>
      </c>
      <c r="L1394" t="b">
        <f>TrafficData[[#This Row],[pendingAmount]]+TrafficData[[#This Row],[disposedAmount]]=TrafficData[[#This Row],[totalAmount]]</f>
        <v>1</v>
      </c>
      <c r="M1394" t="b">
        <f>TrafficData[[#This Row],[pendingCourt]]+TrafficData[[#This Row],[disposedCourt]]=TrafficData[[#This Row],[totalCourt]]</f>
        <v>1</v>
      </c>
      <c r="N1394" s="8" t="b">
        <f>AND(TrafficData[[#This Row],[disposedChallan]]&lt;=TrafficData[[#This Row],[totalChallan]],TrafficData[[#This Row],[pendingChallan]]&lt;=TrafficData[[#This Row],[totalChallan]])</f>
        <v>1</v>
      </c>
      <c r="O1394" s="8" t="b">
        <f>AND(TrafficData[[#This Row],[pendingAmount]]&lt;=TrafficData[[#This Row],[totalAmount]],TrafficData[[#This Row],[disposedAmount]]&lt;=TrafficData[[#This Row],[totalAmount]])</f>
        <v>1</v>
      </c>
      <c r="P1394" s="8" t="b">
        <f>AND(TrafficData[[#This Row],[pendingCourt]]&lt;=TrafficData[[#This Row],[totalCourt]],TrafficData[[#This Row],[disposedCourt]]&lt;=TrafficData[[#This Row],[totalCourt]])</f>
        <v>1</v>
      </c>
    </row>
    <row r="1395" spans="1:16">
      <c r="A1395" s="1">
        <v>43398</v>
      </c>
      <c r="B1395">
        <v>18367</v>
      </c>
      <c r="C1395">
        <v>14535</v>
      </c>
      <c r="D1395">
        <v>3832</v>
      </c>
      <c r="E1395">
        <v>6841618</v>
      </c>
      <c r="F1395">
        <v>20609454</v>
      </c>
      <c r="G1395">
        <v>27451072</v>
      </c>
      <c r="H1395">
        <v>2081</v>
      </c>
      <c r="I1395">
        <v>694</v>
      </c>
      <c r="J1395">
        <v>2775</v>
      </c>
      <c r="K1395" t="b">
        <f>TrafficData[[#This Row],[disposedChallan]]+TrafficData[[#This Row],[pendingChallan]]=TrafficData[[#This Row],[totalChallan]]</f>
        <v>1</v>
      </c>
      <c r="L1395" t="b">
        <f>TrafficData[[#This Row],[pendingAmount]]+TrafficData[[#This Row],[disposedAmount]]=TrafficData[[#This Row],[totalAmount]]</f>
        <v>1</v>
      </c>
      <c r="M1395" t="b">
        <f>TrafficData[[#This Row],[pendingCourt]]+TrafficData[[#This Row],[disposedCourt]]=TrafficData[[#This Row],[totalCourt]]</f>
        <v>1</v>
      </c>
      <c r="N1395" s="8" t="b">
        <f>AND(TrafficData[[#This Row],[disposedChallan]]&lt;=TrafficData[[#This Row],[totalChallan]],TrafficData[[#This Row],[pendingChallan]]&lt;=TrafficData[[#This Row],[totalChallan]])</f>
        <v>1</v>
      </c>
      <c r="O1395" s="8" t="b">
        <f>AND(TrafficData[[#This Row],[pendingAmount]]&lt;=TrafficData[[#This Row],[totalAmount]],TrafficData[[#This Row],[disposedAmount]]&lt;=TrafficData[[#This Row],[totalAmount]])</f>
        <v>1</v>
      </c>
      <c r="P1395" s="8" t="b">
        <f>AND(TrafficData[[#This Row],[pendingCourt]]&lt;=TrafficData[[#This Row],[totalCourt]],TrafficData[[#This Row],[disposedCourt]]&lt;=TrafficData[[#This Row],[totalCourt]])</f>
        <v>1</v>
      </c>
    </row>
    <row r="1396" spans="1:16">
      <c r="A1396" s="1">
        <v>43399</v>
      </c>
      <c r="B1396">
        <v>19540</v>
      </c>
      <c r="C1396">
        <v>15321</v>
      </c>
      <c r="D1396">
        <v>4219</v>
      </c>
      <c r="E1396">
        <v>7467469</v>
      </c>
      <c r="F1396">
        <v>170469770</v>
      </c>
      <c r="G1396">
        <v>177937239</v>
      </c>
      <c r="H1396">
        <v>2292</v>
      </c>
      <c r="I1396">
        <v>812</v>
      </c>
      <c r="J1396">
        <v>3104</v>
      </c>
      <c r="K1396" t="b">
        <f>TrafficData[[#This Row],[disposedChallan]]+TrafficData[[#This Row],[pendingChallan]]=TrafficData[[#This Row],[totalChallan]]</f>
        <v>1</v>
      </c>
      <c r="L1396" t="b">
        <f>TrafficData[[#This Row],[pendingAmount]]+TrafficData[[#This Row],[disposedAmount]]=TrafficData[[#This Row],[totalAmount]]</f>
        <v>1</v>
      </c>
      <c r="M1396" t="b">
        <f>TrafficData[[#This Row],[pendingCourt]]+TrafficData[[#This Row],[disposedCourt]]=TrafficData[[#This Row],[totalCourt]]</f>
        <v>1</v>
      </c>
      <c r="N1396" s="8" t="b">
        <f>AND(TrafficData[[#This Row],[disposedChallan]]&lt;=TrafficData[[#This Row],[totalChallan]],TrafficData[[#This Row],[pendingChallan]]&lt;=TrafficData[[#This Row],[totalChallan]])</f>
        <v>1</v>
      </c>
      <c r="O1396" s="8" t="b">
        <f>AND(TrafficData[[#This Row],[pendingAmount]]&lt;=TrafficData[[#This Row],[totalAmount]],TrafficData[[#This Row],[disposedAmount]]&lt;=TrafficData[[#This Row],[totalAmount]])</f>
        <v>1</v>
      </c>
      <c r="P1396" s="8" t="b">
        <f>AND(TrafficData[[#This Row],[pendingCourt]]&lt;=TrafficData[[#This Row],[totalCourt]],TrafficData[[#This Row],[disposedCourt]]&lt;=TrafficData[[#This Row],[totalCourt]])</f>
        <v>1</v>
      </c>
    </row>
    <row r="1397" spans="1:16">
      <c r="A1397" s="1">
        <v>43400</v>
      </c>
      <c r="B1397">
        <v>16479</v>
      </c>
      <c r="C1397">
        <v>13168</v>
      </c>
      <c r="D1397">
        <v>3311</v>
      </c>
      <c r="E1397">
        <v>4097825</v>
      </c>
      <c r="F1397">
        <v>21663200</v>
      </c>
      <c r="G1397">
        <v>25761025</v>
      </c>
      <c r="H1397">
        <v>1721</v>
      </c>
      <c r="I1397">
        <v>672</v>
      </c>
      <c r="J1397">
        <v>2393</v>
      </c>
      <c r="K1397" t="b">
        <f>TrafficData[[#This Row],[disposedChallan]]+TrafficData[[#This Row],[pendingChallan]]=TrafficData[[#This Row],[totalChallan]]</f>
        <v>1</v>
      </c>
      <c r="L1397" t="b">
        <f>TrafficData[[#This Row],[pendingAmount]]+TrafficData[[#This Row],[disposedAmount]]=TrafficData[[#This Row],[totalAmount]]</f>
        <v>1</v>
      </c>
      <c r="M1397" t="b">
        <f>TrafficData[[#This Row],[pendingCourt]]+TrafficData[[#This Row],[disposedCourt]]=TrafficData[[#This Row],[totalCourt]]</f>
        <v>1</v>
      </c>
      <c r="N1397" s="8" t="b">
        <f>AND(TrafficData[[#This Row],[disposedChallan]]&lt;=TrafficData[[#This Row],[totalChallan]],TrafficData[[#This Row],[pendingChallan]]&lt;=TrafficData[[#This Row],[totalChallan]])</f>
        <v>1</v>
      </c>
      <c r="O1397" s="8" t="b">
        <f>AND(TrafficData[[#This Row],[pendingAmount]]&lt;=TrafficData[[#This Row],[totalAmount]],TrafficData[[#This Row],[disposedAmount]]&lt;=TrafficData[[#This Row],[totalAmount]])</f>
        <v>1</v>
      </c>
      <c r="P1397" s="8" t="b">
        <f>AND(TrafficData[[#This Row],[pendingCourt]]&lt;=TrafficData[[#This Row],[totalCourt]],TrafficData[[#This Row],[disposedCourt]]&lt;=TrafficData[[#This Row],[totalCourt]])</f>
        <v>1</v>
      </c>
    </row>
    <row r="1398" spans="1:16">
      <c r="A1398" s="1">
        <v>43401</v>
      </c>
      <c r="B1398">
        <v>12458</v>
      </c>
      <c r="C1398">
        <v>10299</v>
      </c>
      <c r="D1398">
        <v>2159</v>
      </c>
      <c r="E1398">
        <v>2896090</v>
      </c>
      <c r="F1398">
        <v>12543455</v>
      </c>
      <c r="G1398">
        <v>15439545</v>
      </c>
      <c r="H1398">
        <v>1308</v>
      </c>
      <c r="I1398">
        <v>441</v>
      </c>
      <c r="J1398">
        <v>1749</v>
      </c>
      <c r="K1398" t="b">
        <f>TrafficData[[#This Row],[disposedChallan]]+TrafficData[[#This Row],[pendingChallan]]=TrafficData[[#This Row],[totalChallan]]</f>
        <v>1</v>
      </c>
      <c r="L1398" t="b">
        <f>TrafficData[[#This Row],[pendingAmount]]+TrafficData[[#This Row],[disposedAmount]]=TrafficData[[#This Row],[totalAmount]]</f>
        <v>1</v>
      </c>
      <c r="M1398" t="b">
        <f>TrafficData[[#This Row],[pendingCourt]]+TrafficData[[#This Row],[disposedCourt]]=TrafficData[[#This Row],[totalCourt]]</f>
        <v>1</v>
      </c>
      <c r="N1398" s="8" t="b">
        <f>AND(TrafficData[[#This Row],[disposedChallan]]&lt;=TrafficData[[#This Row],[totalChallan]],TrafficData[[#This Row],[pendingChallan]]&lt;=TrafficData[[#This Row],[totalChallan]])</f>
        <v>1</v>
      </c>
      <c r="O1398" s="8" t="b">
        <f>AND(TrafficData[[#This Row],[pendingAmount]]&lt;=TrafficData[[#This Row],[totalAmount]],TrafficData[[#This Row],[disposedAmount]]&lt;=TrafficData[[#This Row],[totalAmount]])</f>
        <v>1</v>
      </c>
      <c r="P1398" s="8" t="b">
        <f>AND(TrafficData[[#This Row],[pendingCourt]]&lt;=TrafficData[[#This Row],[totalCourt]],TrafficData[[#This Row],[disposedCourt]]&lt;=TrafficData[[#This Row],[totalCourt]])</f>
        <v>1</v>
      </c>
    </row>
    <row r="1399" spans="1:16">
      <c r="A1399" s="1">
        <v>43402</v>
      </c>
      <c r="B1399">
        <v>19127</v>
      </c>
      <c r="C1399">
        <v>14900</v>
      </c>
      <c r="D1399">
        <v>4227</v>
      </c>
      <c r="E1399">
        <v>5948524</v>
      </c>
      <c r="F1399">
        <v>21266469</v>
      </c>
      <c r="G1399">
        <v>27214993</v>
      </c>
      <c r="H1399">
        <v>2368</v>
      </c>
      <c r="I1399">
        <v>764</v>
      </c>
      <c r="J1399">
        <v>3132</v>
      </c>
      <c r="K1399" t="b">
        <f>TrafficData[[#This Row],[disposedChallan]]+TrafficData[[#This Row],[pendingChallan]]=TrafficData[[#This Row],[totalChallan]]</f>
        <v>1</v>
      </c>
      <c r="L1399" t="b">
        <f>TrafficData[[#This Row],[pendingAmount]]+TrafficData[[#This Row],[disposedAmount]]=TrafficData[[#This Row],[totalAmount]]</f>
        <v>1</v>
      </c>
      <c r="M1399" t="b">
        <f>TrafficData[[#This Row],[pendingCourt]]+TrafficData[[#This Row],[disposedCourt]]=TrafficData[[#This Row],[totalCourt]]</f>
        <v>1</v>
      </c>
      <c r="N1399" s="8" t="b">
        <f>AND(TrafficData[[#This Row],[disposedChallan]]&lt;=TrafficData[[#This Row],[totalChallan]],TrafficData[[#This Row],[pendingChallan]]&lt;=TrafficData[[#This Row],[totalChallan]])</f>
        <v>1</v>
      </c>
      <c r="O1399" s="8" t="b">
        <f>AND(TrafficData[[#This Row],[pendingAmount]]&lt;=TrafficData[[#This Row],[totalAmount]],TrafficData[[#This Row],[disposedAmount]]&lt;=TrafficData[[#This Row],[totalAmount]])</f>
        <v>1</v>
      </c>
      <c r="P1399" s="8" t="b">
        <f>AND(TrafficData[[#This Row],[pendingCourt]]&lt;=TrafficData[[#This Row],[totalCourt]],TrafficData[[#This Row],[disposedCourt]]&lt;=TrafficData[[#This Row],[totalCourt]])</f>
        <v>1</v>
      </c>
    </row>
    <row r="1400" spans="1:16">
      <c r="A1400" s="1">
        <v>43403</v>
      </c>
      <c r="B1400">
        <v>20613</v>
      </c>
      <c r="C1400">
        <v>16434</v>
      </c>
      <c r="D1400">
        <v>4179</v>
      </c>
      <c r="E1400">
        <v>5318258</v>
      </c>
      <c r="F1400">
        <v>28294280</v>
      </c>
      <c r="G1400">
        <v>33612538</v>
      </c>
      <c r="H1400">
        <v>2355</v>
      </c>
      <c r="I1400">
        <v>734</v>
      </c>
      <c r="J1400">
        <v>3089</v>
      </c>
      <c r="K1400" t="b">
        <f>TrafficData[[#This Row],[disposedChallan]]+TrafficData[[#This Row],[pendingChallan]]=TrafficData[[#This Row],[totalChallan]]</f>
        <v>1</v>
      </c>
      <c r="L1400" t="b">
        <f>TrafficData[[#This Row],[pendingAmount]]+TrafficData[[#This Row],[disposedAmount]]=TrafficData[[#This Row],[totalAmount]]</f>
        <v>1</v>
      </c>
      <c r="M1400" t="b">
        <f>TrafficData[[#This Row],[pendingCourt]]+TrafficData[[#This Row],[disposedCourt]]=TrafficData[[#This Row],[totalCourt]]</f>
        <v>1</v>
      </c>
      <c r="N1400" s="8" t="b">
        <f>AND(TrafficData[[#This Row],[disposedChallan]]&lt;=TrafficData[[#This Row],[totalChallan]],TrafficData[[#This Row],[pendingChallan]]&lt;=TrafficData[[#This Row],[totalChallan]])</f>
        <v>1</v>
      </c>
      <c r="O1400" s="8" t="b">
        <f>AND(TrafficData[[#This Row],[pendingAmount]]&lt;=TrafficData[[#This Row],[totalAmount]],TrafficData[[#This Row],[disposedAmount]]&lt;=TrafficData[[#This Row],[totalAmount]])</f>
        <v>1</v>
      </c>
      <c r="P1400" s="8" t="b">
        <f>AND(TrafficData[[#This Row],[pendingCourt]]&lt;=TrafficData[[#This Row],[totalCourt]],TrafficData[[#This Row],[disposedCourt]]&lt;=TrafficData[[#This Row],[totalCourt]])</f>
        <v>1</v>
      </c>
    </row>
    <row r="1401" spans="1:16">
      <c r="A1401" s="1">
        <v>43404</v>
      </c>
      <c r="B1401">
        <v>28306</v>
      </c>
      <c r="C1401">
        <v>21313</v>
      </c>
      <c r="D1401">
        <v>6993</v>
      </c>
      <c r="E1401">
        <v>8188610</v>
      </c>
      <c r="F1401">
        <v>32788936</v>
      </c>
      <c r="G1401">
        <v>40977546</v>
      </c>
      <c r="H1401">
        <v>5161</v>
      </c>
      <c r="I1401">
        <v>1321</v>
      </c>
      <c r="J1401">
        <v>6482</v>
      </c>
      <c r="K1401" t="b">
        <f>TrafficData[[#This Row],[disposedChallan]]+TrafficData[[#This Row],[pendingChallan]]=TrafficData[[#This Row],[totalChallan]]</f>
        <v>1</v>
      </c>
      <c r="L1401" t="b">
        <f>TrafficData[[#This Row],[pendingAmount]]+TrafficData[[#This Row],[disposedAmount]]=TrafficData[[#This Row],[totalAmount]]</f>
        <v>1</v>
      </c>
      <c r="M1401" t="b">
        <f>TrafficData[[#This Row],[pendingCourt]]+TrafficData[[#This Row],[disposedCourt]]=TrafficData[[#This Row],[totalCourt]]</f>
        <v>1</v>
      </c>
      <c r="N1401" s="8" t="b">
        <f>AND(TrafficData[[#This Row],[disposedChallan]]&lt;=TrafficData[[#This Row],[totalChallan]],TrafficData[[#This Row],[pendingChallan]]&lt;=TrafficData[[#This Row],[totalChallan]])</f>
        <v>1</v>
      </c>
      <c r="O1401" s="8" t="b">
        <f>AND(TrafficData[[#This Row],[pendingAmount]]&lt;=TrafficData[[#This Row],[totalAmount]],TrafficData[[#This Row],[disposedAmount]]&lt;=TrafficData[[#This Row],[totalAmount]])</f>
        <v>1</v>
      </c>
      <c r="P1401" s="8" t="b">
        <f>AND(TrafficData[[#This Row],[pendingCourt]]&lt;=TrafficData[[#This Row],[totalCourt]],TrafficData[[#This Row],[disposedCourt]]&lt;=TrafficData[[#This Row],[totalCourt]])</f>
        <v>1</v>
      </c>
    </row>
    <row r="1402" spans="1:16">
      <c r="A1402" s="1">
        <v>43405</v>
      </c>
      <c r="B1402">
        <v>22318</v>
      </c>
      <c r="C1402">
        <v>18465</v>
      </c>
      <c r="D1402">
        <v>3853</v>
      </c>
      <c r="E1402">
        <v>4594137</v>
      </c>
      <c r="F1402">
        <v>43809242</v>
      </c>
      <c r="G1402">
        <v>48403379</v>
      </c>
      <c r="H1402">
        <v>2053</v>
      </c>
      <c r="I1402">
        <v>650</v>
      </c>
      <c r="J1402">
        <v>2703</v>
      </c>
      <c r="K1402" t="b">
        <f>TrafficData[[#This Row],[disposedChallan]]+TrafficData[[#This Row],[pendingChallan]]=TrafficData[[#This Row],[totalChallan]]</f>
        <v>1</v>
      </c>
      <c r="L1402" t="b">
        <f>TrafficData[[#This Row],[pendingAmount]]+TrafficData[[#This Row],[disposedAmount]]=TrafficData[[#This Row],[totalAmount]]</f>
        <v>1</v>
      </c>
      <c r="M1402" t="b">
        <f>TrafficData[[#This Row],[pendingCourt]]+TrafficData[[#This Row],[disposedCourt]]=TrafficData[[#This Row],[totalCourt]]</f>
        <v>1</v>
      </c>
      <c r="N1402" s="8" t="b">
        <f>AND(TrafficData[[#This Row],[disposedChallan]]&lt;=TrafficData[[#This Row],[totalChallan]],TrafficData[[#This Row],[pendingChallan]]&lt;=TrafficData[[#This Row],[totalChallan]])</f>
        <v>1</v>
      </c>
      <c r="O1402" s="8" t="b">
        <f>AND(TrafficData[[#This Row],[pendingAmount]]&lt;=TrafficData[[#This Row],[totalAmount]],TrafficData[[#This Row],[disposedAmount]]&lt;=TrafficData[[#This Row],[totalAmount]])</f>
        <v>1</v>
      </c>
      <c r="P1402" s="8" t="b">
        <f>AND(TrafficData[[#This Row],[pendingCourt]]&lt;=TrafficData[[#This Row],[totalCourt]],TrafficData[[#This Row],[disposedCourt]]&lt;=TrafficData[[#This Row],[totalCourt]])</f>
        <v>1</v>
      </c>
    </row>
    <row r="1403" spans="1:16">
      <c r="A1403" s="1">
        <v>43406</v>
      </c>
      <c r="B1403">
        <v>23218</v>
      </c>
      <c r="C1403">
        <v>18908</v>
      </c>
      <c r="D1403">
        <v>4310</v>
      </c>
      <c r="E1403">
        <v>4927291</v>
      </c>
      <c r="F1403">
        <v>36315165</v>
      </c>
      <c r="G1403">
        <v>41242456</v>
      </c>
      <c r="H1403">
        <v>2350</v>
      </c>
      <c r="I1403">
        <v>815</v>
      </c>
      <c r="J1403">
        <v>3165</v>
      </c>
      <c r="K1403" t="b">
        <f>TrafficData[[#This Row],[disposedChallan]]+TrafficData[[#This Row],[pendingChallan]]=TrafficData[[#This Row],[totalChallan]]</f>
        <v>1</v>
      </c>
      <c r="L1403" t="b">
        <f>TrafficData[[#This Row],[pendingAmount]]+TrafficData[[#This Row],[disposedAmount]]=TrafficData[[#This Row],[totalAmount]]</f>
        <v>1</v>
      </c>
      <c r="M1403" t="b">
        <f>TrafficData[[#This Row],[pendingCourt]]+TrafficData[[#This Row],[disposedCourt]]=TrafficData[[#This Row],[totalCourt]]</f>
        <v>1</v>
      </c>
      <c r="N1403" s="8" t="b">
        <f>AND(TrafficData[[#This Row],[disposedChallan]]&lt;=TrafficData[[#This Row],[totalChallan]],TrafficData[[#This Row],[pendingChallan]]&lt;=TrafficData[[#This Row],[totalChallan]])</f>
        <v>1</v>
      </c>
      <c r="O1403" s="8" t="b">
        <f>AND(TrafficData[[#This Row],[pendingAmount]]&lt;=TrafficData[[#This Row],[totalAmount]],TrafficData[[#This Row],[disposedAmount]]&lt;=TrafficData[[#This Row],[totalAmount]])</f>
        <v>1</v>
      </c>
      <c r="P1403" s="8" t="b">
        <f>AND(TrafficData[[#This Row],[pendingCourt]]&lt;=TrafficData[[#This Row],[totalCourt]],TrafficData[[#This Row],[disposedCourt]]&lt;=TrafficData[[#This Row],[totalCourt]])</f>
        <v>1</v>
      </c>
    </row>
    <row r="1404" spans="1:16">
      <c r="A1404" s="1">
        <v>43407</v>
      </c>
      <c r="B1404">
        <v>21642</v>
      </c>
      <c r="C1404">
        <v>17307</v>
      </c>
      <c r="D1404">
        <v>4335</v>
      </c>
      <c r="E1404">
        <v>7860129</v>
      </c>
      <c r="F1404">
        <v>34950817</v>
      </c>
      <c r="G1404">
        <v>42810946</v>
      </c>
      <c r="H1404">
        <v>2173</v>
      </c>
      <c r="I1404">
        <v>674</v>
      </c>
      <c r="J1404">
        <v>2847</v>
      </c>
      <c r="K1404" t="b">
        <f>TrafficData[[#This Row],[disposedChallan]]+TrafficData[[#This Row],[pendingChallan]]=TrafficData[[#This Row],[totalChallan]]</f>
        <v>1</v>
      </c>
      <c r="L1404" t="b">
        <f>TrafficData[[#This Row],[pendingAmount]]+TrafficData[[#This Row],[disposedAmount]]=TrafficData[[#This Row],[totalAmount]]</f>
        <v>1</v>
      </c>
      <c r="M1404" t="b">
        <f>TrafficData[[#This Row],[pendingCourt]]+TrafficData[[#This Row],[disposedCourt]]=TrafficData[[#This Row],[totalCourt]]</f>
        <v>1</v>
      </c>
      <c r="N1404" s="8" t="b">
        <f>AND(TrafficData[[#This Row],[disposedChallan]]&lt;=TrafficData[[#This Row],[totalChallan]],TrafficData[[#This Row],[pendingChallan]]&lt;=TrafficData[[#This Row],[totalChallan]])</f>
        <v>1</v>
      </c>
      <c r="O1404" s="8" t="b">
        <f>AND(TrafficData[[#This Row],[pendingAmount]]&lt;=TrafficData[[#This Row],[totalAmount]],TrafficData[[#This Row],[disposedAmount]]&lt;=TrafficData[[#This Row],[totalAmount]])</f>
        <v>1</v>
      </c>
      <c r="P1404" s="8" t="b">
        <f>AND(TrafficData[[#This Row],[pendingCourt]]&lt;=TrafficData[[#This Row],[totalCourt]],TrafficData[[#This Row],[disposedCourt]]&lt;=TrafficData[[#This Row],[totalCourt]])</f>
        <v>1</v>
      </c>
    </row>
    <row r="1405" spans="1:16">
      <c r="A1405" s="1">
        <v>43408</v>
      </c>
      <c r="B1405">
        <v>16866</v>
      </c>
      <c r="C1405">
        <v>13796</v>
      </c>
      <c r="D1405">
        <v>3070</v>
      </c>
      <c r="E1405">
        <v>3012430</v>
      </c>
      <c r="F1405">
        <v>21410357</v>
      </c>
      <c r="G1405">
        <v>24422787</v>
      </c>
      <c r="H1405">
        <v>1634</v>
      </c>
      <c r="I1405">
        <v>529</v>
      </c>
      <c r="J1405">
        <v>2163</v>
      </c>
      <c r="K1405" t="b">
        <f>TrafficData[[#This Row],[disposedChallan]]+TrafficData[[#This Row],[pendingChallan]]=TrafficData[[#This Row],[totalChallan]]</f>
        <v>1</v>
      </c>
      <c r="L1405" t="b">
        <f>TrafficData[[#This Row],[pendingAmount]]+TrafficData[[#This Row],[disposedAmount]]=TrafficData[[#This Row],[totalAmount]]</f>
        <v>1</v>
      </c>
      <c r="M1405" t="b">
        <f>TrafficData[[#This Row],[pendingCourt]]+TrafficData[[#This Row],[disposedCourt]]=TrafficData[[#This Row],[totalCourt]]</f>
        <v>1</v>
      </c>
      <c r="N1405" s="8" t="b">
        <f>AND(TrafficData[[#This Row],[disposedChallan]]&lt;=TrafficData[[#This Row],[totalChallan]],TrafficData[[#This Row],[pendingChallan]]&lt;=TrafficData[[#This Row],[totalChallan]])</f>
        <v>1</v>
      </c>
      <c r="O1405" s="8" t="b">
        <f>AND(TrafficData[[#This Row],[pendingAmount]]&lt;=TrafficData[[#This Row],[totalAmount]],TrafficData[[#This Row],[disposedAmount]]&lt;=TrafficData[[#This Row],[totalAmount]])</f>
        <v>1</v>
      </c>
      <c r="P1405" s="8" t="b">
        <f>AND(TrafficData[[#This Row],[pendingCourt]]&lt;=TrafficData[[#This Row],[totalCourt]],TrafficData[[#This Row],[disposedCourt]]&lt;=TrafficData[[#This Row],[totalCourt]])</f>
        <v>1</v>
      </c>
    </row>
    <row r="1406" spans="1:16">
      <c r="A1406" s="1">
        <v>43409</v>
      </c>
      <c r="B1406">
        <v>19592</v>
      </c>
      <c r="C1406">
        <v>15276</v>
      </c>
      <c r="D1406">
        <v>4316</v>
      </c>
      <c r="E1406">
        <v>4109125</v>
      </c>
      <c r="F1406">
        <v>20487051</v>
      </c>
      <c r="G1406">
        <v>24596176</v>
      </c>
      <c r="H1406">
        <v>2239</v>
      </c>
      <c r="I1406">
        <v>717</v>
      </c>
      <c r="J1406">
        <v>2956</v>
      </c>
      <c r="K1406" t="b">
        <f>TrafficData[[#This Row],[disposedChallan]]+TrafficData[[#This Row],[pendingChallan]]=TrafficData[[#This Row],[totalChallan]]</f>
        <v>1</v>
      </c>
      <c r="L1406" t="b">
        <f>TrafficData[[#This Row],[pendingAmount]]+TrafficData[[#This Row],[disposedAmount]]=TrafficData[[#This Row],[totalAmount]]</f>
        <v>1</v>
      </c>
      <c r="M1406" t="b">
        <f>TrafficData[[#This Row],[pendingCourt]]+TrafficData[[#This Row],[disposedCourt]]=TrafficData[[#This Row],[totalCourt]]</f>
        <v>1</v>
      </c>
      <c r="N1406" s="8" t="b">
        <f>AND(TrafficData[[#This Row],[disposedChallan]]&lt;=TrafficData[[#This Row],[totalChallan]],TrafficData[[#This Row],[pendingChallan]]&lt;=TrafficData[[#This Row],[totalChallan]])</f>
        <v>1</v>
      </c>
      <c r="O1406" s="8" t="b">
        <f>AND(TrafficData[[#This Row],[pendingAmount]]&lt;=TrafficData[[#This Row],[totalAmount]],TrafficData[[#This Row],[disposedAmount]]&lt;=TrafficData[[#This Row],[totalAmount]])</f>
        <v>1</v>
      </c>
      <c r="P1406" s="8" t="b">
        <f>AND(TrafficData[[#This Row],[pendingCourt]]&lt;=TrafficData[[#This Row],[totalCourt]],TrafficData[[#This Row],[disposedCourt]]&lt;=TrafficData[[#This Row],[totalCourt]])</f>
        <v>1</v>
      </c>
    </row>
    <row r="1407" spans="1:16">
      <c r="A1407" s="1">
        <v>43410</v>
      </c>
      <c r="B1407">
        <v>15627</v>
      </c>
      <c r="C1407">
        <v>11983</v>
      </c>
      <c r="D1407">
        <v>3644</v>
      </c>
      <c r="E1407">
        <v>4059175</v>
      </c>
      <c r="F1407">
        <v>11991736</v>
      </c>
      <c r="G1407">
        <v>16050911</v>
      </c>
      <c r="H1407">
        <v>1799</v>
      </c>
      <c r="I1407">
        <v>576</v>
      </c>
      <c r="J1407">
        <v>2375</v>
      </c>
      <c r="K1407" t="b">
        <f>TrafficData[[#This Row],[disposedChallan]]+TrafficData[[#This Row],[pendingChallan]]=TrafficData[[#This Row],[totalChallan]]</f>
        <v>1</v>
      </c>
      <c r="L1407" t="b">
        <f>TrafficData[[#This Row],[pendingAmount]]+TrafficData[[#This Row],[disposedAmount]]=TrafficData[[#This Row],[totalAmount]]</f>
        <v>1</v>
      </c>
      <c r="M1407" t="b">
        <f>TrafficData[[#This Row],[pendingCourt]]+TrafficData[[#This Row],[disposedCourt]]=TrafficData[[#This Row],[totalCourt]]</f>
        <v>1</v>
      </c>
      <c r="N1407" s="8" t="b">
        <f>AND(TrafficData[[#This Row],[disposedChallan]]&lt;=TrafficData[[#This Row],[totalChallan]],TrafficData[[#This Row],[pendingChallan]]&lt;=TrafficData[[#This Row],[totalChallan]])</f>
        <v>1</v>
      </c>
      <c r="O1407" s="8" t="b">
        <f>AND(TrafficData[[#This Row],[pendingAmount]]&lt;=TrafficData[[#This Row],[totalAmount]],TrafficData[[#This Row],[disposedAmount]]&lt;=TrafficData[[#This Row],[totalAmount]])</f>
        <v>1</v>
      </c>
      <c r="P1407" s="8" t="b">
        <f>AND(TrafficData[[#This Row],[pendingCourt]]&lt;=TrafficData[[#This Row],[totalCourt]],TrafficData[[#This Row],[disposedCourt]]&lt;=TrafficData[[#This Row],[totalCourt]])</f>
        <v>1</v>
      </c>
    </row>
    <row r="1408" spans="1:16">
      <c r="A1408" s="1">
        <v>43411</v>
      </c>
      <c r="B1408">
        <v>5902</v>
      </c>
      <c r="C1408">
        <v>4283</v>
      </c>
      <c r="D1408">
        <v>1619</v>
      </c>
      <c r="E1408">
        <v>2753400</v>
      </c>
      <c r="F1408">
        <v>4666700</v>
      </c>
      <c r="G1408">
        <v>7420100</v>
      </c>
      <c r="H1408">
        <v>514</v>
      </c>
      <c r="I1408">
        <v>191</v>
      </c>
      <c r="J1408">
        <v>705</v>
      </c>
      <c r="K1408" t="b">
        <f>TrafficData[[#This Row],[disposedChallan]]+TrafficData[[#This Row],[pendingChallan]]=TrafficData[[#This Row],[totalChallan]]</f>
        <v>1</v>
      </c>
      <c r="L1408" t="b">
        <f>TrafficData[[#This Row],[pendingAmount]]+TrafficData[[#This Row],[disposedAmount]]=TrafficData[[#This Row],[totalAmount]]</f>
        <v>1</v>
      </c>
      <c r="M1408" t="b">
        <f>TrafficData[[#This Row],[pendingCourt]]+TrafficData[[#This Row],[disposedCourt]]=TrafficData[[#This Row],[totalCourt]]</f>
        <v>1</v>
      </c>
      <c r="N1408" s="8" t="b">
        <f>AND(TrafficData[[#This Row],[disposedChallan]]&lt;=TrafficData[[#This Row],[totalChallan]],TrafficData[[#This Row],[pendingChallan]]&lt;=TrafficData[[#This Row],[totalChallan]])</f>
        <v>1</v>
      </c>
      <c r="O1408" s="8" t="b">
        <f>AND(TrafficData[[#This Row],[pendingAmount]]&lt;=TrafficData[[#This Row],[totalAmount]],TrafficData[[#This Row],[disposedAmount]]&lt;=TrafficData[[#This Row],[totalAmount]])</f>
        <v>1</v>
      </c>
      <c r="P1408" s="8" t="b">
        <f>AND(TrafficData[[#This Row],[pendingCourt]]&lt;=TrafficData[[#This Row],[totalCourt]],TrafficData[[#This Row],[disposedCourt]]&lt;=TrafficData[[#This Row],[totalCourt]])</f>
        <v>1</v>
      </c>
    </row>
    <row r="1409" spans="1:16">
      <c r="A1409" s="1">
        <v>43412</v>
      </c>
      <c r="B1409">
        <v>10160</v>
      </c>
      <c r="C1409">
        <v>7830</v>
      </c>
      <c r="D1409">
        <v>2330</v>
      </c>
      <c r="E1409">
        <v>3884198</v>
      </c>
      <c r="F1409">
        <v>6922712</v>
      </c>
      <c r="G1409">
        <v>10806910</v>
      </c>
      <c r="H1409">
        <v>1067</v>
      </c>
      <c r="I1409">
        <v>386</v>
      </c>
      <c r="J1409">
        <v>1453</v>
      </c>
      <c r="K1409" t="b">
        <f>TrafficData[[#This Row],[disposedChallan]]+TrafficData[[#This Row],[pendingChallan]]=TrafficData[[#This Row],[totalChallan]]</f>
        <v>1</v>
      </c>
      <c r="L1409" t="b">
        <f>TrafficData[[#This Row],[pendingAmount]]+TrafficData[[#This Row],[disposedAmount]]=TrafficData[[#This Row],[totalAmount]]</f>
        <v>1</v>
      </c>
      <c r="M1409" t="b">
        <f>TrafficData[[#This Row],[pendingCourt]]+TrafficData[[#This Row],[disposedCourt]]=TrafficData[[#This Row],[totalCourt]]</f>
        <v>1</v>
      </c>
      <c r="N1409" s="8" t="b">
        <f>AND(TrafficData[[#This Row],[disposedChallan]]&lt;=TrafficData[[#This Row],[totalChallan]],TrafficData[[#This Row],[pendingChallan]]&lt;=TrafficData[[#This Row],[totalChallan]])</f>
        <v>1</v>
      </c>
      <c r="O1409" s="8" t="b">
        <f>AND(TrafficData[[#This Row],[pendingAmount]]&lt;=TrafficData[[#This Row],[totalAmount]],TrafficData[[#This Row],[disposedAmount]]&lt;=TrafficData[[#This Row],[totalAmount]])</f>
        <v>1</v>
      </c>
      <c r="P1409" s="8" t="b">
        <f>AND(TrafficData[[#This Row],[pendingCourt]]&lt;=TrafficData[[#This Row],[totalCourt]],TrafficData[[#This Row],[disposedCourt]]&lt;=TrafficData[[#This Row],[totalCourt]])</f>
        <v>1</v>
      </c>
    </row>
    <row r="1410" spans="1:16">
      <c r="A1410" s="1">
        <v>43413</v>
      </c>
      <c r="B1410">
        <v>15353</v>
      </c>
      <c r="C1410">
        <v>12212</v>
      </c>
      <c r="D1410">
        <v>3141</v>
      </c>
      <c r="E1410">
        <v>3634050</v>
      </c>
      <c r="F1410">
        <v>8693819</v>
      </c>
      <c r="G1410">
        <v>12327869</v>
      </c>
      <c r="H1410">
        <v>1387</v>
      </c>
      <c r="I1410">
        <v>559</v>
      </c>
      <c r="J1410">
        <v>1946</v>
      </c>
      <c r="K1410" t="b">
        <f>TrafficData[[#This Row],[disposedChallan]]+TrafficData[[#This Row],[pendingChallan]]=TrafficData[[#This Row],[totalChallan]]</f>
        <v>1</v>
      </c>
      <c r="L1410" t="b">
        <f>TrafficData[[#This Row],[pendingAmount]]+TrafficData[[#This Row],[disposedAmount]]=TrafficData[[#This Row],[totalAmount]]</f>
        <v>1</v>
      </c>
      <c r="M1410" t="b">
        <f>TrafficData[[#This Row],[pendingCourt]]+TrafficData[[#This Row],[disposedCourt]]=TrafficData[[#This Row],[totalCourt]]</f>
        <v>1</v>
      </c>
      <c r="N1410" s="8" t="b">
        <f>AND(TrafficData[[#This Row],[disposedChallan]]&lt;=TrafficData[[#This Row],[totalChallan]],TrafficData[[#This Row],[pendingChallan]]&lt;=TrafficData[[#This Row],[totalChallan]])</f>
        <v>1</v>
      </c>
      <c r="O1410" s="8" t="b">
        <f>AND(TrafficData[[#This Row],[pendingAmount]]&lt;=TrafficData[[#This Row],[totalAmount]],TrafficData[[#This Row],[disposedAmount]]&lt;=TrafficData[[#This Row],[totalAmount]])</f>
        <v>1</v>
      </c>
      <c r="P1410" s="8" t="b">
        <f>AND(TrafficData[[#This Row],[pendingCourt]]&lt;=TrafficData[[#This Row],[totalCourt]],TrafficData[[#This Row],[disposedCourt]]&lt;=TrafficData[[#This Row],[totalCourt]])</f>
        <v>1</v>
      </c>
    </row>
    <row r="1411" spans="1:16">
      <c r="A1411" s="1">
        <v>43414</v>
      </c>
      <c r="B1411">
        <v>17606</v>
      </c>
      <c r="C1411">
        <v>14184</v>
      </c>
      <c r="D1411">
        <v>3422</v>
      </c>
      <c r="E1411">
        <v>3587447</v>
      </c>
      <c r="F1411">
        <v>12933272</v>
      </c>
      <c r="G1411">
        <v>16520719</v>
      </c>
      <c r="H1411">
        <v>1698</v>
      </c>
      <c r="I1411">
        <v>612</v>
      </c>
      <c r="J1411">
        <v>2310</v>
      </c>
      <c r="K1411" t="b">
        <f>TrafficData[[#This Row],[disposedChallan]]+TrafficData[[#This Row],[pendingChallan]]=TrafficData[[#This Row],[totalChallan]]</f>
        <v>1</v>
      </c>
      <c r="L1411" t="b">
        <f>TrafficData[[#This Row],[pendingAmount]]+TrafficData[[#This Row],[disposedAmount]]=TrafficData[[#This Row],[totalAmount]]</f>
        <v>1</v>
      </c>
      <c r="M1411" t="b">
        <f>TrafficData[[#This Row],[pendingCourt]]+TrafficData[[#This Row],[disposedCourt]]=TrafficData[[#This Row],[totalCourt]]</f>
        <v>1</v>
      </c>
      <c r="N1411" s="8" t="b">
        <f>AND(TrafficData[[#This Row],[disposedChallan]]&lt;=TrafficData[[#This Row],[totalChallan]],TrafficData[[#This Row],[pendingChallan]]&lt;=TrafficData[[#This Row],[totalChallan]])</f>
        <v>1</v>
      </c>
      <c r="O1411" s="8" t="b">
        <f>AND(TrafficData[[#This Row],[pendingAmount]]&lt;=TrafficData[[#This Row],[totalAmount]],TrafficData[[#This Row],[disposedAmount]]&lt;=TrafficData[[#This Row],[totalAmount]])</f>
        <v>1</v>
      </c>
      <c r="P1411" s="8" t="b">
        <f>AND(TrafficData[[#This Row],[pendingCourt]]&lt;=TrafficData[[#This Row],[totalCourt]],TrafficData[[#This Row],[disposedCourt]]&lt;=TrafficData[[#This Row],[totalCourt]])</f>
        <v>1</v>
      </c>
    </row>
    <row r="1412" spans="1:16">
      <c r="A1412" s="1">
        <v>43415</v>
      </c>
      <c r="B1412">
        <v>15888</v>
      </c>
      <c r="C1412">
        <v>13180</v>
      </c>
      <c r="D1412">
        <v>2708</v>
      </c>
      <c r="E1412">
        <v>4948713</v>
      </c>
      <c r="F1412">
        <v>12929785</v>
      </c>
      <c r="G1412">
        <v>17878498</v>
      </c>
      <c r="H1412">
        <v>1226</v>
      </c>
      <c r="I1412">
        <v>527</v>
      </c>
      <c r="J1412">
        <v>1753</v>
      </c>
      <c r="K1412" t="b">
        <f>TrafficData[[#This Row],[disposedChallan]]+TrafficData[[#This Row],[pendingChallan]]=TrafficData[[#This Row],[totalChallan]]</f>
        <v>1</v>
      </c>
      <c r="L1412" t="b">
        <f>TrafficData[[#This Row],[pendingAmount]]+TrafficData[[#This Row],[disposedAmount]]=TrafficData[[#This Row],[totalAmount]]</f>
        <v>1</v>
      </c>
      <c r="M1412" t="b">
        <f>TrafficData[[#This Row],[pendingCourt]]+TrafficData[[#This Row],[disposedCourt]]=TrafficData[[#This Row],[totalCourt]]</f>
        <v>1</v>
      </c>
      <c r="N1412" s="8" t="b">
        <f>AND(TrafficData[[#This Row],[disposedChallan]]&lt;=TrafficData[[#This Row],[totalChallan]],TrafficData[[#This Row],[pendingChallan]]&lt;=TrafficData[[#This Row],[totalChallan]])</f>
        <v>1</v>
      </c>
      <c r="O1412" s="8" t="b">
        <f>AND(TrafficData[[#This Row],[pendingAmount]]&lt;=TrafficData[[#This Row],[totalAmount]],TrafficData[[#This Row],[disposedAmount]]&lt;=TrafficData[[#This Row],[totalAmount]])</f>
        <v>1</v>
      </c>
      <c r="P1412" s="8" t="b">
        <f>AND(TrafficData[[#This Row],[pendingCourt]]&lt;=TrafficData[[#This Row],[totalCourt]],TrafficData[[#This Row],[disposedCourt]]&lt;=TrafficData[[#This Row],[totalCourt]])</f>
        <v>1</v>
      </c>
    </row>
    <row r="1413" spans="1:16">
      <c r="A1413" s="1">
        <v>43416</v>
      </c>
      <c r="B1413">
        <v>18981</v>
      </c>
      <c r="C1413">
        <v>14465</v>
      </c>
      <c r="D1413">
        <v>4516</v>
      </c>
      <c r="E1413">
        <v>8849548</v>
      </c>
      <c r="F1413">
        <v>23024310</v>
      </c>
      <c r="G1413">
        <v>31873858</v>
      </c>
      <c r="H1413">
        <v>1730</v>
      </c>
      <c r="I1413">
        <v>750</v>
      </c>
      <c r="J1413">
        <v>2480</v>
      </c>
      <c r="K1413" t="b">
        <f>TrafficData[[#This Row],[disposedChallan]]+TrafficData[[#This Row],[pendingChallan]]=TrafficData[[#This Row],[totalChallan]]</f>
        <v>1</v>
      </c>
      <c r="L1413" t="b">
        <f>TrafficData[[#This Row],[pendingAmount]]+TrafficData[[#This Row],[disposedAmount]]=TrafficData[[#This Row],[totalAmount]]</f>
        <v>1</v>
      </c>
      <c r="M1413" t="b">
        <f>TrafficData[[#This Row],[pendingCourt]]+TrafficData[[#This Row],[disposedCourt]]=TrafficData[[#This Row],[totalCourt]]</f>
        <v>1</v>
      </c>
      <c r="N1413" s="8" t="b">
        <f>AND(TrafficData[[#This Row],[disposedChallan]]&lt;=TrafficData[[#This Row],[totalChallan]],TrafficData[[#This Row],[pendingChallan]]&lt;=TrafficData[[#This Row],[totalChallan]])</f>
        <v>1</v>
      </c>
      <c r="O1413" s="8" t="b">
        <f>AND(TrafficData[[#This Row],[pendingAmount]]&lt;=TrafficData[[#This Row],[totalAmount]],TrafficData[[#This Row],[disposedAmount]]&lt;=TrafficData[[#This Row],[totalAmount]])</f>
        <v>1</v>
      </c>
      <c r="P1413" s="8" t="b">
        <f>AND(TrafficData[[#This Row],[pendingCourt]]&lt;=TrafficData[[#This Row],[totalCourt]],TrafficData[[#This Row],[disposedCourt]]&lt;=TrafficData[[#This Row],[totalCourt]])</f>
        <v>1</v>
      </c>
    </row>
    <row r="1414" spans="1:16">
      <c r="A1414" s="1">
        <v>43417</v>
      </c>
      <c r="B1414">
        <v>21272</v>
      </c>
      <c r="C1414">
        <v>16470</v>
      </c>
      <c r="D1414">
        <v>4802</v>
      </c>
      <c r="E1414">
        <v>8405669</v>
      </c>
      <c r="F1414">
        <v>27345953</v>
      </c>
      <c r="G1414">
        <v>35751622</v>
      </c>
      <c r="H1414">
        <v>1668</v>
      </c>
      <c r="I1414">
        <v>950</v>
      </c>
      <c r="J1414">
        <v>2618</v>
      </c>
      <c r="K1414" t="b">
        <f>TrafficData[[#This Row],[disposedChallan]]+TrafficData[[#This Row],[pendingChallan]]=TrafficData[[#This Row],[totalChallan]]</f>
        <v>1</v>
      </c>
      <c r="L1414" t="b">
        <f>TrafficData[[#This Row],[pendingAmount]]+TrafficData[[#This Row],[disposedAmount]]=TrafficData[[#This Row],[totalAmount]]</f>
        <v>1</v>
      </c>
      <c r="M1414" t="b">
        <f>TrafficData[[#This Row],[pendingCourt]]+TrafficData[[#This Row],[disposedCourt]]=TrafficData[[#This Row],[totalCourt]]</f>
        <v>1</v>
      </c>
      <c r="N1414" s="8" t="b">
        <f>AND(TrafficData[[#This Row],[disposedChallan]]&lt;=TrafficData[[#This Row],[totalChallan]],TrafficData[[#This Row],[pendingChallan]]&lt;=TrafficData[[#This Row],[totalChallan]])</f>
        <v>1</v>
      </c>
      <c r="O1414" s="8" t="b">
        <f>AND(TrafficData[[#This Row],[pendingAmount]]&lt;=TrafficData[[#This Row],[totalAmount]],TrafficData[[#This Row],[disposedAmount]]&lt;=TrafficData[[#This Row],[totalAmount]])</f>
        <v>1</v>
      </c>
      <c r="P1414" s="8" t="b">
        <f>AND(TrafficData[[#This Row],[pendingCourt]]&lt;=TrafficData[[#This Row],[totalCourt]],TrafficData[[#This Row],[disposedCourt]]&lt;=TrafficData[[#This Row],[totalCourt]])</f>
        <v>1</v>
      </c>
    </row>
    <row r="1415" spans="1:16">
      <c r="A1415" s="1">
        <v>43418</v>
      </c>
      <c r="B1415">
        <v>29662</v>
      </c>
      <c r="C1415">
        <v>21824</v>
      </c>
      <c r="D1415">
        <v>7838</v>
      </c>
      <c r="E1415">
        <v>14268660</v>
      </c>
      <c r="F1415">
        <v>26180589</v>
      </c>
      <c r="G1415">
        <v>40449249</v>
      </c>
      <c r="H1415">
        <v>4314</v>
      </c>
      <c r="I1415">
        <v>1331</v>
      </c>
      <c r="J1415">
        <v>5645</v>
      </c>
      <c r="K1415" t="b">
        <f>TrafficData[[#This Row],[disposedChallan]]+TrafficData[[#This Row],[pendingChallan]]=TrafficData[[#This Row],[totalChallan]]</f>
        <v>1</v>
      </c>
      <c r="L1415" t="b">
        <f>TrafficData[[#This Row],[pendingAmount]]+TrafficData[[#This Row],[disposedAmount]]=TrafficData[[#This Row],[totalAmount]]</f>
        <v>1</v>
      </c>
      <c r="M1415" t="b">
        <f>TrafficData[[#This Row],[pendingCourt]]+TrafficData[[#This Row],[disposedCourt]]=TrafficData[[#This Row],[totalCourt]]</f>
        <v>1</v>
      </c>
      <c r="N1415" s="8" t="b">
        <f>AND(TrafficData[[#This Row],[disposedChallan]]&lt;=TrafficData[[#This Row],[totalChallan]],TrafficData[[#This Row],[pendingChallan]]&lt;=TrafficData[[#This Row],[totalChallan]])</f>
        <v>1</v>
      </c>
      <c r="O1415" s="8" t="b">
        <f>AND(TrafficData[[#This Row],[pendingAmount]]&lt;=TrafficData[[#This Row],[totalAmount]],TrafficData[[#This Row],[disposedAmount]]&lt;=TrafficData[[#This Row],[totalAmount]])</f>
        <v>1</v>
      </c>
      <c r="P1415" s="8" t="b">
        <f>AND(TrafficData[[#This Row],[pendingCourt]]&lt;=TrafficData[[#This Row],[totalCourt]],TrafficData[[#This Row],[disposedCourt]]&lt;=TrafficData[[#This Row],[totalCourt]])</f>
        <v>1</v>
      </c>
    </row>
    <row r="1416" spans="1:16">
      <c r="A1416" s="1">
        <v>43419</v>
      </c>
      <c r="B1416">
        <v>22380</v>
      </c>
      <c r="C1416">
        <v>17743</v>
      </c>
      <c r="D1416">
        <v>4637</v>
      </c>
      <c r="E1416">
        <v>7698259</v>
      </c>
      <c r="F1416">
        <v>27227071</v>
      </c>
      <c r="G1416">
        <v>34925330</v>
      </c>
      <c r="H1416">
        <v>1747</v>
      </c>
      <c r="I1416">
        <v>1022</v>
      </c>
      <c r="J1416">
        <v>2769</v>
      </c>
      <c r="K1416" t="b">
        <f>TrafficData[[#This Row],[disposedChallan]]+TrafficData[[#This Row],[pendingChallan]]=TrafficData[[#This Row],[totalChallan]]</f>
        <v>1</v>
      </c>
      <c r="L1416" t="b">
        <f>TrafficData[[#This Row],[pendingAmount]]+TrafficData[[#This Row],[disposedAmount]]=TrafficData[[#This Row],[totalAmount]]</f>
        <v>1</v>
      </c>
      <c r="M1416" t="b">
        <f>TrafficData[[#This Row],[pendingCourt]]+TrafficData[[#This Row],[disposedCourt]]=TrafficData[[#This Row],[totalCourt]]</f>
        <v>1</v>
      </c>
      <c r="N1416" s="8" t="b">
        <f>AND(TrafficData[[#This Row],[disposedChallan]]&lt;=TrafficData[[#This Row],[totalChallan]],TrafficData[[#This Row],[pendingChallan]]&lt;=TrafficData[[#This Row],[totalChallan]])</f>
        <v>1</v>
      </c>
      <c r="O1416" s="8" t="b">
        <f>AND(TrafficData[[#This Row],[pendingAmount]]&lt;=TrafficData[[#This Row],[totalAmount]],TrafficData[[#This Row],[disposedAmount]]&lt;=TrafficData[[#This Row],[totalAmount]])</f>
        <v>1</v>
      </c>
      <c r="P1416" s="8" t="b">
        <f>AND(TrafficData[[#This Row],[pendingCourt]]&lt;=TrafficData[[#This Row],[totalCourt]],TrafficData[[#This Row],[disposedCourt]]&lt;=TrafficData[[#This Row],[totalCourt]])</f>
        <v>1</v>
      </c>
    </row>
    <row r="1417" spans="1:16">
      <c r="A1417" s="1">
        <v>43420</v>
      </c>
      <c r="B1417">
        <v>21951</v>
      </c>
      <c r="C1417">
        <v>17580</v>
      </c>
      <c r="D1417">
        <v>4371</v>
      </c>
      <c r="E1417">
        <v>6410058</v>
      </c>
      <c r="F1417">
        <v>30684257</v>
      </c>
      <c r="G1417">
        <v>37094315</v>
      </c>
      <c r="H1417">
        <v>1783</v>
      </c>
      <c r="I1417">
        <v>920</v>
      </c>
      <c r="J1417">
        <v>2703</v>
      </c>
      <c r="K1417" t="b">
        <f>TrafficData[[#This Row],[disposedChallan]]+TrafficData[[#This Row],[pendingChallan]]=TrafficData[[#This Row],[totalChallan]]</f>
        <v>1</v>
      </c>
      <c r="L1417" t="b">
        <f>TrafficData[[#This Row],[pendingAmount]]+TrafficData[[#This Row],[disposedAmount]]=TrafficData[[#This Row],[totalAmount]]</f>
        <v>1</v>
      </c>
      <c r="M1417" t="b">
        <f>TrafficData[[#This Row],[pendingCourt]]+TrafficData[[#This Row],[disposedCourt]]=TrafficData[[#This Row],[totalCourt]]</f>
        <v>1</v>
      </c>
      <c r="N1417" s="8" t="b">
        <f>AND(TrafficData[[#This Row],[disposedChallan]]&lt;=TrafficData[[#This Row],[totalChallan]],TrafficData[[#This Row],[pendingChallan]]&lt;=TrafficData[[#This Row],[totalChallan]])</f>
        <v>1</v>
      </c>
      <c r="O1417" s="8" t="b">
        <f>AND(TrafficData[[#This Row],[pendingAmount]]&lt;=TrafficData[[#This Row],[totalAmount]],TrafficData[[#This Row],[disposedAmount]]&lt;=TrafficData[[#This Row],[totalAmount]])</f>
        <v>1</v>
      </c>
      <c r="P1417" s="8" t="b">
        <f>AND(TrafficData[[#This Row],[pendingCourt]]&lt;=TrafficData[[#This Row],[totalCourt]],TrafficData[[#This Row],[disposedCourt]]&lt;=TrafficData[[#This Row],[totalCourt]])</f>
        <v>1</v>
      </c>
    </row>
    <row r="1418" spans="1:16">
      <c r="A1418" s="1">
        <v>43421</v>
      </c>
      <c r="B1418">
        <v>16786</v>
      </c>
      <c r="C1418">
        <v>12956</v>
      </c>
      <c r="D1418">
        <v>3830</v>
      </c>
      <c r="E1418">
        <v>5945892</v>
      </c>
      <c r="F1418">
        <v>28508881</v>
      </c>
      <c r="G1418">
        <v>34454773</v>
      </c>
      <c r="H1418">
        <v>1407</v>
      </c>
      <c r="I1418">
        <v>749</v>
      </c>
      <c r="J1418">
        <v>2156</v>
      </c>
      <c r="K1418" t="b">
        <f>TrafficData[[#This Row],[disposedChallan]]+TrafficData[[#This Row],[pendingChallan]]=TrafficData[[#This Row],[totalChallan]]</f>
        <v>1</v>
      </c>
      <c r="L1418" t="b">
        <f>TrafficData[[#This Row],[pendingAmount]]+TrafficData[[#This Row],[disposedAmount]]=TrafficData[[#This Row],[totalAmount]]</f>
        <v>1</v>
      </c>
      <c r="M1418" t="b">
        <f>TrafficData[[#This Row],[pendingCourt]]+TrafficData[[#This Row],[disposedCourt]]=TrafficData[[#This Row],[totalCourt]]</f>
        <v>1</v>
      </c>
      <c r="N1418" s="8" t="b">
        <f>AND(TrafficData[[#This Row],[disposedChallan]]&lt;=TrafficData[[#This Row],[totalChallan]],TrafficData[[#This Row],[pendingChallan]]&lt;=TrafficData[[#This Row],[totalChallan]])</f>
        <v>1</v>
      </c>
      <c r="O1418" s="8" t="b">
        <f>AND(TrafficData[[#This Row],[pendingAmount]]&lt;=TrafficData[[#This Row],[totalAmount]],TrafficData[[#This Row],[disposedAmount]]&lt;=TrafficData[[#This Row],[totalAmount]])</f>
        <v>1</v>
      </c>
      <c r="P1418" s="8" t="b">
        <f>AND(TrafficData[[#This Row],[pendingCourt]]&lt;=TrafficData[[#This Row],[totalCourt]],TrafficData[[#This Row],[disposedCourt]]&lt;=TrafficData[[#This Row],[totalCourt]])</f>
        <v>1</v>
      </c>
    </row>
    <row r="1419" spans="1:16">
      <c r="A1419" s="1">
        <v>43422</v>
      </c>
      <c r="B1419">
        <v>12327</v>
      </c>
      <c r="C1419">
        <v>9750</v>
      </c>
      <c r="D1419">
        <v>2577</v>
      </c>
      <c r="E1419">
        <v>2971873</v>
      </c>
      <c r="F1419">
        <v>16472217</v>
      </c>
      <c r="G1419">
        <v>19444090</v>
      </c>
      <c r="H1419">
        <v>1117</v>
      </c>
      <c r="I1419">
        <v>470</v>
      </c>
      <c r="J1419">
        <v>1587</v>
      </c>
      <c r="K1419" t="b">
        <f>TrafficData[[#This Row],[disposedChallan]]+TrafficData[[#This Row],[pendingChallan]]=TrafficData[[#This Row],[totalChallan]]</f>
        <v>1</v>
      </c>
      <c r="L1419" t="b">
        <f>TrafficData[[#This Row],[pendingAmount]]+TrafficData[[#This Row],[disposedAmount]]=TrafficData[[#This Row],[totalAmount]]</f>
        <v>1</v>
      </c>
      <c r="M1419" t="b">
        <f>TrafficData[[#This Row],[pendingCourt]]+TrafficData[[#This Row],[disposedCourt]]=TrafficData[[#This Row],[totalCourt]]</f>
        <v>1</v>
      </c>
      <c r="N1419" s="8" t="b">
        <f>AND(TrafficData[[#This Row],[disposedChallan]]&lt;=TrafficData[[#This Row],[totalChallan]],TrafficData[[#This Row],[pendingChallan]]&lt;=TrafficData[[#This Row],[totalChallan]])</f>
        <v>1</v>
      </c>
      <c r="O1419" s="8" t="b">
        <f>AND(TrafficData[[#This Row],[pendingAmount]]&lt;=TrafficData[[#This Row],[totalAmount]],TrafficData[[#This Row],[disposedAmount]]&lt;=TrafficData[[#This Row],[totalAmount]])</f>
        <v>1</v>
      </c>
      <c r="P1419" s="8" t="b">
        <f>AND(TrafficData[[#This Row],[pendingCourt]]&lt;=TrafficData[[#This Row],[totalCourt]],TrafficData[[#This Row],[disposedCourt]]&lt;=TrafficData[[#This Row],[totalCourt]])</f>
        <v>1</v>
      </c>
    </row>
    <row r="1420" spans="1:16">
      <c r="A1420" s="1">
        <v>43423</v>
      </c>
      <c r="B1420">
        <v>17581</v>
      </c>
      <c r="C1420">
        <v>13051</v>
      </c>
      <c r="D1420">
        <v>4530</v>
      </c>
      <c r="E1420">
        <v>5363441</v>
      </c>
      <c r="F1420">
        <v>25203133</v>
      </c>
      <c r="G1420">
        <v>30566574</v>
      </c>
      <c r="H1420">
        <v>1881</v>
      </c>
      <c r="I1420">
        <v>810</v>
      </c>
      <c r="J1420">
        <v>2691</v>
      </c>
      <c r="K1420" t="b">
        <f>TrafficData[[#This Row],[disposedChallan]]+TrafficData[[#This Row],[pendingChallan]]=TrafficData[[#This Row],[totalChallan]]</f>
        <v>1</v>
      </c>
      <c r="L1420" t="b">
        <f>TrafficData[[#This Row],[pendingAmount]]+TrafficData[[#This Row],[disposedAmount]]=TrafficData[[#This Row],[totalAmount]]</f>
        <v>1</v>
      </c>
      <c r="M1420" t="b">
        <f>TrafficData[[#This Row],[pendingCourt]]+TrafficData[[#This Row],[disposedCourt]]=TrafficData[[#This Row],[totalCourt]]</f>
        <v>1</v>
      </c>
      <c r="N1420" s="8" t="b">
        <f>AND(TrafficData[[#This Row],[disposedChallan]]&lt;=TrafficData[[#This Row],[totalChallan]],TrafficData[[#This Row],[pendingChallan]]&lt;=TrafficData[[#This Row],[totalChallan]])</f>
        <v>1</v>
      </c>
      <c r="O1420" s="8" t="b">
        <f>AND(TrafficData[[#This Row],[pendingAmount]]&lt;=TrafficData[[#This Row],[totalAmount]],TrafficData[[#This Row],[disposedAmount]]&lt;=TrafficData[[#This Row],[totalAmount]])</f>
        <v>1</v>
      </c>
      <c r="P1420" s="8" t="b">
        <f>AND(TrafficData[[#This Row],[pendingCourt]]&lt;=TrafficData[[#This Row],[totalCourt]],TrafficData[[#This Row],[disposedCourt]]&lt;=TrafficData[[#This Row],[totalCourt]])</f>
        <v>1</v>
      </c>
    </row>
    <row r="1421" spans="1:16">
      <c r="A1421" s="1">
        <v>43424</v>
      </c>
      <c r="B1421">
        <v>21052</v>
      </c>
      <c r="C1421">
        <v>16649</v>
      </c>
      <c r="D1421">
        <v>4403</v>
      </c>
      <c r="E1421">
        <v>6294175</v>
      </c>
      <c r="F1421">
        <v>34134918</v>
      </c>
      <c r="G1421">
        <v>40429093</v>
      </c>
      <c r="H1421">
        <v>2021</v>
      </c>
      <c r="I1421">
        <v>983</v>
      </c>
      <c r="J1421">
        <v>3004</v>
      </c>
      <c r="K1421" t="b">
        <f>TrafficData[[#This Row],[disposedChallan]]+TrafficData[[#This Row],[pendingChallan]]=TrafficData[[#This Row],[totalChallan]]</f>
        <v>1</v>
      </c>
      <c r="L1421" t="b">
        <f>TrafficData[[#This Row],[pendingAmount]]+TrafficData[[#This Row],[disposedAmount]]=TrafficData[[#This Row],[totalAmount]]</f>
        <v>1</v>
      </c>
      <c r="M1421" t="b">
        <f>TrafficData[[#This Row],[pendingCourt]]+TrafficData[[#This Row],[disposedCourt]]=TrafficData[[#This Row],[totalCourt]]</f>
        <v>1</v>
      </c>
      <c r="N1421" s="8" t="b">
        <f>AND(TrafficData[[#This Row],[disposedChallan]]&lt;=TrafficData[[#This Row],[totalChallan]],TrafficData[[#This Row],[pendingChallan]]&lt;=TrafficData[[#This Row],[totalChallan]])</f>
        <v>1</v>
      </c>
      <c r="O1421" s="8" t="b">
        <f>AND(TrafficData[[#This Row],[pendingAmount]]&lt;=TrafficData[[#This Row],[totalAmount]],TrafficData[[#This Row],[disposedAmount]]&lt;=TrafficData[[#This Row],[totalAmount]])</f>
        <v>1</v>
      </c>
      <c r="P1421" s="8" t="b">
        <f>AND(TrafficData[[#This Row],[pendingCourt]]&lt;=TrafficData[[#This Row],[totalCourt]],TrafficData[[#This Row],[disposedCourt]]&lt;=TrafficData[[#This Row],[totalCourt]])</f>
        <v>1</v>
      </c>
    </row>
    <row r="1422" spans="1:16">
      <c r="A1422" s="1">
        <v>43425</v>
      </c>
      <c r="B1422">
        <v>22364</v>
      </c>
      <c r="C1422">
        <v>17463</v>
      </c>
      <c r="D1422">
        <v>4901</v>
      </c>
      <c r="E1422">
        <v>6583454</v>
      </c>
      <c r="F1422">
        <v>30990229</v>
      </c>
      <c r="G1422">
        <v>37573683</v>
      </c>
      <c r="H1422">
        <v>2423</v>
      </c>
      <c r="I1422">
        <v>901</v>
      </c>
      <c r="J1422">
        <v>3324</v>
      </c>
      <c r="K1422" t="b">
        <f>TrafficData[[#This Row],[disposedChallan]]+TrafficData[[#This Row],[pendingChallan]]=TrafficData[[#This Row],[totalChallan]]</f>
        <v>1</v>
      </c>
      <c r="L1422" t="b">
        <f>TrafficData[[#This Row],[pendingAmount]]+TrafficData[[#This Row],[disposedAmount]]=TrafficData[[#This Row],[totalAmount]]</f>
        <v>1</v>
      </c>
      <c r="M1422" t="b">
        <f>TrafficData[[#This Row],[pendingCourt]]+TrafficData[[#This Row],[disposedCourt]]=TrafficData[[#This Row],[totalCourt]]</f>
        <v>1</v>
      </c>
      <c r="N1422" s="8" t="b">
        <f>AND(TrafficData[[#This Row],[disposedChallan]]&lt;=TrafficData[[#This Row],[totalChallan]],TrafficData[[#This Row],[pendingChallan]]&lt;=TrafficData[[#This Row],[totalChallan]])</f>
        <v>1</v>
      </c>
      <c r="O1422" s="8" t="b">
        <f>AND(TrafficData[[#This Row],[pendingAmount]]&lt;=TrafficData[[#This Row],[totalAmount]],TrafficData[[#This Row],[disposedAmount]]&lt;=TrafficData[[#This Row],[totalAmount]])</f>
        <v>1</v>
      </c>
      <c r="P1422" s="8" t="b">
        <f>AND(TrafficData[[#This Row],[pendingCourt]]&lt;=TrafficData[[#This Row],[totalCourt]],TrafficData[[#This Row],[disposedCourt]]&lt;=TrafficData[[#This Row],[totalCourt]])</f>
        <v>1</v>
      </c>
    </row>
    <row r="1423" spans="1:16">
      <c r="A1423" s="1">
        <v>43426</v>
      </c>
      <c r="B1423">
        <v>22148</v>
      </c>
      <c r="C1423">
        <v>17802</v>
      </c>
      <c r="D1423">
        <v>4346</v>
      </c>
      <c r="E1423">
        <v>5945048</v>
      </c>
      <c r="F1423">
        <v>31560877</v>
      </c>
      <c r="G1423">
        <v>37505925</v>
      </c>
      <c r="H1423">
        <v>1957</v>
      </c>
      <c r="I1423">
        <v>866</v>
      </c>
      <c r="J1423">
        <v>2823</v>
      </c>
      <c r="K1423" t="b">
        <f>TrafficData[[#This Row],[disposedChallan]]+TrafficData[[#This Row],[pendingChallan]]=TrafficData[[#This Row],[totalChallan]]</f>
        <v>1</v>
      </c>
      <c r="L1423" t="b">
        <f>TrafficData[[#This Row],[pendingAmount]]+TrafficData[[#This Row],[disposedAmount]]=TrafficData[[#This Row],[totalAmount]]</f>
        <v>1</v>
      </c>
      <c r="M1423" t="b">
        <f>TrafficData[[#This Row],[pendingCourt]]+TrafficData[[#This Row],[disposedCourt]]=TrafficData[[#This Row],[totalCourt]]</f>
        <v>1</v>
      </c>
      <c r="N1423" s="8" t="b">
        <f>AND(TrafficData[[#This Row],[disposedChallan]]&lt;=TrafficData[[#This Row],[totalChallan]],TrafficData[[#This Row],[pendingChallan]]&lt;=TrafficData[[#This Row],[totalChallan]])</f>
        <v>1</v>
      </c>
      <c r="O1423" s="8" t="b">
        <f>AND(TrafficData[[#This Row],[pendingAmount]]&lt;=TrafficData[[#This Row],[totalAmount]],TrafficData[[#This Row],[disposedAmount]]&lt;=TrafficData[[#This Row],[totalAmount]])</f>
        <v>1</v>
      </c>
      <c r="P1423" s="8" t="b">
        <f>AND(TrafficData[[#This Row],[pendingCourt]]&lt;=TrafficData[[#This Row],[totalCourt]],TrafficData[[#This Row],[disposedCourt]]&lt;=TrafficData[[#This Row],[totalCourt]])</f>
        <v>1</v>
      </c>
    </row>
    <row r="1424" spans="1:16">
      <c r="A1424" s="1">
        <v>43427</v>
      </c>
      <c r="B1424">
        <v>17887</v>
      </c>
      <c r="C1424">
        <v>14422</v>
      </c>
      <c r="D1424">
        <v>3465</v>
      </c>
      <c r="E1424">
        <v>7040025</v>
      </c>
      <c r="F1424">
        <v>27055677</v>
      </c>
      <c r="G1424">
        <v>34095702</v>
      </c>
      <c r="H1424">
        <v>1349</v>
      </c>
      <c r="I1424">
        <v>744</v>
      </c>
      <c r="J1424">
        <v>2093</v>
      </c>
      <c r="K1424" t="b">
        <f>TrafficData[[#This Row],[disposedChallan]]+TrafficData[[#This Row],[pendingChallan]]=TrafficData[[#This Row],[totalChallan]]</f>
        <v>1</v>
      </c>
      <c r="L1424" t="b">
        <f>TrafficData[[#This Row],[pendingAmount]]+TrafficData[[#This Row],[disposedAmount]]=TrafficData[[#This Row],[totalAmount]]</f>
        <v>1</v>
      </c>
      <c r="M1424" t="b">
        <f>TrafficData[[#This Row],[pendingCourt]]+TrafficData[[#This Row],[disposedCourt]]=TrafficData[[#This Row],[totalCourt]]</f>
        <v>1</v>
      </c>
      <c r="N1424" s="8" t="b">
        <f>AND(TrafficData[[#This Row],[disposedChallan]]&lt;=TrafficData[[#This Row],[totalChallan]],TrafficData[[#This Row],[pendingChallan]]&lt;=TrafficData[[#This Row],[totalChallan]])</f>
        <v>1</v>
      </c>
      <c r="O1424" s="8" t="b">
        <f>AND(TrafficData[[#This Row],[pendingAmount]]&lt;=TrafficData[[#This Row],[totalAmount]],TrafficData[[#This Row],[disposedAmount]]&lt;=TrafficData[[#This Row],[totalAmount]])</f>
        <v>1</v>
      </c>
      <c r="P1424" s="8" t="b">
        <f>AND(TrafficData[[#This Row],[pendingCourt]]&lt;=TrafficData[[#This Row],[totalCourt]],TrafficData[[#This Row],[disposedCourt]]&lt;=TrafficData[[#This Row],[totalCourt]])</f>
        <v>1</v>
      </c>
    </row>
    <row r="1425" spans="1:16">
      <c r="A1425" s="1">
        <v>43428</v>
      </c>
      <c r="B1425">
        <v>19457</v>
      </c>
      <c r="C1425">
        <v>15616</v>
      </c>
      <c r="D1425">
        <v>3841</v>
      </c>
      <c r="E1425">
        <v>3418783</v>
      </c>
      <c r="F1425">
        <v>22189718</v>
      </c>
      <c r="G1425">
        <v>25608501</v>
      </c>
      <c r="H1425">
        <v>1605</v>
      </c>
      <c r="I1425">
        <v>765</v>
      </c>
      <c r="J1425">
        <v>2370</v>
      </c>
      <c r="K1425" t="b">
        <f>TrafficData[[#This Row],[disposedChallan]]+TrafficData[[#This Row],[pendingChallan]]=TrafficData[[#This Row],[totalChallan]]</f>
        <v>1</v>
      </c>
      <c r="L1425" t="b">
        <f>TrafficData[[#This Row],[pendingAmount]]+TrafficData[[#This Row],[disposedAmount]]=TrafficData[[#This Row],[totalAmount]]</f>
        <v>1</v>
      </c>
      <c r="M1425" t="b">
        <f>TrafficData[[#This Row],[pendingCourt]]+TrafficData[[#This Row],[disposedCourt]]=TrafficData[[#This Row],[totalCourt]]</f>
        <v>1</v>
      </c>
      <c r="N1425" s="8" t="b">
        <f>AND(TrafficData[[#This Row],[disposedChallan]]&lt;=TrafficData[[#This Row],[totalChallan]],TrafficData[[#This Row],[pendingChallan]]&lt;=TrafficData[[#This Row],[totalChallan]])</f>
        <v>1</v>
      </c>
      <c r="O1425" s="8" t="b">
        <f>AND(TrafficData[[#This Row],[pendingAmount]]&lt;=TrafficData[[#This Row],[totalAmount]],TrafficData[[#This Row],[disposedAmount]]&lt;=TrafficData[[#This Row],[totalAmount]])</f>
        <v>1</v>
      </c>
      <c r="P1425" s="8" t="b">
        <f>AND(TrafficData[[#This Row],[pendingCourt]]&lt;=TrafficData[[#This Row],[totalCourt]],TrafficData[[#This Row],[disposedCourt]]&lt;=TrafficData[[#This Row],[totalCourt]])</f>
        <v>1</v>
      </c>
    </row>
    <row r="1426" spans="1:16">
      <c r="A1426" s="1">
        <v>43429</v>
      </c>
      <c r="B1426">
        <v>13788</v>
      </c>
      <c r="C1426">
        <v>11370</v>
      </c>
      <c r="D1426">
        <v>2418</v>
      </c>
      <c r="E1426">
        <v>2477577</v>
      </c>
      <c r="F1426">
        <v>15349849</v>
      </c>
      <c r="G1426">
        <v>17827426</v>
      </c>
      <c r="H1426">
        <v>1232</v>
      </c>
      <c r="I1426">
        <v>624</v>
      </c>
      <c r="J1426">
        <v>1856</v>
      </c>
      <c r="K1426" t="b">
        <f>TrafficData[[#This Row],[disposedChallan]]+TrafficData[[#This Row],[pendingChallan]]=TrafficData[[#This Row],[totalChallan]]</f>
        <v>1</v>
      </c>
      <c r="L1426" t="b">
        <f>TrafficData[[#This Row],[pendingAmount]]+TrafficData[[#This Row],[disposedAmount]]=TrafficData[[#This Row],[totalAmount]]</f>
        <v>1</v>
      </c>
      <c r="M1426" t="b">
        <f>TrafficData[[#This Row],[pendingCourt]]+TrafficData[[#This Row],[disposedCourt]]=TrafficData[[#This Row],[totalCourt]]</f>
        <v>1</v>
      </c>
      <c r="N1426" s="8" t="b">
        <f>AND(TrafficData[[#This Row],[disposedChallan]]&lt;=TrafficData[[#This Row],[totalChallan]],TrafficData[[#This Row],[pendingChallan]]&lt;=TrafficData[[#This Row],[totalChallan]])</f>
        <v>1</v>
      </c>
      <c r="O1426" s="8" t="b">
        <f>AND(TrafficData[[#This Row],[pendingAmount]]&lt;=TrafficData[[#This Row],[totalAmount]],TrafficData[[#This Row],[disposedAmount]]&lt;=TrafficData[[#This Row],[totalAmount]])</f>
        <v>1</v>
      </c>
      <c r="P1426" s="8" t="b">
        <f>AND(TrafficData[[#This Row],[pendingCourt]]&lt;=TrafficData[[#This Row],[totalCourt]],TrafficData[[#This Row],[disposedCourt]]&lt;=TrafficData[[#This Row],[totalCourt]])</f>
        <v>1</v>
      </c>
    </row>
    <row r="1427" spans="1:16">
      <c r="A1427" s="1">
        <v>43430</v>
      </c>
      <c r="B1427">
        <v>22178</v>
      </c>
      <c r="C1427">
        <v>17439</v>
      </c>
      <c r="D1427">
        <v>4739</v>
      </c>
      <c r="E1427">
        <v>6210771</v>
      </c>
      <c r="F1427">
        <v>26126926</v>
      </c>
      <c r="G1427">
        <v>32337697</v>
      </c>
      <c r="H1427">
        <v>1958</v>
      </c>
      <c r="I1427">
        <v>1011</v>
      </c>
      <c r="J1427">
        <v>2969</v>
      </c>
      <c r="K1427" t="b">
        <f>TrafficData[[#This Row],[disposedChallan]]+TrafficData[[#This Row],[pendingChallan]]=TrafficData[[#This Row],[totalChallan]]</f>
        <v>1</v>
      </c>
      <c r="L1427" t="b">
        <f>TrafficData[[#This Row],[pendingAmount]]+TrafficData[[#This Row],[disposedAmount]]=TrafficData[[#This Row],[totalAmount]]</f>
        <v>1</v>
      </c>
      <c r="M1427" t="b">
        <f>TrafficData[[#This Row],[pendingCourt]]+TrafficData[[#This Row],[disposedCourt]]=TrafficData[[#This Row],[totalCourt]]</f>
        <v>1</v>
      </c>
      <c r="N1427" s="8" t="b">
        <f>AND(TrafficData[[#This Row],[disposedChallan]]&lt;=TrafficData[[#This Row],[totalChallan]],TrafficData[[#This Row],[pendingChallan]]&lt;=TrafficData[[#This Row],[totalChallan]])</f>
        <v>1</v>
      </c>
      <c r="O1427" s="8" t="b">
        <f>AND(TrafficData[[#This Row],[pendingAmount]]&lt;=TrafficData[[#This Row],[totalAmount]],TrafficData[[#This Row],[disposedAmount]]&lt;=TrafficData[[#This Row],[totalAmount]])</f>
        <v>1</v>
      </c>
      <c r="P1427" s="8" t="b">
        <f>AND(TrafficData[[#This Row],[pendingCourt]]&lt;=TrafficData[[#This Row],[totalCourt]],TrafficData[[#This Row],[disposedCourt]]&lt;=TrafficData[[#This Row],[totalCourt]])</f>
        <v>1</v>
      </c>
    </row>
    <row r="1428" spans="1:16">
      <c r="A1428" s="1">
        <v>43431</v>
      </c>
      <c r="B1428">
        <v>22746</v>
      </c>
      <c r="C1428">
        <v>18082</v>
      </c>
      <c r="D1428">
        <v>4664</v>
      </c>
      <c r="E1428">
        <v>5806965</v>
      </c>
      <c r="F1428">
        <v>32868153</v>
      </c>
      <c r="G1428">
        <v>38675118</v>
      </c>
      <c r="H1428">
        <v>1764</v>
      </c>
      <c r="I1428">
        <v>1021</v>
      </c>
      <c r="J1428">
        <v>2785</v>
      </c>
      <c r="K1428" t="b">
        <f>TrafficData[[#This Row],[disposedChallan]]+TrafficData[[#This Row],[pendingChallan]]=TrafficData[[#This Row],[totalChallan]]</f>
        <v>1</v>
      </c>
      <c r="L1428" t="b">
        <f>TrafficData[[#This Row],[pendingAmount]]+TrafficData[[#This Row],[disposedAmount]]=TrafficData[[#This Row],[totalAmount]]</f>
        <v>1</v>
      </c>
      <c r="M1428" t="b">
        <f>TrafficData[[#This Row],[pendingCourt]]+TrafficData[[#This Row],[disposedCourt]]=TrafficData[[#This Row],[totalCourt]]</f>
        <v>1</v>
      </c>
      <c r="N1428" s="8" t="b">
        <f>AND(TrafficData[[#This Row],[disposedChallan]]&lt;=TrafficData[[#This Row],[totalChallan]],TrafficData[[#This Row],[pendingChallan]]&lt;=TrafficData[[#This Row],[totalChallan]])</f>
        <v>1</v>
      </c>
      <c r="O1428" s="8" t="b">
        <f>AND(TrafficData[[#This Row],[pendingAmount]]&lt;=TrafficData[[#This Row],[totalAmount]],TrafficData[[#This Row],[disposedAmount]]&lt;=TrafficData[[#This Row],[totalAmount]])</f>
        <v>1</v>
      </c>
      <c r="P1428" s="8" t="b">
        <f>AND(TrafficData[[#This Row],[pendingCourt]]&lt;=TrafficData[[#This Row],[totalCourt]],TrafficData[[#This Row],[disposedCourt]]&lt;=TrafficData[[#This Row],[totalCourt]])</f>
        <v>1</v>
      </c>
    </row>
    <row r="1429" spans="1:16">
      <c r="A1429" s="1">
        <v>43432</v>
      </c>
      <c r="B1429">
        <v>27207</v>
      </c>
      <c r="C1429">
        <v>21117</v>
      </c>
      <c r="D1429">
        <v>6090</v>
      </c>
      <c r="E1429">
        <v>7970838</v>
      </c>
      <c r="F1429">
        <v>28965085</v>
      </c>
      <c r="G1429">
        <v>36935923</v>
      </c>
      <c r="H1429">
        <v>3279</v>
      </c>
      <c r="I1429">
        <v>1100</v>
      </c>
      <c r="J1429">
        <v>4379</v>
      </c>
      <c r="K1429" t="b">
        <f>TrafficData[[#This Row],[disposedChallan]]+TrafficData[[#This Row],[pendingChallan]]=TrafficData[[#This Row],[totalChallan]]</f>
        <v>1</v>
      </c>
      <c r="L1429" t="b">
        <f>TrafficData[[#This Row],[pendingAmount]]+TrafficData[[#This Row],[disposedAmount]]=TrafficData[[#This Row],[totalAmount]]</f>
        <v>1</v>
      </c>
      <c r="M1429" t="b">
        <f>TrafficData[[#This Row],[pendingCourt]]+TrafficData[[#This Row],[disposedCourt]]=TrafficData[[#This Row],[totalCourt]]</f>
        <v>1</v>
      </c>
      <c r="N1429" s="8" t="b">
        <f>AND(TrafficData[[#This Row],[disposedChallan]]&lt;=TrafficData[[#This Row],[totalChallan]],TrafficData[[#This Row],[pendingChallan]]&lt;=TrafficData[[#This Row],[totalChallan]])</f>
        <v>1</v>
      </c>
      <c r="O1429" s="8" t="b">
        <f>AND(TrafficData[[#This Row],[pendingAmount]]&lt;=TrafficData[[#This Row],[totalAmount]],TrafficData[[#This Row],[disposedAmount]]&lt;=TrafficData[[#This Row],[totalAmount]])</f>
        <v>1</v>
      </c>
      <c r="P1429" s="8" t="b">
        <f>AND(TrafficData[[#This Row],[pendingCourt]]&lt;=TrafficData[[#This Row],[totalCourt]],TrafficData[[#This Row],[disposedCourt]]&lt;=TrafficData[[#This Row],[totalCourt]])</f>
        <v>1</v>
      </c>
    </row>
    <row r="1430" spans="1:16">
      <c r="A1430" s="1">
        <v>43433</v>
      </c>
      <c r="B1430">
        <v>24441</v>
      </c>
      <c r="C1430">
        <v>19773</v>
      </c>
      <c r="D1430">
        <v>4668</v>
      </c>
      <c r="E1430">
        <v>6714465</v>
      </c>
      <c r="F1430">
        <v>34359890</v>
      </c>
      <c r="G1430">
        <v>41074355</v>
      </c>
      <c r="H1430">
        <v>2074</v>
      </c>
      <c r="I1430">
        <v>1165</v>
      </c>
      <c r="J1430">
        <v>3239</v>
      </c>
      <c r="K1430" t="b">
        <f>TrafficData[[#This Row],[disposedChallan]]+TrafficData[[#This Row],[pendingChallan]]=TrafficData[[#This Row],[totalChallan]]</f>
        <v>1</v>
      </c>
      <c r="L1430" t="b">
        <f>TrafficData[[#This Row],[pendingAmount]]+TrafficData[[#This Row],[disposedAmount]]=TrafficData[[#This Row],[totalAmount]]</f>
        <v>1</v>
      </c>
      <c r="M1430" t="b">
        <f>TrafficData[[#This Row],[pendingCourt]]+TrafficData[[#This Row],[disposedCourt]]=TrafficData[[#This Row],[totalCourt]]</f>
        <v>1</v>
      </c>
      <c r="N1430" s="8" t="b">
        <f>AND(TrafficData[[#This Row],[disposedChallan]]&lt;=TrafficData[[#This Row],[totalChallan]],TrafficData[[#This Row],[pendingChallan]]&lt;=TrafficData[[#This Row],[totalChallan]])</f>
        <v>1</v>
      </c>
      <c r="O1430" s="8" t="b">
        <f>AND(TrafficData[[#This Row],[pendingAmount]]&lt;=TrafficData[[#This Row],[totalAmount]],TrafficData[[#This Row],[disposedAmount]]&lt;=TrafficData[[#This Row],[totalAmount]])</f>
        <v>1</v>
      </c>
      <c r="P1430" s="8" t="b">
        <f>AND(TrafficData[[#This Row],[pendingCourt]]&lt;=TrafficData[[#This Row],[totalCourt]],TrafficData[[#This Row],[disposedCourt]]&lt;=TrafficData[[#This Row],[totalCourt]])</f>
        <v>1</v>
      </c>
    </row>
    <row r="1431" spans="1:16">
      <c r="A1431" s="1">
        <v>43434</v>
      </c>
      <c r="B1431">
        <v>23817</v>
      </c>
      <c r="C1431">
        <v>19661</v>
      </c>
      <c r="D1431">
        <v>4156</v>
      </c>
      <c r="E1431">
        <v>7468221</v>
      </c>
      <c r="F1431">
        <v>44688034</v>
      </c>
      <c r="G1431">
        <v>52156255</v>
      </c>
      <c r="H1431">
        <v>2133</v>
      </c>
      <c r="I1431">
        <v>954</v>
      </c>
      <c r="J1431">
        <v>3087</v>
      </c>
      <c r="K1431" t="b">
        <f>TrafficData[[#This Row],[disposedChallan]]+TrafficData[[#This Row],[pendingChallan]]=TrafficData[[#This Row],[totalChallan]]</f>
        <v>1</v>
      </c>
      <c r="L1431" t="b">
        <f>TrafficData[[#This Row],[pendingAmount]]+TrafficData[[#This Row],[disposedAmount]]=TrafficData[[#This Row],[totalAmount]]</f>
        <v>1</v>
      </c>
      <c r="M1431" t="b">
        <f>TrafficData[[#This Row],[pendingCourt]]+TrafficData[[#This Row],[disposedCourt]]=TrafficData[[#This Row],[totalCourt]]</f>
        <v>1</v>
      </c>
      <c r="N1431" s="8" t="b">
        <f>AND(TrafficData[[#This Row],[disposedChallan]]&lt;=TrafficData[[#This Row],[totalChallan]],TrafficData[[#This Row],[pendingChallan]]&lt;=TrafficData[[#This Row],[totalChallan]])</f>
        <v>1</v>
      </c>
      <c r="O1431" s="8" t="b">
        <f>AND(TrafficData[[#This Row],[pendingAmount]]&lt;=TrafficData[[#This Row],[totalAmount]],TrafficData[[#This Row],[disposedAmount]]&lt;=TrafficData[[#This Row],[totalAmount]])</f>
        <v>1</v>
      </c>
      <c r="P1431" s="8" t="b">
        <f>AND(TrafficData[[#This Row],[pendingCourt]]&lt;=TrafficData[[#This Row],[totalCourt]],TrafficData[[#This Row],[disposedCourt]]&lt;=TrafficData[[#This Row],[totalCourt]])</f>
        <v>1</v>
      </c>
    </row>
    <row r="1432" spans="1:16">
      <c r="A1432" s="1">
        <v>43435</v>
      </c>
      <c r="B1432">
        <v>23224</v>
      </c>
      <c r="C1432">
        <v>19919</v>
      </c>
      <c r="D1432">
        <v>3305</v>
      </c>
      <c r="E1432">
        <v>6061968</v>
      </c>
      <c r="F1432">
        <v>55824411</v>
      </c>
      <c r="G1432">
        <v>61886379</v>
      </c>
      <c r="H1432">
        <v>1555</v>
      </c>
      <c r="I1432">
        <v>650</v>
      </c>
      <c r="J1432">
        <v>2205</v>
      </c>
      <c r="K1432" t="b">
        <f>TrafficData[[#This Row],[disposedChallan]]+TrafficData[[#This Row],[pendingChallan]]=TrafficData[[#This Row],[totalChallan]]</f>
        <v>1</v>
      </c>
      <c r="L1432" t="b">
        <f>TrafficData[[#This Row],[pendingAmount]]+TrafficData[[#This Row],[disposedAmount]]=TrafficData[[#This Row],[totalAmount]]</f>
        <v>1</v>
      </c>
      <c r="M1432" t="b">
        <f>TrafficData[[#This Row],[pendingCourt]]+TrafficData[[#This Row],[disposedCourt]]=TrafficData[[#This Row],[totalCourt]]</f>
        <v>1</v>
      </c>
      <c r="N1432" s="8" t="b">
        <f>AND(TrafficData[[#This Row],[disposedChallan]]&lt;=TrafficData[[#This Row],[totalChallan]],TrafficData[[#This Row],[pendingChallan]]&lt;=TrafficData[[#This Row],[totalChallan]])</f>
        <v>1</v>
      </c>
      <c r="O1432" s="8" t="b">
        <f>AND(TrafficData[[#This Row],[pendingAmount]]&lt;=TrafficData[[#This Row],[totalAmount]],TrafficData[[#This Row],[disposedAmount]]&lt;=TrafficData[[#This Row],[totalAmount]])</f>
        <v>1</v>
      </c>
      <c r="P1432" s="8" t="b">
        <f>AND(TrafficData[[#This Row],[pendingCourt]]&lt;=TrafficData[[#This Row],[totalCourt]],TrafficData[[#This Row],[disposedCourt]]&lt;=TrafficData[[#This Row],[totalCourt]])</f>
        <v>1</v>
      </c>
    </row>
    <row r="1433" spans="1:16">
      <c r="A1433" s="1">
        <v>43436</v>
      </c>
      <c r="B1433">
        <v>15434</v>
      </c>
      <c r="C1433">
        <v>13748</v>
      </c>
      <c r="D1433">
        <v>1686</v>
      </c>
      <c r="E1433">
        <v>2795763</v>
      </c>
      <c r="F1433">
        <v>26947719</v>
      </c>
      <c r="G1433">
        <v>29743482</v>
      </c>
      <c r="H1433">
        <v>1111</v>
      </c>
      <c r="I1433">
        <v>500</v>
      </c>
      <c r="J1433">
        <v>1611</v>
      </c>
      <c r="K1433" t="b">
        <f>TrafficData[[#This Row],[disposedChallan]]+TrafficData[[#This Row],[pendingChallan]]=TrafficData[[#This Row],[totalChallan]]</f>
        <v>1</v>
      </c>
      <c r="L1433" t="b">
        <f>TrafficData[[#This Row],[pendingAmount]]+TrafficData[[#This Row],[disposedAmount]]=TrafficData[[#This Row],[totalAmount]]</f>
        <v>1</v>
      </c>
      <c r="M1433" t="b">
        <f>TrafficData[[#This Row],[pendingCourt]]+TrafficData[[#This Row],[disposedCourt]]=TrafficData[[#This Row],[totalCourt]]</f>
        <v>1</v>
      </c>
      <c r="N1433" s="8" t="b">
        <f>AND(TrafficData[[#This Row],[disposedChallan]]&lt;=TrafficData[[#This Row],[totalChallan]],TrafficData[[#This Row],[pendingChallan]]&lt;=TrafficData[[#This Row],[totalChallan]])</f>
        <v>1</v>
      </c>
      <c r="O1433" s="8" t="b">
        <f>AND(TrafficData[[#This Row],[pendingAmount]]&lt;=TrafficData[[#This Row],[totalAmount]],TrafficData[[#This Row],[disposedAmount]]&lt;=TrafficData[[#This Row],[totalAmount]])</f>
        <v>1</v>
      </c>
      <c r="P1433" s="8" t="b">
        <f>AND(TrafficData[[#This Row],[pendingCourt]]&lt;=TrafficData[[#This Row],[totalCourt]],TrafficData[[#This Row],[disposedCourt]]&lt;=TrafficData[[#This Row],[totalCourt]])</f>
        <v>1</v>
      </c>
    </row>
    <row r="1434" spans="1:16">
      <c r="A1434" s="1">
        <v>43437</v>
      </c>
      <c r="B1434">
        <v>22224</v>
      </c>
      <c r="C1434">
        <v>18535</v>
      </c>
      <c r="D1434">
        <v>3689</v>
      </c>
      <c r="E1434">
        <v>5399051</v>
      </c>
      <c r="F1434">
        <v>27362022</v>
      </c>
      <c r="G1434">
        <v>32761073</v>
      </c>
      <c r="H1434">
        <v>1678</v>
      </c>
      <c r="I1434">
        <v>831</v>
      </c>
      <c r="J1434">
        <v>2509</v>
      </c>
      <c r="K1434" t="b">
        <f>TrafficData[[#This Row],[disposedChallan]]+TrafficData[[#This Row],[pendingChallan]]=TrafficData[[#This Row],[totalChallan]]</f>
        <v>1</v>
      </c>
      <c r="L1434" t="b">
        <f>TrafficData[[#This Row],[pendingAmount]]+TrafficData[[#This Row],[disposedAmount]]=TrafficData[[#This Row],[totalAmount]]</f>
        <v>1</v>
      </c>
      <c r="M1434" t="b">
        <f>TrafficData[[#This Row],[pendingCourt]]+TrafficData[[#This Row],[disposedCourt]]=TrafficData[[#This Row],[totalCourt]]</f>
        <v>1</v>
      </c>
      <c r="N1434" s="8" t="b">
        <f>AND(TrafficData[[#This Row],[disposedChallan]]&lt;=TrafficData[[#This Row],[totalChallan]],TrafficData[[#This Row],[pendingChallan]]&lt;=TrafficData[[#This Row],[totalChallan]])</f>
        <v>1</v>
      </c>
      <c r="O1434" s="8" t="b">
        <f>AND(TrafficData[[#This Row],[pendingAmount]]&lt;=TrafficData[[#This Row],[totalAmount]],TrafficData[[#This Row],[disposedAmount]]&lt;=TrafficData[[#This Row],[totalAmount]])</f>
        <v>1</v>
      </c>
      <c r="P1434" s="8" t="b">
        <f>AND(TrafficData[[#This Row],[pendingCourt]]&lt;=TrafficData[[#This Row],[totalCourt]],TrafficData[[#This Row],[disposedCourt]]&lt;=TrafficData[[#This Row],[totalCourt]])</f>
        <v>1</v>
      </c>
    </row>
    <row r="1435" spans="1:16">
      <c r="A1435" s="1">
        <v>43438</v>
      </c>
      <c r="B1435">
        <v>24311</v>
      </c>
      <c r="C1435">
        <v>19947</v>
      </c>
      <c r="D1435">
        <v>4364</v>
      </c>
      <c r="E1435">
        <v>6730189</v>
      </c>
      <c r="F1435">
        <v>35058763</v>
      </c>
      <c r="G1435">
        <v>41788952</v>
      </c>
      <c r="H1435">
        <v>1968</v>
      </c>
      <c r="I1435">
        <v>875</v>
      </c>
      <c r="J1435">
        <v>2843</v>
      </c>
      <c r="K1435" t="b">
        <f>TrafficData[[#This Row],[disposedChallan]]+TrafficData[[#This Row],[pendingChallan]]=TrafficData[[#This Row],[totalChallan]]</f>
        <v>1</v>
      </c>
      <c r="L1435" t="b">
        <f>TrafficData[[#This Row],[pendingAmount]]+TrafficData[[#This Row],[disposedAmount]]=TrafficData[[#This Row],[totalAmount]]</f>
        <v>1</v>
      </c>
      <c r="M1435" t="b">
        <f>TrafficData[[#This Row],[pendingCourt]]+TrafficData[[#This Row],[disposedCourt]]=TrafficData[[#This Row],[totalCourt]]</f>
        <v>1</v>
      </c>
      <c r="N1435" s="8" t="b">
        <f>AND(TrafficData[[#This Row],[disposedChallan]]&lt;=TrafficData[[#This Row],[totalChallan]],TrafficData[[#This Row],[pendingChallan]]&lt;=TrafficData[[#This Row],[totalChallan]])</f>
        <v>1</v>
      </c>
      <c r="O1435" s="8" t="b">
        <f>AND(TrafficData[[#This Row],[pendingAmount]]&lt;=TrafficData[[#This Row],[totalAmount]],TrafficData[[#This Row],[disposedAmount]]&lt;=TrafficData[[#This Row],[totalAmount]])</f>
        <v>1</v>
      </c>
      <c r="P1435" s="8" t="b">
        <f>AND(TrafficData[[#This Row],[pendingCourt]]&lt;=TrafficData[[#This Row],[totalCourt]],TrafficData[[#This Row],[disposedCourt]]&lt;=TrafficData[[#This Row],[totalCourt]])</f>
        <v>1</v>
      </c>
    </row>
    <row r="1436" spans="1:16">
      <c r="A1436" s="1">
        <v>43439</v>
      </c>
      <c r="B1436">
        <v>28960</v>
      </c>
      <c r="C1436">
        <v>22599</v>
      </c>
      <c r="D1436">
        <v>6361</v>
      </c>
      <c r="E1436">
        <v>8713434</v>
      </c>
      <c r="F1436">
        <v>31978495</v>
      </c>
      <c r="G1436">
        <v>40691929</v>
      </c>
      <c r="H1436">
        <v>3805</v>
      </c>
      <c r="I1436">
        <v>1070</v>
      </c>
      <c r="J1436">
        <v>4875</v>
      </c>
      <c r="K1436" t="b">
        <f>TrafficData[[#This Row],[disposedChallan]]+TrafficData[[#This Row],[pendingChallan]]=TrafficData[[#This Row],[totalChallan]]</f>
        <v>1</v>
      </c>
      <c r="L1436" t="b">
        <f>TrafficData[[#This Row],[pendingAmount]]+TrafficData[[#This Row],[disposedAmount]]=TrafficData[[#This Row],[totalAmount]]</f>
        <v>1</v>
      </c>
      <c r="M1436" t="b">
        <f>TrafficData[[#This Row],[pendingCourt]]+TrafficData[[#This Row],[disposedCourt]]=TrafficData[[#This Row],[totalCourt]]</f>
        <v>1</v>
      </c>
      <c r="N1436" s="8" t="b">
        <f>AND(TrafficData[[#This Row],[disposedChallan]]&lt;=TrafficData[[#This Row],[totalChallan]],TrafficData[[#This Row],[pendingChallan]]&lt;=TrafficData[[#This Row],[totalChallan]])</f>
        <v>1</v>
      </c>
      <c r="O1436" s="8" t="b">
        <f>AND(TrafficData[[#This Row],[pendingAmount]]&lt;=TrafficData[[#This Row],[totalAmount]],TrafficData[[#This Row],[disposedAmount]]&lt;=TrafficData[[#This Row],[totalAmount]])</f>
        <v>1</v>
      </c>
      <c r="P1436" s="8" t="b">
        <f>AND(TrafficData[[#This Row],[pendingCourt]]&lt;=TrafficData[[#This Row],[totalCourt]],TrafficData[[#This Row],[disposedCourt]]&lt;=TrafficData[[#This Row],[totalCourt]])</f>
        <v>1</v>
      </c>
    </row>
    <row r="1437" spans="1:16">
      <c r="A1437" s="1">
        <v>43440</v>
      </c>
      <c r="B1437">
        <v>23139</v>
      </c>
      <c r="C1437">
        <v>18858</v>
      </c>
      <c r="D1437">
        <v>4281</v>
      </c>
      <c r="E1437">
        <v>6852910</v>
      </c>
      <c r="F1437">
        <v>32703711</v>
      </c>
      <c r="G1437">
        <v>39556621</v>
      </c>
      <c r="H1437">
        <v>1909</v>
      </c>
      <c r="I1437">
        <v>831</v>
      </c>
      <c r="J1437">
        <v>2740</v>
      </c>
      <c r="K1437" t="b">
        <f>TrafficData[[#This Row],[disposedChallan]]+TrafficData[[#This Row],[pendingChallan]]=TrafficData[[#This Row],[totalChallan]]</f>
        <v>1</v>
      </c>
      <c r="L1437" t="b">
        <f>TrafficData[[#This Row],[pendingAmount]]+TrafficData[[#This Row],[disposedAmount]]=TrafficData[[#This Row],[totalAmount]]</f>
        <v>1</v>
      </c>
      <c r="M1437" t="b">
        <f>TrafficData[[#This Row],[pendingCourt]]+TrafficData[[#This Row],[disposedCourt]]=TrafficData[[#This Row],[totalCourt]]</f>
        <v>1</v>
      </c>
      <c r="N1437" s="8" t="b">
        <f>AND(TrafficData[[#This Row],[disposedChallan]]&lt;=TrafficData[[#This Row],[totalChallan]],TrafficData[[#This Row],[pendingChallan]]&lt;=TrafficData[[#This Row],[totalChallan]])</f>
        <v>1</v>
      </c>
      <c r="O1437" s="8" t="b">
        <f>AND(TrafficData[[#This Row],[pendingAmount]]&lt;=TrafficData[[#This Row],[totalAmount]],TrafficData[[#This Row],[disposedAmount]]&lt;=TrafficData[[#This Row],[totalAmount]])</f>
        <v>1</v>
      </c>
      <c r="P1437" s="8" t="b">
        <f>AND(TrafficData[[#This Row],[pendingCourt]]&lt;=TrafficData[[#This Row],[totalCourt]],TrafficData[[#This Row],[disposedCourt]]&lt;=TrafficData[[#This Row],[totalCourt]])</f>
        <v>1</v>
      </c>
    </row>
    <row r="1438" spans="1:16">
      <c r="A1438" s="1">
        <v>43441</v>
      </c>
      <c r="B1438">
        <v>20531</v>
      </c>
      <c r="C1438">
        <v>17050</v>
      </c>
      <c r="D1438">
        <v>3481</v>
      </c>
      <c r="E1438">
        <v>4794539</v>
      </c>
      <c r="F1438">
        <v>30729123</v>
      </c>
      <c r="G1438">
        <v>35523662</v>
      </c>
      <c r="H1438">
        <v>1575</v>
      </c>
      <c r="I1438">
        <v>652</v>
      </c>
      <c r="J1438">
        <v>2227</v>
      </c>
      <c r="K1438" t="b">
        <f>TrafficData[[#This Row],[disposedChallan]]+TrafficData[[#This Row],[pendingChallan]]=TrafficData[[#This Row],[totalChallan]]</f>
        <v>1</v>
      </c>
      <c r="L1438" t="b">
        <f>TrafficData[[#This Row],[pendingAmount]]+TrafficData[[#This Row],[disposedAmount]]=TrafficData[[#This Row],[totalAmount]]</f>
        <v>1</v>
      </c>
      <c r="M1438" t="b">
        <f>TrafficData[[#This Row],[pendingCourt]]+TrafficData[[#This Row],[disposedCourt]]=TrafficData[[#This Row],[totalCourt]]</f>
        <v>1</v>
      </c>
      <c r="N1438" s="8" t="b">
        <f>AND(TrafficData[[#This Row],[disposedChallan]]&lt;=TrafficData[[#This Row],[totalChallan]],TrafficData[[#This Row],[pendingChallan]]&lt;=TrafficData[[#This Row],[totalChallan]])</f>
        <v>1</v>
      </c>
      <c r="O1438" s="8" t="b">
        <f>AND(TrafficData[[#This Row],[pendingAmount]]&lt;=TrafficData[[#This Row],[totalAmount]],TrafficData[[#This Row],[disposedAmount]]&lt;=TrafficData[[#This Row],[totalAmount]])</f>
        <v>1</v>
      </c>
      <c r="P1438" s="8" t="b">
        <f>AND(TrafficData[[#This Row],[pendingCourt]]&lt;=TrafficData[[#This Row],[totalCourt]],TrafficData[[#This Row],[disposedCourt]]&lt;=TrafficData[[#This Row],[totalCourt]])</f>
        <v>1</v>
      </c>
    </row>
    <row r="1439" spans="1:16">
      <c r="A1439" s="1">
        <v>43442</v>
      </c>
      <c r="B1439">
        <v>18805</v>
      </c>
      <c r="C1439">
        <v>15542</v>
      </c>
      <c r="D1439">
        <v>3263</v>
      </c>
      <c r="E1439">
        <v>3539273</v>
      </c>
      <c r="F1439">
        <v>26662403</v>
      </c>
      <c r="G1439">
        <v>30201676</v>
      </c>
      <c r="H1439">
        <v>1417</v>
      </c>
      <c r="I1439">
        <v>503</v>
      </c>
      <c r="J1439">
        <v>1920</v>
      </c>
      <c r="K1439" t="b">
        <f>TrafficData[[#This Row],[disposedChallan]]+TrafficData[[#This Row],[pendingChallan]]=TrafficData[[#This Row],[totalChallan]]</f>
        <v>1</v>
      </c>
      <c r="L1439" t="b">
        <f>TrafficData[[#This Row],[pendingAmount]]+TrafficData[[#This Row],[disposedAmount]]=TrafficData[[#This Row],[totalAmount]]</f>
        <v>1</v>
      </c>
      <c r="M1439" t="b">
        <f>TrafficData[[#This Row],[pendingCourt]]+TrafficData[[#This Row],[disposedCourt]]=TrafficData[[#This Row],[totalCourt]]</f>
        <v>1</v>
      </c>
      <c r="N1439" s="8" t="b">
        <f>AND(TrafficData[[#This Row],[disposedChallan]]&lt;=TrafficData[[#This Row],[totalChallan]],TrafficData[[#This Row],[pendingChallan]]&lt;=TrafficData[[#This Row],[totalChallan]])</f>
        <v>1</v>
      </c>
      <c r="O1439" s="8" t="b">
        <f>AND(TrafficData[[#This Row],[pendingAmount]]&lt;=TrafficData[[#This Row],[totalAmount]],TrafficData[[#This Row],[disposedAmount]]&lt;=TrafficData[[#This Row],[totalAmount]])</f>
        <v>1</v>
      </c>
      <c r="P1439" s="8" t="b">
        <f>AND(TrafficData[[#This Row],[pendingCourt]]&lt;=TrafficData[[#This Row],[totalCourt]],TrafficData[[#This Row],[disposedCourt]]&lt;=TrafficData[[#This Row],[totalCourt]])</f>
        <v>1</v>
      </c>
    </row>
    <row r="1440" spans="1:16">
      <c r="A1440" s="1">
        <v>43443</v>
      </c>
      <c r="B1440">
        <v>13301</v>
      </c>
      <c r="C1440">
        <v>11271</v>
      </c>
      <c r="D1440">
        <v>2030</v>
      </c>
      <c r="E1440">
        <v>2253453</v>
      </c>
      <c r="F1440">
        <v>18111724</v>
      </c>
      <c r="G1440">
        <v>20365177</v>
      </c>
      <c r="H1440">
        <v>935</v>
      </c>
      <c r="I1440">
        <v>331</v>
      </c>
      <c r="J1440">
        <v>1266</v>
      </c>
      <c r="K1440" t="b">
        <f>TrafficData[[#This Row],[disposedChallan]]+TrafficData[[#This Row],[pendingChallan]]=TrafficData[[#This Row],[totalChallan]]</f>
        <v>1</v>
      </c>
      <c r="L1440" t="b">
        <f>TrafficData[[#This Row],[pendingAmount]]+TrafficData[[#This Row],[disposedAmount]]=TrafficData[[#This Row],[totalAmount]]</f>
        <v>1</v>
      </c>
      <c r="M1440" t="b">
        <f>TrafficData[[#This Row],[pendingCourt]]+TrafficData[[#This Row],[disposedCourt]]=TrafficData[[#This Row],[totalCourt]]</f>
        <v>1</v>
      </c>
      <c r="N1440" s="8" t="b">
        <f>AND(TrafficData[[#This Row],[disposedChallan]]&lt;=TrafficData[[#This Row],[totalChallan]],TrafficData[[#This Row],[pendingChallan]]&lt;=TrafficData[[#This Row],[totalChallan]])</f>
        <v>1</v>
      </c>
      <c r="O1440" s="8" t="b">
        <f>AND(TrafficData[[#This Row],[pendingAmount]]&lt;=TrafficData[[#This Row],[totalAmount]],TrafficData[[#This Row],[disposedAmount]]&lt;=TrafficData[[#This Row],[totalAmount]])</f>
        <v>1</v>
      </c>
      <c r="P1440" s="8" t="b">
        <f>AND(TrafficData[[#This Row],[pendingCourt]]&lt;=TrafficData[[#This Row],[totalCourt]],TrafficData[[#This Row],[disposedCourt]]&lt;=TrafficData[[#This Row],[totalCourt]])</f>
        <v>1</v>
      </c>
    </row>
    <row r="1441" spans="1:16">
      <c r="A1441" s="1">
        <v>43444</v>
      </c>
      <c r="B1441">
        <v>20606</v>
      </c>
      <c r="C1441">
        <v>16789</v>
      </c>
      <c r="D1441">
        <v>3817</v>
      </c>
      <c r="E1441">
        <v>4047053</v>
      </c>
      <c r="F1441">
        <v>22220111</v>
      </c>
      <c r="G1441">
        <v>26267164</v>
      </c>
      <c r="H1441">
        <v>1629</v>
      </c>
      <c r="I1441">
        <v>768</v>
      </c>
      <c r="J1441">
        <v>2397</v>
      </c>
      <c r="K1441" t="b">
        <f>TrafficData[[#This Row],[disposedChallan]]+TrafficData[[#This Row],[pendingChallan]]=TrafficData[[#This Row],[totalChallan]]</f>
        <v>1</v>
      </c>
      <c r="L1441" t="b">
        <f>TrafficData[[#This Row],[pendingAmount]]+TrafficData[[#This Row],[disposedAmount]]=TrafficData[[#This Row],[totalAmount]]</f>
        <v>1</v>
      </c>
      <c r="M1441" t="b">
        <f>TrafficData[[#This Row],[pendingCourt]]+TrafficData[[#This Row],[disposedCourt]]=TrafficData[[#This Row],[totalCourt]]</f>
        <v>1</v>
      </c>
      <c r="N1441" s="8" t="b">
        <f>AND(TrafficData[[#This Row],[disposedChallan]]&lt;=TrafficData[[#This Row],[totalChallan]],TrafficData[[#This Row],[pendingChallan]]&lt;=TrafficData[[#This Row],[totalChallan]])</f>
        <v>1</v>
      </c>
      <c r="O1441" s="8" t="b">
        <f>AND(TrafficData[[#This Row],[pendingAmount]]&lt;=TrafficData[[#This Row],[totalAmount]],TrafficData[[#This Row],[disposedAmount]]&lt;=TrafficData[[#This Row],[totalAmount]])</f>
        <v>1</v>
      </c>
      <c r="P1441" s="8" t="b">
        <f>AND(TrafficData[[#This Row],[pendingCourt]]&lt;=TrafficData[[#This Row],[totalCourt]],TrafficData[[#This Row],[disposedCourt]]&lt;=TrafficData[[#This Row],[totalCourt]])</f>
        <v>1</v>
      </c>
    </row>
    <row r="1442" spans="1:16">
      <c r="A1442" s="1">
        <v>43445</v>
      </c>
      <c r="B1442">
        <v>20176</v>
      </c>
      <c r="C1442">
        <v>16504</v>
      </c>
      <c r="D1442">
        <v>3672</v>
      </c>
      <c r="E1442">
        <v>6432737</v>
      </c>
      <c r="F1442">
        <v>33257142</v>
      </c>
      <c r="G1442">
        <v>39689879</v>
      </c>
      <c r="H1442">
        <v>1683</v>
      </c>
      <c r="I1442">
        <v>881</v>
      </c>
      <c r="J1442">
        <v>2564</v>
      </c>
      <c r="K1442" t="b">
        <f>TrafficData[[#This Row],[disposedChallan]]+TrafficData[[#This Row],[pendingChallan]]=TrafficData[[#This Row],[totalChallan]]</f>
        <v>1</v>
      </c>
      <c r="L1442" t="b">
        <f>TrafficData[[#This Row],[pendingAmount]]+TrafficData[[#This Row],[disposedAmount]]=TrafficData[[#This Row],[totalAmount]]</f>
        <v>1</v>
      </c>
      <c r="M1442" t="b">
        <f>TrafficData[[#This Row],[pendingCourt]]+TrafficData[[#This Row],[disposedCourt]]=TrafficData[[#This Row],[totalCourt]]</f>
        <v>1</v>
      </c>
      <c r="N1442" s="8" t="b">
        <f>AND(TrafficData[[#This Row],[disposedChallan]]&lt;=TrafficData[[#This Row],[totalChallan]],TrafficData[[#This Row],[pendingChallan]]&lt;=TrafficData[[#This Row],[totalChallan]])</f>
        <v>1</v>
      </c>
      <c r="O1442" s="8" t="b">
        <f>AND(TrafficData[[#This Row],[pendingAmount]]&lt;=TrafficData[[#This Row],[totalAmount]],TrafficData[[#This Row],[disposedAmount]]&lt;=TrafficData[[#This Row],[totalAmount]])</f>
        <v>1</v>
      </c>
      <c r="P1442" s="8" t="b">
        <f>AND(TrafficData[[#This Row],[pendingCourt]]&lt;=TrafficData[[#This Row],[totalCourt]],TrafficData[[#This Row],[disposedCourt]]&lt;=TrafficData[[#This Row],[totalCourt]])</f>
        <v>1</v>
      </c>
    </row>
    <row r="1443" spans="1:16">
      <c r="A1443" s="1">
        <v>43446</v>
      </c>
      <c r="B1443">
        <v>27004</v>
      </c>
      <c r="C1443">
        <v>20647</v>
      </c>
      <c r="D1443">
        <v>6357</v>
      </c>
      <c r="E1443">
        <v>9337920</v>
      </c>
      <c r="F1443">
        <v>35669047</v>
      </c>
      <c r="G1443">
        <v>45006967</v>
      </c>
      <c r="H1443">
        <v>3921</v>
      </c>
      <c r="I1443">
        <v>1139</v>
      </c>
      <c r="J1443">
        <v>5060</v>
      </c>
      <c r="K1443" t="b">
        <f>TrafficData[[#This Row],[disposedChallan]]+TrafficData[[#This Row],[pendingChallan]]=TrafficData[[#This Row],[totalChallan]]</f>
        <v>1</v>
      </c>
      <c r="L1443" t="b">
        <f>TrafficData[[#This Row],[pendingAmount]]+TrafficData[[#This Row],[disposedAmount]]=TrafficData[[#This Row],[totalAmount]]</f>
        <v>1</v>
      </c>
      <c r="M1443" t="b">
        <f>TrafficData[[#This Row],[pendingCourt]]+TrafficData[[#This Row],[disposedCourt]]=TrafficData[[#This Row],[totalCourt]]</f>
        <v>1</v>
      </c>
      <c r="N1443" s="8" t="b">
        <f>AND(TrafficData[[#This Row],[disposedChallan]]&lt;=TrafficData[[#This Row],[totalChallan]],TrafficData[[#This Row],[pendingChallan]]&lt;=TrafficData[[#This Row],[totalChallan]])</f>
        <v>1</v>
      </c>
      <c r="O1443" s="8" t="b">
        <f>AND(TrafficData[[#This Row],[pendingAmount]]&lt;=TrafficData[[#This Row],[totalAmount]],TrafficData[[#This Row],[disposedAmount]]&lt;=TrafficData[[#This Row],[totalAmount]])</f>
        <v>1</v>
      </c>
      <c r="P1443" s="8" t="b">
        <f>AND(TrafficData[[#This Row],[pendingCourt]]&lt;=TrafficData[[#This Row],[totalCourt]],TrafficData[[#This Row],[disposedCourt]]&lt;=TrafficData[[#This Row],[totalCourt]])</f>
        <v>1</v>
      </c>
    </row>
    <row r="1444" spans="1:16">
      <c r="A1444" s="1">
        <v>43447</v>
      </c>
      <c r="B1444">
        <v>25528</v>
      </c>
      <c r="C1444">
        <v>21959</v>
      </c>
      <c r="D1444">
        <v>3569</v>
      </c>
      <c r="E1444">
        <v>5993995</v>
      </c>
      <c r="F1444">
        <v>31888002</v>
      </c>
      <c r="G1444">
        <v>37881997</v>
      </c>
      <c r="H1444">
        <v>1570</v>
      </c>
      <c r="I1444">
        <v>860</v>
      </c>
      <c r="J1444">
        <v>2430</v>
      </c>
      <c r="K1444" t="b">
        <f>TrafficData[[#This Row],[disposedChallan]]+TrafficData[[#This Row],[pendingChallan]]=TrafficData[[#This Row],[totalChallan]]</f>
        <v>1</v>
      </c>
      <c r="L1444" t="b">
        <f>TrafficData[[#This Row],[pendingAmount]]+TrafficData[[#This Row],[disposedAmount]]=TrafficData[[#This Row],[totalAmount]]</f>
        <v>1</v>
      </c>
      <c r="M1444" t="b">
        <f>TrafficData[[#This Row],[pendingCourt]]+TrafficData[[#This Row],[disposedCourt]]=TrafficData[[#This Row],[totalCourt]]</f>
        <v>1</v>
      </c>
      <c r="N1444" s="8" t="b">
        <f>AND(TrafficData[[#This Row],[disposedChallan]]&lt;=TrafficData[[#This Row],[totalChallan]],TrafficData[[#This Row],[pendingChallan]]&lt;=TrafficData[[#This Row],[totalChallan]])</f>
        <v>1</v>
      </c>
      <c r="O1444" s="8" t="b">
        <f>AND(TrafficData[[#This Row],[pendingAmount]]&lt;=TrafficData[[#This Row],[totalAmount]],TrafficData[[#This Row],[disposedAmount]]&lt;=TrafficData[[#This Row],[totalAmount]])</f>
        <v>1</v>
      </c>
      <c r="P1444" s="8" t="b">
        <f>AND(TrafficData[[#This Row],[pendingCourt]]&lt;=TrafficData[[#This Row],[totalCourt]],TrafficData[[#This Row],[disposedCourt]]&lt;=TrafficData[[#This Row],[totalCourt]])</f>
        <v>1</v>
      </c>
    </row>
    <row r="1445" spans="1:16">
      <c r="A1445" s="1">
        <v>43448</v>
      </c>
      <c r="B1445">
        <v>21048</v>
      </c>
      <c r="C1445">
        <v>17255</v>
      </c>
      <c r="D1445">
        <v>3793</v>
      </c>
      <c r="E1445">
        <v>6944655</v>
      </c>
      <c r="F1445">
        <v>34214835</v>
      </c>
      <c r="G1445">
        <v>41159490</v>
      </c>
      <c r="H1445">
        <v>1665</v>
      </c>
      <c r="I1445">
        <v>907</v>
      </c>
      <c r="J1445">
        <v>2572</v>
      </c>
      <c r="K1445" t="b">
        <f>TrafficData[[#This Row],[disposedChallan]]+TrafficData[[#This Row],[pendingChallan]]=TrafficData[[#This Row],[totalChallan]]</f>
        <v>1</v>
      </c>
      <c r="L1445" t="b">
        <f>TrafficData[[#This Row],[pendingAmount]]+TrafficData[[#This Row],[disposedAmount]]=TrafficData[[#This Row],[totalAmount]]</f>
        <v>1</v>
      </c>
      <c r="M1445" t="b">
        <f>TrafficData[[#This Row],[pendingCourt]]+TrafficData[[#This Row],[disposedCourt]]=TrafficData[[#This Row],[totalCourt]]</f>
        <v>1</v>
      </c>
      <c r="N1445" s="8" t="b">
        <f>AND(TrafficData[[#This Row],[disposedChallan]]&lt;=TrafficData[[#This Row],[totalChallan]],TrafficData[[#This Row],[pendingChallan]]&lt;=TrafficData[[#This Row],[totalChallan]])</f>
        <v>1</v>
      </c>
      <c r="O1445" s="8" t="b">
        <f>AND(TrafficData[[#This Row],[pendingAmount]]&lt;=TrafficData[[#This Row],[totalAmount]],TrafficData[[#This Row],[disposedAmount]]&lt;=TrafficData[[#This Row],[totalAmount]])</f>
        <v>1</v>
      </c>
      <c r="P1445" s="8" t="b">
        <f>AND(TrafficData[[#This Row],[pendingCourt]]&lt;=TrafficData[[#This Row],[totalCourt]],TrafficData[[#This Row],[disposedCourt]]&lt;=TrafficData[[#This Row],[totalCourt]])</f>
        <v>1</v>
      </c>
    </row>
    <row r="1446" spans="1:16">
      <c r="A1446" s="1">
        <v>43449</v>
      </c>
      <c r="B1446">
        <v>20372</v>
      </c>
      <c r="C1446">
        <v>16783</v>
      </c>
      <c r="D1446">
        <v>3589</v>
      </c>
      <c r="E1446">
        <v>6818951</v>
      </c>
      <c r="F1446">
        <v>28988312</v>
      </c>
      <c r="G1446">
        <v>35807263</v>
      </c>
      <c r="H1446">
        <v>1488</v>
      </c>
      <c r="I1446">
        <v>688</v>
      </c>
      <c r="J1446">
        <v>2176</v>
      </c>
      <c r="K1446" t="b">
        <f>TrafficData[[#This Row],[disposedChallan]]+TrafficData[[#This Row],[pendingChallan]]=TrafficData[[#This Row],[totalChallan]]</f>
        <v>1</v>
      </c>
      <c r="L1446" t="b">
        <f>TrafficData[[#This Row],[pendingAmount]]+TrafficData[[#This Row],[disposedAmount]]=TrafficData[[#This Row],[totalAmount]]</f>
        <v>1</v>
      </c>
      <c r="M1446" t="b">
        <f>TrafficData[[#This Row],[pendingCourt]]+TrafficData[[#This Row],[disposedCourt]]=TrafficData[[#This Row],[totalCourt]]</f>
        <v>1</v>
      </c>
      <c r="N1446" s="8" t="b">
        <f>AND(TrafficData[[#This Row],[disposedChallan]]&lt;=TrafficData[[#This Row],[totalChallan]],TrafficData[[#This Row],[pendingChallan]]&lt;=TrafficData[[#This Row],[totalChallan]])</f>
        <v>1</v>
      </c>
      <c r="O1446" s="8" t="b">
        <f>AND(TrafficData[[#This Row],[pendingAmount]]&lt;=TrafficData[[#This Row],[totalAmount]],TrafficData[[#This Row],[disposedAmount]]&lt;=TrafficData[[#This Row],[totalAmount]])</f>
        <v>1</v>
      </c>
      <c r="P1446" s="8" t="b">
        <f>AND(TrafficData[[#This Row],[pendingCourt]]&lt;=TrafficData[[#This Row],[totalCourt]],TrafficData[[#This Row],[disposedCourt]]&lt;=TrafficData[[#This Row],[totalCourt]])</f>
        <v>1</v>
      </c>
    </row>
    <row r="1447" spans="1:16">
      <c r="A1447" s="1">
        <v>43450</v>
      </c>
      <c r="B1447">
        <v>13636</v>
      </c>
      <c r="C1447">
        <v>11300</v>
      </c>
      <c r="D1447">
        <v>2336</v>
      </c>
      <c r="E1447">
        <v>5278075</v>
      </c>
      <c r="F1447">
        <v>20193502</v>
      </c>
      <c r="G1447">
        <v>25471577</v>
      </c>
      <c r="H1447">
        <v>1130</v>
      </c>
      <c r="I1447">
        <v>503</v>
      </c>
      <c r="J1447">
        <v>1633</v>
      </c>
      <c r="K1447" t="b">
        <f>TrafficData[[#This Row],[disposedChallan]]+TrafficData[[#This Row],[pendingChallan]]=TrafficData[[#This Row],[totalChallan]]</f>
        <v>1</v>
      </c>
      <c r="L1447" t="b">
        <f>TrafficData[[#This Row],[pendingAmount]]+TrafficData[[#This Row],[disposedAmount]]=TrafficData[[#This Row],[totalAmount]]</f>
        <v>1</v>
      </c>
      <c r="M1447" t="b">
        <f>TrafficData[[#This Row],[pendingCourt]]+TrafficData[[#This Row],[disposedCourt]]=TrafficData[[#This Row],[totalCourt]]</f>
        <v>1</v>
      </c>
      <c r="N1447" s="8" t="b">
        <f>AND(TrafficData[[#This Row],[disposedChallan]]&lt;=TrafficData[[#This Row],[totalChallan]],TrafficData[[#This Row],[pendingChallan]]&lt;=TrafficData[[#This Row],[totalChallan]])</f>
        <v>1</v>
      </c>
      <c r="O1447" s="8" t="b">
        <f>AND(TrafficData[[#This Row],[pendingAmount]]&lt;=TrafficData[[#This Row],[totalAmount]],TrafficData[[#This Row],[disposedAmount]]&lt;=TrafficData[[#This Row],[totalAmount]])</f>
        <v>1</v>
      </c>
      <c r="P1447" s="8" t="b">
        <f>AND(TrafficData[[#This Row],[pendingCourt]]&lt;=TrafficData[[#This Row],[totalCourt]],TrafficData[[#This Row],[disposedCourt]]&lt;=TrafficData[[#This Row],[totalCourt]])</f>
        <v>1</v>
      </c>
    </row>
    <row r="1448" spans="1:16">
      <c r="A1448" s="1">
        <v>43451</v>
      </c>
      <c r="B1448">
        <v>19598</v>
      </c>
      <c r="C1448">
        <v>16224</v>
      </c>
      <c r="D1448">
        <v>3374</v>
      </c>
      <c r="E1448">
        <v>5800236</v>
      </c>
      <c r="F1448">
        <v>26217456</v>
      </c>
      <c r="G1448">
        <v>32017692</v>
      </c>
      <c r="H1448">
        <v>1696</v>
      </c>
      <c r="I1448">
        <v>824</v>
      </c>
      <c r="J1448">
        <v>2520</v>
      </c>
      <c r="K1448" t="b">
        <f>TrafficData[[#This Row],[disposedChallan]]+TrafficData[[#This Row],[pendingChallan]]=TrafficData[[#This Row],[totalChallan]]</f>
        <v>1</v>
      </c>
      <c r="L1448" t="b">
        <f>TrafficData[[#This Row],[pendingAmount]]+TrafficData[[#This Row],[disposedAmount]]=TrafficData[[#This Row],[totalAmount]]</f>
        <v>1</v>
      </c>
      <c r="M1448" t="b">
        <f>TrafficData[[#This Row],[pendingCourt]]+TrafficData[[#This Row],[disposedCourt]]=TrafficData[[#This Row],[totalCourt]]</f>
        <v>1</v>
      </c>
      <c r="N1448" s="8" t="b">
        <f>AND(TrafficData[[#This Row],[disposedChallan]]&lt;=TrafficData[[#This Row],[totalChallan]],TrafficData[[#This Row],[pendingChallan]]&lt;=TrafficData[[#This Row],[totalChallan]])</f>
        <v>1</v>
      </c>
      <c r="O1448" s="8" t="b">
        <f>AND(TrafficData[[#This Row],[pendingAmount]]&lt;=TrafficData[[#This Row],[totalAmount]],TrafficData[[#This Row],[disposedAmount]]&lt;=TrafficData[[#This Row],[totalAmount]])</f>
        <v>1</v>
      </c>
      <c r="P1448" s="8" t="b">
        <f>AND(TrafficData[[#This Row],[pendingCourt]]&lt;=TrafficData[[#This Row],[totalCourt]],TrafficData[[#This Row],[disposedCourt]]&lt;=TrafficData[[#This Row],[totalCourt]])</f>
        <v>1</v>
      </c>
    </row>
    <row r="1449" spans="1:16">
      <c r="A1449" s="1">
        <v>43452</v>
      </c>
      <c r="B1449">
        <v>19684</v>
      </c>
      <c r="C1449">
        <v>16618</v>
      </c>
      <c r="D1449">
        <v>3066</v>
      </c>
      <c r="E1449">
        <v>5099501</v>
      </c>
      <c r="F1449">
        <v>29839105</v>
      </c>
      <c r="G1449">
        <v>34938606</v>
      </c>
      <c r="H1449">
        <v>1747</v>
      </c>
      <c r="I1449">
        <v>809</v>
      </c>
      <c r="J1449">
        <v>2556</v>
      </c>
      <c r="K1449" t="b">
        <f>TrafficData[[#This Row],[disposedChallan]]+TrafficData[[#This Row],[pendingChallan]]=TrafficData[[#This Row],[totalChallan]]</f>
        <v>1</v>
      </c>
      <c r="L1449" t="b">
        <f>TrafficData[[#This Row],[pendingAmount]]+TrafficData[[#This Row],[disposedAmount]]=TrafficData[[#This Row],[totalAmount]]</f>
        <v>1</v>
      </c>
      <c r="M1449" t="b">
        <f>TrafficData[[#This Row],[pendingCourt]]+TrafficData[[#This Row],[disposedCourt]]=TrafficData[[#This Row],[totalCourt]]</f>
        <v>1</v>
      </c>
      <c r="N1449" s="8" t="b">
        <f>AND(TrafficData[[#This Row],[disposedChallan]]&lt;=TrafficData[[#This Row],[totalChallan]],TrafficData[[#This Row],[pendingChallan]]&lt;=TrafficData[[#This Row],[totalChallan]])</f>
        <v>1</v>
      </c>
      <c r="O1449" s="8" t="b">
        <f>AND(TrafficData[[#This Row],[pendingAmount]]&lt;=TrafficData[[#This Row],[totalAmount]],TrafficData[[#This Row],[disposedAmount]]&lt;=TrafficData[[#This Row],[totalAmount]])</f>
        <v>1</v>
      </c>
      <c r="P1449" s="8" t="b">
        <f>AND(TrafficData[[#This Row],[pendingCourt]]&lt;=TrafficData[[#This Row],[totalCourt]],TrafficData[[#This Row],[disposedCourt]]&lt;=TrafficData[[#This Row],[totalCourt]])</f>
        <v>1</v>
      </c>
    </row>
    <row r="1450" spans="1:16">
      <c r="A1450" s="1">
        <v>43453</v>
      </c>
      <c r="B1450">
        <v>26631</v>
      </c>
      <c r="C1450">
        <v>21476</v>
      </c>
      <c r="D1450">
        <v>5155</v>
      </c>
      <c r="E1450">
        <v>6711510</v>
      </c>
      <c r="F1450">
        <v>33870053</v>
      </c>
      <c r="G1450">
        <v>40581563</v>
      </c>
      <c r="H1450">
        <v>3745</v>
      </c>
      <c r="I1450">
        <v>1368</v>
      </c>
      <c r="J1450">
        <v>5113</v>
      </c>
      <c r="K1450" t="b">
        <f>TrafficData[[#This Row],[disposedChallan]]+TrafficData[[#This Row],[pendingChallan]]=TrafficData[[#This Row],[totalChallan]]</f>
        <v>1</v>
      </c>
      <c r="L1450" t="b">
        <f>TrafficData[[#This Row],[pendingAmount]]+TrafficData[[#This Row],[disposedAmount]]=TrafficData[[#This Row],[totalAmount]]</f>
        <v>1</v>
      </c>
      <c r="M1450" t="b">
        <f>TrafficData[[#This Row],[pendingCourt]]+TrafficData[[#This Row],[disposedCourt]]=TrafficData[[#This Row],[totalCourt]]</f>
        <v>1</v>
      </c>
      <c r="N1450" s="8" t="b">
        <f>AND(TrafficData[[#This Row],[disposedChallan]]&lt;=TrafficData[[#This Row],[totalChallan]],TrafficData[[#This Row],[pendingChallan]]&lt;=TrafficData[[#This Row],[totalChallan]])</f>
        <v>1</v>
      </c>
      <c r="O1450" s="8" t="b">
        <f>AND(TrafficData[[#This Row],[pendingAmount]]&lt;=TrafficData[[#This Row],[totalAmount]],TrafficData[[#This Row],[disposedAmount]]&lt;=TrafficData[[#This Row],[totalAmount]])</f>
        <v>1</v>
      </c>
      <c r="P1450" s="8" t="b">
        <f>AND(TrafficData[[#This Row],[pendingCourt]]&lt;=TrafficData[[#This Row],[totalCourt]],TrafficData[[#This Row],[disposedCourt]]&lt;=TrafficData[[#This Row],[totalCourt]])</f>
        <v>1</v>
      </c>
    </row>
    <row r="1451" spans="1:16">
      <c r="A1451" s="1">
        <v>43454</v>
      </c>
      <c r="B1451">
        <v>21805</v>
      </c>
      <c r="C1451">
        <v>18559</v>
      </c>
      <c r="D1451">
        <v>3246</v>
      </c>
      <c r="E1451">
        <v>5920016</v>
      </c>
      <c r="F1451">
        <v>37848135</v>
      </c>
      <c r="G1451">
        <v>43768151</v>
      </c>
      <c r="H1451">
        <v>1868</v>
      </c>
      <c r="I1451">
        <v>1053</v>
      </c>
      <c r="J1451">
        <v>2921</v>
      </c>
      <c r="K1451" t="b">
        <f>TrafficData[[#This Row],[disposedChallan]]+TrafficData[[#This Row],[pendingChallan]]=TrafficData[[#This Row],[totalChallan]]</f>
        <v>1</v>
      </c>
      <c r="L1451" t="b">
        <f>TrafficData[[#This Row],[pendingAmount]]+TrafficData[[#This Row],[disposedAmount]]=TrafficData[[#This Row],[totalAmount]]</f>
        <v>1</v>
      </c>
      <c r="M1451" t="b">
        <f>TrafficData[[#This Row],[pendingCourt]]+TrafficData[[#This Row],[disposedCourt]]=TrafficData[[#This Row],[totalCourt]]</f>
        <v>1</v>
      </c>
      <c r="N1451" s="8" t="b">
        <f>AND(TrafficData[[#This Row],[disposedChallan]]&lt;=TrafficData[[#This Row],[totalChallan]],TrafficData[[#This Row],[pendingChallan]]&lt;=TrafficData[[#This Row],[totalChallan]])</f>
        <v>1</v>
      </c>
      <c r="O1451" s="8" t="b">
        <f>AND(TrafficData[[#This Row],[pendingAmount]]&lt;=TrafficData[[#This Row],[totalAmount]],TrafficData[[#This Row],[disposedAmount]]&lt;=TrafficData[[#This Row],[totalAmount]])</f>
        <v>1</v>
      </c>
      <c r="P1451" s="8" t="b">
        <f>AND(TrafficData[[#This Row],[pendingCourt]]&lt;=TrafficData[[#This Row],[totalCourt]],TrafficData[[#This Row],[disposedCourt]]&lt;=TrafficData[[#This Row],[totalCourt]])</f>
        <v>1</v>
      </c>
    </row>
    <row r="1452" spans="1:16">
      <c r="A1452" s="1">
        <v>43455</v>
      </c>
      <c r="B1452">
        <v>21784</v>
      </c>
      <c r="C1452">
        <v>18940</v>
      </c>
      <c r="D1452">
        <v>2844</v>
      </c>
      <c r="E1452">
        <v>5642271</v>
      </c>
      <c r="F1452">
        <v>76833133</v>
      </c>
      <c r="G1452">
        <v>82475404</v>
      </c>
      <c r="H1452">
        <v>1682</v>
      </c>
      <c r="I1452">
        <v>930</v>
      </c>
      <c r="J1452">
        <v>2612</v>
      </c>
      <c r="K1452" t="b">
        <f>TrafficData[[#This Row],[disposedChallan]]+TrafficData[[#This Row],[pendingChallan]]=TrafficData[[#This Row],[totalChallan]]</f>
        <v>1</v>
      </c>
      <c r="L1452" t="b">
        <f>TrafficData[[#This Row],[pendingAmount]]+TrafficData[[#This Row],[disposedAmount]]=TrafficData[[#This Row],[totalAmount]]</f>
        <v>1</v>
      </c>
      <c r="M1452" t="b">
        <f>TrafficData[[#This Row],[pendingCourt]]+TrafficData[[#This Row],[disposedCourt]]=TrafficData[[#This Row],[totalCourt]]</f>
        <v>1</v>
      </c>
      <c r="N1452" s="8" t="b">
        <f>AND(TrafficData[[#This Row],[disposedChallan]]&lt;=TrafficData[[#This Row],[totalChallan]],TrafficData[[#This Row],[pendingChallan]]&lt;=TrafficData[[#This Row],[totalChallan]])</f>
        <v>1</v>
      </c>
      <c r="O1452" s="8" t="b">
        <f>AND(TrafficData[[#This Row],[pendingAmount]]&lt;=TrafficData[[#This Row],[totalAmount]],TrafficData[[#This Row],[disposedAmount]]&lt;=TrafficData[[#This Row],[totalAmount]])</f>
        <v>1</v>
      </c>
      <c r="P1452" s="8" t="b">
        <f>AND(TrafficData[[#This Row],[pendingCourt]]&lt;=TrafficData[[#This Row],[totalCourt]],TrafficData[[#This Row],[disposedCourt]]&lt;=TrafficData[[#This Row],[totalCourt]])</f>
        <v>1</v>
      </c>
    </row>
    <row r="1453" spans="1:16">
      <c r="A1453" s="1">
        <v>43456</v>
      </c>
      <c r="B1453">
        <v>19523</v>
      </c>
      <c r="C1453">
        <v>16710</v>
      </c>
      <c r="D1453">
        <v>2813</v>
      </c>
      <c r="E1453">
        <v>5508575</v>
      </c>
      <c r="F1453">
        <v>30612019</v>
      </c>
      <c r="G1453">
        <v>36120594</v>
      </c>
      <c r="H1453">
        <v>1628</v>
      </c>
      <c r="I1453">
        <v>716</v>
      </c>
      <c r="J1453">
        <v>2344</v>
      </c>
      <c r="K1453" t="b">
        <f>TrafficData[[#This Row],[disposedChallan]]+TrafficData[[#This Row],[pendingChallan]]=TrafficData[[#This Row],[totalChallan]]</f>
        <v>1</v>
      </c>
      <c r="L1453" t="b">
        <f>TrafficData[[#This Row],[pendingAmount]]+TrafficData[[#This Row],[disposedAmount]]=TrafficData[[#This Row],[totalAmount]]</f>
        <v>1</v>
      </c>
      <c r="M1453" t="b">
        <f>TrafficData[[#This Row],[pendingCourt]]+TrafficData[[#This Row],[disposedCourt]]=TrafficData[[#This Row],[totalCourt]]</f>
        <v>1</v>
      </c>
      <c r="N1453" s="8" t="b">
        <f>AND(TrafficData[[#This Row],[disposedChallan]]&lt;=TrafficData[[#This Row],[totalChallan]],TrafficData[[#This Row],[pendingChallan]]&lt;=TrafficData[[#This Row],[totalChallan]])</f>
        <v>1</v>
      </c>
      <c r="O1453" s="8" t="b">
        <f>AND(TrafficData[[#This Row],[pendingAmount]]&lt;=TrafficData[[#This Row],[totalAmount]],TrafficData[[#This Row],[disposedAmount]]&lt;=TrafficData[[#This Row],[totalAmount]])</f>
        <v>1</v>
      </c>
      <c r="P1453" s="8" t="b">
        <f>AND(TrafficData[[#This Row],[pendingCourt]]&lt;=TrafficData[[#This Row],[totalCourt]],TrafficData[[#This Row],[disposedCourt]]&lt;=TrafficData[[#This Row],[totalCourt]])</f>
        <v>1</v>
      </c>
    </row>
    <row r="1454" spans="1:16">
      <c r="A1454" s="1">
        <v>43457</v>
      </c>
      <c r="B1454">
        <v>14602</v>
      </c>
      <c r="C1454">
        <v>12596</v>
      </c>
      <c r="D1454">
        <v>2006</v>
      </c>
      <c r="E1454">
        <v>3726771</v>
      </c>
      <c r="F1454">
        <v>20691529</v>
      </c>
      <c r="G1454">
        <v>24418300</v>
      </c>
      <c r="H1454">
        <v>1064</v>
      </c>
      <c r="I1454">
        <v>532</v>
      </c>
      <c r="J1454">
        <v>1596</v>
      </c>
      <c r="K1454" t="b">
        <f>TrafficData[[#This Row],[disposedChallan]]+TrafficData[[#This Row],[pendingChallan]]=TrafficData[[#This Row],[totalChallan]]</f>
        <v>1</v>
      </c>
      <c r="L1454" t="b">
        <f>TrafficData[[#This Row],[pendingAmount]]+TrafficData[[#This Row],[disposedAmount]]=TrafficData[[#This Row],[totalAmount]]</f>
        <v>1</v>
      </c>
      <c r="M1454" t="b">
        <f>TrafficData[[#This Row],[pendingCourt]]+TrafficData[[#This Row],[disposedCourt]]=TrafficData[[#This Row],[totalCourt]]</f>
        <v>1</v>
      </c>
      <c r="N1454" s="8" t="b">
        <f>AND(TrafficData[[#This Row],[disposedChallan]]&lt;=TrafficData[[#This Row],[totalChallan]],TrafficData[[#This Row],[pendingChallan]]&lt;=TrafficData[[#This Row],[totalChallan]])</f>
        <v>1</v>
      </c>
      <c r="O1454" s="8" t="b">
        <f>AND(TrafficData[[#This Row],[pendingAmount]]&lt;=TrafficData[[#This Row],[totalAmount]],TrafficData[[#This Row],[disposedAmount]]&lt;=TrafficData[[#This Row],[totalAmount]])</f>
        <v>1</v>
      </c>
      <c r="P1454" s="8" t="b">
        <f>AND(TrafficData[[#This Row],[pendingCourt]]&lt;=TrafficData[[#This Row],[totalCourt]],TrafficData[[#This Row],[disposedCourt]]&lt;=TrafficData[[#This Row],[totalCourt]])</f>
        <v>1</v>
      </c>
    </row>
    <row r="1455" spans="1:16">
      <c r="A1455" s="1">
        <v>43458</v>
      </c>
      <c r="B1455">
        <v>21430</v>
      </c>
      <c r="C1455">
        <v>17836</v>
      </c>
      <c r="D1455">
        <v>3594</v>
      </c>
      <c r="E1455">
        <v>5031728</v>
      </c>
      <c r="F1455">
        <v>28563816</v>
      </c>
      <c r="G1455">
        <v>33595544</v>
      </c>
      <c r="H1455">
        <v>1619</v>
      </c>
      <c r="I1455">
        <v>982</v>
      </c>
      <c r="J1455">
        <v>2601</v>
      </c>
      <c r="K1455" t="b">
        <f>TrafficData[[#This Row],[disposedChallan]]+TrafficData[[#This Row],[pendingChallan]]=TrafficData[[#This Row],[totalChallan]]</f>
        <v>1</v>
      </c>
      <c r="L1455" t="b">
        <f>TrafficData[[#This Row],[pendingAmount]]+TrafficData[[#This Row],[disposedAmount]]=TrafficData[[#This Row],[totalAmount]]</f>
        <v>1</v>
      </c>
      <c r="M1455" t="b">
        <f>TrafficData[[#This Row],[pendingCourt]]+TrafficData[[#This Row],[disposedCourt]]=TrafficData[[#This Row],[totalCourt]]</f>
        <v>1</v>
      </c>
      <c r="N1455" s="8" t="b">
        <f>AND(TrafficData[[#This Row],[disposedChallan]]&lt;=TrafficData[[#This Row],[totalChallan]],TrafficData[[#This Row],[pendingChallan]]&lt;=TrafficData[[#This Row],[totalChallan]])</f>
        <v>1</v>
      </c>
      <c r="O1455" s="8" t="b">
        <f>AND(TrafficData[[#This Row],[pendingAmount]]&lt;=TrafficData[[#This Row],[totalAmount]],TrafficData[[#This Row],[disposedAmount]]&lt;=TrafficData[[#This Row],[totalAmount]])</f>
        <v>1</v>
      </c>
      <c r="P1455" s="8" t="b">
        <f>AND(TrafficData[[#This Row],[pendingCourt]]&lt;=TrafficData[[#This Row],[totalCourt]],TrafficData[[#This Row],[disposedCourt]]&lt;=TrafficData[[#This Row],[totalCourt]])</f>
        <v>1</v>
      </c>
    </row>
    <row r="1456" spans="1:16">
      <c r="A1456" s="1">
        <v>43459</v>
      </c>
      <c r="B1456">
        <v>19268</v>
      </c>
      <c r="C1456">
        <v>15342</v>
      </c>
      <c r="D1456">
        <v>3926</v>
      </c>
      <c r="E1456">
        <v>5290353</v>
      </c>
      <c r="F1456">
        <v>28085234</v>
      </c>
      <c r="G1456">
        <v>33375587</v>
      </c>
      <c r="H1456">
        <v>1358</v>
      </c>
      <c r="I1456">
        <v>774</v>
      </c>
      <c r="J1456">
        <v>2132</v>
      </c>
      <c r="K1456" t="b">
        <f>TrafficData[[#This Row],[disposedChallan]]+TrafficData[[#This Row],[pendingChallan]]=TrafficData[[#This Row],[totalChallan]]</f>
        <v>1</v>
      </c>
      <c r="L1456" t="b">
        <f>TrafficData[[#This Row],[pendingAmount]]+TrafficData[[#This Row],[disposedAmount]]=TrafficData[[#This Row],[totalAmount]]</f>
        <v>1</v>
      </c>
      <c r="M1456" t="b">
        <f>TrafficData[[#This Row],[pendingCourt]]+TrafficData[[#This Row],[disposedCourt]]=TrafficData[[#This Row],[totalCourt]]</f>
        <v>1</v>
      </c>
      <c r="N1456" s="8" t="b">
        <f>AND(TrafficData[[#This Row],[disposedChallan]]&lt;=TrafficData[[#This Row],[totalChallan]],TrafficData[[#This Row],[pendingChallan]]&lt;=TrafficData[[#This Row],[totalChallan]])</f>
        <v>1</v>
      </c>
      <c r="O1456" s="8" t="b">
        <f>AND(TrafficData[[#This Row],[pendingAmount]]&lt;=TrafficData[[#This Row],[totalAmount]],TrafficData[[#This Row],[disposedAmount]]&lt;=TrafficData[[#This Row],[totalAmount]])</f>
        <v>1</v>
      </c>
      <c r="P1456" s="8" t="b">
        <f>AND(TrafficData[[#This Row],[pendingCourt]]&lt;=TrafficData[[#This Row],[totalCourt]],TrafficData[[#This Row],[disposedCourt]]&lt;=TrafficData[[#This Row],[totalCourt]])</f>
        <v>1</v>
      </c>
    </row>
    <row r="1457" spans="1:16">
      <c r="A1457" s="1">
        <v>43460</v>
      </c>
      <c r="B1457">
        <v>28208</v>
      </c>
      <c r="C1457">
        <v>22410</v>
      </c>
      <c r="D1457">
        <v>5798</v>
      </c>
      <c r="E1457">
        <v>8208040</v>
      </c>
      <c r="F1457">
        <v>30594001</v>
      </c>
      <c r="G1457">
        <v>38802041</v>
      </c>
      <c r="H1457">
        <v>3966</v>
      </c>
      <c r="I1457">
        <v>1570</v>
      </c>
      <c r="J1457">
        <v>5536</v>
      </c>
      <c r="K1457" t="b">
        <f>TrafficData[[#This Row],[disposedChallan]]+TrafficData[[#This Row],[pendingChallan]]=TrafficData[[#This Row],[totalChallan]]</f>
        <v>1</v>
      </c>
      <c r="L1457" t="b">
        <f>TrafficData[[#This Row],[pendingAmount]]+TrafficData[[#This Row],[disposedAmount]]=TrafficData[[#This Row],[totalAmount]]</f>
        <v>1</v>
      </c>
      <c r="M1457" t="b">
        <f>TrafficData[[#This Row],[pendingCourt]]+TrafficData[[#This Row],[disposedCourt]]=TrafficData[[#This Row],[totalCourt]]</f>
        <v>1</v>
      </c>
      <c r="N1457" s="8" t="b">
        <f>AND(TrafficData[[#This Row],[disposedChallan]]&lt;=TrafficData[[#This Row],[totalChallan]],TrafficData[[#This Row],[pendingChallan]]&lt;=TrafficData[[#This Row],[totalChallan]])</f>
        <v>1</v>
      </c>
      <c r="O1457" s="8" t="b">
        <f>AND(TrafficData[[#This Row],[pendingAmount]]&lt;=TrafficData[[#This Row],[totalAmount]],TrafficData[[#This Row],[disposedAmount]]&lt;=TrafficData[[#This Row],[totalAmount]])</f>
        <v>1</v>
      </c>
      <c r="P1457" s="8" t="b">
        <f>AND(TrafficData[[#This Row],[pendingCourt]]&lt;=TrafficData[[#This Row],[totalCourt]],TrafficData[[#This Row],[disposedCourt]]&lt;=TrafficData[[#This Row],[totalCourt]])</f>
        <v>1</v>
      </c>
    </row>
    <row r="1458" spans="1:16">
      <c r="A1458" s="1">
        <v>43461</v>
      </c>
      <c r="B1458">
        <v>20707</v>
      </c>
      <c r="C1458">
        <v>17913</v>
      </c>
      <c r="D1458">
        <v>2794</v>
      </c>
      <c r="E1458">
        <v>5493529</v>
      </c>
      <c r="F1458">
        <v>33135681</v>
      </c>
      <c r="G1458">
        <v>38629210</v>
      </c>
      <c r="H1458">
        <v>1860</v>
      </c>
      <c r="I1458">
        <v>1059</v>
      </c>
      <c r="J1458">
        <v>2919</v>
      </c>
      <c r="K1458" t="b">
        <f>TrafficData[[#This Row],[disposedChallan]]+TrafficData[[#This Row],[pendingChallan]]=TrafficData[[#This Row],[totalChallan]]</f>
        <v>1</v>
      </c>
      <c r="L1458" t="b">
        <f>TrafficData[[#This Row],[pendingAmount]]+TrafficData[[#This Row],[disposedAmount]]=TrafficData[[#This Row],[totalAmount]]</f>
        <v>1</v>
      </c>
      <c r="M1458" t="b">
        <f>TrafficData[[#This Row],[pendingCourt]]+TrafficData[[#This Row],[disposedCourt]]=TrafficData[[#This Row],[totalCourt]]</f>
        <v>1</v>
      </c>
      <c r="N1458" s="8" t="b">
        <f>AND(TrafficData[[#This Row],[disposedChallan]]&lt;=TrafficData[[#This Row],[totalChallan]],TrafficData[[#This Row],[pendingChallan]]&lt;=TrafficData[[#This Row],[totalChallan]])</f>
        <v>1</v>
      </c>
      <c r="O1458" s="8" t="b">
        <f>AND(TrafficData[[#This Row],[pendingAmount]]&lt;=TrafficData[[#This Row],[totalAmount]],TrafficData[[#This Row],[disposedAmount]]&lt;=TrafficData[[#This Row],[totalAmount]])</f>
        <v>1</v>
      </c>
      <c r="P1458" s="8" t="b">
        <f>AND(TrafficData[[#This Row],[pendingCourt]]&lt;=TrafficData[[#This Row],[totalCourt]],TrafficData[[#This Row],[disposedCourt]]&lt;=TrafficData[[#This Row],[totalCourt]])</f>
        <v>1</v>
      </c>
    </row>
    <row r="1459" spans="1:16">
      <c r="A1459" s="1">
        <v>43462</v>
      </c>
      <c r="B1459">
        <v>21625</v>
      </c>
      <c r="C1459">
        <v>18879</v>
      </c>
      <c r="D1459">
        <v>2746</v>
      </c>
      <c r="E1459">
        <v>4281482</v>
      </c>
      <c r="F1459">
        <v>31876832</v>
      </c>
      <c r="G1459">
        <v>36158314</v>
      </c>
      <c r="H1459">
        <v>1907</v>
      </c>
      <c r="I1459">
        <v>1269</v>
      </c>
      <c r="J1459">
        <v>3176</v>
      </c>
      <c r="K1459" t="b">
        <f>TrafficData[[#This Row],[disposedChallan]]+TrafficData[[#This Row],[pendingChallan]]=TrafficData[[#This Row],[totalChallan]]</f>
        <v>1</v>
      </c>
      <c r="L1459" t="b">
        <f>TrafficData[[#This Row],[pendingAmount]]+TrafficData[[#This Row],[disposedAmount]]=TrafficData[[#This Row],[totalAmount]]</f>
        <v>1</v>
      </c>
      <c r="M1459" t="b">
        <f>TrafficData[[#This Row],[pendingCourt]]+TrafficData[[#This Row],[disposedCourt]]=TrafficData[[#This Row],[totalCourt]]</f>
        <v>1</v>
      </c>
      <c r="N1459" s="8" t="b">
        <f>AND(TrafficData[[#This Row],[disposedChallan]]&lt;=TrafficData[[#This Row],[totalChallan]],TrafficData[[#This Row],[pendingChallan]]&lt;=TrafficData[[#This Row],[totalChallan]])</f>
        <v>1</v>
      </c>
      <c r="O1459" s="8" t="b">
        <f>AND(TrafficData[[#This Row],[pendingAmount]]&lt;=TrafficData[[#This Row],[totalAmount]],TrafficData[[#This Row],[disposedAmount]]&lt;=TrafficData[[#This Row],[totalAmount]])</f>
        <v>1</v>
      </c>
      <c r="P1459" s="8" t="b">
        <f>AND(TrafficData[[#This Row],[pendingCourt]]&lt;=TrafficData[[#This Row],[totalCourt]],TrafficData[[#This Row],[disposedCourt]]&lt;=TrafficData[[#This Row],[totalCourt]])</f>
        <v>1</v>
      </c>
    </row>
    <row r="1460" spans="1:16">
      <c r="A1460" s="1">
        <v>43463</v>
      </c>
      <c r="B1460">
        <v>19975</v>
      </c>
      <c r="C1460">
        <v>17833</v>
      </c>
      <c r="D1460">
        <v>2142</v>
      </c>
      <c r="E1460">
        <v>3623819</v>
      </c>
      <c r="F1460">
        <v>30223330</v>
      </c>
      <c r="G1460">
        <v>33847149</v>
      </c>
      <c r="H1460">
        <v>1500</v>
      </c>
      <c r="I1460">
        <v>1153</v>
      </c>
      <c r="J1460">
        <v>2653</v>
      </c>
      <c r="K1460" t="b">
        <f>TrafficData[[#This Row],[disposedChallan]]+TrafficData[[#This Row],[pendingChallan]]=TrafficData[[#This Row],[totalChallan]]</f>
        <v>1</v>
      </c>
      <c r="L1460" t="b">
        <f>TrafficData[[#This Row],[pendingAmount]]+TrafficData[[#This Row],[disposedAmount]]=TrafficData[[#This Row],[totalAmount]]</f>
        <v>1</v>
      </c>
      <c r="M1460" t="b">
        <f>TrafficData[[#This Row],[pendingCourt]]+TrafficData[[#This Row],[disposedCourt]]=TrafficData[[#This Row],[totalCourt]]</f>
        <v>1</v>
      </c>
      <c r="N1460" s="8" t="b">
        <f>AND(TrafficData[[#This Row],[disposedChallan]]&lt;=TrafficData[[#This Row],[totalChallan]],TrafficData[[#This Row],[pendingChallan]]&lt;=TrafficData[[#This Row],[totalChallan]])</f>
        <v>1</v>
      </c>
      <c r="O1460" s="8" t="b">
        <f>AND(TrafficData[[#This Row],[pendingAmount]]&lt;=TrafficData[[#This Row],[totalAmount]],TrafficData[[#This Row],[disposedAmount]]&lt;=TrafficData[[#This Row],[totalAmount]])</f>
        <v>1</v>
      </c>
      <c r="P1460" s="8" t="b">
        <f>AND(TrafficData[[#This Row],[pendingCourt]]&lt;=TrafficData[[#This Row],[totalCourt]],TrafficData[[#This Row],[disposedCourt]]&lt;=TrafficData[[#This Row],[totalCourt]])</f>
        <v>1</v>
      </c>
    </row>
    <row r="1461" spans="1:16">
      <c r="A1461" s="1">
        <v>43464</v>
      </c>
      <c r="B1461">
        <v>14363</v>
      </c>
      <c r="C1461">
        <v>12826</v>
      </c>
      <c r="D1461">
        <v>1537</v>
      </c>
      <c r="E1461">
        <v>2644522</v>
      </c>
      <c r="F1461">
        <v>22355276</v>
      </c>
      <c r="G1461">
        <v>24999798</v>
      </c>
      <c r="H1461">
        <v>1056</v>
      </c>
      <c r="I1461">
        <v>927</v>
      </c>
      <c r="J1461">
        <v>1983</v>
      </c>
      <c r="K1461" t="b">
        <f>TrafficData[[#This Row],[disposedChallan]]+TrafficData[[#This Row],[pendingChallan]]=TrafficData[[#This Row],[totalChallan]]</f>
        <v>1</v>
      </c>
      <c r="L1461" t="b">
        <f>TrafficData[[#This Row],[pendingAmount]]+TrafficData[[#This Row],[disposedAmount]]=TrafficData[[#This Row],[totalAmount]]</f>
        <v>1</v>
      </c>
      <c r="M1461" t="b">
        <f>TrafficData[[#This Row],[pendingCourt]]+TrafficData[[#This Row],[disposedCourt]]=TrafficData[[#This Row],[totalCourt]]</f>
        <v>1</v>
      </c>
      <c r="N1461" s="8" t="b">
        <f>AND(TrafficData[[#This Row],[disposedChallan]]&lt;=TrafficData[[#This Row],[totalChallan]],TrafficData[[#This Row],[pendingChallan]]&lt;=TrafficData[[#This Row],[totalChallan]])</f>
        <v>1</v>
      </c>
      <c r="O1461" s="8" t="b">
        <f>AND(TrafficData[[#This Row],[pendingAmount]]&lt;=TrafficData[[#This Row],[totalAmount]],TrafficData[[#This Row],[disposedAmount]]&lt;=TrafficData[[#This Row],[totalAmount]])</f>
        <v>1</v>
      </c>
      <c r="P1461" s="8" t="b">
        <f>AND(TrafficData[[#This Row],[pendingCourt]]&lt;=TrafficData[[#This Row],[totalCourt]],TrafficData[[#This Row],[disposedCourt]]&lt;=TrafficData[[#This Row],[totalCourt]])</f>
        <v>1</v>
      </c>
    </row>
    <row r="1462" spans="1:16">
      <c r="A1462" s="1">
        <v>43465</v>
      </c>
      <c r="B1462">
        <v>20305</v>
      </c>
      <c r="C1462">
        <v>18154</v>
      </c>
      <c r="D1462">
        <v>2151</v>
      </c>
      <c r="E1462">
        <v>2682222</v>
      </c>
      <c r="F1462">
        <v>27827646</v>
      </c>
      <c r="G1462">
        <v>30509868</v>
      </c>
      <c r="H1462">
        <v>1404</v>
      </c>
      <c r="I1462">
        <v>1393</v>
      </c>
      <c r="J1462">
        <v>2797</v>
      </c>
      <c r="K1462" t="b">
        <f>TrafficData[[#This Row],[disposedChallan]]+TrafficData[[#This Row],[pendingChallan]]=TrafficData[[#This Row],[totalChallan]]</f>
        <v>1</v>
      </c>
      <c r="L1462" t="b">
        <f>TrafficData[[#This Row],[pendingAmount]]+TrafficData[[#This Row],[disposedAmount]]=TrafficData[[#This Row],[totalAmount]]</f>
        <v>1</v>
      </c>
      <c r="M1462" t="b">
        <f>TrafficData[[#This Row],[pendingCourt]]+TrafficData[[#This Row],[disposedCourt]]=TrafficData[[#This Row],[totalCourt]]</f>
        <v>1</v>
      </c>
      <c r="N1462" s="8" t="b">
        <f>AND(TrafficData[[#This Row],[disposedChallan]]&lt;=TrafficData[[#This Row],[totalChallan]],TrafficData[[#This Row],[pendingChallan]]&lt;=TrafficData[[#This Row],[totalChallan]])</f>
        <v>1</v>
      </c>
      <c r="O1462" s="8" t="b">
        <f>AND(TrafficData[[#This Row],[pendingAmount]]&lt;=TrafficData[[#This Row],[totalAmount]],TrafficData[[#This Row],[disposedAmount]]&lt;=TrafficData[[#This Row],[totalAmount]])</f>
        <v>1</v>
      </c>
      <c r="P1462" s="8" t="b">
        <f>AND(TrafficData[[#This Row],[pendingCourt]]&lt;=TrafficData[[#This Row],[totalCourt]],TrafficData[[#This Row],[disposedCourt]]&lt;=TrafficData[[#This Row],[totalCourt]])</f>
        <v>1</v>
      </c>
    </row>
    <row r="1463" spans="1:16">
      <c r="A1463" s="1">
        <v>43466</v>
      </c>
      <c r="B1463">
        <v>17052</v>
      </c>
      <c r="C1463">
        <v>15546</v>
      </c>
      <c r="D1463">
        <v>1506</v>
      </c>
      <c r="E1463">
        <v>2513812</v>
      </c>
      <c r="F1463">
        <v>30309558</v>
      </c>
      <c r="G1463">
        <v>32823370</v>
      </c>
      <c r="H1463">
        <v>1120</v>
      </c>
      <c r="I1463">
        <v>1525</v>
      </c>
      <c r="J1463">
        <v>2645</v>
      </c>
      <c r="K1463" t="b">
        <f>TrafficData[[#This Row],[disposedChallan]]+TrafficData[[#This Row],[pendingChallan]]=TrafficData[[#This Row],[totalChallan]]</f>
        <v>1</v>
      </c>
      <c r="L1463" t="b">
        <f>TrafficData[[#This Row],[pendingAmount]]+TrafficData[[#This Row],[disposedAmount]]=TrafficData[[#This Row],[totalAmount]]</f>
        <v>1</v>
      </c>
      <c r="M1463" t="b">
        <f>TrafficData[[#This Row],[pendingCourt]]+TrafficData[[#This Row],[disposedCourt]]=TrafficData[[#This Row],[totalCourt]]</f>
        <v>1</v>
      </c>
      <c r="N1463" s="8" t="b">
        <f>AND(TrafficData[[#This Row],[disposedChallan]]&lt;=TrafficData[[#This Row],[totalChallan]],TrafficData[[#This Row],[pendingChallan]]&lt;=TrafficData[[#This Row],[totalChallan]])</f>
        <v>1</v>
      </c>
      <c r="O1463" s="8" t="b">
        <f>AND(TrafficData[[#This Row],[pendingAmount]]&lt;=TrafficData[[#This Row],[totalAmount]],TrafficData[[#This Row],[disposedAmount]]&lt;=TrafficData[[#This Row],[totalAmount]])</f>
        <v>1</v>
      </c>
      <c r="P1463" s="8" t="b">
        <f>AND(TrafficData[[#This Row],[pendingCourt]]&lt;=TrafficData[[#This Row],[totalCourt]],TrafficData[[#This Row],[disposedCourt]]&lt;=TrafficData[[#This Row],[totalCourt]])</f>
        <v>1</v>
      </c>
    </row>
    <row r="1464" spans="1:16">
      <c r="A1464" s="1">
        <v>43467</v>
      </c>
      <c r="B1464">
        <v>30209</v>
      </c>
      <c r="C1464">
        <v>25622</v>
      </c>
      <c r="D1464">
        <v>4587</v>
      </c>
      <c r="E1464">
        <v>6796646</v>
      </c>
      <c r="F1464">
        <v>35513707</v>
      </c>
      <c r="G1464">
        <v>42310353</v>
      </c>
      <c r="H1464">
        <v>3788</v>
      </c>
      <c r="I1464">
        <v>2350</v>
      </c>
      <c r="J1464">
        <v>6138</v>
      </c>
      <c r="K1464" t="b">
        <f>TrafficData[[#This Row],[disposedChallan]]+TrafficData[[#This Row],[pendingChallan]]=TrafficData[[#This Row],[totalChallan]]</f>
        <v>1</v>
      </c>
      <c r="L1464" t="b">
        <f>TrafficData[[#This Row],[pendingAmount]]+TrafficData[[#This Row],[disposedAmount]]=TrafficData[[#This Row],[totalAmount]]</f>
        <v>1</v>
      </c>
      <c r="M1464" t="b">
        <f>TrafficData[[#This Row],[pendingCourt]]+TrafficData[[#This Row],[disposedCourt]]=TrafficData[[#This Row],[totalCourt]]</f>
        <v>1</v>
      </c>
      <c r="N1464" s="8" t="b">
        <f>AND(TrafficData[[#This Row],[disposedChallan]]&lt;=TrafficData[[#This Row],[totalChallan]],TrafficData[[#This Row],[pendingChallan]]&lt;=TrafficData[[#This Row],[totalChallan]])</f>
        <v>1</v>
      </c>
      <c r="O1464" s="8" t="b">
        <f>AND(TrafficData[[#This Row],[pendingAmount]]&lt;=TrafficData[[#This Row],[totalAmount]],TrafficData[[#This Row],[disposedAmount]]&lt;=TrafficData[[#This Row],[totalAmount]])</f>
        <v>1</v>
      </c>
      <c r="P1464" s="8" t="b">
        <f>AND(TrafficData[[#This Row],[pendingCourt]]&lt;=TrafficData[[#This Row],[totalCourt]],TrafficData[[#This Row],[disposedCourt]]&lt;=TrafficData[[#This Row],[totalCourt]])</f>
        <v>1</v>
      </c>
    </row>
    <row r="1465" spans="1:16">
      <c r="A1465" s="1">
        <v>43468</v>
      </c>
      <c r="B1465">
        <v>23243</v>
      </c>
      <c r="C1465">
        <v>21049</v>
      </c>
      <c r="D1465">
        <v>2194</v>
      </c>
      <c r="E1465">
        <v>5150324</v>
      </c>
      <c r="F1465">
        <v>35357655</v>
      </c>
      <c r="G1465">
        <v>40507979</v>
      </c>
      <c r="H1465">
        <v>1567</v>
      </c>
      <c r="I1465">
        <v>1989</v>
      </c>
      <c r="J1465">
        <v>3556</v>
      </c>
      <c r="K1465" t="b">
        <f>TrafficData[[#This Row],[disposedChallan]]+TrafficData[[#This Row],[pendingChallan]]=TrafficData[[#This Row],[totalChallan]]</f>
        <v>1</v>
      </c>
      <c r="L1465" t="b">
        <f>TrafficData[[#This Row],[pendingAmount]]+TrafficData[[#This Row],[disposedAmount]]=TrafficData[[#This Row],[totalAmount]]</f>
        <v>1</v>
      </c>
      <c r="M1465" t="b">
        <f>TrafficData[[#This Row],[pendingCourt]]+TrafficData[[#This Row],[disposedCourt]]=TrafficData[[#This Row],[totalCourt]]</f>
        <v>1</v>
      </c>
      <c r="N1465" s="8" t="b">
        <f>AND(TrafficData[[#This Row],[disposedChallan]]&lt;=TrafficData[[#This Row],[totalChallan]],TrafficData[[#This Row],[pendingChallan]]&lt;=TrafficData[[#This Row],[totalChallan]])</f>
        <v>1</v>
      </c>
      <c r="O1465" s="8" t="b">
        <f>AND(TrafficData[[#This Row],[pendingAmount]]&lt;=TrafficData[[#This Row],[totalAmount]],TrafficData[[#This Row],[disposedAmount]]&lt;=TrafficData[[#This Row],[totalAmount]])</f>
        <v>1</v>
      </c>
      <c r="P1465" s="8" t="b">
        <f>AND(TrafficData[[#This Row],[pendingCourt]]&lt;=TrafficData[[#This Row],[totalCourt]],TrafficData[[#This Row],[disposedCourt]]&lt;=TrafficData[[#This Row],[totalCourt]])</f>
        <v>1</v>
      </c>
    </row>
    <row r="1466" spans="1:16">
      <c r="A1466" s="1">
        <v>43469</v>
      </c>
      <c r="B1466">
        <v>24446</v>
      </c>
      <c r="C1466">
        <v>22068</v>
      </c>
      <c r="D1466">
        <v>2378</v>
      </c>
      <c r="E1466">
        <v>4806014</v>
      </c>
      <c r="F1466">
        <v>37587937</v>
      </c>
      <c r="G1466">
        <v>42393951</v>
      </c>
      <c r="H1466">
        <v>1719</v>
      </c>
      <c r="I1466">
        <v>2012</v>
      </c>
      <c r="J1466">
        <v>3731</v>
      </c>
      <c r="K1466" t="b">
        <f>TrafficData[[#This Row],[disposedChallan]]+TrafficData[[#This Row],[pendingChallan]]=TrafficData[[#This Row],[totalChallan]]</f>
        <v>1</v>
      </c>
      <c r="L1466" t="b">
        <f>TrafficData[[#This Row],[pendingAmount]]+TrafficData[[#This Row],[disposedAmount]]=TrafficData[[#This Row],[totalAmount]]</f>
        <v>1</v>
      </c>
      <c r="M1466" t="b">
        <f>TrafficData[[#This Row],[pendingCourt]]+TrafficData[[#This Row],[disposedCourt]]=TrafficData[[#This Row],[totalCourt]]</f>
        <v>1</v>
      </c>
      <c r="N1466" s="8" t="b">
        <f>AND(TrafficData[[#This Row],[disposedChallan]]&lt;=TrafficData[[#This Row],[totalChallan]],TrafficData[[#This Row],[pendingChallan]]&lt;=TrafficData[[#This Row],[totalChallan]])</f>
        <v>1</v>
      </c>
      <c r="O1466" s="8" t="b">
        <f>AND(TrafficData[[#This Row],[pendingAmount]]&lt;=TrafficData[[#This Row],[totalAmount]],TrafficData[[#This Row],[disposedAmount]]&lt;=TrafficData[[#This Row],[totalAmount]])</f>
        <v>1</v>
      </c>
      <c r="P1466" s="8" t="b">
        <f>AND(TrafficData[[#This Row],[pendingCourt]]&lt;=TrafficData[[#This Row],[totalCourt]],TrafficData[[#This Row],[disposedCourt]]&lt;=TrafficData[[#This Row],[totalCourt]])</f>
        <v>1</v>
      </c>
    </row>
    <row r="1467" spans="1:16">
      <c r="A1467" s="1">
        <v>43470</v>
      </c>
      <c r="B1467">
        <v>21643</v>
      </c>
      <c r="C1467">
        <v>19079</v>
      </c>
      <c r="D1467">
        <v>2564</v>
      </c>
      <c r="E1467">
        <v>4972676</v>
      </c>
      <c r="F1467">
        <v>33784949</v>
      </c>
      <c r="G1467">
        <v>38757625</v>
      </c>
      <c r="H1467">
        <v>1952</v>
      </c>
      <c r="I1467">
        <v>1273</v>
      </c>
      <c r="J1467">
        <v>3225</v>
      </c>
      <c r="K1467" t="b">
        <f>TrafficData[[#This Row],[disposedChallan]]+TrafficData[[#This Row],[pendingChallan]]=TrafficData[[#This Row],[totalChallan]]</f>
        <v>1</v>
      </c>
      <c r="L1467" t="b">
        <f>TrafficData[[#This Row],[pendingAmount]]+TrafficData[[#This Row],[disposedAmount]]=TrafficData[[#This Row],[totalAmount]]</f>
        <v>1</v>
      </c>
      <c r="M1467" t="b">
        <f>TrafficData[[#This Row],[pendingCourt]]+TrafficData[[#This Row],[disposedCourt]]=TrafficData[[#This Row],[totalCourt]]</f>
        <v>1</v>
      </c>
      <c r="N1467" s="8" t="b">
        <f>AND(TrafficData[[#This Row],[disposedChallan]]&lt;=TrafficData[[#This Row],[totalChallan]],TrafficData[[#This Row],[pendingChallan]]&lt;=TrafficData[[#This Row],[totalChallan]])</f>
        <v>1</v>
      </c>
      <c r="O1467" s="8" t="b">
        <f>AND(TrafficData[[#This Row],[pendingAmount]]&lt;=TrafficData[[#This Row],[totalAmount]],TrafficData[[#This Row],[disposedAmount]]&lt;=TrafficData[[#This Row],[totalAmount]])</f>
        <v>1</v>
      </c>
      <c r="P1467" s="8" t="b">
        <f>AND(TrafficData[[#This Row],[pendingCourt]]&lt;=TrafficData[[#This Row],[totalCourt]],TrafficData[[#This Row],[disposedCourt]]&lt;=TrafficData[[#This Row],[totalCourt]])</f>
        <v>1</v>
      </c>
    </row>
    <row r="1468" spans="1:16">
      <c r="A1468" s="1">
        <v>43471</v>
      </c>
      <c r="B1468">
        <v>15802</v>
      </c>
      <c r="C1468">
        <v>14447</v>
      </c>
      <c r="D1468">
        <v>1355</v>
      </c>
      <c r="E1468">
        <v>1992520</v>
      </c>
      <c r="F1468">
        <v>21344071</v>
      </c>
      <c r="G1468">
        <v>23336591</v>
      </c>
      <c r="H1468">
        <v>1088</v>
      </c>
      <c r="I1468">
        <v>1130</v>
      </c>
      <c r="J1468">
        <v>2218</v>
      </c>
      <c r="K1468" t="b">
        <f>TrafficData[[#This Row],[disposedChallan]]+TrafficData[[#This Row],[pendingChallan]]=TrafficData[[#This Row],[totalChallan]]</f>
        <v>1</v>
      </c>
      <c r="L1468" t="b">
        <f>TrafficData[[#This Row],[pendingAmount]]+TrafficData[[#This Row],[disposedAmount]]=TrafficData[[#This Row],[totalAmount]]</f>
        <v>1</v>
      </c>
      <c r="M1468" t="b">
        <f>TrafficData[[#This Row],[pendingCourt]]+TrafficData[[#This Row],[disposedCourt]]=TrafficData[[#This Row],[totalCourt]]</f>
        <v>1</v>
      </c>
      <c r="N1468" s="8" t="b">
        <f>AND(TrafficData[[#This Row],[disposedChallan]]&lt;=TrafficData[[#This Row],[totalChallan]],TrafficData[[#This Row],[pendingChallan]]&lt;=TrafficData[[#This Row],[totalChallan]])</f>
        <v>1</v>
      </c>
      <c r="O1468" s="8" t="b">
        <f>AND(TrafficData[[#This Row],[pendingAmount]]&lt;=TrafficData[[#This Row],[totalAmount]],TrafficData[[#This Row],[disposedAmount]]&lt;=TrafficData[[#This Row],[totalAmount]])</f>
        <v>1</v>
      </c>
      <c r="P1468" s="8" t="b">
        <f>AND(TrafficData[[#This Row],[pendingCourt]]&lt;=TrafficData[[#This Row],[totalCourt]],TrafficData[[#This Row],[disposedCourt]]&lt;=TrafficData[[#This Row],[totalCourt]])</f>
        <v>1</v>
      </c>
    </row>
    <row r="1469" spans="1:16">
      <c r="A1469" s="1">
        <v>43472</v>
      </c>
      <c r="B1469">
        <v>22413</v>
      </c>
      <c r="C1469">
        <v>19911</v>
      </c>
      <c r="D1469">
        <v>2502</v>
      </c>
      <c r="E1469">
        <v>8971195</v>
      </c>
      <c r="F1469">
        <v>32351131</v>
      </c>
      <c r="G1469">
        <v>41322326</v>
      </c>
      <c r="H1469">
        <v>1717</v>
      </c>
      <c r="I1469">
        <v>1455</v>
      </c>
      <c r="J1469">
        <v>3172</v>
      </c>
      <c r="K1469" t="b">
        <f>TrafficData[[#This Row],[disposedChallan]]+TrafficData[[#This Row],[pendingChallan]]=TrafficData[[#This Row],[totalChallan]]</f>
        <v>1</v>
      </c>
      <c r="L1469" t="b">
        <f>TrafficData[[#This Row],[pendingAmount]]+TrafficData[[#This Row],[disposedAmount]]=TrafficData[[#This Row],[totalAmount]]</f>
        <v>1</v>
      </c>
      <c r="M1469" t="b">
        <f>TrafficData[[#This Row],[pendingCourt]]+TrafficData[[#This Row],[disposedCourt]]=TrafficData[[#This Row],[totalCourt]]</f>
        <v>1</v>
      </c>
      <c r="N1469" s="8" t="b">
        <f>AND(TrafficData[[#This Row],[disposedChallan]]&lt;=TrafficData[[#This Row],[totalChallan]],TrafficData[[#This Row],[pendingChallan]]&lt;=TrafficData[[#This Row],[totalChallan]])</f>
        <v>1</v>
      </c>
      <c r="O1469" s="8" t="b">
        <f>AND(TrafficData[[#This Row],[pendingAmount]]&lt;=TrafficData[[#This Row],[totalAmount]],TrafficData[[#This Row],[disposedAmount]]&lt;=TrafficData[[#This Row],[totalAmount]])</f>
        <v>1</v>
      </c>
      <c r="P1469" s="8" t="b">
        <f>AND(TrafficData[[#This Row],[pendingCourt]]&lt;=TrafficData[[#This Row],[totalCourt]],TrafficData[[#This Row],[disposedCourt]]&lt;=TrafficData[[#This Row],[totalCourt]])</f>
        <v>1</v>
      </c>
    </row>
    <row r="1470" spans="1:16">
      <c r="A1470" s="1">
        <v>43473</v>
      </c>
      <c r="B1470">
        <v>23475</v>
      </c>
      <c r="C1470">
        <v>20665</v>
      </c>
      <c r="D1470">
        <v>2810</v>
      </c>
      <c r="E1470">
        <v>6894624</v>
      </c>
      <c r="F1470">
        <v>36572291</v>
      </c>
      <c r="G1470">
        <v>43466915</v>
      </c>
      <c r="H1470">
        <v>1936</v>
      </c>
      <c r="I1470">
        <v>2100</v>
      </c>
      <c r="J1470">
        <v>4036</v>
      </c>
      <c r="K1470" t="b">
        <f>TrafficData[[#This Row],[disposedChallan]]+TrafficData[[#This Row],[pendingChallan]]=TrafficData[[#This Row],[totalChallan]]</f>
        <v>1</v>
      </c>
      <c r="L1470" t="b">
        <f>TrafficData[[#This Row],[pendingAmount]]+TrafficData[[#This Row],[disposedAmount]]=TrafficData[[#This Row],[totalAmount]]</f>
        <v>1</v>
      </c>
      <c r="M1470" t="b">
        <f>TrafficData[[#This Row],[pendingCourt]]+TrafficData[[#This Row],[disposedCourt]]=TrafficData[[#This Row],[totalCourt]]</f>
        <v>1</v>
      </c>
      <c r="N1470" s="8" t="b">
        <f>AND(TrafficData[[#This Row],[disposedChallan]]&lt;=TrafficData[[#This Row],[totalChallan]],TrafficData[[#This Row],[pendingChallan]]&lt;=TrafficData[[#This Row],[totalChallan]])</f>
        <v>1</v>
      </c>
      <c r="O1470" s="8" t="b">
        <f>AND(TrafficData[[#This Row],[pendingAmount]]&lt;=TrafficData[[#This Row],[totalAmount]],TrafficData[[#This Row],[disposedAmount]]&lt;=TrafficData[[#This Row],[totalAmount]])</f>
        <v>1</v>
      </c>
      <c r="P1470" s="8" t="b">
        <f>AND(TrafficData[[#This Row],[pendingCourt]]&lt;=TrafficData[[#This Row],[totalCourt]],TrafficData[[#This Row],[disposedCourt]]&lt;=TrafficData[[#This Row],[totalCourt]])</f>
        <v>1</v>
      </c>
    </row>
    <row r="1471" spans="1:16">
      <c r="A1471" s="1">
        <v>43474</v>
      </c>
      <c r="B1471">
        <v>28260</v>
      </c>
      <c r="C1471">
        <v>23180</v>
      </c>
      <c r="D1471">
        <v>5080</v>
      </c>
      <c r="E1471">
        <v>8801578</v>
      </c>
      <c r="F1471">
        <v>33870764</v>
      </c>
      <c r="G1471">
        <v>42672342</v>
      </c>
      <c r="H1471">
        <v>4103</v>
      </c>
      <c r="I1471">
        <v>1868</v>
      </c>
      <c r="J1471">
        <v>5971</v>
      </c>
      <c r="K1471" t="b">
        <f>TrafficData[[#This Row],[disposedChallan]]+TrafficData[[#This Row],[pendingChallan]]=TrafficData[[#This Row],[totalChallan]]</f>
        <v>1</v>
      </c>
      <c r="L1471" t="b">
        <f>TrafficData[[#This Row],[pendingAmount]]+TrafficData[[#This Row],[disposedAmount]]=TrafficData[[#This Row],[totalAmount]]</f>
        <v>1</v>
      </c>
      <c r="M1471" t="b">
        <f>TrafficData[[#This Row],[pendingCourt]]+TrafficData[[#This Row],[disposedCourt]]=TrafficData[[#This Row],[totalCourt]]</f>
        <v>1</v>
      </c>
      <c r="N1471" s="8" t="b">
        <f>AND(TrafficData[[#This Row],[disposedChallan]]&lt;=TrafficData[[#This Row],[totalChallan]],TrafficData[[#This Row],[pendingChallan]]&lt;=TrafficData[[#This Row],[totalChallan]])</f>
        <v>1</v>
      </c>
      <c r="O1471" s="8" t="b">
        <f>AND(TrafficData[[#This Row],[pendingAmount]]&lt;=TrafficData[[#This Row],[totalAmount]],TrafficData[[#This Row],[disposedAmount]]&lt;=TrafficData[[#This Row],[totalAmount]])</f>
        <v>1</v>
      </c>
      <c r="P1471" s="8" t="b">
        <f>AND(TrafficData[[#This Row],[pendingCourt]]&lt;=TrafficData[[#This Row],[totalCourt]],TrafficData[[#This Row],[disposedCourt]]&lt;=TrafficData[[#This Row],[totalCourt]])</f>
        <v>1</v>
      </c>
    </row>
    <row r="1472" spans="1:16">
      <c r="A1472" s="1">
        <v>43475</v>
      </c>
      <c r="B1472">
        <v>24774</v>
      </c>
      <c r="C1472">
        <v>21384</v>
      </c>
      <c r="D1472">
        <v>3390</v>
      </c>
      <c r="E1472">
        <v>8245770</v>
      </c>
      <c r="F1472">
        <v>38394963</v>
      </c>
      <c r="G1472">
        <v>46640733</v>
      </c>
      <c r="H1472">
        <v>2140</v>
      </c>
      <c r="I1472">
        <v>1782</v>
      </c>
      <c r="J1472">
        <v>3922</v>
      </c>
      <c r="K1472" t="b">
        <f>TrafficData[[#This Row],[disposedChallan]]+TrafficData[[#This Row],[pendingChallan]]=TrafficData[[#This Row],[totalChallan]]</f>
        <v>1</v>
      </c>
      <c r="L1472" t="b">
        <f>TrafficData[[#This Row],[pendingAmount]]+TrafficData[[#This Row],[disposedAmount]]=TrafficData[[#This Row],[totalAmount]]</f>
        <v>1</v>
      </c>
      <c r="M1472" t="b">
        <f>TrafficData[[#This Row],[pendingCourt]]+TrafficData[[#This Row],[disposedCourt]]=TrafficData[[#This Row],[totalCourt]]</f>
        <v>1</v>
      </c>
      <c r="N1472" s="8" t="b">
        <f>AND(TrafficData[[#This Row],[disposedChallan]]&lt;=TrafficData[[#This Row],[totalChallan]],TrafficData[[#This Row],[pendingChallan]]&lt;=TrafficData[[#This Row],[totalChallan]])</f>
        <v>1</v>
      </c>
      <c r="O1472" s="8" t="b">
        <f>AND(TrafficData[[#This Row],[pendingAmount]]&lt;=TrafficData[[#This Row],[totalAmount]],TrafficData[[#This Row],[disposedAmount]]&lt;=TrafficData[[#This Row],[totalAmount]])</f>
        <v>1</v>
      </c>
      <c r="P1472" s="8" t="b">
        <f>AND(TrafficData[[#This Row],[pendingCourt]]&lt;=TrafficData[[#This Row],[totalCourt]],TrafficData[[#This Row],[disposedCourt]]&lt;=TrafficData[[#This Row],[totalCourt]])</f>
        <v>1</v>
      </c>
    </row>
    <row r="1473" spans="1:16">
      <c r="A1473" s="1">
        <v>43476</v>
      </c>
      <c r="B1473">
        <v>26249</v>
      </c>
      <c r="C1473">
        <v>22245</v>
      </c>
      <c r="D1473">
        <v>4004</v>
      </c>
      <c r="E1473">
        <v>13009662</v>
      </c>
      <c r="F1473">
        <v>141368088</v>
      </c>
      <c r="G1473">
        <v>154377750</v>
      </c>
      <c r="H1473">
        <v>2003</v>
      </c>
      <c r="I1473">
        <v>1956</v>
      </c>
      <c r="J1473">
        <v>3959</v>
      </c>
      <c r="K1473" t="b">
        <f>TrafficData[[#This Row],[disposedChallan]]+TrafficData[[#This Row],[pendingChallan]]=TrafficData[[#This Row],[totalChallan]]</f>
        <v>1</v>
      </c>
      <c r="L1473" t="b">
        <f>TrafficData[[#This Row],[pendingAmount]]+TrafficData[[#This Row],[disposedAmount]]=TrafficData[[#This Row],[totalAmount]]</f>
        <v>1</v>
      </c>
      <c r="M1473" t="b">
        <f>TrafficData[[#This Row],[pendingCourt]]+TrafficData[[#This Row],[disposedCourt]]=TrafficData[[#This Row],[totalCourt]]</f>
        <v>1</v>
      </c>
      <c r="N1473" s="8" t="b">
        <f>AND(TrafficData[[#This Row],[disposedChallan]]&lt;=TrafficData[[#This Row],[totalChallan]],TrafficData[[#This Row],[pendingChallan]]&lt;=TrafficData[[#This Row],[totalChallan]])</f>
        <v>1</v>
      </c>
      <c r="O1473" s="8" t="b">
        <f>AND(TrafficData[[#This Row],[pendingAmount]]&lt;=TrafficData[[#This Row],[totalAmount]],TrafficData[[#This Row],[disposedAmount]]&lt;=TrafficData[[#This Row],[totalAmount]])</f>
        <v>1</v>
      </c>
      <c r="P1473" s="8" t="b">
        <f>AND(TrafficData[[#This Row],[pendingCourt]]&lt;=TrafficData[[#This Row],[totalCourt]],TrafficData[[#This Row],[disposedCourt]]&lt;=TrafficData[[#This Row],[totalCourt]])</f>
        <v>1</v>
      </c>
    </row>
    <row r="1474" spans="1:16">
      <c r="A1474" s="1">
        <v>43477</v>
      </c>
      <c r="B1474">
        <v>22381</v>
      </c>
      <c r="C1474">
        <v>19448</v>
      </c>
      <c r="D1474">
        <v>2933</v>
      </c>
      <c r="E1474">
        <v>4728530</v>
      </c>
      <c r="F1474">
        <v>32024880</v>
      </c>
      <c r="G1474">
        <v>36753410</v>
      </c>
      <c r="H1474">
        <v>2316</v>
      </c>
      <c r="I1474">
        <v>1580</v>
      </c>
      <c r="J1474">
        <v>3896</v>
      </c>
      <c r="K1474" t="b">
        <f>TrafficData[[#This Row],[disposedChallan]]+TrafficData[[#This Row],[pendingChallan]]=TrafficData[[#This Row],[totalChallan]]</f>
        <v>1</v>
      </c>
      <c r="L1474" t="b">
        <f>TrafficData[[#This Row],[pendingAmount]]+TrafficData[[#This Row],[disposedAmount]]=TrafficData[[#This Row],[totalAmount]]</f>
        <v>1</v>
      </c>
      <c r="M1474" t="b">
        <f>TrafficData[[#This Row],[pendingCourt]]+TrafficData[[#This Row],[disposedCourt]]=TrafficData[[#This Row],[totalCourt]]</f>
        <v>1</v>
      </c>
      <c r="N1474" s="8" t="b">
        <f>AND(TrafficData[[#This Row],[disposedChallan]]&lt;=TrafficData[[#This Row],[totalChallan]],TrafficData[[#This Row],[pendingChallan]]&lt;=TrafficData[[#This Row],[totalChallan]])</f>
        <v>1</v>
      </c>
      <c r="O1474" s="8" t="b">
        <f>AND(TrafficData[[#This Row],[pendingAmount]]&lt;=TrafficData[[#This Row],[totalAmount]],TrafficData[[#This Row],[disposedAmount]]&lt;=TrafficData[[#This Row],[totalAmount]])</f>
        <v>1</v>
      </c>
      <c r="P1474" s="8" t="b">
        <f>AND(TrafficData[[#This Row],[pendingCourt]]&lt;=TrafficData[[#This Row],[totalCourt]],TrafficData[[#This Row],[disposedCourt]]&lt;=TrafficData[[#This Row],[totalCourt]])</f>
        <v>1</v>
      </c>
    </row>
    <row r="1475" spans="1:16">
      <c r="A1475" s="1">
        <v>43478</v>
      </c>
      <c r="B1475">
        <v>16050</v>
      </c>
      <c r="C1475">
        <v>13893</v>
      </c>
      <c r="D1475">
        <v>2157</v>
      </c>
      <c r="E1475">
        <v>3077542</v>
      </c>
      <c r="F1475">
        <v>18264535</v>
      </c>
      <c r="G1475">
        <v>21342077</v>
      </c>
      <c r="H1475">
        <v>1505</v>
      </c>
      <c r="I1475">
        <v>1372</v>
      </c>
      <c r="J1475">
        <v>2877</v>
      </c>
      <c r="K1475" t="b">
        <f>TrafficData[[#This Row],[disposedChallan]]+TrafficData[[#This Row],[pendingChallan]]=TrafficData[[#This Row],[totalChallan]]</f>
        <v>1</v>
      </c>
      <c r="L1475" t="b">
        <f>TrafficData[[#This Row],[pendingAmount]]+TrafficData[[#This Row],[disposedAmount]]=TrafficData[[#This Row],[totalAmount]]</f>
        <v>1</v>
      </c>
      <c r="M1475" t="b">
        <f>TrafficData[[#This Row],[pendingCourt]]+TrafficData[[#This Row],[disposedCourt]]=TrafficData[[#This Row],[totalCourt]]</f>
        <v>1</v>
      </c>
      <c r="N1475" s="8" t="b">
        <f>AND(TrafficData[[#This Row],[disposedChallan]]&lt;=TrafficData[[#This Row],[totalChallan]],TrafficData[[#This Row],[pendingChallan]]&lt;=TrafficData[[#This Row],[totalChallan]])</f>
        <v>1</v>
      </c>
      <c r="O1475" s="8" t="b">
        <f>AND(TrafficData[[#This Row],[pendingAmount]]&lt;=TrafficData[[#This Row],[totalAmount]],TrafficData[[#This Row],[disposedAmount]]&lt;=TrafficData[[#This Row],[totalAmount]])</f>
        <v>1</v>
      </c>
      <c r="P1475" s="8" t="b">
        <f>AND(TrafficData[[#This Row],[pendingCourt]]&lt;=TrafficData[[#This Row],[totalCourt]],TrafficData[[#This Row],[disposedCourt]]&lt;=TrafficData[[#This Row],[totalCourt]])</f>
        <v>1</v>
      </c>
    </row>
    <row r="1476" spans="1:16">
      <c r="A1476" s="1">
        <v>43479</v>
      </c>
      <c r="B1476">
        <v>19932</v>
      </c>
      <c r="C1476">
        <v>17499</v>
      </c>
      <c r="D1476">
        <v>2433</v>
      </c>
      <c r="E1476">
        <v>3107745</v>
      </c>
      <c r="F1476">
        <v>24546304</v>
      </c>
      <c r="G1476">
        <v>27654049</v>
      </c>
      <c r="H1476">
        <v>1506</v>
      </c>
      <c r="I1476">
        <v>1676</v>
      </c>
      <c r="J1476">
        <v>3182</v>
      </c>
      <c r="K1476" t="b">
        <f>TrafficData[[#This Row],[disposedChallan]]+TrafficData[[#This Row],[pendingChallan]]=TrafficData[[#This Row],[totalChallan]]</f>
        <v>1</v>
      </c>
      <c r="L1476" t="b">
        <f>TrafficData[[#This Row],[pendingAmount]]+TrafficData[[#This Row],[disposedAmount]]=TrafficData[[#This Row],[totalAmount]]</f>
        <v>1</v>
      </c>
      <c r="M1476" t="b">
        <f>TrafficData[[#This Row],[pendingCourt]]+TrafficData[[#This Row],[disposedCourt]]=TrafficData[[#This Row],[totalCourt]]</f>
        <v>1</v>
      </c>
      <c r="N1476" s="8" t="b">
        <f>AND(TrafficData[[#This Row],[disposedChallan]]&lt;=TrafficData[[#This Row],[totalChallan]],TrafficData[[#This Row],[pendingChallan]]&lt;=TrafficData[[#This Row],[totalChallan]])</f>
        <v>1</v>
      </c>
      <c r="O1476" s="8" t="b">
        <f>AND(TrafficData[[#This Row],[pendingAmount]]&lt;=TrafficData[[#This Row],[totalAmount]],TrafficData[[#This Row],[disposedAmount]]&lt;=TrafficData[[#This Row],[totalAmount]])</f>
        <v>1</v>
      </c>
      <c r="P1476" s="8" t="b">
        <f>AND(TrafficData[[#This Row],[pendingCourt]]&lt;=TrafficData[[#This Row],[totalCourt]],TrafficData[[#This Row],[disposedCourt]]&lt;=TrafficData[[#This Row],[totalCourt]])</f>
        <v>1</v>
      </c>
    </row>
    <row r="1477" spans="1:16">
      <c r="A1477" s="1">
        <v>43480</v>
      </c>
      <c r="B1477">
        <v>20960</v>
      </c>
      <c r="C1477">
        <v>18410</v>
      </c>
      <c r="D1477">
        <v>2550</v>
      </c>
      <c r="E1477">
        <v>4982955</v>
      </c>
      <c r="F1477">
        <v>32225584</v>
      </c>
      <c r="G1477">
        <v>37208539</v>
      </c>
      <c r="H1477">
        <v>1423</v>
      </c>
      <c r="I1477">
        <v>1515</v>
      </c>
      <c r="J1477">
        <v>2938</v>
      </c>
      <c r="K1477" t="b">
        <f>TrafficData[[#This Row],[disposedChallan]]+TrafficData[[#This Row],[pendingChallan]]=TrafficData[[#This Row],[totalChallan]]</f>
        <v>1</v>
      </c>
      <c r="L1477" t="b">
        <f>TrafficData[[#This Row],[pendingAmount]]+TrafficData[[#This Row],[disposedAmount]]=TrafficData[[#This Row],[totalAmount]]</f>
        <v>1</v>
      </c>
      <c r="M1477" t="b">
        <f>TrafficData[[#This Row],[pendingCourt]]+TrafficData[[#This Row],[disposedCourt]]=TrafficData[[#This Row],[totalCourt]]</f>
        <v>1</v>
      </c>
      <c r="N1477" s="8" t="b">
        <f>AND(TrafficData[[#This Row],[disposedChallan]]&lt;=TrafficData[[#This Row],[totalChallan]],TrafficData[[#This Row],[pendingChallan]]&lt;=TrafficData[[#This Row],[totalChallan]])</f>
        <v>1</v>
      </c>
      <c r="O1477" s="8" t="b">
        <f>AND(TrafficData[[#This Row],[pendingAmount]]&lt;=TrafficData[[#This Row],[totalAmount]],TrafficData[[#This Row],[disposedAmount]]&lt;=TrafficData[[#This Row],[totalAmount]])</f>
        <v>1</v>
      </c>
      <c r="P1477" s="8" t="b">
        <f>AND(TrafficData[[#This Row],[pendingCourt]]&lt;=TrafficData[[#This Row],[totalCourt]],TrafficData[[#This Row],[disposedCourt]]&lt;=TrafficData[[#This Row],[totalCourt]])</f>
        <v>1</v>
      </c>
    </row>
    <row r="1478" spans="1:16">
      <c r="A1478" s="1">
        <v>43481</v>
      </c>
      <c r="B1478">
        <v>29162</v>
      </c>
      <c r="C1478">
        <v>23847</v>
      </c>
      <c r="D1478">
        <v>5315</v>
      </c>
      <c r="E1478">
        <v>9211210</v>
      </c>
      <c r="F1478">
        <v>34686266</v>
      </c>
      <c r="G1478">
        <v>43897476</v>
      </c>
      <c r="H1478">
        <v>3908</v>
      </c>
      <c r="I1478">
        <v>1821</v>
      </c>
      <c r="J1478">
        <v>5729</v>
      </c>
      <c r="K1478" t="b">
        <f>TrafficData[[#This Row],[disposedChallan]]+TrafficData[[#This Row],[pendingChallan]]=TrafficData[[#This Row],[totalChallan]]</f>
        <v>1</v>
      </c>
      <c r="L1478" t="b">
        <f>TrafficData[[#This Row],[pendingAmount]]+TrafficData[[#This Row],[disposedAmount]]=TrafficData[[#This Row],[totalAmount]]</f>
        <v>1</v>
      </c>
      <c r="M1478" t="b">
        <f>TrafficData[[#This Row],[pendingCourt]]+TrafficData[[#This Row],[disposedCourt]]=TrafficData[[#This Row],[totalCourt]]</f>
        <v>1</v>
      </c>
      <c r="N1478" s="8" t="b">
        <f>AND(TrafficData[[#This Row],[disposedChallan]]&lt;=TrafficData[[#This Row],[totalChallan]],TrafficData[[#This Row],[pendingChallan]]&lt;=TrafficData[[#This Row],[totalChallan]])</f>
        <v>1</v>
      </c>
      <c r="O1478" s="8" t="b">
        <f>AND(TrafficData[[#This Row],[pendingAmount]]&lt;=TrafficData[[#This Row],[totalAmount]],TrafficData[[#This Row],[disposedAmount]]&lt;=TrafficData[[#This Row],[totalAmount]])</f>
        <v>1</v>
      </c>
      <c r="P1478" s="8" t="b">
        <f>AND(TrafficData[[#This Row],[pendingCourt]]&lt;=TrafficData[[#This Row],[totalCourt]],TrafficData[[#This Row],[disposedCourt]]&lt;=TrafficData[[#This Row],[totalCourt]])</f>
        <v>1</v>
      </c>
    </row>
    <row r="1479" spans="1:16">
      <c r="A1479" s="1">
        <v>43482</v>
      </c>
      <c r="B1479">
        <v>22601</v>
      </c>
      <c r="C1479">
        <v>19605</v>
      </c>
      <c r="D1479">
        <v>2996</v>
      </c>
      <c r="E1479">
        <v>7812976</v>
      </c>
      <c r="F1479">
        <v>36557089</v>
      </c>
      <c r="G1479">
        <v>44370065</v>
      </c>
      <c r="H1479">
        <v>1643</v>
      </c>
      <c r="I1479">
        <v>1345</v>
      </c>
      <c r="J1479">
        <v>2988</v>
      </c>
      <c r="K1479" t="b">
        <f>TrafficData[[#This Row],[disposedChallan]]+TrafficData[[#This Row],[pendingChallan]]=TrafficData[[#This Row],[totalChallan]]</f>
        <v>1</v>
      </c>
      <c r="L1479" t="b">
        <f>TrafficData[[#This Row],[pendingAmount]]+TrafficData[[#This Row],[disposedAmount]]=TrafficData[[#This Row],[totalAmount]]</f>
        <v>1</v>
      </c>
      <c r="M1479" t="b">
        <f>TrafficData[[#This Row],[pendingCourt]]+TrafficData[[#This Row],[disposedCourt]]=TrafficData[[#This Row],[totalCourt]]</f>
        <v>1</v>
      </c>
      <c r="N1479" s="8" t="b">
        <f>AND(TrafficData[[#This Row],[disposedChallan]]&lt;=TrafficData[[#This Row],[totalChallan]],TrafficData[[#This Row],[pendingChallan]]&lt;=TrafficData[[#This Row],[totalChallan]])</f>
        <v>1</v>
      </c>
      <c r="O1479" s="8" t="b">
        <f>AND(TrafficData[[#This Row],[pendingAmount]]&lt;=TrafficData[[#This Row],[totalAmount]],TrafficData[[#This Row],[disposedAmount]]&lt;=TrafficData[[#This Row],[totalAmount]])</f>
        <v>1</v>
      </c>
      <c r="P1479" s="8" t="b">
        <f>AND(TrafficData[[#This Row],[pendingCourt]]&lt;=TrafficData[[#This Row],[totalCourt]],TrafficData[[#This Row],[disposedCourt]]&lt;=TrafficData[[#This Row],[totalCourt]])</f>
        <v>1</v>
      </c>
    </row>
    <row r="1480" spans="1:16">
      <c r="A1480" s="1">
        <v>43483</v>
      </c>
      <c r="B1480">
        <v>22641</v>
      </c>
      <c r="C1480">
        <v>19747</v>
      </c>
      <c r="D1480">
        <v>2894</v>
      </c>
      <c r="E1480">
        <v>6766151</v>
      </c>
      <c r="F1480">
        <v>33257034</v>
      </c>
      <c r="G1480">
        <v>40023185</v>
      </c>
      <c r="H1480">
        <v>1693</v>
      </c>
      <c r="I1480">
        <v>1487</v>
      </c>
      <c r="J1480">
        <v>3180</v>
      </c>
      <c r="K1480" t="b">
        <f>TrafficData[[#This Row],[disposedChallan]]+TrafficData[[#This Row],[pendingChallan]]=TrafficData[[#This Row],[totalChallan]]</f>
        <v>1</v>
      </c>
      <c r="L1480" t="b">
        <f>TrafficData[[#This Row],[pendingAmount]]+TrafficData[[#This Row],[disposedAmount]]=TrafficData[[#This Row],[totalAmount]]</f>
        <v>1</v>
      </c>
      <c r="M1480" t="b">
        <f>TrafficData[[#This Row],[pendingCourt]]+TrafficData[[#This Row],[disposedCourt]]=TrafficData[[#This Row],[totalCourt]]</f>
        <v>1</v>
      </c>
      <c r="N1480" s="8" t="b">
        <f>AND(TrafficData[[#This Row],[disposedChallan]]&lt;=TrafficData[[#This Row],[totalChallan]],TrafficData[[#This Row],[pendingChallan]]&lt;=TrafficData[[#This Row],[totalChallan]])</f>
        <v>1</v>
      </c>
      <c r="O1480" s="8" t="b">
        <f>AND(TrafficData[[#This Row],[pendingAmount]]&lt;=TrafficData[[#This Row],[totalAmount]],TrafficData[[#This Row],[disposedAmount]]&lt;=TrafficData[[#This Row],[totalAmount]])</f>
        <v>1</v>
      </c>
      <c r="P1480" s="8" t="b">
        <f>AND(TrafficData[[#This Row],[pendingCourt]]&lt;=TrafficData[[#This Row],[totalCourt]],TrafficData[[#This Row],[disposedCourt]]&lt;=TrafficData[[#This Row],[totalCourt]])</f>
        <v>1</v>
      </c>
    </row>
    <row r="1481" spans="1:16">
      <c r="A1481" s="1">
        <v>43484</v>
      </c>
      <c r="B1481">
        <v>19972</v>
      </c>
      <c r="C1481">
        <v>17033</v>
      </c>
      <c r="D1481">
        <v>2939</v>
      </c>
      <c r="E1481">
        <v>8082364</v>
      </c>
      <c r="F1481">
        <v>30753384</v>
      </c>
      <c r="G1481">
        <v>38835748</v>
      </c>
      <c r="H1481">
        <v>1622</v>
      </c>
      <c r="I1481">
        <v>1106</v>
      </c>
      <c r="J1481">
        <v>2728</v>
      </c>
      <c r="K1481" t="b">
        <f>TrafficData[[#This Row],[disposedChallan]]+TrafficData[[#This Row],[pendingChallan]]=TrafficData[[#This Row],[totalChallan]]</f>
        <v>1</v>
      </c>
      <c r="L1481" t="b">
        <f>TrafficData[[#This Row],[pendingAmount]]+TrafficData[[#This Row],[disposedAmount]]=TrafficData[[#This Row],[totalAmount]]</f>
        <v>1</v>
      </c>
      <c r="M1481" t="b">
        <f>TrafficData[[#This Row],[pendingCourt]]+TrafficData[[#This Row],[disposedCourt]]=TrafficData[[#This Row],[totalCourt]]</f>
        <v>1</v>
      </c>
      <c r="N1481" s="8" t="b">
        <f>AND(TrafficData[[#This Row],[disposedChallan]]&lt;=TrafficData[[#This Row],[totalChallan]],TrafficData[[#This Row],[pendingChallan]]&lt;=TrafficData[[#This Row],[totalChallan]])</f>
        <v>1</v>
      </c>
      <c r="O1481" s="8" t="b">
        <f>AND(TrafficData[[#This Row],[pendingAmount]]&lt;=TrafficData[[#This Row],[totalAmount]],TrafficData[[#This Row],[disposedAmount]]&lt;=TrafficData[[#This Row],[totalAmount]])</f>
        <v>1</v>
      </c>
      <c r="P1481" s="8" t="b">
        <f>AND(TrafficData[[#This Row],[pendingCourt]]&lt;=TrafficData[[#This Row],[totalCourt]],TrafficData[[#This Row],[disposedCourt]]&lt;=TrafficData[[#This Row],[totalCourt]])</f>
        <v>1</v>
      </c>
    </row>
    <row r="1482" spans="1:16">
      <c r="A1482" s="1">
        <v>43485</v>
      </c>
      <c r="B1482">
        <v>15611</v>
      </c>
      <c r="C1482">
        <v>13218</v>
      </c>
      <c r="D1482">
        <v>2393</v>
      </c>
      <c r="E1482">
        <v>5588785</v>
      </c>
      <c r="F1482">
        <v>20043627</v>
      </c>
      <c r="G1482">
        <v>25632412</v>
      </c>
      <c r="H1482">
        <v>1607</v>
      </c>
      <c r="I1482">
        <v>929</v>
      </c>
      <c r="J1482">
        <v>2536</v>
      </c>
      <c r="K1482" t="b">
        <f>TrafficData[[#This Row],[disposedChallan]]+TrafficData[[#This Row],[pendingChallan]]=TrafficData[[#This Row],[totalChallan]]</f>
        <v>1</v>
      </c>
      <c r="L1482" t="b">
        <f>TrafficData[[#This Row],[pendingAmount]]+TrafficData[[#This Row],[disposedAmount]]=TrafficData[[#This Row],[totalAmount]]</f>
        <v>1</v>
      </c>
      <c r="M1482" t="b">
        <f>TrafficData[[#This Row],[pendingCourt]]+TrafficData[[#This Row],[disposedCourt]]=TrafficData[[#This Row],[totalCourt]]</f>
        <v>1</v>
      </c>
      <c r="N1482" s="8" t="b">
        <f>AND(TrafficData[[#This Row],[disposedChallan]]&lt;=TrafficData[[#This Row],[totalChallan]],TrafficData[[#This Row],[pendingChallan]]&lt;=TrafficData[[#This Row],[totalChallan]])</f>
        <v>1</v>
      </c>
      <c r="O1482" s="8" t="b">
        <f>AND(TrafficData[[#This Row],[pendingAmount]]&lt;=TrafficData[[#This Row],[totalAmount]],TrafficData[[#This Row],[disposedAmount]]&lt;=TrafficData[[#This Row],[totalAmount]])</f>
        <v>1</v>
      </c>
      <c r="P1482" s="8" t="b">
        <f>AND(TrafficData[[#This Row],[pendingCourt]]&lt;=TrafficData[[#This Row],[totalCourt]],TrafficData[[#This Row],[disposedCourt]]&lt;=TrafficData[[#This Row],[totalCourt]])</f>
        <v>1</v>
      </c>
    </row>
    <row r="1483" spans="1:16">
      <c r="A1483" s="1">
        <v>43486</v>
      </c>
      <c r="B1483">
        <v>19183</v>
      </c>
      <c r="C1483">
        <v>16672</v>
      </c>
      <c r="D1483">
        <v>2511</v>
      </c>
      <c r="E1483">
        <v>5641414</v>
      </c>
      <c r="F1483">
        <v>25673574</v>
      </c>
      <c r="G1483">
        <v>31314988</v>
      </c>
      <c r="H1483">
        <v>1357</v>
      </c>
      <c r="I1483">
        <v>1223</v>
      </c>
      <c r="J1483">
        <v>2580</v>
      </c>
      <c r="K1483" t="b">
        <f>TrafficData[[#This Row],[disposedChallan]]+TrafficData[[#This Row],[pendingChallan]]=TrafficData[[#This Row],[totalChallan]]</f>
        <v>1</v>
      </c>
      <c r="L1483" t="b">
        <f>TrafficData[[#This Row],[pendingAmount]]+TrafficData[[#This Row],[disposedAmount]]=TrafficData[[#This Row],[totalAmount]]</f>
        <v>1</v>
      </c>
      <c r="M1483" t="b">
        <f>TrafficData[[#This Row],[pendingCourt]]+TrafficData[[#This Row],[disposedCourt]]=TrafficData[[#This Row],[totalCourt]]</f>
        <v>1</v>
      </c>
      <c r="N1483" s="8" t="b">
        <f>AND(TrafficData[[#This Row],[disposedChallan]]&lt;=TrafficData[[#This Row],[totalChallan]],TrafficData[[#This Row],[pendingChallan]]&lt;=TrafficData[[#This Row],[totalChallan]])</f>
        <v>1</v>
      </c>
      <c r="O1483" s="8" t="b">
        <f>AND(TrafficData[[#This Row],[pendingAmount]]&lt;=TrafficData[[#This Row],[totalAmount]],TrafficData[[#This Row],[disposedAmount]]&lt;=TrafficData[[#This Row],[totalAmount]])</f>
        <v>1</v>
      </c>
      <c r="P1483" s="8" t="b">
        <f>AND(TrafficData[[#This Row],[pendingCourt]]&lt;=TrafficData[[#This Row],[totalCourt]],TrafficData[[#This Row],[disposedCourt]]&lt;=TrafficData[[#This Row],[totalCourt]])</f>
        <v>1</v>
      </c>
    </row>
    <row r="1484" spans="1:16">
      <c r="A1484" s="1">
        <v>43487</v>
      </c>
      <c r="B1484">
        <v>19979</v>
      </c>
      <c r="C1484">
        <v>16201</v>
      </c>
      <c r="D1484">
        <v>3778</v>
      </c>
      <c r="E1484">
        <v>8541297</v>
      </c>
      <c r="F1484">
        <v>31147503</v>
      </c>
      <c r="G1484">
        <v>39688800</v>
      </c>
      <c r="H1484">
        <v>2239</v>
      </c>
      <c r="I1484">
        <v>1172</v>
      </c>
      <c r="J1484">
        <v>3411</v>
      </c>
      <c r="K1484" t="b">
        <f>TrafficData[[#This Row],[disposedChallan]]+TrafficData[[#This Row],[pendingChallan]]=TrafficData[[#This Row],[totalChallan]]</f>
        <v>1</v>
      </c>
      <c r="L1484" t="b">
        <f>TrafficData[[#This Row],[pendingAmount]]+TrafficData[[#This Row],[disposedAmount]]=TrafficData[[#This Row],[totalAmount]]</f>
        <v>1</v>
      </c>
      <c r="M1484" t="b">
        <f>TrafficData[[#This Row],[pendingCourt]]+TrafficData[[#This Row],[disposedCourt]]=TrafficData[[#This Row],[totalCourt]]</f>
        <v>1</v>
      </c>
      <c r="N1484" s="8" t="b">
        <f>AND(TrafficData[[#This Row],[disposedChallan]]&lt;=TrafficData[[#This Row],[totalChallan]],TrafficData[[#This Row],[pendingChallan]]&lt;=TrafficData[[#This Row],[totalChallan]])</f>
        <v>1</v>
      </c>
      <c r="O1484" s="8" t="b">
        <f>AND(TrafficData[[#This Row],[pendingAmount]]&lt;=TrafficData[[#This Row],[totalAmount]],TrafficData[[#This Row],[disposedAmount]]&lt;=TrafficData[[#This Row],[totalAmount]])</f>
        <v>1</v>
      </c>
      <c r="P1484" s="8" t="b">
        <f>AND(TrafficData[[#This Row],[pendingCourt]]&lt;=TrafficData[[#This Row],[totalCourt]],TrafficData[[#This Row],[disposedCourt]]&lt;=TrafficData[[#This Row],[totalCourt]])</f>
        <v>1</v>
      </c>
    </row>
    <row r="1485" spans="1:16">
      <c r="A1485" s="1">
        <v>43488</v>
      </c>
      <c r="B1485">
        <v>29071</v>
      </c>
      <c r="C1485">
        <v>22868</v>
      </c>
      <c r="D1485">
        <v>6203</v>
      </c>
      <c r="E1485">
        <v>13082831</v>
      </c>
      <c r="F1485">
        <v>35954818</v>
      </c>
      <c r="G1485">
        <v>49037649</v>
      </c>
      <c r="H1485">
        <v>4606</v>
      </c>
      <c r="I1485">
        <v>1993</v>
      </c>
      <c r="J1485">
        <v>6599</v>
      </c>
      <c r="K1485" t="b">
        <f>TrafficData[[#This Row],[disposedChallan]]+TrafficData[[#This Row],[pendingChallan]]=TrafficData[[#This Row],[totalChallan]]</f>
        <v>1</v>
      </c>
      <c r="L1485" t="b">
        <f>TrafficData[[#This Row],[pendingAmount]]+TrafficData[[#This Row],[disposedAmount]]=TrafficData[[#This Row],[totalAmount]]</f>
        <v>1</v>
      </c>
      <c r="M1485" t="b">
        <f>TrafficData[[#This Row],[pendingCourt]]+TrafficData[[#This Row],[disposedCourt]]=TrafficData[[#This Row],[totalCourt]]</f>
        <v>1</v>
      </c>
      <c r="N1485" s="8" t="b">
        <f>AND(TrafficData[[#This Row],[disposedChallan]]&lt;=TrafficData[[#This Row],[totalChallan]],TrafficData[[#This Row],[pendingChallan]]&lt;=TrafficData[[#This Row],[totalChallan]])</f>
        <v>1</v>
      </c>
      <c r="O1485" s="8" t="b">
        <f>AND(TrafficData[[#This Row],[pendingAmount]]&lt;=TrafficData[[#This Row],[totalAmount]],TrafficData[[#This Row],[disposedAmount]]&lt;=TrafficData[[#This Row],[totalAmount]])</f>
        <v>1</v>
      </c>
      <c r="P1485" s="8" t="b">
        <f>AND(TrafficData[[#This Row],[pendingCourt]]&lt;=TrafficData[[#This Row],[totalCourt]],TrafficData[[#This Row],[disposedCourt]]&lt;=TrafficData[[#This Row],[totalCourt]])</f>
        <v>1</v>
      </c>
    </row>
    <row r="1486" spans="1:16">
      <c r="A1486" s="1">
        <v>43489</v>
      </c>
      <c r="B1486">
        <v>23920</v>
      </c>
      <c r="C1486">
        <v>19517</v>
      </c>
      <c r="D1486">
        <v>4403</v>
      </c>
      <c r="E1486">
        <v>6412459</v>
      </c>
      <c r="F1486">
        <v>33770635</v>
      </c>
      <c r="G1486">
        <v>40183094</v>
      </c>
      <c r="H1486">
        <v>2358</v>
      </c>
      <c r="I1486">
        <v>1491</v>
      </c>
      <c r="J1486">
        <v>3849</v>
      </c>
      <c r="K1486" t="b">
        <f>TrafficData[[#This Row],[disposedChallan]]+TrafficData[[#This Row],[pendingChallan]]=TrafficData[[#This Row],[totalChallan]]</f>
        <v>1</v>
      </c>
      <c r="L1486" t="b">
        <f>TrafficData[[#This Row],[pendingAmount]]+TrafficData[[#This Row],[disposedAmount]]=TrafficData[[#This Row],[totalAmount]]</f>
        <v>1</v>
      </c>
      <c r="M1486" t="b">
        <f>TrafficData[[#This Row],[pendingCourt]]+TrafficData[[#This Row],[disposedCourt]]=TrafficData[[#This Row],[totalCourt]]</f>
        <v>1</v>
      </c>
      <c r="N1486" s="8" t="b">
        <f>AND(TrafficData[[#This Row],[disposedChallan]]&lt;=TrafficData[[#This Row],[totalChallan]],TrafficData[[#This Row],[pendingChallan]]&lt;=TrafficData[[#This Row],[totalChallan]])</f>
        <v>1</v>
      </c>
      <c r="O1486" s="8" t="b">
        <f>AND(TrafficData[[#This Row],[pendingAmount]]&lt;=TrafficData[[#This Row],[totalAmount]],TrafficData[[#This Row],[disposedAmount]]&lt;=TrafficData[[#This Row],[totalAmount]])</f>
        <v>1</v>
      </c>
      <c r="P1486" s="8" t="b">
        <f>AND(TrafficData[[#This Row],[pendingCourt]]&lt;=TrafficData[[#This Row],[totalCourt]],TrafficData[[#This Row],[disposedCourt]]&lt;=TrafficData[[#This Row],[totalCourt]])</f>
        <v>1</v>
      </c>
    </row>
    <row r="1487" spans="1:16">
      <c r="A1487" s="1">
        <v>43490</v>
      </c>
      <c r="B1487">
        <v>24342</v>
      </c>
      <c r="C1487">
        <v>20427</v>
      </c>
      <c r="D1487">
        <v>3915</v>
      </c>
      <c r="E1487">
        <v>7771270</v>
      </c>
      <c r="F1487">
        <v>33182706</v>
      </c>
      <c r="G1487">
        <v>40953976</v>
      </c>
      <c r="H1487">
        <v>1763</v>
      </c>
      <c r="I1487">
        <v>1462</v>
      </c>
      <c r="J1487">
        <v>3225</v>
      </c>
      <c r="K1487" t="b">
        <f>TrafficData[[#This Row],[disposedChallan]]+TrafficData[[#This Row],[pendingChallan]]=TrafficData[[#This Row],[totalChallan]]</f>
        <v>1</v>
      </c>
      <c r="L1487" t="b">
        <f>TrafficData[[#This Row],[pendingAmount]]+TrafficData[[#This Row],[disposedAmount]]=TrafficData[[#This Row],[totalAmount]]</f>
        <v>1</v>
      </c>
      <c r="M1487" t="b">
        <f>TrafficData[[#This Row],[pendingCourt]]+TrafficData[[#This Row],[disposedCourt]]=TrafficData[[#This Row],[totalCourt]]</f>
        <v>1</v>
      </c>
      <c r="N1487" s="8" t="b">
        <f>AND(TrafficData[[#This Row],[disposedChallan]]&lt;=TrafficData[[#This Row],[totalChallan]],TrafficData[[#This Row],[pendingChallan]]&lt;=TrafficData[[#This Row],[totalChallan]])</f>
        <v>1</v>
      </c>
      <c r="O1487" s="8" t="b">
        <f>AND(TrafficData[[#This Row],[pendingAmount]]&lt;=TrafficData[[#This Row],[totalAmount]],TrafficData[[#This Row],[disposedAmount]]&lt;=TrafficData[[#This Row],[totalAmount]])</f>
        <v>1</v>
      </c>
      <c r="P1487" s="8" t="b">
        <f>AND(TrafficData[[#This Row],[pendingCourt]]&lt;=TrafficData[[#This Row],[totalCourt]],TrafficData[[#This Row],[disposedCourt]]&lt;=TrafficData[[#This Row],[totalCourt]])</f>
        <v>1</v>
      </c>
    </row>
    <row r="1488" spans="1:16">
      <c r="A1488" s="1">
        <v>43491</v>
      </c>
      <c r="B1488">
        <v>11158</v>
      </c>
      <c r="C1488">
        <v>9576</v>
      </c>
      <c r="D1488">
        <v>1582</v>
      </c>
      <c r="E1488">
        <v>1013100</v>
      </c>
      <c r="F1488">
        <v>15253018</v>
      </c>
      <c r="G1488">
        <v>16266118</v>
      </c>
      <c r="H1488">
        <v>526</v>
      </c>
      <c r="I1488">
        <v>562</v>
      </c>
      <c r="J1488">
        <v>1088</v>
      </c>
      <c r="K1488" t="b">
        <f>TrafficData[[#This Row],[disposedChallan]]+TrafficData[[#This Row],[pendingChallan]]=TrafficData[[#This Row],[totalChallan]]</f>
        <v>1</v>
      </c>
      <c r="L1488" t="b">
        <f>TrafficData[[#This Row],[pendingAmount]]+TrafficData[[#This Row],[disposedAmount]]=TrafficData[[#This Row],[totalAmount]]</f>
        <v>1</v>
      </c>
      <c r="M1488" t="b">
        <f>TrafficData[[#This Row],[pendingCourt]]+TrafficData[[#This Row],[disposedCourt]]=TrafficData[[#This Row],[totalCourt]]</f>
        <v>1</v>
      </c>
      <c r="N1488" s="8" t="b">
        <f>AND(TrafficData[[#This Row],[disposedChallan]]&lt;=TrafficData[[#This Row],[totalChallan]],TrafficData[[#This Row],[pendingChallan]]&lt;=TrafficData[[#This Row],[totalChallan]])</f>
        <v>1</v>
      </c>
      <c r="O1488" s="8" t="b">
        <f>AND(TrafficData[[#This Row],[pendingAmount]]&lt;=TrafficData[[#This Row],[totalAmount]],TrafficData[[#This Row],[disposedAmount]]&lt;=TrafficData[[#This Row],[totalAmount]])</f>
        <v>1</v>
      </c>
      <c r="P1488" s="8" t="b">
        <f>AND(TrafficData[[#This Row],[pendingCourt]]&lt;=TrafficData[[#This Row],[totalCourt]],TrafficData[[#This Row],[disposedCourt]]&lt;=TrafficData[[#This Row],[totalCourt]])</f>
        <v>1</v>
      </c>
    </row>
    <row r="1489" spans="1:16">
      <c r="A1489" s="1">
        <v>43492</v>
      </c>
      <c r="B1489">
        <v>13297</v>
      </c>
      <c r="C1489">
        <v>11299</v>
      </c>
      <c r="D1489">
        <v>1998</v>
      </c>
      <c r="E1489">
        <v>2312994</v>
      </c>
      <c r="F1489">
        <v>15407267</v>
      </c>
      <c r="G1489">
        <v>17720261</v>
      </c>
      <c r="H1489">
        <v>939</v>
      </c>
      <c r="I1489">
        <v>1107</v>
      </c>
      <c r="J1489">
        <v>2046</v>
      </c>
      <c r="K1489" t="b">
        <f>TrafficData[[#This Row],[disposedChallan]]+TrafficData[[#This Row],[pendingChallan]]=TrafficData[[#This Row],[totalChallan]]</f>
        <v>1</v>
      </c>
      <c r="L1489" t="b">
        <f>TrafficData[[#This Row],[pendingAmount]]+TrafficData[[#This Row],[disposedAmount]]=TrafficData[[#This Row],[totalAmount]]</f>
        <v>1</v>
      </c>
      <c r="M1489" t="b">
        <f>TrafficData[[#This Row],[pendingCourt]]+TrafficData[[#This Row],[disposedCourt]]=TrafficData[[#This Row],[totalCourt]]</f>
        <v>1</v>
      </c>
      <c r="N1489" s="8" t="b">
        <f>AND(TrafficData[[#This Row],[disposedChallan]]&lt;=TrafficData[[#This Row],[totalChallan]],TrafficData[[#This Row],[pendingChallan]]&lt;=TrafficData[[#This Row],[totalChallan]])</f>
        <v>1</v>
      </c>
      <c r="O1489" s="8" t="b">
        <f>AND(TrafficData[[#This Row],[pendingAmount]]&lt;=TrafficData[[#This Row],[totalAmount]],TrafficData[[#This Row],[disposedAmount]]&lt;=TrafficData[[#This Row],[totalAmount]])</f>
        <v>1</v>
      </c>
      <c r="P1489" s="8" t="b">
        <f>AND(TrafficData[[#This Row],[pendingCourt]]&lt;=TrafficData[[#This Row],[totalCourt]],TrafficData[[#This Row],[disposedCourt]]&lt;=TrafficData[[#This Row],[totalCourt]])</f>
        <v>1</v>
      </c>
    </row>
    <row r="1490" spans="1:16">
      <c r="A1490" s="1">
        <v>43493</v>
      </c>
      <c r="B1490">
        <v>22447</v>
      </c>
      <c r="C1490">
        <v>18473</v>
      </c>
      <c r="D1490">
        <v>3974</v>
      </c>
      <c r="E1490">
        <v>6948279</v>
      </c>
      <c r="F1490">
        <v>28381982</v>
      </c>
      <c r="G1490">
        <v>35330261</v>
      </c>
      <c r="H1490">
        <v>1887</v>
      </c>
      <c r="I1490">
        <v>1510</v>
      </c>
      <c r="J1490">
        <v>3397</v>
      </c>
      <c r="K1490" t="b">
        <f>TrafficData[[#This Row],[disposedChallan]]+TrafficData[[#This Row],[pendingChallan]]=TrafficData[[#This Row],[totalChallan]]</f>
        <v>1</v>
      </c>
      <c r="L1490" t="b">
        <f>TrafficData[[#This Row],[pendingAmount]]+TrafficData[[#This Row],[disposedAmount]]=TrafficData[[#This Row],[totalAmount]]</f>
        <v>1</v>
      </c>
      <c r="M1490" t="b">
        <f>TrafficData[[#This Row],[pendingCourt]]+TrafficData[[#This Row],[disposedCourt]]=TrafficData[[#This Row],[totalCourt]]</f>
        <v>1</v>
      </c>
      <c r="N1490" s="8" t="b">
        <f>AND(TrafficData[[#This Row],[disposedChallan]]&lt;=TrafficData[[#This Row],[totalChallan]],TrafficData[[#This Row],[pendingChallan]]&lt;=TrafficData[[#This Row],[totalChallan]])</f>
        <v>1</v>
      </c>
      <c r="O1490" s="8" t="b">
        <f>AND(TrafficData[[#This Row],[pendingAmount]]&lt;=TrafficData[[#This Row],[totalAmount]],TrafficData[[#This Row],[disposedAmount]]&lt;=TrafficData[[#This Row],[totalAmount]])</f>
        <v>1</v>
      </c>
      <c r="P1490" s="8" t="b">
        <f>AND(TrafficData[[#This Row],[pendingCourt]]&lt;=TrafficData[[#This Row],[totalCourt]],TrafficData[[#This Row],[disposedCourt]]&lt;=TrafficData[[#This Row],[totalCourt]])</f>
        <v>1</v>
      </c>
    </row>
    <row r="1491" spans="1:16">
      <c r="A1491" s="1">
        <v>43494</v>
      </c>
      <c r="B1491">
        <v>21901</v>
      </c>
      <c r="C1491">
        <v>17506</v>
      </c>
      <c r="D1491">
        <v>4395</v>
      </c>
      <c r="E1491">
        <v>8898324</v>
      </c>
      <c r="F1491">
        <v>37446617</v>
      </c>
      <c r="G1491">
        <v>46344941</v>
      </c>
      <c r="H1491">
        <v>2578</v>
      </c>
      <c r="I1491">
        <v>1980</v>
      </c>
      <c r="J1491">
        <v>4558</v>
      </c>
      <c r="K1491" t="b">
        <f>TrafficData[[#This Row],[disposedChallan]]+TrafficData[[#This Row],[pendingChallan]]=TrafficData[[#This Row],[totalChallan]]</f>
        <v>1</v>
      </c>
      <c r="L1491" t="b">
        <f>TrafficData[[#This Row],[pendingAmount]]+TrafficData[[#This Row],[disposedAmount]]=TrafficData[[#This Row],[totalAmount]]</f>
        <v>1</v>
      </c>
      <c r="M1491" t="b">
        <f>TrafficData[[#This Row],[pendingCourt]]+TrafficData[[#This Row],[disposedCourt]]=TrafficData[[#This Row],[totalCourt]]</f>
        <v>1</v>
      </c>
      <c r="N1491" s="8" t="b">
        <f>AND(TrafficData[[#This Row],[disposedChallan]]&lt;=TrafficData[[#This Row],[totalChallan]],TrafficData[[#This Row],[pendingChallan]]&lt;=TrafficData[[#This Row],[totalChallan]])</f>
        <v>1</v>
      </c>
      <c r="O1491" s="8" t="b">
        <f>AND(TrafficData[[#This Row],[pendingAmount]]&lt;=TrafficData[[#This Row],[totalAmount]],TrafficData[[#This Row],[disposedAmount]]&lt;=TrafficData[[#This Row],[totalAmount]])</f>
        <v>1</v>
      </c>
      <c r="P1491" s="8" t="b">
        <f>AND(TrafficData[[#This Row],[pendingCourt]]&lt;=TrafficData[[#This Row],[totalCourt]],TrafficData[[#This Row],[disposedCourt]]&lt;=TrafficData[[#This Row],[totalCourt]])</f>
        <v>1</v>
      </c>
    </row>
    <row r="1492" spans="1:16">
      <c r="A1492" s="1">
        <v>43495</v>
      </c>
      <c r="B1492">
        <v>34835</v>
      </c>
      <c r="C1492">
        <v>27432</v>
      </c>
      <c r="D1492">
        <v>7403</v>
      </c>
      <c r="E1492">
        <v>11294920</v>
      </c>
      <c r="F1492">
        <v>41460774</v>
      </c>
      <c r="G1492">
        <v>52755694</v>
      </c>
      <c r="H1492">
        <v>5030</v>
      </c>
      <c r="I1492">
        <v>2697</v>
      </c>
      <c r="J1492">
        <v>7727</v>
      </c>
      <c r="K1492" t="b">
        <f>TrafficData[[#This Row],[disposedChallan]]+TrafficData[[#This Row],[pendingChallan]]=TrafficData[[#This Row],[totalChallan]]</f>
        <v>1</v>
      </c>
      <c r="L1492" t="b">
        <f>TrafficData[[#This Row],[pendingAmount]]+TrafficData[[#This Row],[disposedAmount]]=TrafficData[[#This Row],[totalAmount]]</f>
        <v>1</v>
      </c>
      <c r="M1492" t="b">
        <f>TrafficData[[#This Row],[pendingCourt]]+TrafficData[[#This Row],[disposedCourt]]=TrafficData[[#This Row],[totalCourt]]</f>
        <v>1</v>
      </c>
      <c r="N1492" s="8" t="b">
        <f>AND(TrafficData[[#This Row],[disposedChallan]]&lt;=TrafficData[[#This Row],[totalChallan]],TrafficData[[#This Row],[pendingChallan]]&lt;=TrafficData[[#This Row],[totalChallan]])</f>
        <v>1</v>
      </c>
      <c r="O1492" s="8" t="b">
        <f>AND(TrafficData[[#This Row],[pendingAmount]]&lt;=TrafficData[[#This Row],[totalAmount]],TrafficData[[#This Row],[disposedAmount]]&lt;=TrafficData[[#This Row],[totalAmount]])</f>
        <v>1</v>
      </c>
      <c r="P1492" s="8" t="b">
        <f>AND(TrafficData[[#This Row],[pendingCourt]]&lt;=TrafficData[[#This Row],[totalCourt]],TrafficData[[#This Row],[disposedCourt]]&lt;=TrafficData[[#This Row],[totalCourt]])</f>
        <v>1</v>
      </c>
    </row>
    <row r="1493" spans="1:16">
      <c r="A1493" s="1">
        <v>43496</v>
      </c>
      <c r="B1493">
        <v>29237</v>
      </c>
      <c r="C1493">
        <v>23737</v>
      </c>
      <c r="D1493">
        <v>5500</v>
      </c>
      <c r="E1493">
        <v>7275019</v>
      </c>
      <c r="F1493">
        <v>38965939</v>
      </c>
      <c r="G1493">
        <v>46240958</v>
      </c>
      <c r="H1493">
        <v>3264</v>
      </c>
      <c r="I1493">
        <v>2824</v>
      </c>
      <c r="J1493">
        <v>6088</v>
      </c>
      <c r="K1493" t="b">
        <f>TrafficData[[#This Row],[disposedChallan]]+TrafficData[[#This Row],[pendingChallan]]=TrafficData[[#This Row],[totalChallan]]</f>
        <v>1</v>
      </c>
      <c r="L1493" t="b">
        <f>TrafficData[[#This Row],[pendingAmount]]+TrafficData[[#This Row],[disposedAmount]]=TrafficData[[#This Row],[totalAmount]]</f>
        <v>1</v>
      </c>
      <c r="M1493" t="b">
        <f>TrafficData[[#This Row],[pendingCourt]]+TrafficData[[#This Row],[disposedCourt]]=TrafficData[[#This Row],[totalCourt]]</f>
        <v>1</v>
      </c>
      <c r="N1493" s="8" t="b">
        <f>AND(TrafficData[[#This Row],[disposedChallan]]&lt;=TrafficData[[#This Row],[totalChallan]],TrafficData[[#This Row],[pendingChallan]]&lt;=TrafficData[[#This Row],[totalChallan]])</f>
        <v>1</v>
      </c>
      <c r="O1493" s="8" t="b">
        <f>AND(TrafficData[[#This Row],[pendingAmount]]&lt;=TrafficData[[#This Row],[totalAmount]],TrafficData[[#This Row],[disposedAmount]]&lt;=TrafficData[[#This Row],[totalAmount]])</f>
        <v>1</v>
      </c>
      <c r="P1493" s="8" t="b">
        <f>AND(TrafficData[[#This Row],[pendingCourt]]&lt;=TrafficData[[#This Row],[totalCourt]],TrafficData[[#This Row],[disposedCourt]]&lt;=TrafficData[[#This Row],[totalCourt]])</f>
        <v>1</v>
      </c>
    </row>
    <row r="1494" spans="1:16">
      <c r="A1494" s="1">
        <v>43497</v>
      </c>
      <c r="B1494">
        <v>31151</v>
      </c>
      <c r="C1494">
        <v>26207</v>
      </c>
      <c r="D1494">
        <v>4944</v>
      </c>
      <c r="E1494">
        <v>6808740</v>
      </c>
      <c r="F1494">
        <v>46461938</v>
      </c>
      <c r="G1494">
        <v>53270678</v>
      </c>
      <c r="H1494">
        <v>2715</v>
      </c>
      <c r="I1494">
        <v>2523</v>
      </c>
      <c r="J1494">
        <v>5238</v>
      </c>
      <c r="K1494" t="b">
        <f>TrafficData[[#This Row],[disposedChallan]]+TrafficData[[#This Row],[pendingChallan]]=TrafficData[[#This Row],[totalChallan]]</f>
        <v>1</v>
      </c>
      <c r="L1494" t="b">
        <f>TrafficData[[#This Row],[pendingAmount]]+TrafficData[[#This Row],[disposedAmount]]=TrafficData[[#This Row],[totalAmount]]</f>
        <v>1</v>
      </c>
      <c r="M1494" t="b">
        <f>TrafficData[[#This Row],[pendingCourt]]+TrafficData[[#This Row],[disposedCourt]]=TrafficData[[#This Row],[totalCourt]]</f>
        <v>1</v>
      </c>
      <c r="N1494" s="8" t="b">
        <f>AND(TrafficData[[#This Row],[disposedChallan]]&lt;=TrafficData[[#This Row],[totalChallan]],TrafficData[[#This Row],[pendingChallan]]&lt;=TrafficData[[#This Row],[totalChallan]])</f>
        <v>1</v>
      </c>
      <c r="O1494" s="8" t="b">
        <f>AND(TrafficData[[#This Row],[pendingAmount]]&lt;=TrafficData[[#This Row],[totalAmount]],TrafficData[[#This Row],[disposedAmount]]&lt;=TrafficData[[#This Row],[totalAmount]])</f>
        <v>1</v>
      </c>
      <c r="P1494" s="8" t="b">
        <f>AND(TrafficData[[#This Row],[pendingCourt]]&lt;=TrafficData[[#This Row],[totalCourt]],TrafficData[[#This Row],[disposedCourt]]&lt;=TrafficData[[#This Row],[totalCourt]])</f>
        <v>1</v>
      </c>
    </row>
    <row r="1495" spans="1:16">
      <c r="A1495" s="1">
        <v>43498</v>
      </c>
      <c r="B1495">
        <v>26992</v>
      </c>
      <c r="C1495">
        <v>22670</v>
      </c>
      <c r="D1495">
        <v>4322</v>
      </c>
      <c r="E1495">
        <v>6718908</v>
      </c>
      <c r="F1495">
        <v>38844085</v>
      </c>
      <c r="G1495">
        <v>45562993</v>
      </c>
      <c r="H1495">
        <v>2466</v>
      </c>
      <c r="I1495">
        <v>2537</v>
      </c>
      <c r="J1495">
        <v>5003</v>
      </c>
      <c r="K1495" t="b">
        <f>TrafficData[[#This Row],[disposedChallan]]+TrafficData[[#This Row],[pendingChallan]]=TrafficData[[#This Row],[totalChallan]]</f>
        <v>1</v>
      </c>
      <c r="L1495" t="b">
        <f>TrafficData[[#This Row],[pendingAmount]]+TrafficData[[#This Row],[disposedAmount]]=TrafficData[[#This Row],[totalAmount]]</f>
        <v>1</v>
      </c>
      <c r="M1495" t="b">
        <f>TrafficData[[#This Row],[pendingCourt]]+TrafficData[[#This Row],[disposedCourt]]=TrafficData[[#This Row],[totalCourt]]</f>
        <v>1</v>
      </c>
      <c r="N1495" s="8" t="b">
        <f>AND(TrafficData[[#This Row],[disposedChallan]]&lt;=TrafficData[[#This Row],[totalChallan]],TrafficData[[#This Row],[pendingChallan]]&lt;=TrafficData[[#This Row],[totalChallan]])</f>
        <v>1</v>
      </c>
      <c r="O1495" s="8" t="b">
        <f>AND(TrafficData[[#This Row],[pendingAmount]]&lt;=TrafficData[[#This Row],[totalAmount]],TrafficData[[#This Row],[disposedAmount]]&lt;=TrafficData[[#This Row],[totalAmount]])</f>
        <v>1</v>
      </c>
      <c r="P1495" s="8" t="b">
        <f>AND(TrafficData[[#This Row],[pendingCourt]]&lt;=TrafficData[[#This Row],[totalCourt]],TrafficData[[#This Row],[disposedCourt]]&lt;=TrafficData[[#This Row],[totalCourt]])</f>
        <v>1</v>
      </c>
    </row>
    <row r="1496" spans="1:16">
      <c r="A1496" s="1">
        <v>43499</v>
      </c>
      <c r="B1496">
        <v>20166</v>
      </c>
      <c r="C1496">
        <v>17056</v>
      </c>
      <c r="D1496">
        <v>3110</v>
      </c>
      <c r="E1496">
        <v>3579910</v>
      </c>
      <c r="F1496">
        <v>22330386</v>
      </c>
      <c r="G1496">
        <v>25910296</v>
      </c>
      <c r="H1496">
        <v>1813</v>
      </c>
      <c r="I1496">
        <v>2299</v>
      </c>
      <c r="J1496">
        <v>4112</v>
      </c>
      <c r="K1496" t="b">
        <f>TrafficData[[#This Row],[disposedChallan]]+TrafficData[[#This Row],[pendingChallan]]=TrafficData[[#This Row],[totalChallan]]</f>
        <v>1</v>
      </c>
      <c r="L1496" t="b">
        <f>TrafficData[[#This Row],[pendingAmount]]+TrafficData[[#This Row],[disposedAmount]]=TrafficData[[#This Row],[totalAmount]]</f>
        <v>1</v>
      </c>
      <c r="M1496" t="b">
        <f>TrafficData[[#This Row],[pendingCourt]]+TrafficData[[#This Row],[disposedCourt]]=TrafficData[[#This Row],[totalCourt]]</f>
        <v>1</v>
      </c>
      <c r="N1496" s="8" t="b">
        <f>AND(TrafficData[[#This Row],[disposedChallan]]&lt;=TrafficData[[#This Row],[totalChallan]],TrafficData[[#This Row],[pendingChallan]]&lt;=TrafficData[[#This Row],[totalChallan]])</f>
        <v>1</v>
      </c>
      <c r="O1496" s="8" t="b">
        <f>AND(TrafficData[[#This Row],[pendingAmount]]&lt;=TrafficData[[#This Row],[totalAmount]],TrafficData[[#This Row],[disposedAmount]]&lt;=TrafficData[[#This Row],[totalAmount]])</f>
        <v>1</v>
      </c>
      <c r="P1496" s="8" t="b">
        <f>AND(TrafficData[[#This Row],[pendingCourt]]&lt;=TrafficData[[#This Row],[totalCourt]],TrafficData[[#This Row],[disposedCourt]]&lt;=TrafficData[[#This Row],[totalCourt]])</f>
        <v>1</v>
      </c>
    </row>
    <row r="1497" spans="1:16">
      <c r="A1497" s="1">
        <v>43500</v>
      </c>
      <c r="B1497">
        <v>29561</v>
      </c>
      <c r="C1497">
        <v>24659</v>
      </c>
      <c r="D1497">
        <v>4902</v>
      </c>
      <c r="E1497">
        <v>5590848</v>
      </c>
      <c r="F1497">
        <v>26949776</v>
      </c>
      <c r="G1497">
        <v>32540624</v>
      </c>
      <c r="H1497">
        <v>3473</v>
      </c>
      <c r="I1497">
        <v>2771</v>
      </c>
      <c r="J1497">
        <v>6244</v>
      </c>
      <c r="K1497" t="b">
        <f>TrafficData[[#This Row],[disposedChallan]]+TrafficData[[#This Row],[pendingChallan]]=TrafficData[[#This Row],[totalChallan]]</f>
        <v>1</v>
      </c>
      <c r="L1497" t="b">
        <f>TrafficData[[#This Row],[pendingAmount]]+TrafficData[[#This Row],[disposedAmount]]=TrafficData[[#This Row],[totalAmount]]</f>
        <v>1</v>
      </c>
      <c r="M1497" t="b">
        <f>TrafficData[[#This Row],[pendingCourt]]+TrafficData[[#This Row],[disposedCourt]]=TrafficData[[#This Row],[totalCourt]]</f>
        <v>1</v>
      </c>
      <c r="N1497" s="8" t="b">
        <f>AND(TrafficData[[#This Row],[disposedChallan]]&lt;=TrafficData[[#This Row],[totalChallan]],TrafficData[[#This Row],[pendingChallan]]&lt;=TrafficData[[#This Row],[totalChallan]])</f>
        <v>1</v>
      </c>
      <c r="O1497" s="8" t="b">
        <f>AND(TrafficData[[#This Row],[pendingAmount]]&lt;=TrafficData[[#This Row],[totalAmount]],TrafficData[[#This Row],[disposedAmount]]&lt;=TrafficData[[#This Row],[totalAmount]])</f>
        <v>1</v>
      </c>
      <c r="P1497" s="8" t="b">
        <f>AND(TrafficData[[#This Row],[pendingCourt]]&lt;=TrafficData[[#This Row],[totalCourt]],TrafficData[[#This Row],[disposedCourt]]&lt;=TrafficData[[#This Row],[totalCourt]])</f>
        <v>1</v>
      </c>
    </row>
    <row r="1498" spans="1:16">
      <c r="A1498" s="1">
        <v>43501</v>
      </c>
      <c r="B1498">
        <v>28571</v>
      </c>
      <c r="C1498">
        <v>24622</v>
      </c>
      <c r="D1498">
        <v>3949</v>
      </c>
      <c r="E1498">
        <v>6458433</v>
      </c>
      <c r="F1498">
        <v>32853231</v>
      </c>
      <c r="G1498">
        <v>39311664</v>
      </c>
      <c r="H1498">
        <v>2317</v>
      </c>
      <c r="I1498">
        <v>2220</v>
      </c>
      <c r="J1498">
        <v>4537</v>
      </c>
      <c r="K1498" t="b">
        <f>TrafficData[[#This Row],[disposedChallan]]+TrafficData[[#This Row],[pendingChallan]]=TrafficData[[#This Row],[totalChallan]]</f>
        <v>1</v>
      </c>
      <c r="L1498" t="b">
        <f>TrafficData[[#This Row],[pendingAmount]]+TrafficData[[#This Row],[disposedAmount]]=TrafficData[[#This Row],[totalAmount]]</f>
        <v>1</v>
      </c>
      <c r="M1498" t="b">
        <f>TrafficData[[#This Row],[pendingCourt]]+TrafficData[[#This Row],[disposedCourt]]=TrafficData[[#This Row],[totalCourt]]</f>
        <v>1</v>
      </c>
      <c r="N1498" s="8" t="b">
        <f>AND(TrafficData[[#This Row],[disposedChallan]]&lt;=TrafficData[[#This Row],[totalChallan]],TrafficData[[#This Row],[pendingChallan]]&lt;=TrafficData[[#This Row],[totalChallan]])</f>
        <v>1</v>
      </c>
      <c r="O1498" s="8" t="b">
        <f>AND(TrafficData[[#This Row],[pendingAmount]]&lt;=TrafficData[[#This Row],[totalAmount]],TrafficData[[#This Row],[disposedAmount]]&lt;=TrafficData[[#This Row],[totalAmount]])</f>
        <v>1</v>
      </c>
      <c r="P1498" s="8" t="b">
        <f>AND(TrafficData[[#This Row],[pendingCourt]]&lt;=TrafficData[[#This Row],[totalCourt]],TrafficData[[#This Row],[disposedCourt]]&lt;=TrafficData[[#This Row],[totalCourt]])</f>
        <v>1</v>
      </c>
    </row>
    <row r="1499" spans="1:16">
      <c r="A1499" s="1">
        <v>43502</v>
      </c>
      <c r="B1499">
        <v>32567</v>
      </c>
      <c r="C1499">
        <v>26527</v>
      </c>
      <c r="D1499">
        <v>6040</v>
      </c>
      <c r="E1499">
        <v>9470999</v>
      </c>
      <c r="F1499">
        <v>34612523</v>
      </c>
      <c r="G1499">
        <v>44083522</v>
      </c>
      <c r="H1499">
        <v>3872</v>
      </c>
      <c r="I1499">
        <v>2661</v>
      </c>
      <c r="J1499">
        <v>6533</v>
      </c>
      <c r="K1499" t="b">
        <f>TrafficData[[#This Row],[disposedChallan]]+TrafficData[[#This Row],[pendingChallan]]=TrafficData[[#This Row],[totalChallan]]</f>
        <v>1</v>
      </c>
      <c r="L1499" t="b">
        <f>TrafficData[[#This Row],[pendingAmount]]+TrafficData[[#This Row],[disposedAmount]]=TrafficData[[#This Row],[totalAmount]]</f>
        <v>1</v>
      </c>
      <c r="M1499" t="b">
        <f>TrafficData[[#This Row],[pendingCourt]]+TrafficData[[#This Row],[disposedCourt]]=TrafficData[[#This Row],[totalCourt]]</f>
        <v>1</v>
      </c>
      <c r="N1499" s="8" t="b">
        <f>AND(TrafficData[[#This Row],[disposedChallan]]&lt;=TrafficData[[#This Row],[totalChallan]],TrafficData[[#This Row],[pendingChallan]]&lt;=TrafficData[[#This Row],[totalChallan]])</f>
        <v>1</v>
      </c>
      <c r="O1499" s="8" t="b">
        <f>AND(TrafficData[[#This Row],[pendingAmount]]&lt;=TrafficData[[#This Row],[totalAmount]],TrafficData[[#This Row],[disposedAmount]]&lt;=TrafficData[[#This Row],[totalAmount]])</f>
        <v>1</v>
      </c>
      <c r="P1499" s="8" t="b">
        <f>AND(TrafficData[[#This Row],[pendingCourt]]&lt;=TrafficData[[#This Row],[totalCourt]],TrafficData[[#This Row],[disposedCourt]]&lt;=TrafficData[[#This Row],[totalCourt]])</f>
        <v>1</v>
      </c>
    </row>
    <row r="1500" spans="1:16">
      <c r="A1500" s="1">
        <v>43503</v>
      </c>
      <c r="B1500">
        <v>25959</v>
      </c>
      <c r="C1500">
        <v>22010</v>
      </c>
      <c r="D1500">
        <v>3949</v>
      </c>
      <c r="E1500">
        <v>7026050</v>
      </c>
      <c r="F1500">
        <v>34560664</v>
      </c>
      <c r="G1500">
        <v>41586714</v>
      </c>
      <c r="H1500">
        <v>2231</v>
      </c>
      <c r="I1500">
        <v>2201</v>
      </c>
      <c r="J1500">
        <v>4432</v>
      </c>
      <c r="K1500" t="b">
        <f>TrafficData[[#This Row],[disposedChallan]]+TrafficData[[#This Row],[pendingChallan]]=TrafficData[[#This Row],[totalChallan]]</f>
        <v>1</v>
      </c>
      <c r="L1500" t="b">
        <f>TrafficData[[#This Row],[pendingAmount]]+TrafficData[[#This Row],[disposedAmount]]=TrafficData[[#This Row],[totalAmount]]</f>
        <v>1</v>
      </c>
      <c r="M1500" t="b">
        <f>TrafficData[[#This Row],[pendingCourt]]+TrafficData[[#This Row],[disposedCourt]]=TrafficData[[#This Row],[totalCourt]]</f>
        <v>1</v>
      </c>
      <c r="N1500" s="8" t="b">
        <f>AND(TrafficData[[#This Row],[disposedChallan]]&lt;=TrafficData[[#This Row],[totalChallan]],TrafficData[[#This Row],[pendingChallan]]&lt;=TrafficData[[#This Row],[totalChallan]])</f>
        <v>1</v>
      </c>
      <c r="O1500" s="8" t="b">
        <f>AND(TrafficData[[#This Row],[pendingAmount]]&lt;=TrafficData[[#This Row],[totalAmount]],TrafficData[[#This Row],[disposedAmount]]&lt;=TrafficData[[#This Row],[totalAmount]])</f>
        <v>1</v>
      </c>
      <c r="P1500" s="8" t="b">
        <f>AND(TrafficData[[#This Row],[pendingCourt]]&lt;=TrafficData[[#This Row],[totalCourt]],TrafficData[[#This Row],[disposedCourt]]&lt;=TrafficData[[#This Row],[totalCourt]])</f>
        <v>1</v>
      </c>
    </row>
    <row r="1501" spans="1:16">
      <c r="A1501" s="1">
        <v>43504</v>
      </c>
      <c r="B1501">
        <v>28646</v>
      </c>
      <c r="C1501">
        <v>24107</v>
      </c>
      <c r="D1501">
        <v>4539</v>
      </c>
      <c r="E1501">
        <v>5920592</v>
      </c>
      <c r="F1501">
        <v>36240099</v>
      </c>
      <c r="G1501">
        <v>42160691</v>
      </c>
      <c r="H1501">
        <v>2756</v>
      </c>
      <c r="I1501">
        <v>2412</v>
      </c>
      <c r="J1501">
        <v>5168</v>
      </c>
      <c r="K1501" t="b">
        <f>TrafficData[[#This Row],[disposedChallan]]+TrafficData[[#This Row],[pendingChallan]]=TrafficData[[#This Row],[totalChallan]]</f>
        <v>1</v>
      </c>
      <c r="L1501" t="b">
        <f>TrafficData[[#This Row],[pendingAmount]]+TrafficData[[#This Row],[disposedAmount]]=TrafficData[[#This Row],[totalAmount]]</f>
        <v>1</v>
      </c>
      <c r="M1501" t="b">
        <f>TrafficData[[#This Row],[pendingCourt]]+TrafficData[[#This Row],[disposedCourt]]=TrafficData[[#This Row],[totalCourt]]</f>
        <v>1</v>
      </c>
      <c r="N1501" s="8" t="b">
        <f>AND(TrafficData[[#This Row],[disposedChallan]]&lt;=TrafficData[[#This Row],[totalChallan]],TrafficData[[#This Row],[pendingChallan]]&lt;=TrafficData[[#This Row],[totalChallan]])</f>
        <v>1</v>
      </c>
      <c r="O1501" s="8" t="b">
        <f>AND(TrafficData[[#This Row],[pendingAmount]]&lt;=TrafficData[[#This Row],[totalAmount]],TrafficData[[#This Row],[disposedAmount]]&lt;=TrafficData[[#This Row],[totalAmount]])</f>
        <v>1</v>
      </c>
      <c r="P1501" s="8" t="b">
        <f>AND(TrafficData[[#This Row],[pendingCourt]]&lt;=TrafficData[[#This Row],[totalCourt]],TrafficData[[#This Row],[disposedCourt]]&lt;=TrafficData[[#This Row],[totalCourt]])</f>
        <v>1</v>
      </c>
    </row>
    <row r="1502" spans="1:16">
      <c r="A1502" s="1">
        <v>43505</v>
      </c>
      <c r="B1502">
        <v>24624</v>
      </c>
      <c r="C1502">
        <v>20734</v>
      </c>
      <c r="D1502">
        <v>3890</v>
      </c>
      <c r="E1502">
        <v>4729417</v>
      </c>
      <c r="F1502">
        <v>29609538</v>
      </c>
      <c r="G1502">
        <v>34338955</v>
      </c>
      <c r="H1502">
        <v>2400</v>
      </c>
      <c r="I1502">
        <v>2363</v>
      </c>
      <c r="J1502">
        <v>4763</v>
      </c>
      <c r="K1502" t="b">
        <f>TrafficData[[#This Row],[disposedChallan]]+TrafficData[[#This Row],[pendingChallan]]=TrafficData[[#This Row],[totalChallan]]</f>
        <v>1</v>
      </c>
      <c r="L1502" t="b">
        <f>TrafficData[[#This Row],[pendingAmount]]+TrafficData[[#This Row],[disposedAmount]]=TrafficData[[#This Row],[totalAmount]]</f>
        <v>1</v>
      </c>
      <c r="M1502" t="b">
        <f>TrafficData[[#This Row],[pendingCourt]]+TrafficData[[#This Row],[disposedCourt]]=TrafficData[[#This Row],[totalCourt]]</f>
        <v>1</v>
      </c>
      <c r="N1502" s="8" t="b">
        <f>AND(TrafficData[[#This Row],[disposedChallan]]&lt;=TrafficData[[#This Row],[totalChallan]],TrafficData[[#This Row],[pendingChallan]]&lt;=TrafficData[[#This Row],[totalChallan]])</f>
        <v>1</v>
      </c>
      <c r="O1502" s="8" t="b">
        <f>AND(TrafficData[[#This Row],[pendingAmount]]&lt;=TrafficData[[#This Row],[totalAmount]],TrafficData[[#This Row],[disposedAmount]]&lt;=TrafficData[[#This Row],[totalAmount]])</f>
        <v>1</v>
      </c>
      <c r="P1502" s="8" t="b">
        <f>AND(TrafficData[[#This Row],[pendingCourt]]&lt;=TrafficData[[#This Row],[totalCourt]],TrafficData[[#This Row],[disposedCourt]]&lt;=TrafficData[[#This Row],[totalCourt]])</f>
        <v>1</v>
      </c>
    </row>
    <row r="1503" spans="1:16">
      <c r="A1503" s="1">
        <v>43506</v>
      </c>
      <c r="B1503">
        <v>17376</v>
      </c>
      <c r="C1503">
        <v>14830</v>
      </c>
      <c r="D1503">
        <v>2546</v>
      </c>
      <c r="E1503">
        <v>2633573</v>
      </c>
      <c r="F1503">
        <v>18099642</v>
      </c>
      <c r="G1503">
        <v>20733215</v>
      </c>
      <c r="H1503">
        <v>1631</v>
      </c>
      <c r="I1503">
        <v>1872</v>
      </c>
      <c r="J1503">
        <v>3503</v>
      </c>
      <c r="K1503" t="b">
        <f>TrafficData[[#This Row],[disposedChallan]]+TrafficData[[#This Row],[pendingChallan]]=TrafficData[[#This Row],[totalChallan]]</f>
        <v>1</v>
      </c>
      <c r="L1503" t="b">
        <f>TrafficData[[#This Row],[pendingAmount]]+TrafficData[[#This Row],[disposedAmount]]=TrafficData[[#This Row],[totalAmount]]</f>
        <v>1</v>
      </c>
      <c r="M1503" t="b">
        <f>TrafficData[[#This Row],[pendingCourt]]+TrafficData[[#This Row],[disposedCourt]]=TrafficData[[#This Row],[totalCourt]]</f>
        <v>1</v>
      </c>
      <c r="N1503" s="8" t="b">
        <f>AND(TrafficData[[#This Row],[disposedChallan]]&lt;=TrafficData[[#This Row],[totalChallan]],TrafficData[[#This Row],[pendingChallan]]&lt;=TrafficData[[#This Row],[totalChallan]])</f>
        <v>1</v>
      </c>
      <c r="O1503" s="8" t="b">
        <f>AND(TrafficData[[#This Row],[pendingAmount]]&lt;=TrafficData[[#This Row],[totalAmount]],TrafficData[[#This Row],[disposedAmount]]&lt;=TrafficData[[#This Row],[totalAmount]])</f>
        <v>1</v>
      </c>
      <c r="P1503" s="8" t="b">
        <f>AND(TrafficData[[#This Row],[pendingCourt]]&lt;=TrafficData[[#This Row],[totalCourt]],TrafficData[[#This Row],[disposedCourt]]&lt;=TrafficData[[#This Row],[totalCourt]])</f>
        <v>1</v>
      </c>
    </row>
    <row r="1504" spans="1:16">
      <c r="A1504" s="1">
        <v>43507</v>
      </c>
      <c r="B1504">
        <v>20768</v>
      </c>
      <c r="C1504">
        <v>17746</v>
      </c>
      <c r="D1504">
        <v>3022</v>
      </c>
      <c r="E1504">
        <v>4391319</v>
      </c>
      <c r="F1504">
        <v>22368900</v>
      </c>
      <c r="G1504">
        <v>26760219</v>
      </c>
      <c r="H1504">
        <v>1482</v>
      </c>
      <c r="I1504">
        <v>1507</v>
      </c>
      <c r="J1504">
        <v>2989</v>
      </c>
      <c r="K1504" t="b">
        <f>TrafficData[[#This Row],[disposedChallan]]+TrafficData[[#This Row],[pendingChallan]]=TrafficData[[#This Row],[totalChallan]]</f>
        <v>1</v>
      </c>
      <c r="L1504" t="b">
        <f>TrafficData[[#This Row],[pendingAmount]]+TrafficData[[#This Row],[disposedAmount]]=TrafficData[[#This Row],[totalAmount]]</f>
        <v>1</v>
      </c>
      <c r="M1504" t="b">
        <f>TrafficData[[#This Row],[pendingCourt]]+TrafficData[[#This Row],[disposedCourt]]=TrafficData[[#This Row],[totalCourt]]</f>
        <v>1</v>
      </c>
      <c r="N1504" s="8" t="b">
        <f>AND(TrafficData[[#This Row],[disposedChallan]]&lt;=TrafficData[[#This Row],[totalChallan]],TrafficData[[#This Row],[pendingChallan]]&lt;=TrafficData[[#This Row],[totalChallan]])</f>
        <v>1</v>
      </c>
      <c r="O1504" s="8" t="b">
        <f>AND(TrafficData[[#This Row],[pendingAmount]]&lt;=TrafficData[[#This Row],[totalAmount]],TrafficData[[#This Row],[disposedAmount]]&lt;=TrafficData[[#This Row],[totalAmount]])</f>
        <v>1</v>
      </c>
      <c r="P1504" s="8" t="b">
        <f>AND(TrafficData[[#This Row],[pendingCourt]]&lt;=TrafficData[[#This Row],[totalCourt]],TrafficData[[#This Row],[disposedCourt]]&lt;=TrafficData[[#This Row],[totalCourt]])</f>
        <v>1</v>
      </c>
    </row>
    <row r="1505" spans="1:16">
      <c r="A1505" s="1">
        <v>43508</v>
      </c>
      <c r="B1505">
        <v>26487</v>
      </c>
      <c r="C1505">
        <v>22047</v>
      </c>
      <c r="D1505">
        <v>4440</v>
      </c>
      <c r="E1505">
        <v>7465067</v>
      </c>
      <c r="F1505">
        <v>40094714</v>
      </c>
      <c r="G1505">
        <v>47559781</v>
      </c>
      <c r="H1505">
        <v>2403</v>
      </c>
      <c r="I1505">
        <v>2374</v>
      </c>
      <c r="J1505">
        <v>4777</v>
      </c>
      <c r="K1505" t="b">
        <f>TrafficData[[#This Row],[disposedChallan]]+TrafficData[[#This Row],[pendingChallan]]=TrafficData[[#This Row],[totalChallan]]</f>
        <v>1</v>
      </c>
      <c r="L1505" t="b">
        <f>TrafficData[[#This Row],[pendingAmount]]+TrafficData[[#This Row],[disposedAmount]]=TrafficData[[#This Row],[totalAmount]]</f>
        <v>1</v>
      </c>
      <c r="M1505" t="b">
        <f>TrafficData[[#This Row],[pendingCourt]]+TrafficData[[#This Row],[disposedCourt]]=TrafficData[[#This Row],[totalCourt]]</f>
        <v>1</v>
      </c>
      <c r="N1505" s="8" t="b">
        <f>AND(TrafficData[[#This Row],[disposedChallan]]&lt;=TrafficData[[#This Row],[totalChallan]],TrafficData[[#This Row],[pendingChallan]]&lt;=TrafficData[[#This Row],[totalChallan]])</f>
        <v>1</v>
      </c>
      <c r="O1505" s="8" t="b">
        <f>AND(TrafficData[[#This Row],[pendingAmount]]&lt;=TrafficData[[#This Row],[totalAmount]],TrafficData[[#This Row],[disposedAmount]]&lt;=TrafficData[[#This Row],[totalAmount]])</f>
        <v>1</v>
      </c>
      <c r="P1505" s="8" t="b">
        <f>AND(TrafficData[[#This Row],[pendingCourt]]&lt;=TrafficData[[#This Row],[totalCourt]],TrafficData[[#This Row],[disposedCourt]]&lt;=TrafficData[[#This Row],[totalCourt]])</f>
        <v>1</v>
      </c>
    </row>
    <row r="1506" spans="1:16">
      <c r="A1506" s="1">
        <v>43509</v>
      </c>
      <c r="B1506">
        <v>35775</v>
      </c>
      <c r="C1506">
        <v>28053</v>
      </c>
      <c r="D1506">
        <v>7722</v>
      </c>
      <c r="E1506">
        <v>10115904</v>
      </c>
      <c r="F1506">
        <v>42246726</v>
      </c>
      <c r="G1506">
        <v>52362630</v>
      </c>
      <c r="H1506">
        <v>5182</v>
      </c>
      <c r="I1506">
        <v>2953</v>
      </c>
      <c r="J1506">
        <v>8135</v>
      </c>
      <c r="K1506" t="b">
        <f>TrafficData[[#This Row],[disposedChallan]]+TrafficData[[#This Row],[pendingChallan]]=TrafficData[[#This Row],[totalChallan]]</f>
        <v>1</v>
      </c>
      <c r="L1506" t="b">
        <f>TrafficData[[#This Row],[pendingAmount]]+TrafficData[[#This Row],[disposedAmount]]=TrafficData[[#This Row],[totalAmount]]</f>
        <v>1</v>
      </c>
      <c r="M1506" t="b">
        <f>TrafficData[[#This Row],[pendingCourt]]+TrafficData[[#This Row],[disposedCourt]]=TrafficData[[#This Row],[totalCourt]]</f>
        <v>1</v>
      </c>
      <c r="N1506" s="8" t="b">
        <f>AND(TrafficData[[#This Row],[disposedChallan]]&lt;=TrafficData[[#This Row],[totalChallan]],TrafficData[[#This Row],[pendingChallan]]&lt;=TrafficData[[#This Row],[totalChallan]])</f>
        <v>1</v>
      </c>
      <c r="O1506" s="8" t="b">
        <f>AND(TrafficData[[#This Row],[pendingAmount]]&lt;=TrafficData[[#This Row],[totalAmount]],TrafficData[[#This Row],[disposedAmount]]&lt;=TrafficData[[#This Row],[totalAmount]])</f>
        <v>1</v>
      </c>
      <c r="P1506" s="8" t="b">
        <f>AND(TrafficData[[#This Row],[pendingCourt]]&lt;=TrafficData[[#This Row],[totalCourt]],TrafficData[[#This Row],[disposedCourt]]&lt;=TrafficData[[#This Row],[totalCourt]])</f>
        <v>1</v>
      </c>
    </row>
    <row r="1507" spans="1:16">
      <c r="A1507" s="1">
        <v>43510</v>
      </c>
      <c r="B1507">
        <v>27812</v>
      </c>
      <c r="C1507">
        <v>22945</v>
      </c>
      <c r="D1507">
        <v>4867</v>
      </c>
      <c r="E1507">
        <v>9247467</v>
      </c>
      <c r="F1507">
        <v>38084367</v>
      </c>
      <c r="G1507">
        <v>47331834</v>
      </c>
      <c r="H1507">
        <v>2607</v>
      </c>
      <c r="I1507">
        <v>2264</v>
      </c>
      <c r="J1507">
        <v>4871</v>
      </c>
      <c r="K1507" t="b">
        <f>TrafficData[[#This Row],[disposedChallan]]+TrafficData[[#This Row],[pendingChallan]]=TrafficData[[#This Row],[totalChallan]]</f>
        <v>1</v>
      </c>
      <c r="L1507" t="b">
        <f>TrafficData[[#This Row],[pendingAmount]]+TrafficData[[#This Row],[disposedAmount]]=TrafficData[[#This Row],[totalAmount]]</f>
        <v>1</v>
      </c>
      <c r="M1507" t="b">
        <f>TrafficData[[#This Row],[pendingCourt]]+TrafficData[[#This Row],[disposedCourt]]=TrafficData[[#This Row],[totalCourt]]</f>
        <v>1</v>
      </c>
      <c r="N1507" s="8" t="b">
        <f>AND(TrafficData[[#This Row],[disposedChallan]]&lt;=TrafficData[[#This Row],[totalChallan]],TrafficData[[#This Row],[pendingChallan]]&lt;=TrafficData[[#This Row],[totalChallan]])</f>
        <v>1</v>
      </c>
      <c r="O1507" s="8" t="b">
        <f>AND(TrafficData[[#This Row],[pendingAmount]]&lt;=TrafficData[[#This Row],[totalAmount]],TrafficData[[#This Row],[disposedAmount]]&lt;=TrafficData[[#This Row],[totalAmount]])</f>
        <v>1</v>
      </c>
      <c r="P1507" s="8" t="b">
        <f>AND(TrafficData[[#This Row],[pendingCourt]]&lt;=TrafficData[[#This Row],[totalCourt]],TrafficData[[#This Row],[disposedCourt]]&lt;=TrafficData[[#This Row],[totalCourt]])</f>
        <v>1</v>
      </c>
    </row>
    <row r="1508" spans="1:16">
      <c r="A1508" s="1">
        <v>43511</v>
      </c>
      <c r="B1508">
        <v>30206</v>
      </c>
      <c r="C1508">
        <v>24688</v>
      </c>
      <c r="D1508">
        <v>5518</v>
      </c>
      <c r="E1508">
        <v>8968320</v>
      </c>
      <c r="F1508">
        <v>37116007</v>
      </c>
      <c r="G1508">
        <v>46084327</v>
      </c>
      <c r="H1508">
        <v>3213</v>
      </c>
      <c r="I1508">
        <v>2497</v>
      </c>
      <c r="J1508">
        <v>5710</v>
      </c>
      <c r="K1508" t="b">
        <f>TrafficData[[#This Row],[disposedChallan]]+TrafficData[[#This Row],[pendingChallan]]=TrafficData[[#This Row],[totalChallan]]</f>
        <v>1</v>
      </c>
      <c r="L1508" t="b">
        <f>TrafficData[[#This Row],[pendingAmount]]+TrafficData[[#This Row],[disposedAmount]]=TrafficData[[#This Row],[totalAmount]]</f>
        <v>1</v>
      </c>
      <c r="M1508" t="b">
        <f>TrafficData[[#This Row],[pendingCourt]]+TrafficData[[#This Row],[disposedCourt]]=TrafficData[[#This Row],[totalCourt]]</f>
        <v>1</v>
      </c>
      <c r="N1508" s="8" t="b">
        <f>AND(TrafficData[[#This Row],[disposedChallan]]&lt;=TrafficData[[#This Row],[totalChallan]],TrafficData[[#This Row],[pendingChallan]]&lt;=TrafficData[[#This Row],[totalChallan]])</f>
        <v>1</v>
      </c>
      <c r="O1508" s="8" t="b">
        <f>AND(TrafficData[[#This Row],[pendingAmount]]&lt;=TrafficData[[#This Row],[totalAmount]],TrafficData[[#This Row],[disposedAmount]]&lt;=TrafficData[[#This Row],[totalAmount]])</f>
        <v>1</v>
      </c>
      <c r="P1508" s="8" t="b">
        <f>AND(TrafficData[[#This Row],[pendingCourt]]&lt;=TrafficData[[#This Row],[totalCourt]],TrafficData[[#This Row],[disposedCourt]]&lt;=TrafficData[[#This Row],[totalCourt]])</f>
        <v>1</v>
      </c>
    </row>
    <row r="1509" spans="1:16">
      <c r="A1509" s="1">
        <v>43512</v>
      </c>
      <c r="B1509">
        <v>25351</v>
      </c>
      <c r="C1509">
        <v>21022</v>
      </c>
      <c r="D1509">
        <v>4329</v>
      </c>
      <c r="E1509">
        <v>7151394</v>
      </c>
      <c r="F1509">
        <v>35918805</v>
      </c>
      <c r="G1509">
        <v>43070199</v>
      </c>
      <c r="H1509">
        <v>2313</v>
      </c>
      <c r="I1509">
        <v>2209</v>
      </c>
      <c r="J1509">
        <v>4522</v>
      </c>
      <c r="K1509" t="b">
        <f>TrafficData[[#This Row],[disposedChallan]]+TrafficData[[#This Row],[pendingChallan]]=TrafficData[[#This Row],[totalChallan]]</f>
        <v>1</v>
      </c>
      <c r="L1509" t="b">
        <f>TrafficData[[#This Row],[pendingAmount]]+TrafficData[[#This Row],[disposedAmount]]=TrafficData[[#This Row],[totalAmount]]</f>
        <v>1</v>
      </c>
      <c r="M1509" t="b">
        <f>TrafficData[[#This Row],[pendingCourt]]+TrafficData[[#This Row],[disposedCourt]]=TrafficData[[#This Row],[totalCourt]]</f>
        <v>1</v>
      </c>
      <c r="N1509" s="8" t="b">
        <f>AND(TrafficData[[#This Row],[disposedChallan]]&lt;=TrafficData[[#This Row],[totalChallan]],TrafficData[[#This Row],[pendingChallan]]&lt;=TrafficData[[#This Row],[totalChallan]])</f>
        <v>1</v>
      </c>
      <c r="O1509" s="8" t="b">
        <f>AND(TrafficData[[#This Row],[pendingAmount]]&lt;=TrafficData[[#This Row],[totalAmount]],TrafficData[[#This Row],[disposedAmount]]&lt;=TrafficData[[#This Row],[totalAmount]])</f>
        <v>1</v>
      </c>
      <c r="P1509" s="8" t="b">
        <f>AND(TrafficData[[#This Row],[pendingCourt]]&lt;=TrafficData[[#This Row],[totalCourt]],TrafficData[[#This Row],[disposedCourt]]&lt;=TrafficData[[#This Row],[totalCourt]])</f>
        <v>1</v>
      </c>
    </row>
    <row r="1510" spans="1:16">
      <c r="A1510" s="1">
        <v>43513</v>
      </c>
      <c r="B1510">
        <v>17441</v>
      </c>
      <c r="C1510">
        <v>14841</v>
      </c>
      <c r="D1510">
        <v>2600</v>
      </c>
      <c r="E1510">
        <v>3150425</v>
      </c>
      <c r="F1510">
        <v>22642188</v>
      </c>
      <c r="G1510">
        <v>25792613</v>
      </c>
      <c r="H1510">
        <v>1389</v>
      </c>
      <c r="I1510">
        <v>1631</v>
      </c>
      <c r="J1510">
        <v>3020</v>
      </c>
      <c r="K1510" t="b">
        <f>TrafficData[[#This Row],[disposedChallan]]+TrafficData[[#This Row],[pendingChallan]]=TrafficData[[#This Row],[totalChallan]]</f>
        <v>1</v>
      </c>
      <c r="L1510" t="b">
        <f>TrafficData[[#This Row],[pendingAmount]]+TrafficData[[#This Row],[disposedAmount]]=TrafficData[[#This Row],[totalAmount]]</f>
        <v>1</v>
      </c>
      <c r="M1510" t="b">
        <f>TrafficData[[#This Row],[pendingCourt]]+TrafficData[[#This Row],[disposedCourt]]=TrafficData[[#This Row],[totalCourt]]</f>
        <v>1</v>
      </c>
      <c r="N1510" s="8" t="b">
        <f>AND(TrafficData[[#This Row],[disposedChallan]]&lt;=TrafficData[[#This Row],[totalChallan]],TrafficData[[#This Row],[pendingChallan]]&lt;=TrafficData[[#This Row],[totalChallan]])</f>
        <v>1</v>
      </c>
      <c r="O1510" s="8" t="b">
        <f>AND(TrafficData[[#This Row],[pendingAmount]]&lt;=TrafficData[[#This Row],[totalAmount]],TrafficData[[#This Row],[disposedAmount]]&lt;=TrafficData[[#This Row],[totalAmount]])</f>
        <v>1</v>
      </c>
      <c r="P1510" s="8" t="b">
        <f>AND(TrafficData[[#This Row],[pendingCourt]]&lt;=TrafficData[[#This Row],[totalCourt]],TrafficData[[#This Row],[disposedCourt]]&lt;=TrafficData[[#This Row],[totalCourt]])</f>
        <v>1</v>
      </c>
    </row>
    <row r="1511" spans="1:16">
      <c r="A1511" s="1">
        <v>43514</v>
      </c>
      <c r="B1511">
        <v>24555</v>
      </c>
      <c r="C1511">
        <v>20347</v>
      </c>
      <c r="D1511">
        <v>4208</v>
      </c>
      <c r="E1511">
        <v>5563075</v>
      </c>
      <c r="F1511">
        <v>30240666</v>
      </c>
      <c r="G1511">
        <v>35803741</v>
      </c>
      <c r="H1511">
        <v>2415</v>
      </c>
      <c r="I1511">
        <v>1897</v>
      </c>
      <c r="J1511">
        <v>4312</v>
      </c>
      <c r="K1511" t="b">
        <f>TrafficData[[#This Row],[disposedChallan]]+TrafficData[[#This Row],[pendingChallan]]=TrafficData[[#This Row],[totalChallan]]</f>
        <v>1</v>
      </c>
      <c r="L1511" t="b">
        <f>TrafficData[[#This Row],[pendingAmount]]+TrafficData[[#This Row],[disposedAmount]]=TrafficData[[#This Row],[totalAmount]]</f>
        <v>1</v>
      </c>
      <c r="M1511" t="b">
        <f>TrafficData[[#This Row],[pendingCourt]]+TrafficData[[#This Row],[disposedCourt]]=TrafficData[[#This Row],[totalCourt]]</f>
        <v>1</v>
      </c>
      <c r="N1511" s="8" t="b">
        <f>AND(TrafficData[[#This Row],[disposedChallan]]&lt;=TrafficData[[#This Row],[totalChallan]],TrafficData[[#This Row],[pendingChallan]]&lt;=TrafficData[[#This Row],[totalChallan]])</f>
        <v>1</v>
      </c>
      <c r="O1511" s="8" t="b">
        <f>AND(TrafficData[[#This Row],[pendingAmount]]&lt;=TrafficData[[#This Row],[totalAmount]],TrafficData[[#This Row],[disposedAmount]]&lt;=TrafficData[[#This Row],[totalAmount]])</f>
        <v>1</v>
      </c>
      <c r="P1511" s="8" t="b">
        <f>AND(TrafficData[[#This Row],[pendingCourt]]&lt;=TrafficData[[#This Row],[totalCourt]],TrafficData[[#This Row],[disposedCourt]]&lt;=TrafficData[[#This Row],[totalCourt]])</f>
        <v>1</v>
      </c>
    </row>
    <row r="1512" spans="1:16">
      <c r="A1512" s="1">
        <v>43515</v>
      </c>
      <c r="B1512">
        <v>24756</v>
      </c>
      <c r="C1512">
        <v>20577</v>
      </c>
      <c r="D1512">
        <v>4179</v>
      </c>
      <c r="E1512">
        <v>7042197</v>
      </c>
      <c r="F1512">
        <v>30341161</v>
      </c>
      <c r="G1512">
        <v>37383358</v>
      </c>
      <c r="H1512">
        <v>2210</v>
      </c>
      <c r="I1512">
        <v>1794</v>
      </c>
      <c r="J1512">
        <v>4004</v>
      </c>
      <c r="K1512" t="b">
        <f>TrafficData[[#This Row],[disposedChallan]]+TrafficData[[#This Row],[pendingChallan]]=TrafficData[[#This Row],[totalChallan]]</f>
        <v>1</v>
      </c>
      <c r="L1512" t="b">
        <f>TrafficData[[#This Row],[pendingAmount]]+TrafficData[[#This Row],[disposedAmount]]=TrafficData[[#This Row],[totalAmount]]</f>
        <v>1</v>
      </c>
      <c r="M1512" t="b">
        <f>TrafficData[[#This Row],[pendingCourt]]+TrafficData[[#This Row],[disposedCourt]]=TrafficData[[#This Row],[totalCourt]]</f>
        <v>1</v>
      </c>
      <c r="N1512" s="8" t="b">
        <f>AND(TrafficData[[#This Row],[disposedChallan]]&lt;=TrafficData[[#This Row],[totalChallan]],TrafficData[[#This Row],[pendingChallan]]&lt;=TrafficData[[#This Row],[totalChallan]])</f>
        <v>1</v>
      </c>
      <c r="O1512" s="8" t="b">
        <f>AND(TrafficData[[#This Row],[pendingAmount]]&lt;=TrafficData[[#This Row],[totalAmount]],TrafficData[[#This Row],[disposedAmount]]&lt;=TrafficData[[#This Row],[totalAmount]])</f>
        <v>1</v>
      </c>
      <c r="P1512" s="8" t="b">
        <f>AND(TrafficData[[#This Row],[pendingCourt]]&lt;=TrafficData[[#This Row],[totalCourt]],TrafficData[[#This Row],[disposedCourt]]&lt;=TrafficData[[#This Row],[totalCourt]])</f>
        <v>1</v>
      </c>
    </row>
    <row r="1513" spans="1:16">
      <c r="A1513" s="1">
        <v>43516</v>
      </c>
      <c r="B1513">
        <v>31122</v>
      </c>
      <c r="C1513">
        <v>24457</v>
      </c>
      <c r="D1513">
        <v>6665</v>
      </c>
      <c r="E1513">
        <v>8412204</v>
      </c>
      <c r="F1513">
        <v>33351026</v>
      </c>
      <c r="G1513">
        <v>41763230</v>
      </c>
      <c r="H1513">
        <v>4695</v>
      </c>
      <c r="I1513">
        <v>2378</v>
      </c>
      <c r="J1513">
        <v>7073</v>
      </c>
      <c r="K1513" t="b">
        <f>TrafficData[[#This Row],[disposedChallan]]+TrafficData[[#This Row],[pendingChallan]]=TrafficData[[#This Row],[totalChallan]]</f>
        <v>1</v>
      </c>
      <c r="L1513" t="b">
        <f>TrafficData[[#This Row],[pendingAmount]]+TrafficData[[#This Row],[disposedAmount]]=TrafficData[[#This Row],[totalAmount]]</f>
        <v>1</v>
      </c>
      <c r="M1513" t="b">
        <f>TrafficData[[#This Row],[pendingCourt]]+TrafficData[[#This Row],[disposedCourt]]=TrafficData[[#This Row],[totalCourt]]</f>
        <v>1</v>
      </c>
      <c r="N1513" s="8" t="b">
        <f>AND(TrafficData[[#This Row],[disposedChallan]]&lt;=TrafficData[[#This Row],[totalChallan]],TrafficData[[#This Row],[pendingChallan]]&lt;=TrafficData[[#This Row],[totalChallan]])</f>
        <v>1</v>
      </c>
      <c r="O1513" s="8" t="b">
        <f>AND(TrafficData[[#This Row],[pendingAmount]]&lt;=TrafficData[[#This Row],[totalAmount]],TrafficData[[#This Row],[disposedAmount]]&lt;=TrafficData[[#This Row],[totalAmount]])</f>
        <v>1</v>
      </c>
      <c r="P1513" s="8" t="b">
        <f>AND(TrafficData[[#This Row],[pendingCourt]]&lt;=TrafficData[[#This Row],[totalCourt]],TrafficData[[#This Row],[disposedCourt]]&lt;=TrafficData[[#This Row],[totalCourt]])</f>
        <v>1</v>
      </c>
    </row>
    <row r="1514" spans="1:16">
      <c r="A1514" s="1">
        <v>43517</v>
      </c>
      <c r="B1514">
        <v>26343</v>
      </c>
      <c r="C1514">
        <v>21912</v>
      </c>
      <c r="D1514">
        <v>4431</v>
      </c>
      <c r="E1514">
        <v>6927346</v>
      </c>
      <c r="F1514">
        <v>34211255</v>
      </c>
      <c r="G1514">
        <v>41138601</v>
      </c>
      <c r="H1514">
        <v>2439</v>
      </c>
      <c r="I1514">
        <v>2152</v>
      </c>
      <c r="J1514">
        <v>4591</v>
      </c>
      <c r="K1514" t="b">
        <f>TrafficData[[#This Row],[disposedChallan]]+TrafficData[[#This Row],[pendingChallan]]=TrafficData[[#This Row],[totalChallan]]</f>
        <v>1</v>
      </c>
      <c r="L1514" t="b">
        <f>TrafficData[[#This Row],[pendingAmount]]+TrafficData[[#This Row],[disposedAmount]]=TrafficData[[#This Row],[totalAmount]]</f>
        <v>1</v>
      </c>
      <c r="M1514" t="b">
        <f>TrafficData[[#This Row],[pendingCourt]]+TrafficData[[#This Row],[disposedCourt]]=TrafficData[[#This Row],[totalCourt]]</f>
        <v>1</v>
      </c>
      <c r="N1514" s="8" t="b">
        <f>AND(TrafficData[[#This Row],[disposedChallan]]&lt;=TrafficData[[#This Row],[totalChallan]],TrafficData[[#This Row],[pendingChallan]]&lt;=TrafficData[[#This Row],[totalChallan]])</f>
        <v>1</v>
      </c>
      <c r="O1514" s="8" t="b">
        <f>AND(TrafficData[[#This Row],[pendingAmount]]&lt;=TrafficData[[#This Row],[totalAmount]],TrafficData[[#This Row],[disposedAmount]]&lt;=TrafficData[[#This Row],[totalAmount]])</f>
        <v>1</v>
      </c>
      <c r="P1514" s="8" t="b">
        <f>AND(TrafficData[[#This Row],[pendingCourt]]&lt;=TrafficData[[#This Row],[totalCourt]],TrafficData[[#This Row],[disposedCourt]]&lt;=TrafficData[[#This Row],[totalCourt]])</f>
        <v>1</v>
      </c>
    </row>
    <row r="1515" spans="1:16">
      <c r="A1515" s="1">
        <v>43518</v>
      </c>
      <c r="B1515">
        <v>26432</v>
      </c>
      <c r="C1515">
        <v>22454</v>
      </c>
      <c r="D1515">
        <v>3978</v>
      </c>
      <c r="E1515">
        <v>6756997</v>
      </c>
      <c r="F1515">
        <v>38039874</v>
      </c>
      <c r="G1515">
        <v>44796871</v>
      </c>
      <c r="H1515">
        <v>2394</v>
      </c>
      <c r="I1515">
        <v>2012</v>
      </c>
      <c r="J1515">
        <v>4406</v>
      </c>
      <c r="K1515" t="b">
        <f>TrafficData[[#This Row],[disposedChallan]]+TrafficData[[#This Row],[pendingChallan]]=TrafficData[[#This Row],[totalChallan]]</f>
        <v>1</v>
      </c>
      <c r="L1515" t="b">
        <f>TrafficData[[#This Row],[pendingAmount]]+TrafficData[[#This Row],[disposedAmount]]=TrafficData[[#This Row],[totalAmount]]</f>
        <v>1</v>
      </c>
      <c r="M1515" t="b">
        <f>TrafficData[[#This Row],[pendingCourt]]+TrafficData[[#This Row],[disposedCourt]]=TrafficData[[#This Row],[totalCourt]]</f>
        <v>1</v>
      </c>
      <c r="N1515" s="8" t="b">
        <f>AND(TrafficData[[#This Row],[disposedChallan]]&lt;=TrafficData[[#This Row],[totalChallan]],TrafficData[[#This Row],[pendingChallan]]&lt;=TrafficData[[#This Row],[totalChallan]])</f>
        <v>1</v>
      </c>
      <c r="O1515" s="8" t="b">
        <f>AND(TrafficData[[#This Row],[pendingAmount]]&lt;=TrafficData[[#This Row],[totalAmount]],TrafficData[[#This Row],[disposedAmount]]&lt;=TrafficData[[#This Row],[totalAmount]])</f>
        <v>1</v>
      </c>
      <c r="P1515" s="8" t="b">
        <f>AND(TrafficData[[#This Row],[pendingCourt]]&lt;=TrafficData[[#This Row],[totalCourt]],TrafficData[[#This Row],[disposedCourt]]&lt;=TrafficData[[#This Row],[totalCourt]])</f>
        <v>1</v>
      </c>
    </row>
    <row r="1516" spans="1:16">
      <c r="A1516" s="1">
        <v>43519</v>
      </c>
      <c r="B1516">
        <v>24513</v>
      </c>
      <c r="C1516">
        <v>20802</v>
      </c>
      <c r="D1516">
        <v>3711</v>
      </c>
      <c r="E1516">
        <v>5019770</v>
      </c>
      <c r="F1516">
        <v>28306667</v>
      </c>
      <c r="G1516">
        <v>33326437</v>
      </c>
      <c r="H1516">
        <v>2001</v>
      </c>
      <c r="I1516">
        <v>1688</v>
      </c>
      <c r="J1516">
        <v>3689</v>
      </c>
      <c r="K1516" t="b">
        <f>TrafficData[[#This Row],[disposedChallan]]+TrafficData[[#This Row],[pendingChallan]]=TrafficData[[#This Row],[totalChallan]]</f>
        <v>1</v>
      </c>
      <c r="L1516" t="b">
        <f>TrafficData[[#This Row],[pendingAmount]]+TrafficData[[#This Row],[disposedAmount]]=TrafficData[[#This Row],[totalAmount]]</f>
        <v>1</v>
      </c>
      <c r="M1516" t="b">
        <f>TrafficData[[#This Row],[pendingCourt]]+TrafficData[[#This Row],[disposedCourt]]=TrafficData[[#This Row],[totalCourt]]</f>
        <v>1</v>
      </c>
      <c r="N1516" s="8" t="b">
        <f>AND(TrafficData[[#This Row],[disposedChallan]]&lt;=TrafficData[[#This Row],[totalChallan]],TrafficData[[#This Row],[pendingChallan]]&lt;=TrafficData[[#This Row],[totalChallan]])</f>
        <v>1</v>
      </c>
      <c r="O1516" s="8" t="b">
        <f>AND(TrafficData[[#This Row],[pendingAmount]]&lt;=TrafficData[[#This Row],[totalAmount]],TrafficData[[#This Row],[disposedAmount]]&lt;=TrafficData[[#This Row],[totalAmount]])</f>
        <v>1</v>
      </c>
      <c r="P1516" s="8" t="b">
        <f>AND(TrafficData[[#This Row],[pendingCourt]]&lt;=TrafficData[[#This Row],[totalCourt]],TrafficData[[#This Row],[disposedCourt]]&lt;=TrafficData[[#This Row],[totalCourt]])</f>
        <v>1</v>
      </c>
    </row>
    <row r="1517" spans="1:16">
      <c r="A1517" s="1">
        <v>43520</v>
      </c>
      <c r="B1517">
        <v>17294</v>
      </c>
      <c r="C1517">
        <v>14693</v>
      </c>
      <c r="D1517">
        <v>2601</v>
      </c>
      <c r="E1517">
        <v>2871225</v>
      </c>
      <c r="F1517">
        <v>22158812</v>
      </c>
      <c r="G1517">
        <v>25030037</v>
      </c>
      <c r="H1517">
        <v>1282</v>
      </c>
      <c r="I1517">
        <v>1192</v>
      </c>
      <c r="J1517">
        <v>2474</v>
      </c>
      <c r="K1517" t="b">
        <f>TrafficData[[#This Row],[disposedChallan]]+TrafficData[[#This Row],[pendingChallan]]=TrafficData[[#This Row],[totalChallan]]</f>
        <v>1</v>
      </c>
      <c r="L1517" t="b">
        <f>TrafficData[[#This Row],[pendingAmount]]+TrafficData[[#This Row],[disposedAmount]]=TrafficData[[#This Row],[totalAmount]]</f>
        <v>1</v>
      </c>
      <c r="M1517" t="b">
        <f>TrafficData[[#This Row],[pendingCourt]]+TrafficData[[#This Row],[disposedCourt]]=TrafficData[[#This Row],[totalCourt]]</f>
        <v>1</v>
      </c>
      <c r="N1517" s="8" t="b">
        <f>AND(TrafficData[[#This Row],[disposedChallan]]&lt;=TrafficData[[#This Row],[totalChallan]],TrafficData[[#This Row],[pendingChallan]]&lt;=TrafficData[[#This Row],[totalChallan]])</f>
        <v>1</v>
      </c>
      <c r="O1517" s="8" t="b">
        <f>AND(TrafficData[[#This Row],[pendingAmount]]&lt;=TrafficData[[#This Row],[totalAmount]],TrafficData[[#This Row],[disposedAmount]]&lt;=TrafficData[[#This Row],[totalAmount]])</f>
        <v>1</v>
      </c>
      <c r="P1517" s="8" t="b">
        <f>AND(TrafficData[[#This Row],[pendingCourt]]&lt;=TrafficData[[#This Row],[totalCourt]],TrafficData[[#This Row],[disposedCourt]]&lt;=TrafficData[[#This Row],[totalCourt]])</f>
        <v>1</v>
      </c>
    </row>
    <row r="1518" spans="1:16">
      <c r="A1518" s="1">
        <v>43521</v>
      </c>
      <c r="B1518">
        <v>26268</v>
      </c>
      <c r="C1518">
        <v>21647</v>
      </c>
      <c r="D1518">
        <v>4621</v>
      </c>
      <c r="E1518">
        <v>6520325</v>
      </c>
      <c r="F1518">
        <v>32406072</v>
      </c>
      <c r="G1518">
        <v>38926397</v>
      </c>
      <c r="H1518">
        <v>2481</v>
      </c>
      <c r="I1518">
        <v>1928</v>
      </c>
      <c r="J1518">
        <v>4409</v>
      </c>
      <c r="K1518" t="b">
        <f>TrafficData[[#This Row],[disposedChallan]]+TrafficData[[#This Row],[pendingChallan]]=TrafficData[[#This Row],[totalChallan]]</f>
        <v>1</v>
      </c>
      <c r="L1518" t="b">
        <f>TrafficData[[#This Row],[pendingAmount]]+TrafficData[[#This Row],[disposedAmount]]=TrafficData[[#This Row],[totalAmount]]</f>
        <v>1</v>
      </c>
      <c r="M1518" t="b">
        <f>TrafficData[[#This Row],[pendingCourt]]+TrafficData[[#This Row],[disposedCourt]]=TrafficData[[#This Row],[totalCourt]]</f>
        <v>1</v>
      </c>
      <c r="N1518" s="8" t="b">
        <f>AND(TrafficData[[#This Row],[disposedChallan]]&lt;=TrafficData[[#This Row],[totalChallan]],TrafficData[[#This Row],[pendingChallan]]&lt;=TrafficData[[#This Row],[totalChallan]])</f>
        <v>1</v>
      </c>
      <c r="O1518" s="8" t="b">
        <f>AND(TrafficData[[#This Row],[pendingAmount]]&lt;=TrafficData[[#This Row],[totalAmount]],TrafficData[[#This Row],[disposedAmount]]&lt;=TrafficData[[#This Row],[totalAmount]])</f>
        <v>1</v>
      </c>
      <c r="P1518" s="8" t="b">
        <f>AND(TrafficData[[#This Row],[pendingCourt]]&lt;=TrafficData[[#This Row],[totalCourt]],TrafficData[[#This Row],[disposedCourt]]&lt;=TrafficData[[#This Row],[totalCourt]])</f>
        <v>1</v>
      </c>
    </row>
    <row r="1519" spans="1:16">
      <c r="A1519" s="1">
        <v>43522</v>
      </c>
      <c r="B1519">
        <v>25632</v>
      </c>
      <c r="C1519">
        <v>21768</v>
      </c>
      <c r="D1519">
        <v>3864</v>
      </c>
      <c r="E1519">
        <v>8611388</v>
      </c>
      <c r="F1519">
        <v>38512314</v>
      </c>
      <c r="G1519">
        <v>47123702</v>
      </c>
      <c r="H1519">
        <v>2097</v>
      </c>
      <c r="I1519">
        <v>1838</v>
      </c>
      <c r="J1519">
        <v>3935</v>
      </c>
      <c r="K1519" t="b">
        <f>TrafficData[[#This Row],[disposedChallan]]+TrafficData[[#This Row],[pendingChallan]]=TrafficData[[#This Row],[totalChallan]]</f>
        <v>1</v>
      </c>
      <c r="L1519" t="b">
        <f>TrafficData[[#This Row],[pendingAmount]]+TrafficData[[#This Row],[disposedAmount]]=TrafficData[[#This Row],[totalAmount]]</f>
        <v>1</v>
      </c>
      <c r="M1519" t="b">
        <f>TrafficData[[#This Row],[pendingCourt]]+TrafficData[[#This Row],[disposedCourt]]=TrafficData[[#This Row],[totalCourt]]</f>
        <v>1</v>
      </c>
      <c r="N1519" s="8" t="b">
        <f>AND(TrafficData[[#This Row],[disposedChallan]]&lt;=TrafficData[[#This Row],[totalChallan]],TrafficData[[#This Row],[pendingChallan]]&lt;=TrafficData[[#This Row],[totalChallan]])</f>
        <v>1</v>
      </c>
      <c r="O1519" s="8" t="b">
        <f>AND(TrafficData[[#This Row],[pendingAmount]]&lt;=TrafficData[[#This Row],[totalAmount]],TrafficData[[#This Row],[disposedAmount]]&lt;=TrafficData[[#This Row],[totalAmount]])</f>
        <v>1</v>
      </c>
      <c r="P1519" s="8" t="b">
        <f>AND(TrafficData[[#This Row],[pendingCourt]]&lt;=TrafficData[[#This Row],[totalCourt]],TrafficData[[#This Row],[disposedCourt]]&lt;=TrafficData[[#This Row],[totalCourt]])</f>
        <v>1</v>
      </c>
    </row>
    <row r="1520" spans="1:16">
      <c r="A1520" s="1">
        <v>43523</v>
      </c>
      <c r="B1520">
        <v>33703</v>
      </c>
      <c r="C1520">
        <v>26792</v>
      </c>
      <c r="D1520">
        <v>6911</v>
      </c>
      <c r="E1520">
        <v>10684383</v>
      </c>
      <c r="F1520">
        <v>40399270</v>
      </c>
      <c r="G1520">
        <v>51083653</v>
      </c>
      <c r="H1520">
        <v>5205</v>
      </c>
      <c r="I1520">
        <v>2564</v>
      </c>
      <c r="J1520">
        <v>7769</v>
      </c>
      <c r="K1520" t="b">
        <f>TrafficData[[#This Row],[disposedChallan]]+TrafficData[[#This Row],[pendingChallan]]=TrafficData[[#This Row],[totalChallan]]</f>
        <v>1</v>
      </c>
      <c r="L1520" t="b">
        <f>TrafficData[[#This Row],[pendingAmount]]+TrafficData[[#This Row],[disposedAmount]]=TrafficData[[#This Row],[totalAmount]]</f>
        <v>1</v>
      </c>
      <c r="M1520" t="b">
        <f>TrafficData[[#This Row],[pendingCourt]]+TrafficData[[#This Row],[disposedCourt]]=TrafficData[[#This Row],[totalCourt]]</f>
        <v>1</v>
      </c>
      <c r="N1520" s="8" t="b">
        <f>AND(TrafficData[[#This Row],[disposedChallan]]&lt;=TrafficData[[#This Row],[totalChallan]],TrafficData[[#This Row],[pendingChallan]]&lt;=TrafficData[[#This Row],[totalChallan]])</f>
        <v>1</v>
      </c>
      <c r="O1520" s="8" t="b">
        <f>AND(TrafficData[[#This Row],[pendingAmount]]&lt;=TrafficData[[#This Row],[totalAmount]],TrafficData[[#This Row],[disposedAmount]]&lt;=TrafficData[[#This Row],[totalAmount]])</f>
        <v>1</v>
      </c>
      <c r="P1520" s="8" t="b">
        <f>AND(TrafficData[[#This Row],[pendingCourt]]&lt;=TrafficData[[#This Row],[totalCourt]],TrafficData[[#This Row],[disposedCourt]]&lt;=TrafficData[[#This Row],[totalCourt]])</f>
        <v>1</v>
      </c>
    </row>
    <row r="1521" spans="1:16">
      <c r="A1521" s="1">
        <v>43524</v>
      </c>
      <c r="B1521">
        <v>29266</v>
      </c>
      <c r="C1521">
        <v>24585</v>
      </c>
      <c r="D1521">
        <v>4681</v>
      </c>
      <c r="E1521">
        <v>8162334</v>
      </c>
      <c r="F1521">
        <v>42290783</v>
      </c>
      <c r="G1521">
        <v>50453117</v>
      </c>
      <c r="H1521">
        <v>2809</v>
      </c>
      <c r="I1521">
        <v>2379</v>
      </c>
      <c r="J1521">
        <v>5188</v>
      </c>
      <c r="K1521" t="b">
        <f>TrafficData[[#This Row],[disposedChallan]]+TrafficData[[#This Row],[pendingChallan]]=TrafficData[[#This Row],[totalChallan]]</f>
        <v>1</v>
      </c>
      <c r="L1521" t="b">
        <f>TrafficData[[#This Row],[pendingAmount]]+TrafficData[[#This Row],[disposedAmount]]=TrafficData[[#This Row],[totalAmount]]</f>
        <v>1</v>
      </c>
      <c r="M1521" t="b">
        <f>TrafficData[[#This Row],[pendingCourt]]+TrafficData[[#This Row],[disposedCourt]]=TrafficData[[#This Row],[totalCourt]]</f>
        <v>1</v>
      </c>
      <c r="N1521" s="8" t="b">
        <f>AND(TrafficData[[#This Row],[disposedChallan]]&lt;=TrafficData[[#This Row],[totalChallan]],TrafficData[[#This Row],[pendingChallan]]&lt;=TrafficData[[#This Row],[totalChallan]])</f>
        <v>1</v>
      </c>
      <c r="O1521" s="8" t="b">
        <f>AND(TrafficData[[#This Row],[pendingAmount]]&lt;=TrafficData[[#This Row],[totalAmount]],TrafficData[[#This Row],[disposedAmount]]&lt;=TrafficData[[#This Row],[totalAmount]])</f>
        <v>1</v>
      </c>
      <c r="P1521" s="8" t="b">
        <f>AND(TrafficData[[#This Row],[pendingCourt]]&lt;=TrafficData[[#This Row],[totalCourt]],TrafficData[[#This Row],[disposedCourt]]&lt;=TrafficData[[#This Row],[totalCourt]])</f>
        <v>1</v>
      </c>
    </row>
    <row r="1522" spans="1:16">
      <c r="A1522" s="1">
        <v>43525</v>
      </c>
      <c r="B1522">
        <v>33674</v>
      </c>
      <c r="C1522">
        <v>29022</v>
      </c>
      <c r="D1522">
        <v>4652</v>
      </c>
      <c r="E1522">
        <v>9592482</v>
      </c>
      <c r="F1522">
        <v>52187254</v>
      </c>
      <c r="G1522">
        <v>61779736</v>
      </c>
      <c r="H1522">
        <v>2692</v>
      </c>
      <c r="I1522">
        <v>2433</v>
      </c>
      <c r="J1522">
        <v>5125</v>
      </c>
      <c r="K1522" t="b">
        <f>TrafficData[[#This Row],[disposedChallan]]+TrafficData[[#This Row],[pendingChallan]]=TrafficData[[#This Row],[totalChallan]]</f>
        <v>1</v>
      </c>
      <c r="L1522" t="b">
        <f>TrafficData[[#This Row],[pendingAmount]]+TrafficData[[#This Row],[disposedAmount]]=TrafficData[[#This Row],[totalAmount]]</f>
        <v>1</v>
      </c>
      <c r="M1522" t="b">
        <f>TrafficData[[#This Row],[pendingCourt]]+TrafficData[[#This Row],[disposedCourt]]=TrafficData[[#This Row],[totalCourt]]</f>
        <v>1</v>
      </c>
      <c r="N1522" s="8" t="b">
        <f>AND(TrafficData[[#This Row],[disposedChallan]]&lt;=TrafficData[[#This Row],[totalChallan]],TrafficData[[#This Row],[pendingChallan]]&lt;=TrafficData[[#This Row],[totalChallan]])</f>
        <v>1</v>
      </c>
      <c r="O1522" s="8" t="b">
        <f>AND(TrafficData[[#This Row],[pendingAmount]]&lt;=TrafficData[[#This Row],[totalAmount]],TrafficData[[#This Row],[disposedAmount]]&lt;=TrafficData[[#This Row],[totalAmount]])</f>
        <v>1</v>
      </c>
      <c r="P1522" s="8" t="b">
        <f>AND(TrafficData[[#This Row],[pendingCourt]]&lt;=TrafficData[[#This Row],[totalCourt]],TrafficData[[#This Row],[disposedCourt]]&lt;=TrafficData[[#This Row],[totalCourt]])</f>
        <v>1</v>
      </c>
    </row>
    <row r="1523" spans="1:16">
      <c r="A1523" s="1">
        <v>43526</v>
      </c>
      <c r="B1523">
        <v>26741</v>
      </c>
      <c r="C1523">
        <v>22757</v>
      </c>
      <c r="D1523">
        <v>3984</v>
      </c>
      <c r="E1523">
        <v>6810584</v>
      </c>
      <c r="F1523">
        <v>40484879</v>
      </c>
      <c r="G1523">
        <v>47295463</v>
      </c>
      <c r="H1523">
        <v>2096</v>
      </c>
      <c r="I1523">
        <v>1873</v>
      </c>
      <c r="J1523">
        <v>3969</v>
      </c>
      <c r="K1523" t="b">
        <f>TrafficData[[#This Row],[disposedChallan]]+TrafficData[[#This Row],[pendingChallan]]=TrafficData[[#This Row],[totalChallan]]</f>
        <v>1</v>
      </c>
      <c r="L1523" t="b">
        <f>TrafficData[[#This Row],[pendingAmount]]+TrafficData[[#This Row],[disposedAmount]]=TrafficData[[#This Row],[totalAmount]]</f>
        <v>1</v>
      </c>
      <c r="M1523" t="b">
        <f>TrafficData[[#This Row],[pendingCourt]]+TrafficData[[#This Row],[disposedCourt]]=TrafficData[[#This Row],[totalCourt]]</f>
        <v>1</v>
      </c>
      <c r="N1523" s="8" t="b">
        <f>AND(TrafficData[[#This Row],[disposedChallan]]&lt;=TrafficData[[#This Row],[totalChallan]],TrafficData[[#This Row],[pendingChallan]]&lt;=TrafficData[[#This Row],[totalChallan]])</f>
        <v>1</v>
      </c>
      <c r="O1523" s="8" t="b">
        <f>AND(TrafficData[[#This Row],[pendingAmount]]&lt;=TrafficData[[#This Row],[totalAmount]],TrafficData[[#This Row],[disposedAmount]]&lt;=TrafficData[[#This Row],[totalAmount]])</f>
        <v>1</v>
      </c>
      <c r="P1523" s="8" t="b">
        <f>AND(TrafficData[[#This Row],[pendingCourt]]&lt;=TrafficData[[#This Row],[totalCourt]],TrafficData[[#This Row],[disposedCourt]]&lt;=TrafficData[[#This Row],[totalCourt]])</f>
        <v>1</v>
      </c>
    </row>
    <row r="1524" spans="1:16">
      <c r="A1524" s="1">
        <v>43527</v>
      </c>
      <c r="B1524">
        <v>21129</v>
      </c>
      <c r="C1524">
        <v>17813</v>
      </c>
      <c r="D1524">
        <v>3316</v>
      </c>
      <c r="E1524">
        <v>7969326</v>
      </c>
      <c r="F1524">
        <v>31829446</v>
      </c>
      <c r="G1524">
        <v>39798772</v>
      </c>
      <c r="H1524">
        <v>1565</v>
      </c>
      <c r="I1524">
        <v>1458</v>
      </c>
      <c r="J1524">
        <v>3023</v>
      </c>
      <c r="K1524" t="b">
        <f>TrafficData[[#This Row],[disposedChallan]]+TrafficData[[#This Row],[pendingChallan]]=TrafficData[[#This Row],[totalChallan]]</f>
        <v>1</v>
      </c>
      <c r="L1524" t="b">
        <f>TrafficData[[#This Row],[pendingAmount]]+TrafficData[[#This Row],[disposedAmount]]=TrafficData[[#This Row],[totalAmount]]</f>
        <v>1</v>
      </c>
      <c r="M1524" t="b">
        <f>TrafficData[[#This Row],[pendingCourt]]+TrafficData[[#This Row],[disposedCourt]]=TrafficData[[#This Row],[totalCourt]]</f>
        <v>1</v>
      </c>
      <c r="N1524" s="8" t="b">
        <f>AND(TrafficData[[#This Row],[disposedChallan]]&lt;=TrafficData[[#This Row],[totalChallan]],TrafficData[[#This Row],[pendingChallan]]&lt;=TrafficData[[#This Row],[totalChallan]])</f>
        <v>1</v>
      </c>
      <c r="O1524" s="8" t="b">
        <f>AND(TrafficData[[#This Row],[pendingAmount]]&lt;=TrafficData[[#This Row],[totalAmount]],TrafficData[[#This Row],[disposedAmount]]&lt;=TrafficData[[#This Row],[totalAmount]])</f>
        <v>1</v>
      </c>
      <c r="P1524" s="8" t="b">
        <f>AND(TrafficData[[#This Row],[pendingCourt]]&lt;=TrafficData[[#This Row],[totalCourt]],TrafficData[[#This Row],[disposedCourt]]&lt;=TrafficData[[#This Row],[totalCourt]])</f>
        <v>1</v>
      </c>
    </row>
    <row r="1525" spans="1:16">
      <c r="A1525" s="1">
        <v>43528</v>
      </c>
      <c r="B1525">
        <v>25287</v>
      </c>
      <c r="C1525">
        <v>21303</v>
      </c>
      <c r="D1525">
        <v>3984</v>
      </c>
      <c r="E1525">
        <v>7421952</v>
      </c>
      <c r="F1525">
        <v>30015887</v>
      </c>
      <c r="G1525">
        <v>37437839</v>
      </c>
      <c r="H1525">
        <v>1719</v>
      </c>
      <c r="I1525">
        <v>1702</v>
      </c>
      <c r="J1525">
        <v>3421</v>
      </c>
      <c r="K1525" t="b">
        <f>TrafficData[[#This Row],[disposedChallan]]+TrafficData[[#This Row],[pendingChallan]]=TrafficData[[#This Row],[totalChallan]]</f>
        <v>1</v>
      </c>
      <c r="L1525" t="b">
        <f>TrafficData[[#This Row],[pendingAmount]]+TrafficData[[#This Row],[disposedAmount]]=TrafficData[[#This Row],[totalAmount]]</f>
        <v>1</v>
      </c>
      <c r="M1525" t="b">
        <f>TrafficData[[#This Row],[pendingCourt]]+TrafficData[[#This Row],[disposedCourt]]=TrafficData[[#This Row],[totalCourt]]</f>
        <v>1</v>
      </c>
      <c r="N1525" s="8" t="b">
        <f>AND(TrafficData[[#This Row],[disposedChallan]]&lt;=TrafficData[[#This Row],[totalChallan]],TrafficData[[#This Row],[pendingChallan]]&lt;=TrafficData[[#This Row],[totalChallan]])</f>
        <v>1</v>
      </c>
      <c r="O1525" s="8" t="b">
        <f>AND(TrafficData[[#This Row],[pendingAmount]]&lt;=TrafficData[[#This Row],[totalAmount]],TrafficData[[#This Row],[disposedAmount]]&lt;=TrafficData[[#This Row],[totalAmount]])</f>
        <v>1</v>
      </c>
      <c r="P1525" s="8" t="b">
        <f>AND(TrafficData[[#This Row],[pendingCourt]]&lt;=TrafficData[[#This Row],[totalCourt]],TrafficData[[#This Row],[disposedCourt]]&lt;=TrafficData[[#This Row],[totalCourt]])</f>
        <v>1</v>
      </c>
    </row>
    <row r="1526" spans="1:16">
      <c r="A1526" s="1">
        <v>43529</v>
      </c>
      <c r="B1526">
        <v>29153</v>
      </c>
      <c r="C1526">
        <v>23763</v>
      </c>
      <c r="D1526">
        <v>5390</v>
      </c>
      <c r="E1526">
        <v>5524255</v>
      </c>
      <c r="F1526">
        <v>26902965</v>
      </c>
      <c r="G1526">
        <v>32427220</v>
      </c>
      <c r="H1526">
        <v>2438</v>
      </c>
      <c r="I1526">
        <v>2102</v>
      </c>
      <c r="J1526">
        <v>4540</v>
      </c>
      <c r="K1526" t="b">
        <f>TrafficData[[#This Row],[disposedChallan]]+TrafficData[[#This Row],[pendingChallan]]=TrafficData[[#This Row],[totalChallan]]</f>
        <v>1</v>
      </c>
      <c r="L1526" t="b">
        <f>TrafficData[[#This Row],[pendingAmount]]+TrafficData[[#This Row],[disposedAmount]]=TrafficData[[#This Row],[totalAmount]]</f>
        <v>1</v>
      </c>
      <c r="M1526" t="b">
        <f>TrafficData[[#This Row],[pendingCourt]]+TrafficData[[#This Row],[disposedCourt]]=TrafficData[[#This Row],[totalCourt]]</f>
        <v>1</v>
      </c>
      <c r="N1526" s="8" t="b">
        <f>AND(TrafficData[[#This Row],[disposedChallan]]&lt;=TrafficData[[#This Row],[totalChallan]],TrafficData[[#This Row],[pendingChallan]]&lt;=TrafficData[[#This Row],[totalChallan]])</f>
        <v>1</v>
      </c>
      <c r="O1526" s="8" t="b">
        <f>AND(TrafficData[[#This Row],[pendingAmount]]&lt;=TrafficData[[#This Row],[totalAmount]],TrafficData[[#This Row],[disposedAmount]]&lt;=TrafficData[[#This Row],[totalAmount]])</f>
        <v>1</v>
      </c>
      <c r="P1526" s="8" t="b">
        <f>AND(TrafficData[[#This Row],[pendingCourt]]&lt;=TrafficData[[#This Row],[totalCourt]],TrafficData[[#This Row],[disposedCourt]]&lt;=TrafficData[[#This Row],[totalCourt]])</f>
        <v>1</v>
      </c>
    </row>
    <row r="1527" spans="1:16">
      <c r="A1527" s="1">
        <v>43530</v>
      </c>
      <c r="B1527">
        <v>38286</v>
      </c>
      <c r="C1527">
        <v>29745</v>
      </c>
      <c r="D1527">
        <v>8541</v>
      </c>
      <c r="E1527">
        <v>11115511</v>
      </c>
      <c r="F1527">
        <v>40863242</v>
      </c>
      <c r="G1527">
        <v>51978753</v>
      </c>
      <c r="H1527">
        <v>5157</v>
      </c>
      <c r="I1527">
        <v>2599</v>
      </c>
      <c r="J1527">
        <v>7756</v>
      </c>
      <c r="K1527" t="b">
        <f>TrafficData[[#This Row],[disposedChallan]]+TrafficData[[#This Row],[pendingChallan]]=TrafficData[[#This Row],[totalChallan]]</f>
        <v>1</v>
      </c>
      <c r="L1527" t="b">
        <f>TrafficData[[#This Row],[pendingAmount]]+TrafficData[[#This Row],[disposedAmount]]=TrafficData[[#This Row],[totalAmount]]</f>
        <v>1</v>
      </c>
      <c r="M1527" t="b">
        <f>TrafficData[[#This Row],[pendingCourt]]+TrafficData[[#This Row],[disposedCourt]]=TrafficData[[#This Row],[totalCourt]]</f>
        <v>1</v>
      </c>
      <c r="N1527" s="8" t="b">
        <f>AND(TrafficData[[#This Row],[disposedChallan]]&lt;=TrafficData[[#This Row],[totalChallan]],TrafficData[[#This Row],[pendingChallan]]&lt;=TrafficData[[#This Row],[totalChallan]])</f>
        <v>1</v>
      </c>
      <c r="O1527" s="8" t="b">
        <f>AND(TrafficData[[#This Row],[pendingAmount]]&lt;=TrafficData[[#This Row],[totalAmount]],TrafficData[[#This Row],[disposedAmount]]&lt;=TrafficData[[#This Row],[totalAmount]])</f>
        <v>1</v>
      </c>
      <c r="P1527" s="8" t="b">
        <f>AND(TrafficData[[#This Row],[pendingCourt]]&lt;=TrafficData[[#This Row],[totalCourt]],TrafficData[[#This Row],[disposedCourt]]&lt;=TrafficData[[#This Row],[totalCourt]])</f>
        <v>1</v>
      </c>
    </row>
    <row r="1528" spans="1:16">
      <c r="A1528" s="1">
        <v>43531</v>
      </c>
      <c r="B1528">
        <v>28439</v>
      </c>
      <c r="C1528">
        <v>23601</v>
      </c>
      <c r="D1528">
        <v>4838</v>
      </c>
      <c r="E1528">
        <v>6173500</v>
      </c>
      <c r="F1528">
        <v>39116796</v>
      </c>
      <c r="G1528">
        <v>45290296</v>
      </c>
      <c r="H1528">
        <v>2481</v>
      </c>
      <c r="I1528">
        <v>1950</v>
      </c>
      <c r="J1528">
        <v>4431</v>
      </c>
      <c r="K1528" t="b">
        <f>TrafficData[[#This Row],[disposedChallan]]+TrafficData[[#This Row],[pendingChallan]]=TrafficData[[#This Row],[totalChallan]]</f>
        <v>1</v>
      </c>
      <c r="L1528" t="b">
        <f>TrafficData[[#This Row],[pendingAmount]]+TrafficData[[#This Row],[disposedAmount]]=TrafficData[[#This Row],[totalAmount]]</f>
        <v>1</v>
      </c>
      <c r="M1528" t="b">
        <f>TrafficData[[#This Row],[pendingCourt]]+TrafficData[[#This Row],[disposedCourt]]=TrafficData[[#This Row],[totalCourt]]</f>
        <v>1</v>
      </c>
      <c r="N1528" s="8" t="b">
        <f>AND(TrafficData[[#This Row],[disposedChallan]]&lt;=TrafficData[[#This Row],[totalChallan]],TrafficData[[#This Row],[pendingChallan]]&lt;=TrafficData[[#This Row],[totalChallan]])</f>
        <v>1</v>
      </c>
      <c r="O1528" s="8" t="b">
        <f>AND(TrafficData[[#This Row],[pendingAmount]]&lt;=TrafficData[[#This Row],[totalAmount]],TrafficData[[#This Row],[disposedAmount]]&lt;=TrafficData[[#This Row],[totalAmount]])</f>
        <v>1</v>
      </c>
      <c r="P1528" s="8" t="b">
        <f>AND(TrafficData[[#This Row],[pendingCourt]]&lt;=TrafficData[[#This Row],[totalCourt]],TrafficData[[#This Row],[disposedCourt]]&lt;=TrafficData[[#This Row],[totalCourt]])</f>
        <v>1</v>
      </c>
    </row>
    <row r="1529" spans="1:16">
      <c r="A1529" s="1">
        <v>43532</v>
      </c>
      <c r="B1529">
        <v>26855</v>
      </c>
      <c r="C1529">
        <v>21928</v>
      </c>
      <c r="D1529">
        <v>4927</v>
      </c>
      <c r="E1529">
        <v>6890948</v>
      </c>
      <c r="F1529">
        <v>34494361</v>
      </c>
      <c r="G1529">
        <v>41385309</v>
      </c>
      <c r="H1529">
        <v>2605</v>
      </c>
      <c r="I1529">
        <v>1754</v>
      </c>
      <c r="J1529">
        <v>4359</v>
      </c>
      <c r="K1529" t="b">
        <f>TrafficData[[#This Row],[disposedChallan]]+TrafficData[[#This Row],[pendingChallan]]=TrafficData[[#This Row],[totalChallan]]</f>
        <v>1</v>
      </c>
      <c r="L1529" t="b">
        <f>TrafficData[[#This Row],[pendingAmount]]+TrafficData[[#This Row],[disposedAmount]]=TrafficData[[#This Row],[totalAmount]]</f>
        <v>1</v>
      </c>
      <c r="M1529" t="b">
        <f>TrafficData[[#This Row],[pendingCourt]]+TrafficData[[#This Row],[disposedCourt]]=TrafficData[[#This Row],[totalCourt]]</f>
        <v>1</v>
      </c>
      <c r="N1529" s="8" t="b">
        <f>AND(TrafficData[[#This Row],[disposedChallan]]&lt;=TrafficData[[#This Row],[totalChallan]],TrafficData[[#This Row],[pendingChallan]]&lt;=TrafficData[[#This Row],[totalChallan]])</f>
        <v>1</v>
      </c>
      <c r="O1529" s="8" t="b">
        <f>AND(TrafficData[[#This Row],[pendingAmount]]&lt;=TrafficData[[#This Row],[totalAmount]],TrafficData[[#This Row],[disposedAmount]]&lt;=TrafficData[[#This Row],[totalAmount]])</f>
        <v>1</v>
      </c>
      <c r="P1529" s="8" t="b">
        <f>AND(TrafficData[[#This Row],[pendingCourt]]&lt;=TrafficData[[#This Row],[totalCourt]],TrafficData[[#This Row],[disposedCourt]]&lt;=TrafficData[[#This Row],[totalCourt]])</f>
        <v>1</v>
      </c>
    </row>
    <row r="1530" spans="1:16">
      <c r="A1530" s="1">
        <v>43533</v>
      </c>
      <c r="B1530">
        <v>24552</v>
      </c>
      <c r="C1530">
        <v>20404</v>
      </c>
      <c r="D1530">
        <v>4148</v>
      </c>
      <c r="E1530">
        <v>4423814</v>
      </c>
      <c r="F1530">
        <v>30917091</v>
      </c>
      <c r="G1530">
        <v>35340905</v>
      </c>
      <c r="H1530">
        <v>1702</v>
      </c>
      <c r="I1530">
        <v>1468</v>
      </c>
      <c r="J1530">
        <v>3170</v>
      </c>
      <c r="K1530" t="b">
        <f>TrafficData[[#This Row],[disposedChallan]]+TrafficData[[#This Row],[pendingChallan]]=TrafficData[[#This Row],[totalChallan]]</f>
        <v>1</v>
      </c>
      <c r="L1530" t="b">
        <f>TrafficData[[#This Row],[pendingAmount]]+TrafficData[[#This Row],[disposedAmount]]=TrafficData[[#This Row],[totalAmount]]</f>
        <v>1</v>
      </c>
      <c r="M1530" t="b">
        <f>TrafficData[[#This Row],[pendingCourt]]+TrafficData[[#This Row],[disposedCourt]]=TrafficData[[#This Row],[totalCourt]]</f>
        <v>1</v>
      </c>
      <c r="N1530" s="8" t="b">
        <f>AND(TrafficData[[#This Row],[disposedChallan]]&lt;=TrafficData[[#This Row],[totalChallan]],TrafficData[[#This Row],[pendingChallan]]&lt;=TrafficData[[#This Row],[totalChallan]])</f>
        <v>1</v>
      </c>
      <c r="O1530" s="8" t="b">
        <f>AND(TrafficData[[#This Row],[pendingAmount]]&lt;=TrafficData[[#This Row],[totalAmount]],TrafficData[[#This Row],[disposedAmount]]&lt;=TrafficData[[#This Row],[totalAmount]])</f>
        <v>1</v>
      </c>
      <c r="P1530" s="8" t="b">
        <f>AND(TrafficData[[#This Row],[pendingCourt]]&lt;=TrafficData[[#This Row],[totalCourt]],TrafficData[[#This Row],[disposedCourt]]&lt;=TrafficData[[#This Row],[totalCourt]])</f>
        <v>1</v>
      </c>
    </row>
    <row r="1531" spans="1:16">
      <c r="A1531" s="1">
        <v>43534</v>
      </c>
      <c r="B1531">
        <v>17522</v>
      </c>
      <c r="C1531">
        <v>14296</v>
      </c>
      <c r="D1531">
        <v>3226</v>
      </c>
      <c r="E1531">
        <v>3279925</v>
      </c>
      <c r="F1531">
        <v>20086075</v>
      </c>
      <c r="G1531">
        <v>23366000</v>
      </c>
      <c r="H1531">
        <v>1389</v>
      </c>
      <c r="I1531">
        <v>1339</v>
      </c>
      <c r="J1531">
        <v>2728</v>
      </c>
      <c r="K1531" t="b">
        <f>TrafficData[[#This Row],[disposedChallan]]+TrafficData[[#This Row],[pendingChallan]]=TrafficData[[#This Row],[totalChallan]]</f>
        <v>1</v>
      </c>
      <c r="L1531" t="b">
        <f>TrafficData[[#This Row],[pendingAmount]]+TrafficData[[#This Row],[disposedAmount]]=TrafficData[[#This Row],[totalAmount]]</f>
        <v>1</v>
      </c>
      <c r="M1531" t="b">
        <f>TrafficData[[#This Row],[pendingCourt]]+TrafficData[[#This Row],[disposedCourt]]=TrafficData[[#This Row],[totalCourt]]</f>
        <v>1</v>
      </c>
      <c r="N1531" s="8" t="b">
        <f>AND(TrafficData[[#This Row],[disposedChallan]]&lt;=TrafficData[[#This Row],[totalChallan]],TrafficData[[#This Row],[pendingChallan]]&lt;=TrafficData[[#This Row],[totalChallan]])</f>
        <v>1</v>
      </c>
      <c r="O1531" s="8" t="b">
        <f>AND(TrafficData[[#This Row],[pendingAmount]]&lt;=TrafficData[[#This Row],[totalAmount]],TrafficData[[#This Row],[disposedAmount]]&lt;=TrafficData[[#This Row],[totalAmount]])</f>
        <v>1</v>
      </c>
      <c r="P1531" s="8" t="b">
        <f>AND(TrafficData[[#This Row],[pendingCourt]]&lt;=TrafficData[[#This Row],[totalCourt]],TrafficData[[#This Row],[disposedCourt]]&lt;=TrafficData[[#This Row],[totalCourt]])</f>
        <v>1</v>
      </c>
    </row>
    <row r="1532" spans="1:16">
      <c r="A1532" s="1">
        <v>43535</v>
      </c>
      <c r="B1532">
        <v>28695</v>
      </c>
      <c r="C1532">
        <v>23204</v>
      </c>
      <c r="D1532">
        <v>5491</v>
      </c>
      <c r="E1532">
        <v>6824417</v>
      </c>
      <c r="F1532">
        <v>30890584</v>
      </c>
      <c r="G1532">
        <v>37715001</v>
      </c>
      <c r="H1532">
        <v>2945</v>
      </c>
      <c r="I1532">
        <v>2250</v>
      </c>
      <c r="J1532">
        <v>5195</v>
      </c>
      <c r="K1532" t="b">
        <f>TrafficData[[#This Row],[disposedChallan]]+TrafficData[[#This Row],[pendingChallan]]=TrafficData[[#This Row],[totalChallan]]</f>
        <v>1</v>
      </c>
      <c r="L1532" t="b">
        <f>TrafficData[[#This Row],[pendingAmount]]+TrafficData[[#This Row],[disposedAmount]]=TrafficData[[#This Row],[totalAmount]]</f>
        <v>1</v>
      </c>
      <c r="M1532" t="b">
        <f>TrafficData[[#This Row],[pendingCourt]]+TrafficData[[#This Row],[disposedCourt]]=TrafficData[[#This Row],[totalCourt]]</f>
        <v>1</v>
      </c>
      <c r="N1532" s="8" t="b">
        <f>AND(TrafficData[[#This Row],[disposedChallan]]&lt;=TrafficData[[#This Row],[totalChallan]],TrafficData[[#This Row],[pendingChallan]]&lt;=TrafficData[[#This Row],[totalChallan]])</f>
        <v>1</v>
      </c>
      <c r="O1532" s="8" t="b">
        <f>AND(TrafficData[[#This Row],[pendingAmount]]&lt;=TrafficData[[#This Row],[totalAmount]],TrafficData[[#This Row],[disposedAmount]]&lt;=TrafficData[[#This Row],[totalAmount]])</f>
        <v>1</v>
      </c>
      <c r="P1532" s="8" t="b">
        <f>AND(TrafficData[[#This Row],[pendingCourt]]&lt;=TrafficData[[#This Row],[totalCourt]],TrafficData[[#This Row],[disposedCourt]]&lt;=TrafficData[[#This Row],[totalCourt]])</f>
        <v>1</v>
      </c>
    </row>
    <row r="1533" spans="1:16">
      <c r="A1533" s="1">
        <v>43536</v>
      </c>
      <c r="B1533">
        <v>33699</v>
      </c>
      <c r="C1533">
        <v>27484</v>
      </c>
      <c r="D1533">
        <v>6215</v>
      </c>
      <c r="E1533">
        <v>7897930</v>
      </c>
      <c r="F1533">
        <v>40691964</v>
      </c>
      <c r="G1533">
        <v>48589894</v>
      </c>
      <c r="H1533">
        <v>3449</v>
      </c>
      <c r="I1533">
        <v>2561</v>
      </c>
      <c r="J1533">
        <v>6010</v>
      </c>
      <c r="K1533" t="b">
        <f>TrafficData[[#This Row],[disposedChallan]]+TrafficData[[#This Row],[pendingChallan]]=TrafficData[[#This Row],[totalChallan]]</f>
        <v>1</v>
      </c>
      <c r="L1533" t="b">
        <f>TrafficData[[#This Row],[pendingAmount]]+TrafficData[[#This Row],[disposedAmount]]=TrafficData[[#This Row],[totalAmount]]</f>
        <v>1</v>
      </c>
      <c r="M1533" t="b">
        <f>TrafficData[[#This Row],[pendingCourt]]+TrafficData[[#This Row],[disposedCourt]]=TrafficData[[#This Row],[totalCourt]]</f>
        <v>1</v>
      </c>
      <c r="N1533" s="8" t="b">
        <f>AND(TrafficData[[#This Row],[disposedChallan]]&lt;=TrafficData[[#This Row],[totalChallan]],TrafficData[[#This Row],[pendingChallan]]&lt;=TrafficData[[#This Row],[totalChallan]])</f>
        <v>1</v>
      </c>
      <c r="O1533" s="8" t="b">
        <f>AND(TrafficData[[#This Row],[pendingAmount]]&lt;=TrafficData[[#This Row],[totalAmount]],TrafficData[[#This Row],[disposedAmount]]&lt;=TrafficData[[#This Row],[totalAmount]])</f>
        <v>1</v>
      </c>
      <c r="P1533" s="8" t="b">
        <f>AND(TrafficData[[#This Row],[pendingCourt]]&lt;=TrafficData[[#This Row],[totalCourt]],TrafficData[[#This Row],[disposedCourt]]&lt;=TrafficData[[#This Row],[totalCourt]])</f>
        <v>1</v>
      </c>
    </row>
    <row r="1534" spans="1:16">
      <c r="A1534" s="1">
        <v>43537</v>
      </c>
      <c r="B1534">
        <v>40010</v>
      </c>
      <c r="C1534">
        <v>30761</v>
      </c>
      <c r="D1534">
        <v>9249</v>
      </c>
      <c r="E1534">
        <v>9646563</v>
      </c>
      <c r="F1534">
        <v>43528416</v>
      </c>
      <c r="G1534">
        <v>53174979</v>
      </c>
      <c r="H1534">
        <v>6113</v>
      </c>
      <c r="I1534">
        <v>3147</v>
      </c>
      <c r="J1534">
        <v>9260</v>
      </c>
      <c r="K1534" t="b">
        <f>TrafficData[[#This Row],[disposedChallan]]+TrafficData[[#This Row],[pendingChallan]]=TrafficData[[#This Row],[totalChallan]]</f>
        <v>1</v>
      </c>
      <c r="L1534" t="b">
        <f>TrafficData[[#This Row],[pendingAmount]]+TrafficData[[#This Row],[disposedAmount]]=TrafficData[[#This Row],[totalAmount]]</f>
        <v>1</v>
      </c>
      <c r="M1534" t="b">
        <f>TrafficData[[#This Row],[pendingCourt]]+TrafficData[[#This Row],[disposedCourt]]=TrafficData[[#This Row],[totalCourt]]</f>
        <v>1</v>
      </c>
      <c r="N1534" s="8" t="b">
        <f>AND(TrafficData[[#This Row],[disposedChallan]]&lt;=TrafficData[[#This Row],[totalChallan]],TrafficData[[#This Row],[pendingChallan]]&lt;=TrafficData[[#This Row],[totalChallan]])</f>
        <v>1</v>
      </c>
      <c r="O1534" s="8" t="b">
        <f>AND(TrafficData[[#This Row],[pendingAmount]]&lt;=TrafficData[[#This Row],[totalAmount]],TrafficData[[#This Row],[disposedAmount]]&lt;=TrafficData[[#This Row],[totalAmount]])</f>
        <v>1</v>
      </c>
      <c r="P1534" s="8" t="b">
        <f>AND(TrafficData[[#This Row],[pendingCourt]]&lt;=TrafficData[[#This Row],[totalCourt]],TrafficData[[#This Row],[disposedCourt]]&lt;=TrafficData[[#This Row],[totalCourt]])</f>
        <v>1</v>
      </c>
    </row>
    <row r="1535" spans="1:16">
      <c r="A1535" s="1">
        <v>43538</v>
      </c>
      <c r="B1535">
        <v>32928</v>
      </c>
      <c r="C1535">
        <v>26814</v>
      </c>
      <c r="D1535">
        <v>6114</v>
      </c>
      <c r="E1535">
        <v>7839895</v>
      </c>
      <c r="F1535">
        <v>37496912</v>
      </c>
      <c r="G1535">
        <v>45336807</v>
      </c>
      <c r="H1535">
        <v>3168</v>
      </c>
      <c r="I1535">
        <v>2828</v>
      </c>
      <c r="J1535">
        <v>5996</v>
      </c>
      <c r="K1535" t="b">
        <f>TrafficData[[#This Row],[disposedChallan]]+TrafficData[[#This Row],[pendingChallan]]=TrafficData[[#This Row],[totalChallan]]</f>
        <v>1</v>
      </c>
      <c r="L1535" t="b">
        <f>TrafficData[[#This Row],[pendingAmount]]+TrafficData[[#This Row],[disposedAmount]]=TrafficData[[#This Row],[totalAmount]]</f>
        <v>1</v>
      </c>
      <c r="M1535" t="b">
        <f>TrafficData[[#This Row],[pendingCourt]]+TrafficData[[#This Row],[disposedCourt]]=TrafficData[[#This Row],[totalCourt]]</f>
        <v>1</v>
      </c>
      <c r="N1535" s="8" t="b">
        <f>AND(TrafficData[[#This Row],[disposedChallan]]&lt;=TrafficData[[#This Row],[totalChallan]],TrafficData[[#This Row],[pendingChallan]]&lt;=TrafficData[[#This Row],[totalChallan]])</f>
        <v>1</v>
      </c>
      <c r="O1535" s="8" t="b">
        <f>AND(TrafficData[[#This Row],[pendingAmount]]&lt;=TrafficData[[#This Row],[totalAmount]],TrafficData[[#This Row],[disposedAmount]]&lt;=TrafficData[[#This Row],[totalAmount]])</f>
        <v>1</v>
      </c>
      <c r="P1535" s="8" t="b">
        <f>AND(TrafficData[[#This Row],[pendingCourt]]&lt;=TrafficData[[#This Row],[totalCourt]],TrafficData[[#This Row],[disposedCourt]]&lt;=TrafficData[[#This Row],[totalCourt]])</f>
        <v>1</v>
      </c>
    </row>
    <row r="1536" spans="1:16">
      <c r="A1536" s="1">
        <v>43539</v>
      </c>
      <c r="B1536">
        <v>41846</v>
      </c>
      <c r="C1536">
        <v>32440</v>
      </c>
      <c r="D1536">
        <v>9406</v>
      </c>
      <c r="E1536">
        <v>10063735</v>
      </c>
      <c r="F1536">
        <v>45328004</v>
      </c>
      <c r="G1536">
        <v>55391739</v>
      </c>
      <c r="H1536">
        <v>5898</v>
      </c>
      <c r="I1536">
        <v>3408</v>
      </c>
      <c r="J1536">
        <v>9306</v>
      </c>
      <c r="K1536" t="b">
        <f>TrafficData[[#This Row],[disposedChallan]]+TrafficData[[#This Row],[pendingChallan]]=TrafficData[[#This Row],[totalChallan]]</f>
        <v>1</v>
      </c>
      <c r="L1536" t="b">
        <f>TrafficData[[#This Row],[pendingAmount]]+TrafficData[[#This Row],[disposedAmount]]=TrafficData[[#This Row],[totalAmount]]</f>
        <v>1</v>
      </c>
      <c r="M1536" t="b">
        <f>TrafficData[[#This Row],[pendingCourt]]+TrafficData[[#This Row],[disposedCourt]]=TrafficData[[#This Row],[totalCourt]]</f>
        <v>1</v>
      </c>
      <c r="N1536" s="8" t="b">
        <f>AND(TrafficData[[#This Row],[disposedChallan]]&lt;=TrafficData[[#This Row],[totalChallan]],TrafficData[[#This Row],[pendingChallan]]&lt;=TrafficData[[#This Row],[totalChallan]])</f>
        <v>1</v>
      </c>
      <c r="O1536" s="8" t="b">
        <f>AND(TrafficData[[#This Row],[pendingAmount]]&lt;=TrafficData[[#This Row],[totalAmount]],TrafficData[[#This Row],[disposedAmount]]&lt;=TrafficData[[#This Row],[totalAmount]])</f>
        <v>1</v>
      </c>
      <c r="P1536" s="8" t="b">
        <f>AND(TrafficData[[#This Row],[pendingCourt]]&lt;=TrafficData[[#This Row],[totalCourt]],TrafficData[[#This Row],[disposedCourt]]&lt;=TrafficData[[#This Row],[totalCourt]])</f>
        <v>1</v>
      </c>
    </row>
    <row r="1537" spans="1:16">
      <c r="A1537" s="1">
        <v>43540</v>
      </c>
      <c r="B1537">
        <v>34654</v>
      </c>
      <c r="C1537">
        <v>27894</v>
      </c>
      <c r="D1537">
        <v>6760</v>
      </c>
      <c r="E1537">
        <v>9890005</v>
      </c>
      <c r="F1537">
        <v>38077059</v>
      </c>
      <c r="G1537">
        <v>47967064</v>
      </c>
      <c r="H1537">
        <v>4686</v>
      </c>
      <c r="I1537">
        <v>2748</v>
      </c>
      <c r="J1537">
        <v>7434</v>
      </c>
      <c r="K1537" t="b">
        <f>TrafficData[[#This Row],[disposedChallan]]+TrafficData[[#This Row],[pendingChallan]]=TrafficData[[#This Row],[totalChallan]]</f>
        <v>1</v>
      </c>
      <c r="L1537" t="b">
        <f>TrafficData[[#This Row],[pendingAmount]]+TrafficData[[#This Row],[disposedAmount]]=TrafficData[[#This Row],[totalAmount]]</f>
        <v>1</v>
      </c>
      <c r="M1537" t="b">
        <f>TrafficData[[#This Row],[pendingCourt]]+TrafficData[[#This Row],[disposedCourt]]=TrafficData[[#This Row],[totalCourt]]</f>
        <v>1</v>
      </c>
      <c r="N1537" s="8" t="b">
        <f>AND(TrafficData[[#This Row],[disposedChallan]]&lt;=TrafficData[[#This Row],[totalChallan]],TrafficData[[#This Row],[pendingChallan]]&lt;=TrafficData[[#This Row],[totalChallan]])</f>
        <v>1</v>
      </c>
      <c r="O1537" s="8" t="b">
        <f>AND(TrafficData[[#This Row],[pendingAmount]]&lt;=TrafficData[[#This Row],[totalAmount]],TrafficData[[#This Row],[disposedAmount]]&lt;=TrafficData[[#This Row],[totalAmount]])</f>
        <v>1</v>
      </c>
      <c r="P1537" s="8" t="b">
        <f>AND(TrafficData[[#This Row],[pendingCourt]]&lt;=TrafficData[[#This Row],[totalCourt]],TrafficData[[#This Row],[disposedCourt]]&lt;=TrafficData[[#This Row],[totalCourt]])</f>
        <v>1</v>
      </c>
    </row>
    <row r="1538" spans="1:16">
      <c r="A1538" s="1">
        <v>43541</v>
      </c>
      <c r="B1538">
        <v>26343</v>
      </c>
      <c r="C1538">
        <v>20969</v>
      </c>
      <c r="D1538">
        <v>5374</v>
      </c>
      <c r="E1538">
        <v>4413548</v>
      </c>
      <c r="F1538">
        <v>25672711</v>
      </c>
      <c r="G1538">
        <v>30086259</v>
      </c>
      <c r="H1538">
        <v>4383</v>
      </c>
      <c r="I1538">
        <v>2563</v>
      </c>
      <c r="J1538">
        <v>6946</v>
      </c>
      <c r="K1538" t="b">
        <f>TrafficData[[#This Row],[disposedChallan]]+TrafficData[[#This Row],[pendingChallan]]=TrafficData[[#This Row],[totalChallan]]</f>
        <v>1</v>
      </c>
      <c r="L1538" t="b">
        <f>TrafficData[[#This Row],[pendingAmount]]+TrafficData[[#This Row],[disposedAmount]]=TrafficData[[#This Row],[totalAmount]]</f>
        <v>1</v>
      </c>
      <c r="M1538" t="b">
        <f>TrafficData[[#This Row],[pendingCourt]]+TrafficData[[#This Row],[disposedCourt]]=TrafficData[[#This Row],[totalCourt]]</f>
        <v>1</v>
      </c>
      <c r="N1538" s="8" t="b">
        <f>AND(TrafficData[[#This Row],[disposedChallan]]&lt;=TrafficData[[#This Row],[totalChallan]],TrafficData[[#This Row],[pendingChallan]]&lt;=TrafficData[[#This Row],[totalChallan]])</f>
        <v>1</v>
      </c>
      <c r="O1538" s="8" t="b">
        <f>AND(TrafficData[[#This Row],[pendingAmount]]&lt;=TrafficData[[#This Row],[totalAmount]],TrafficData[[#This Row],[disposedAmount]]&lt;=TrafficData[[#This Row],[totalAmount]])</f>
        <v>1</v>
      </c>
      <c r="P1538" s="8" t="b">
        <f>AND(TrafficData[[#This Row],[pendingCourt]]&lt;=TrafficData[[#This Row],[totalCourt]],TrafficData[[#This Row],[disposedCourt]]&lt;=TrafficData[[#This Row],[totalCourt]])</f>
        <v>1</v>
      </c>
    </row>
    <row r="1539" spans="1:16">
      <c r="A1539" s="1">
        <v>43542</v>
      </c>
      <c r="B1539">
        <v>34745</v>
      </c>
      <c r="C1539">
        <v>27726</v>
      </c>
      <c r="D1539">
        <v>7019</v>
      </c>
      <c r="E1539">
        <v>8447053</v>
      </c>
      <c r="F1539">
        <v>32269655</v>
      </c>
      <c r="G1539">
        <v>40716708</v>
      </c>
      <c r="H1539">
        <v>5352</v>
      </c>
      <c r="I1539">
        <v>3194</v>
      </c>
      <c r="J1539">
        <v>8546</v>
      </c>
      <c r="K1539" t="b">
        <f>TrafficData[[#This Row],[disposedChallan]]+TrafficData[[#This Row],[pendingChallan]]=TrafficData[[#This Row],[totalChallan]]</f>
        <v>1</v>
      </c>
      <c r="L1539" t="b">
        <f>TrafficData[[#This Row],[pendingAmount]]+TrafficData[[#This Row],[disposedAmount]]=TrafficData[[#This Row],[totalAmount]]</f>
        <v>1</v>
      </c>
      <c r="M1539" t="b">
        <f>TrafficData[[#This Row],[pendingCourt]]+TrafficData[[#This Row],[disposedCourt]]=TrafficData[[#This Row],[totalCourt]]</f>
        <v>1</v>
      </c>
      <c r="N1539" s="8" t="b">
        <f>AND(TrafficData[[#This Row],[disposedChallan]]&lt;=TrafficData[[#This Row],[totalChallan]],TrafficData[[#This Row],[pendingChallan]]&lt;=TrafficData[[#This Row],[totalChallan]])</f>
        <v>1</v>
      </c>
      <c r="O1539" s="8" t="b">
        <f>AND(TrafficData[[#This Row],[pendingAmount]]&lt;=TrafficData[[#This Row],[totalAmount]],TrafficData[[#This Row],[disposedAmount]]&lt;=TrafficData[[#This Row],[totalAmount]])</f>
        <v>1</v>
      </c>
      <c r="P1539" s="8" t="b">
        <f>AND(TrafficData[[#This Row],[pendingCourt]]&lt;=TrafficData[[#This Row],[totalCourt]],TrafficData[[#This Row],[disposedCourt]]&lt;=TrafficData[[#This Row],[totalCourt]])</f>
        <v>1</v>
      </c>
    </row>
    <row r="1540" spans="1:16">
      <c r="A1540" s="1">
        <v>43543</v>
      </c>
      <c r="B1540">
        <v>40875</v>
      </c>
      <c r="C1540">
        <v>31372</v>
      </c>
      <c r="D1540">
        <v>9503</v>
      </c>
      <c r="E1540">
        <v>9030656</v>
      </c>
      <c r="F1540">
        <v>39891137</v>
      </c>
      <c r="G1540">
        <v>48921793</v>
      </c>
      <c r="H1540">
        <v>6103</v>
      </c>
      <c r="I1540">
        <v>3411</v>
      </c>
      <c r="J1540">
        <v>9514</v>
      </c>
      <c r="K1540" t="b">
        <f>TrafficData[[#This Row],[disposedChallan]]+TrafficData[[#This Row],[pendingChallan]]=TrafficData[[#This Row],[totalChallan]]</f>
        <v>1</v>
      </c>
      <c r="L1540" t="b">
        <f>TrafficData[[#This Row],[pendingAmount]]+TrafficData[[#This Row],[disposedAmount]]=TrafficData[[#This Row],[totalAmount]]</f>
        <v>1</v>
      </c>
      <c r="M1540" t="b">
        <f>TrafficData[[#This Row],[pendingCourt]]+TrafficData[[#This Row],[disposedCourt]]=TrafficData[[#This Row],[totalCourt]]</f>
        <v>1</v>
      </c>
      <c r="N1540" s="8" t="b">
        <f>AND(TrafficData[[#This Row],[disposedChallan]]&lt;=TrafficData[[#This Row],[totalChallan]],TrafficData[[#This Row],[pendingChallan]]&lt;=TrafficData[[#This Row],[totalChallan]])</f>
        <v>1</v>
      </c>
      <c r="O1540" s="8" t="b">
        <f>AND(TrafficData[[#This Row],[pendingAmount]]&lt;=TrafficData[[#This Row],[totalAmount]],TrafficData[[#This Row],[disposedAmount]]&lt;=TrafficData[[#This Row],[totalAmount]])</f>
        <v>1</v>
      </c>
      <c r="P1540" s="8" t="b">
        <f>AND(TrafficData[[#This Row],[pendingCourt]]&lt;=TrafficData[[#This Row],[totalCourt]],TrafficData[[#This Row],[disposedCourt]]&lt;=TrafficData[[#This Row],[totalCourt]])</f>
        <v>1</v>
      </c>
    </row>
    <row r="1541" spans="1:16">
      <c r="A1541" s="1">
        <v>43544</v>
      </c>
      <c r="B1541">
        <v>23885</v>
      </c>
      <c r="C1541">
        <v>18656</v>
      </c>
      <c r="D1541">
        <v>5229</v>
      </c>
      <c r="E1541">
        <v>9273140</v>
      </c>
      <c r="F1541">
        <v>17240683</v>
      </c>
      <c r="G1541">
        <v>26513823</v>
      </c>
      <c r="H1541">
        <v>1898</v>
      </c>
      <c r="I1541">
        <v>1769</v>
      </c>
      <c r="J1541">
        <v>3667</v>
      </c>
      <c r="K1541" t="b">
        <f>TrafficData[[#This Row],[disposedChallan]]+TrafficData[[#This Row],[pendingChallan]]=TrafficData[[#This Row],[totalChallan]]</f>
        <v>1</v>
      </c>
      <c r="L1541" t="b">
        <f>TrafficData[[#This Row],[pendingAmount]]+TrafficData[[#This Row],[disposedAmount]]=TrafficData[[#This Row],[totalAmount]]</f>
        <v>1</v>
      </c>
      <c r="M1541" t="b">
        <f>TrafficData[[#This Row],[pendingCourt]]+TrafficData[[#This Row],[disposedCourt]]=TrafficData[[#This Row],[totalCourt]]</f>
        <v>1</v>
      </c>
      <c r="N1541" s="8" t="b">
        <f>AND(TrafficData[[#This Row],[disposedChallan]]&lt;=TrafficData[[#This Row],[totalChallan]],TrafficData[[#This Row],[pendingChallan]]&lt;=TrafficData[[#This Row],[totalChallan]])</f>
        <v>1</v>
      </c>
      <c r="O1541" s="8" t="b">
        <f>AND(TrafficData[[#This Row],[pendingAmount]]&lt;=TrafficData[[#This Row],[totalAmount]],TrafficData[[#This Row],[disposedAmount]]&lt;=TrafficData[[#This Row],[totalAmount]])</f>
        <v>1</v>
      </c>
      <c r="P1541" s="8" t="b">
        <f>AND(TrafficData[[#This Row],[pendingCourt]]&lt;=TrafficData[[#This Row],[totalCourt]],TrafficData[[#This Row],[disposedCourt]]&lt;=TrafficData[[#This Row],[totalCourt]])</f>
        <v>1</v>
      </c>
    </row>
    <row r="1542" spans="1:16">
      <c r="A1542" s="1">
        <v>43545</v>
      </c>
      <c r="B1542">
        <v>10194</v>
      </c>
      <c r="C1542">
        <v>6868</v>
      </c>
      <c r="D1542">
        <v>3326</v>
      </c>
      <c r="E1542">
        <v>1519215</v>
      </c>
      <c r="F1542">
        <v>7902322</v>
      </c>
      <c r="G1542">
        <v>9421537</v>
      </c>
      <c r="H1542">
        <v>609</v>
      </c>
      <c r="I1542">
        <v>1058</v>
      </c>
      <c r="J1542">
        <v>1667</v>
      </c>
      <c r="K1542" t="b">
        <f>TrafficData[[#This Row],[disposedChallan]]+TrafficData[[#This Row],[pendingChallan]]=TrafficData[[#This Row],[totalChallan]]</f>
        <v>1</v>
      </c>
      <c r="L1542" t="b">
        <f>TrafficData[[#This Row],[pendingAmount]]+TrafficData[[#This Row],[disposedAmount]]=TrafficData[[#This Row],[totalAmount]]</f>
        <v>1</v>
      </c>
      <c r="M1542" t="b">
        <f>TrafficData[[#This Row],[pendingCourt]]+TrafficData[[#This Row],[disposedCourt]]=TrafficData[[#This Row],[totalCourt]]</f>
        <v>1</v>
      </c>
      <c r="N1542" s="8" t="b">
        <f>AND(TrafficData[[#This Row],[disposedChallan]]&lt;=TrafficData[[#This Row],[totalChallan]],TrafficData[[#This Row],[pendingChallan]]&lt;=TrafficData[[#This Row],[totalChallan]])</f>
        <v>1</v>
      </c>
      <c r="O1542" s="8" t="b">
        <f>AND(TrafficData[[#This Row],[pendingAmount]]&lt;=TrafficData[[#This Row],[totalAmount]],TrafficData[[#This Row],[disposedAmount]]&lt;=TrafficData[[#This Row],[totalAmount]])</f>
        <v>1</v>
      </c>
      <c r="P1542" s="8" t="b">
        <f>AND(TrafficData[[#This Row],[pendingCourt]]&lt;=TrafficData[[#This Row],[totalCourt]],TrafficData[[#This Row],[disposedCourt]]&lt;=TrafficData[[#This Row],[totalCourt]])</f>
        <v>1</v>
      </c>
    </row>
    <row r="1543" spans="1:16">
      <c r="A1543" s="1">
        <v>43546</v>
      </c>
      <c r="B1543">
        <v>25297</v>
      </c>
      <c r="C1543">
        <v>19766</v>
      </c>
      <c r="D1543">
        <v>5531</v>
      </c>
      <c r="E1543">
        <v>4480330</v>
      </c>
      <c r="F1543">
        <v>14099986</v>
      </c>
      <c r="G1543">
        <v>18580316</v>
      </c>
      <c r="H1543">
        <v>2069</v>
      </c>
      <c r="I1543">
        <v>1201</v>
      </c>
      <c r="J1543">
        <v>3270</v>
      </c>
      <c r="K1543" t="b">
        <f>TrafficData[[#This Row],[disposedChallan]]+TrafficData[[#This Row],[pendingChallan]]=TrafficData[[#This Row],[totalChallan]]</f>
        <v>1</v>
      </c>
      <c r="L1543" t="b">
        <f>TrafficData[[#This Row],[pendingAmount]]+TrafficData[[#This Row],[disposedAmount]]=TrafficData[[#This Row],[totalAmount]]</f>
        <v>1</v>
      </c>
      <c r="M1543" t="b">
        <f>TrafficData[[#This Row],[pendingCourt]]+TrafficData[[#This Row],[disposedCourt]]=TrafficData[[#This Row],[totalCourt]]</f>
        <v>1</v>
      </c>
      <c r="N1543" s="8" t="b">
        <f>AND(TrafficData[[#This Row],[disposedChallan]]&lt;=TrafficData[[#This Row],[totalChallan]],TrafficData[[#This Row],[pendingChallan]]&lt;=TrafficData[[#This Row],[totalChallan]])</f>
        <v>1</v>
      </c>
      <c r="O1543" s="8" t="b">
        <f>AND(TrafficData[[#This Row],[pendingAmount]]&lt;=TrafficData[[#This Row],[totalAmount]],TrafficData[[#This Row],[disposedAmount]]&lt;=TrafficData[[#This Row],[totalAmount]])</f>
        <v>1</v>
      </c>
      <c r="P1543" s="8" t="b">
        <f>AND(TrafficData[[#This Row],[pendingCourt]]&lt;=TrafficData[[#This Row],[totalCourt]],TrafficData[[#This Row],[disposedCourt]]&lt;=TrafficData[[#This Row],[totalCourt]])</f>
        <v>1</v>
      </c>
    </row>
    <row r="1544" spans="1:16">
      <c r="A1544" s="1">
        <v>43547</v>
      </c>
      <c r="B1544">
        <v>28777</v>
      </c>
      <c r="C1544">
        <v>23097</v>
      </c>
      <c r="D1544">
        <v>5680</v>
      </c>
      <c r="E1544">
        <v>4989725</v>
      </c>
      <c r="F1544">
        <v>23111914</v>
      </c>
      <c r="G1544">
        <v>28101639</v>
      </c>
      <c r="H1544">
        <v>2206</v>
      </c>
      <c r="I1544">
        <v>2567</v>
      </c>
      <c r="J1544">
        <v>4773</v>
      </c>
      <c r="K1544" t="b">
        <f>TrafficData[[#This Row],[disposedChallan]]+TrafficData[[#This Row],[pendingChallan]]=TrafficData[[#This Row],[totalChallan]]</f>
        <v>1</v>
      </c>
      <c r="L1544" t="b">
        <f>TrafficData[[#This Row],[pendingAmount]]+TrafficData[[#This Row],[disposedAmount]]=TrafficData[[#This Row],[totalAmount]]</f>
        <v>1</v>
      </c>
      <c r="M1544" t="b">
        <f>TrafficData[[#This Row],[pendingCourt]]+TrafficData[[#This Row],[disposedCourt]]=TrafficData[[#This Row],[totalCourt]]</f>
        <v>1</v>
      </c>
      <c r="N1544" s="8" t="b">
        <f>AND(TrafficData[[#This Row],[disposedChallan]]&lt;=TrafficData[[#This Row],[totalChallan]],TrafficData[[#This Row],[pendingChallan]]&lt;=TrafficData[[#This Row],[totalChallan]])</f>
        <v>1</v>
      </c>
      <c r="O1544" s="8" t="b">
        <f>AND(TrafficData[[#This Row],[pendingAmount]]&lt;=TrafficData[[#This Row],[totalAmount]],TrafficData[[#This Row],[disposedAmount]]&lt;=TrafficData[[#This Row],[totalAmount]])</f>
        <v>1</v>
      </c>
      <c r="P1544" s="8" t="b">
        <f>AND(TrafficData[[#This Row],[pendingCourt]]&lt;=TrafficData[[#This Row],[totalCourt]],TrafficData[[#This Row],[disposedCourt]]&lt;=TrafficData[[#This Row],[totalCourt]])</f>
        <v>1</v>
      </c>
    </row>
    <row r="1545" spans="1:16">
      <c r="A1545" s="1">
        <v>43548</v>
      </c>
      <c r="B1545">
        <v>21670</v>
      </c>
      <c r="C1545">
        <v>17295</v>
      </c>
      <c r="D1545">
        <v>4375</v>
      </c>
      <c r="E1545">
        <v>4158760</v>
      </c>
      <c r="F1545">
        <v>18495203</v>
      </c>
      <c r="G1545">
        <v>22653963</v>
      </c>
      <c r="H1545">
        <v>1627</v>
      </c>
      <c r="I1545">
        <v>2303</v>
      </c>
      <c r="J1545">
        <v>3930</v>
      </c>
      <c r="K1545" t="b">
        <f>TrafficData[[#This Row],[disposedChallan]]+TrafficData[[#This Row],[pendingChallan]]=TrafficData[[#This Row],[totalChallan]]</f>
        <v>1</v>
      </c>
      <c r="L1545" t="b">
        <f>TrafficData[[#This Row],[pendingAmount]]+TrafficData[[#This Row],[disposedAmount]]=TrafficData[[#This Row],[totalAmount]]</f>
        <v>1</v>
      </c>
      <c r="M1545" t="b">
        <f>TrafficData[[#This Row],[pendingCourt]]+TrafficData[[#This Row],[disposedCourt]]=TrafficData[[#This Row],[totalCourt]]</f>
        <v>1</v>
      </c>
      <c r="N1545" s="8" t="b">
        <f>AND(TrafficData[[#This Row],[disposedChallan]]&lt;=TrafficData[[#This Row],[totalChallan]],TrafficData[[#This Row],[pendingChallan]]&lt;=TrafficData[[#This Row],[totalChallan]])</f>
        <v>1</v>
      </c>
      <c r="O1545" s="8" t="b">
        <f>AND(TrafficData[[#This Row],[pendingAmount]]&lt;=TrafficData[[#This Row],[totalAmount]],TrafficData[[#This Row],[disposedAmount]]&lt;=TrafficData[[#This Row],[totalAmount]])</f>
        <v>1</v>
      </c>
      <c r="P1545" s="8" t="b">
        <f>AND(TrafficData[[#This Row],[pendingCourt]]&lt;=TrafficData[[#This Row],[totalCourt]],TrafficData[[#This Row],[disposedCourt]]&lt;=TrafficData[[#This Row],[totalCourt]])</f>
        <v>1</v>
      </c>
    </row>
    <row r="1546" spans="1:16">
      <c r="A1546" s="1">
        <v>43549</v>
      </c>
      <c r="B1546">
        <v>32612</v>
      </c>
      <c r="C1546">
        <v>25739</v>
      </c>
      <c r="D1546">
        <v>6873</v>
      </c>
      <c r="E1546">
        <v>6450067</v>
      </c>
      <c r="F1546">
        <v>30966800</v>
      </c>
      <c r="G1546">
        <v>37416867</v>
      </c>
      <c r="H1546">
        <v>3051</v>
      </c>
      <c r="I1546">
        <v>3422</v>
      </c>
      <c r="J1546">
        <v>6473</v>
      </c>
      <c r="K1546" t="b">
        <f>TrafficData[[#This Row],[disposedChallan]]+TrafficData[[#This Row],[pendingChallan]]=TrafficData[[#This Row],[totalChallan]]</f>
        <v>1</v>
      </c>
      <c r="L1546" t="b">
        <f>TrafficData[[#This Row],[pendingAmount]]+TrafficData[[#This Row],[disposedAmount]]=TrafficData[[#This Row],[totalAmount]]</f>
        <v>1</v>
      </c>
      <c r="M1546" t="b">
        <f>TrafficData[[#This Row],[pendingCourt]]+TrafficData[[#This Row],[disposedCourt]]=TrafficData[[#This Row],[totalCourt]]</f>
        <v>1</v>
      </c>
      <c r="N1546" s="8" t="b">
        <f>AND(TrafficData[[#This Row],[disposedChallan]]&lt;=TrafficData[[#This Row],[totalChallan]],TrafficData[[#This Row],[pendingChallan]]&lt;=TrafficData[[#This Row],[totalChallan]])</f>
        <v>1</v>
      </c>
      <c r="O1546" s="8" t="b">
        <f>AND(TrafficData[[#This Row],[pendingAmount]]&lt;=TrafficData[[#This Row],[totalAmount]],TrafficData[[#This Row],[disposedAmount]]&lt;=TrafficData[[#This Row],[totalAmount]])</f>
        <v>1</v>
      </c>
      <c r="P1546" s="8" t="b">
        <f>AND(TrafficData[[#This Row],[pendingCourt]]&lt;=TrafficData[[#This Row],[totalCourt]],TrafficData[[#This Row],[disposedCourt]]&lt;=TrafficData[[#This Row],[totalCourt]])</f>
        <v>1</v>
      </c>
    </row>
    <row r="1547" spans="1:16">
      <c r="A1547" s="1">
        <v>43550</v>
      </c>
      <c r="B1547">
        <v>32488</v>
      </c>
      <c r="C1547">
        <v>26638</v>
      </c>
      <c r="D1547">
        <v>5850</v>
      </c>
      <c r="E1547">
        <v>7624245</v>
      </c>
      <c r="F1547">
        <v>40568327</v>
      </c>
      <c r="G1547">
        <v>48192572</v>
      </c>
      <c r="H1547">
        <v>2578</v>
      </c>
      <c r="I1547">
        <v>3120</v>
      </c>
      <c r="J1547">
        <v>5698</v>
      </c>
      <c r="K1547" t="b">
        <f>TrafficData[[#This Row],[disposedChallan]]+TrafficData[[#This Row],[pendingChallan]]=TrafficData[[#This Row],[totalChallan]]</f>
        <v>1</v>
      </c>
      <c r="L1547" t="b">
        <f>TrafficData[[#This Row],[pendingAmount]]+TrafficData[[#This Row],[disposedAmount]]=TrafficData[[#This Row],[totalAmount]]</f>
        <v>1</v>
      </c>
      <c r="M1547" t="b">
        <f>TrafficData[[#This Row],[pendingCourt]]+TrafficData[[#This Row],[disposedCourt]]=TrafficData[[#This Row],[totalCourt]]</f>
        <v>1</v>
      </c>
      <c r="N1547" s="8" t="b">
        <f>AND(TrafficData[[#This Row],[disposedChallan]]&lt;=TrafficData[[#This Row],[totalChallan]],TrafficData[[#This Row],[pendingChallan]]&lt;=TrafficData[[#This Row],[totalChallan]])</f>
        <v>1</v>
      </c>
      <c r="O1547" s="8" t="b">
        <f>AND(TrafficData[[#This Row],[pendingAmount]]&lt;=TrafficData[[#This Row],[totalAmount]],TrafficData[[#This Row],[disposedAmount]]&lt;=TrafficData[[#This Row],[totalAmount]])</f>
        <v>1</v>
      </c>
      <c r="P1547" s="8" t="b">
        <f>AND(TrafficData[[#This Row],[pendingCourt]]&lt;=TrafficData[[#This Row],[totalCourt]],TrafficData[[#This Row],[disposedCourt]]&lt;=TrafficData[[#This Row],[totalCourt]])</f>
        <v>1</v>
      </c>
    </row>
    <row r="1548" spans="1:16">
      <c r="A1548" s="1">
        <v>43551</v>
      </c>
      <c r="B1548">
        <v>38841</v>
      </c>
      <c r="C1548">
        <v>30140</v>
      </c>
      <c r="D1548">
        <v>8701</v>
      </c>
      <c r="E1548">
        <v>10591219</v>
      </c>
      <c r="F1548">
        <v>43062834</v>
      </c>
      <c r="G1548">
        <v>53654053</v>
      </c>
      <c r="H1548">
        <v>5203</v>
      </c>
      <c r="I1548">
        <v>3861</v>
      </c>
      <c r="J1548">
        <v>9064</v>
      </c>
      <c r="K1548" t="b">
        <f>TrafficData[[#This Row],[disposedChallan]]+TrafficData[[#This Row],[pendingChallan]]=TrafficData[[#This Row],[totalChallan]]</f>
        <v>1</v>
      </c>
      <c r="L1548" t="b">
        <f>TrafficData[[#This Row],[pendingAmount]]+TrafficData[[#This Row],[disposedAmount]]=TrafficData[[#This Row],[totalAmount]]</f>
        <v>1</v>
      </c>
      <c r="M1548" t="b">
        <f>TrafficData[[#This Row],[pendingCourt]]+TrafficData[[#This Row],[disposedCourt]]=TrafficData[[#This Row],[totalCourt]]</f>
        <v>1</v>
      </c>
      <c r="N1548" s="8" t="b">
        <f>AND(TrafficData[[#This Row],[disposedChallan]]&lt;=TrafficData[[#This Row],[totalChallan]],TrafficData[[#This Row],[pendingChallan]]&lt;=TrafficData[[#This Row],[totalChallan]])</f>
        <v>1</v>
      </c>
      <c r="O1548" s="8" t="b">
        <f>AND(TrafficData[[#This Row],[pendingAmount]]&lt;=TrafficData[[#This Row],[totalAmount]],TrafficData[[#This Row],[disposedAmount]]&lt;=TrafficData[[#This Row],[totalAmount]])</f>
        <v>1</v>
      </c>
      <c r="P1548" s="8" t="b">
        <f>AND(TrafficData[[#This Row],[pendingCourt]]&lt;=TrafficData[[#This Row],[totalCourt]],TrafficData[[#This Row],[disposedCourt]]&lt;=TrafficData[[#This Row],[totalCourt]])</f>
        <v>1</v>
      </c>
    </row>
    <row r="1549" spans="1:16">
      <c r="A1549" s="1">
        <v>43552</v>
      </c>
      <c r="B1549">
        <v>30454</v>
      </c>
      <c r="C1549">
        <v>25006</v>
      </c>
      <c r="D1549">
        <v>5448</v>
      </c>
      <c r="E1549">
        <v>6168227</v>
      </c>
      <c r="F1549">
        <v>33372105</v>
      </c>
      <c r="G1549">
        <v>39540332</v>
      </c>
      <c r="H1549">
        <v>2604</v>
      </c>
      <c r="I1549">
        <v>3487</v>
      </c>
      <c r="J1549">
        <v>6091</v>
      </c>
      <c r="K1549" t="b">
        <f>TrafficData[[#This Row],[disposedChallan]]+TrafficData[[#This Row],[pendingChallan]]=TrafficData[[#This Row],[totalChallan]]</f>
        <v>1</v>
      </c>
      <c r="L1549" t="b">
        <f>TrafficData[[#This Row],[pendingAmount]]+TrafficData[[#This Row],[disposedAmount]]=TrafficData[[#This Row],[totalAmount]]</f>
        <v>1</v>
      </c>
      <c r="M1549" t="b">
        <f>TrafficData[[#This Row],[pendingCourt]]+TrafficData[[#This Row],[disposedCourt]]=TrafficData[[#This Row],[totalCourt]]</f>
        <v>1</v>
      </c>
      <c r="N1549" s="8" t="b">
        <f>AND(TrafficData[[#This Row],[disposedChallan]]&lt;=TrafficData[[#This Row],[totalChallan]],TrafficData[[#This Row],[pendingChallan]]&lt;=TrafficData[[#This Row],[totalChallan]])</f>
        <v>1</v>
      </c>
      <c r="O1549" s="8" t="b">
        <f>AND(TrafficData[[#This Row],[pendingAmount]]&lt;=TrafficData[[#This Row],[totalAmount]],TrafficData[[#This Row],[disposedAmount]]&lt;=TrafficData[[#This Row],[totalAmount]])</f>
        <v>1</v>
      </c>
      <c r="P1549" s="8" t="b">
        <f>AND(TrafficData[[#This Row],[pendingCourt]]&lt;=TrafficData[[#This Row],[totalCourt]],TrafficData[[#This Row],[disposedCourt]]&lt;=TrafficData[[#This Row],[totalCourt]])</f>
        <v>1</v>
      </c>
    </row>
    <row r="1550" spans="1:16">
      <c r="A1550" s="1">
        <v>43553</v>
      </c>
      <c r="B1550">
        <v>30978</v>
      </c>
      <c r="C1550">
        <v>25447</v>
      </c>
      <c r="D1550">
        <v>5531</v>
      </c>
      <c r="E1550">
        <v>7227179</v>
      </c>
      <c r="F1550">
        <v>35075129</v>
      </c>
      <c r="G1550">
        <v>42302308</v>
      </c>
      <c r="H1550">
        <v>2528</v>
      </c>
      <c r="I1550">
        <v>3605</v>
      </c>
      <c r="J1550">
        <v>6133</v>
      </c>
      <c r="K1550" t="b">
        <f>TrafficData[[#This Row],[disposedChallan]]+TrafficData[[#This Row],[pendingChallan]]=TrafficData[[#This Row],[totalChallan]]</f>
        <v>1</v>
      </c>
      <c r="L1550" t="b">
        <f>TrafficData[[#This Row],[pendingAmount]]+TrafficData[[#This Row],[disposedAmount]]=TrafficData[[#This Row],[totalAmount]]</f>
        <v>1</v>
      </c>
      <c r="M1550" t="b">
        <f>TrafficData[[#This Row],[pendingCourt]]+TrafficData[[#This Row],[disposedCourt]]=TrafficData[[#This Row],[totalCourt]]</f>
        <v>1</v>
      </c>
      <c r="N1550" s="8" t="b">
        <f>AND(TrafficData[[#This Row],[disposedChallan]]&lt;=TrafficData[[#This Row],[totalChallan]],TrafficData[[#This Row],[pendingChallan]]&lt;=TrafficData[[#This Row],[totalChallan]])</f>
        <v>1</v>
      </c>
      <c r="O1550" s="8" t="b">
        <f>AND(TrafficData[[#This Row],[pendingAmount]]&lt;=TrafficData[[#This Row],[totalAmount]],TrafficData[[#This Row],[disposedAmount]]&lt;=TrafficData[[#This Row],[totalAmount]])</f>
        <v>1</v>
      </c>
      <c r="P1550" s="8" t="b">
        <f>AND(TrafficData[[#This Row],[pendingCourt]]&lt;=TrafficData[[#This Row],[totalCourt]],TrafficData[[#This Row],[disposedCourt]]&lt;=TrafficData[[#This Row],[totalCourt]])</f>
        <v>1</v>
      </c>
    </row>
    <row r="1551" spans="1:16">
      <c r="A1551" s="1">
        <v>43554</v>
      </c>
      <c r="B1551">
        <v>32875</v>
      </c>
      <c r="C1551">
        <v>25497</v>
      </c>
      <c r="D1551">
        <v>7378</v>
      </c>
      <c r="E1551">
        <v>7877485</v>
      </c>
      <c r="F1551">
        <v>27591767</v>
      </c>
      <c r="G1551">
        <v>35469252</v>
      </c>
      <c r="H1551">
        <v>4261</v>
      </c>
      <c r="I1551">
        <v>3436</v>
      </c>
      <c r="J1551">
        <v>7697</v>
      </c>
      <c r="K1551" t="b">
        <f>TrafficData[[#This Row],[disposedChallan]]+TrafficData[[#This Row],[pendingChallan]]=TrafficData[[#This Row],[totalChallan]]</f>
        <v>1</v>
      </c>
      <c r="L1551" t="b">
        <f>TrafficData[[#This Row],[pendingAmount]]+TrafficData[[#This Row],[disposedAmount]]=TrafficData[[#This Row],[totalAmount]]</f>
        <v>1</v>
      </c>
      <c r="M1551" t="b">
        <f>TrafficData[[#This Row],[pendingCourt]]+TrafficData[[#This Row],[disposedCourt]]=TrafficData[[#This Row],[totalCourt]]</f>
        <v>1</v>
      </c>
      <c r="N1551" s="8" t="b">
        <f>AND(TrafficData[[#This Row],[disposedChallan]]&lt;=TrafficData[[#This Row],[totalChallan]],TrafficData[[#This Row],[pendingChallan]]&lt;=TrafficData[[#This Row],[totalChallan]])</f>
        <v>1</v>
      </c>
      <c r="O1551" s="8" t="b">
        <f>AND(TrafficData[[#This Row],[pendingAmount]]&lt;=TrafficData[[#This Row],[totalAmount]],TrafficData[[#This Row],[disposedAmount]]&lt;=TrafficData[[#This Row],[totalAmount]])</f>
        <v>1</v>
      </c>
      <c r="P1551" s="8" t="b">
        <f>AND(TrafficData[[#This Row],[pendingCourt]]&lt;=TrafficData[[#This Row],[totalCourt]],TrafficData[[#This Row],[disposedCourt]]&lt;=TrafficData[[#This Row],[totalCourt]])</f>
        <v>1</v>
      </c>
    </row>
    <row r="1552" spans="1:16">
      <c r="A1552" s="1">
        <v>43555</v>
      </c>
      <c r="B1552">
        <v>22138</v>
      </c>
      <c r="C1552">
        <v>17766</v>
      </c>
      <c r="D1552">
        <v>4372</v>
      </c>
      <c r="E1552">
        <v>3647351</v>
      </c>
      <c r="F1552">
        <v>21961066</v>
      </c>
      <c r="G1552">
        <v>25608417</v>
      </c>
      <c r="H1552">
        <v>1971</v>
      </c>
      <c r="I1552">
        <v>2677</v>
      </c>
      <c r="J1552">
        <v>4648</v>
      </c>
      <c r="K1552" t="b">
        <f>TrafficData[[#This Row],[disposedChallan]]+TrafficData[[#This Row],[pendingChallan]]=TrafficData[[#This Row],[totalChallan]]</f>
        <v>1</v>
      </c>
      <c r="L1552" t="b">
        <f>TrafficData[[#This Row],[pendingAmount]]+TrafficData[[#This Row],[disposedAmount]]=TrafficData[[#This Row],[totalAmount]]</f>
        <v>1</v>
      </c>
      <c r="M1552" t="b">
        <f>TrafficData[[#This Row],[pendingCourt]]+TrafficData[[#This Row],[disposedCourt]]=TrafficData[[#This Row],[totalCourt]]</f>
        <v>1</v>
      </c>
      <c r="N1552" s="8" t="b">
        <f>AND(TrafficData[[#This Row],[disposedChallan]]&lt;=TrafficData[[#This Row],[totalChallan]],TrafficData[[#This Row],[pendingChallan]]&lt;=TrafficData[[#This Row],[totalChallan]])</f>
        <v>1</v>
      </c>
      <c r="O1552" s="8" t="b">
        <f>AND(TrafficData[[#This Row],[pendingAmount]]&lt;=TrafficData[[#This Row],[totalAmount]],TrafficData[[#This Row],[disposedAmount]]&lt;=TrafficData[[#This Row],[totalAmount]])</f>
        <v>1</v>
      </c>
      <c r="P1552" s="8" t="b">
        <f>AND(TrafficData[[#This Row],[pendingCourt]]&lt;=TrafficData[[#This Row],[totalCourt]],TrafficData[[#This Row],[disposedCourt]]&lt;=TrafficData[[#This Row],[totalCourt]])</f>
        <v>1</v>
      </c>
    </row>
    <row r="1553" spans="1:16">
      <c r="A1553" s="1">
        <v>43556</v>
      </c>
      <c r="B1553">
        <v>33326</v>
      </c>
      <c r="C1553">
        <v>27196</v>
      </c>
      <c r="D1553">
        <v>6130</v>
      </c>
      <c r="E1553">
        <v>6270770</v>
      </c>
      <c r="F1553">
        <v>34087049</v>
      </c>
      <c r="G1553">
        <v>40357819</v>
      </c>
      <c r="H1553">
        <v>4567</v>
      </c>
      <c r="I1553">
        <v>3511</v>
      </c>
      <c r="J1553">
        <v>8078</v>
      </c>
      <c r="K1553" t="b">
        <f>TrafficData[[#This Row],[disposedChallan]]+TrafficData[[#This Row],[pendingChallan]]=TrafficData[[#This Row],[totalChallan]]</f>
        <v>1</v>
      </c>
      <c r="L1553" t="b">
        <f>TrafficData[[#This Row],[pendingAmount]]+TrafficData[[#This Row],[disposedAmount]]=TrafficData[[#This Row],[totalAmount]]</f>
        <v>1</v>
      </c>
      <c r="M1553" t="b">
        <f>TrafficData[[#This Row],[pendingCourt]]+TrafficData[[#This Row],[disposedCourt]]=TrafficData[[#This Row],[totalCourt]]</f>
        <v>1</v>
      </c>
      <c r="N1553" s="8" t="b">
        <f>AND(TrafficData[[#This Row],[disposedChallan]]&lt;=TrafficData[[#This Row],[totalChallan]],TrafficData[[#This Row],[pendingChallan]]&lt;=TrafficData[[#This Row],[totalChallan]])</f>
        <v>1</v>
      </c>
      <c r="O1553" s="8" t="b">
        <f>AND(TrafficData[[#This Row],[pendingAmount]]&lt;=TrafficData[[#This Row],[totalAmount]],TrafficData[[#This Row],[disposedAmount]]&lt;=TrafficData[[#This Row],[totalAmount]])</f>
        <v>1</v>
      </c>
      <c r="P1553" s="8" t="b">
        <f>AND(TrafficData[[#This Row],[pendingCourt]]&lt;=TrafficData[[#This Row],[totalCourt]],TrafficData[[#This Row],[disposedCourt]]&lt;=TrafficData[[#This Row],[totalCourt]])</f>
        <v>1</v>
      </c>
    </row>
    <row r="1554" spans="1:16">
      <c r="A1554" s="1">
        <v>43557</v>
      </c>
      <c r="B1554">
        <v>34987</v>
      </c>
      <c r="C1554">
        <v>27827</v>
      </c>
      <c r="D1554">
        <v>7160</v>
      </c>
      <c r="E1554">
        <v>5131831</v>
      </c>
      <c r="F1554">
        <v>36105102</v>
      </c>
      <c r="G1554">
        <v>41236933</v>
      </c>
      <c r="H1554">
        <v>2811</v>
      </c>
      <c r="I1554">
        <v>3096</v>
      </c>
      <c r="J1554">
        <v>5907</v>
      </c>
      <c r="K1554" t="b">
        <f>TrafficData[[#This Row],[disposedChallan]]+TrafficData[[#This Row],[pendingChallan]]=TrafficData[[#This Row],[totalChallan]]</f>
        <v>1</v>
      </c>
      <c r="L1554" t="b">
        <f>TrafficData[[#This Row],[pendingAmount]]+TrafficData[[#This Row],[disposedAmount]]=TrafficData[[#This Row],[totalAmount]]</f>
        <v>1</v>
      </c>
      <c r="M1554" t="b">
        <f>TrafficData[[#This Row],[pendingCourt]]+TrafficData[[#This Row],[disposedCourt]]=TrafficData[[#This Row],[totalCourt]]</f>
        <v>1</v>
      </c>
      <c r="N1554" s="8" t="b">
        <f>AND(TrafficData[[#This Row],[disposedChallan]]&lt;=TrafficData[[#This Row],[totalChallan]],TrafficData[[#This Row],[pendingChallan]]&lt;=TrafficData[[#This Row],[totalChallan]])</f>
        <v>1</v>
      </c>
      <c r="O1554" s="8" t="b">
        <f>AND(TrafficData[[#This Row],[pendingAmount]]&lt;=TrafficData[[#This Row],[totalAmount]],TrafficData[[#This Row],[disposedAmount]]&lt;=TrafficData[[#This Row],[totalAmount]])</f>
        <v>1</v>
      </c>
      <c r="P1554" s="8" t="b">
        <f>AND(TrafficData[[#This Row],[pendingCourt]]&lt;=TrafficData[[#This Row],[totalCourt]],TrafficData[[#This Row],[disposedCourt]]&lt;=TrafficData[[#This Row],[totalCourt]])</f>
        <v>1</v>
      </c>
    </row>
    <row r="1555" spans="1:16">
      <c r="A1555" s="1">
        <v>43558</v>
      </c>
      <c r="B1555">
        <v>33132</v>
      </c>
      <c r="C1555">
        <v>25662</v>
      </c>
      <c r="D1555">
        <v>7470</v>
      </c>
      <c r="E1555">
        <v>7354700</v>
      </c>
      <c r="F1555">
        <v>33980073</v>
      </c>
      <c r="G1555">
        <v>41334773</v>
      </c>
      <c r="H1555">
        <v>3510</v>
      </c>
      <c r="I1555">
        <v>2534</v>
      </c>
      <c r="J1555">
        <v>6044</v>
      </c>
      <c r="K1555" t="b">
        <f>TrafficData[[#This Row],[disposedChallan]]+TrafficData[[#This Row],[pendingChallan]]=TrafficData[[#This Row],[totalChallan]]</f>
        <v>1</v>
      </c>
      <c r="L1555" t="b">
        <f>TrafficData[[#This Row],[pendingAmount]]+TrafficData[[#This Row],[disposedAmount]]=TrafficData[[#This Row],[totalAmount]]</f>
        <v>1</v>
      </c>
      <c r="M1555" t="b">
        <f>TrafficData[[#This Row],[pendingCourt]]+TrafficData[[#This Row],[disposedCourt]]=TrafficData[[#This Row],[totalCourt]]</f>
        <v>1</v>
      </c>
      <c r="N1555" s="8" t="b">
        <f>AND(TrafficData[[#This Row],[disposedChallan]]&lt;=TrafficData[[#This Row],[totalChallan]],TrafficData[[#This Row],[pendingChallan]]&lt;=TrafficData[[#This Row],[totalChallan]])</f>
        <v>1</v>
      </c>
      <c r="O1555" s="8" t="b">
        <f>AND(TrafficData[[#This Row],[pendingAmount]]&lt;=TrafficData[[#This Row],[totalAmount]],TrafficData[[#This Row],[disposedAmount]]&lt;=TrafficData[[#This Row],[totalAmount]])</f>
        <v>1</v>
      </c>
      <c r="P1555" s="8" t="b">
        <f>AND(TrafficData[[#This Row],[pendingCourt]]&lt;=TrafficData[[#This Row],[totalCourt]],TrafficData[[#This Row],[disposedCourt]]&lt;=TrafficData[[#This Row],[totalCourt]])</f>
        <v>1</v>
      </c>
    </row>
    <row r="1556" spans="1:16">
      <c r="A1556" s="1">
        <v>43559</v>
      </c>
      <c r="B1556">
        <v>32479</v>
      </c>
      <c r="C1556">
        <v>25441</v>
      </c>
      <c r="D1556">
        <v>7038</v>
      </c>
      <c r="E1556">
        <v>4555497</v>
      </c>
      <c r="F1556">
        <v>29615160</v>
      </c>
      <c r="G1556">
        <v>34170657</v>
      </c>
      <c r="H1556">
        <v>2498</v>
      </c>
      <c r="I1556">
        <v>2777</v>
      </c>
      <c r="J1556">
        <v>5275</v>
      </c>
      <c r="K1556" t="b">
        <f>TrafficData[[#This Row],[disposedChallan]]+TrafficData[[#This Row],[pendingChallan]]=TrafficData[[#This Row],[totalChallan]]</f>
        <v>1</v>
      </c>
      <c r="L1556" t="b">
        <f>TrafficData[[#This Row],[pendingAmount]]+TrafficData[[#This Row],[disposedAmount]]=TrafficData[[#This Row],[totalAmount]]</f>
        <v>1</v>
      </c>
      <c r="M1556" t="b">
        <f>TrafficData[[#This Row],[pendingCourt]]+TrafficData[[#This Row],[disposedCourt]]=TrafficData[[#This Row],[totalCourt]]</f>
        <v>1</v>
      </c>
      <c r="N1556" s="8" t="b">
        <f>AND(TrafficData[[#This Row],[disposedChallan]]&lt;=TrafficData[[#This Row],[totalChallan]],TrafficData[[#This Row],[pendingChallan]]&lt;=TrafficData[[#This Row],[totalChallan]])</f>
        <v>1</v>
      </c>
      <c r="O1556" s="8" t="b">
        <f>AND(TrafficData[[#This Row],[pendingAmount]]&lt;=TrafficData[[#This Row],[totalAmount]],TrafficData[[#This Row],[disposedAmount]]&lt;=TrafficData[[#This Row],[totalAmount]])</f>
        <v>1</v>
      </c>
      <c r="P1556" s="8" t="b">
        <f>AND(TrafficData[[#This Row],[pendingCourt]]&lt;=TrafficData[[#This Row],[totalCourt]],TrafficData[[#This Row],[disposedCourt]]&lt;=TrafficData[[#This Row],[totalCourt]])</f>
        <v>1</v>
      </c>
    </row>
    <row r="1557" spans="1:16">
      <c r="A1557" s="1">
        <v>43560</v>
      </c>
      <c r="B1557">
        <v>31372</v>
      </c>
      <c r="C1557">
        <v>24680</v>
      </c>
      <c r="D1557">
        <v>6692</v>
      </c>
      <c r="E1557">
        <v>5563780</v>
      </c>
      <c r="F1557">
        <v>34125415</v>
      </c>
      <c r="G1557">
        <v>39689195</v>
      </c>
      <c r="H1557">
        <v>3079</v>
      </c>
      <c r="I1557">
        <v>3188</v>
      </c>
      <c r="J1557">
        <v>6267</v>
      </c>
      <c r="K1557" t="b">
        <f>TrafficData[[#This Row],[disposedChallan]]+TrafficData[[#This Row],[pendingChallan]]=TrafficData[[#This Row],[totalChallan]]</f>
        <v>1</v>
      </c>
      <c r="L1557" t="b">
        <f>TrafficData[[#This Row],[pendingAmount]]+TrafficData[[#This Row],[disposedAmount]]=TrafficData[[#This Row],[totalAmount]]</f>
        <v>1</v>
      </c>
      <c r="M1557" t="b">
        <f>TrafficData[[#This Row],[pendingCourt]]+TrafficData[[#This Row],[disposedCourt]]=TrafficData[[#This Row],[totalCourt]]</f>
        <v>1</v>
      </c>
      <c r="N1557" s="8" t="b">
        <f>AND(TrafficData[[#This Row],[disposedChallan]]&lt;=TrafficData[[#This Row],[totalChallan]],TrafficData[[#This Row],[pendingChallan]]&lt;=TrafficData[[#This Row],[totalChallan]])</f>
        <v>1</v>
      </c>
      <c r="O1557" s="8" t="b">
        <f>AND(TrafficData[[#This Row],[pendingAmount]]&lt;=TrafficData[[#This Row],[totalAmount]],TrafficData[[#This Row],[disposedAmount]]&lt;=TrafficData[[#This Row],[totalAmount]])</f>
        <v>1</v>
      </c>
      <c r="P1557" s="8" t="b">
        <f>AND(TrafficData[[#This Row],[pendingCourt]]&lt;=TrafficData[[#This Row],[totalCourt]],TrafficData[[#This Row],[disposedCourt]]&lt;=TrafficData[[#This Row],[totalCourt]])</f>
        <v>1</v>
      </c>
    </row>
    <row r="1558" spans="1:16">
      <c r="A1558" s="1">
        <v>43561</v>
      </c>
      <c r="B1558">
        <v>27804</v>
      </c>
      <c r="C1558">
        <v>22080</v>
      </c>
      <c r="D1558">
        <v>5724</v>
      </c>
      <c r="E1558">
        <v>4759905</v>
      </c>
      <c r="F1558">
        <v>25795325</v>
      </c>
      <c r="G1558">
        <v>30555230</v>
      </c>
      <c r="H1558">
        <v>3017</v>
      </c>
      <c r="I1558">
        <v>2938</v>
      </c>
      <c r="J1558">
        <v>5955</v>
      </c>
      <c r="K1558" t="b">
        <f>TrafficData[[#This Row],[disposedChallan]]+TrafficData[[#This Row],[pendingChallan]]=TrafficData[[#This Row],[totalChallan]]</f>
        <v>1</v>
      </c>
      <c r="L1558" t="b">
        <f>TrafficData[[#This Row],[pendingAmount]]+TrafficData[[#This Row],[disposedAmount]]=TrafficData[[#This Row],[totalAmount]]</f>
        <v>1</v>
      </c>
      <c r="M1558" t="b">
        <f>TrafficData[[#This Row],[pendingCourt]]+TrafficData[[#This Row],[disposedCourt]]=TrafficData[[#This Row],[totalCourt]]</f>
        <v>1</v>
      </c>
      <c r="N1558" s="8" t="b">
        <f>AND(TrafficData[[#This Row],[disposedChallan]]&lt;=TrafficData[[#This Row],[totalChallan]],TrafficData[[#This Row],[pendingChallan]]&lt;=TrafficData[[#This Row],[totalChallan]])</f>
        <v>1</v>
      </c>
      <c r="O1558" s="8" t="b">
        <f>AND(TrafficData[[#This Row],[pendingAmount]]&lt;=TrafficData[[#This Row],[totalAmount]],TrafficData[[#This Row],[disposedAmount]]&lt;=TrafficData[[#This Row],[totalAmount]])</f>
        <v>1</v>
      </c>
      <c r="P1558" s="8" t="b">
        <f>AND(TrafficData[[#This Row],[pendingCourt]]&lt;=TrafficData[[#This Row],[totalCourt]],TrafficData[[#This Row],[disposedCourt]]&lt;=TrafficData[[#This Row],[totalCourt]])</f>
        <v>1</v>
      </c>
    </row>
    <row r="1559" spans="1:16">
      <c r="A1559" s="1">
        <v>43562</v>
      </c>
      <c r="B1559">
        <v>19697</v>
      </c>
      <c r="C1559">
        <v>16188</v>
      </c>
      <c r="D1559">
        <v>3509</v>
      </c>
      <c r="E1559">
        <v>3213775</v>
      </c>
      <c r="F1559">
        <v>18846291</v>
      </c>
      <c r="G1559">
        <v>22060066</v>
      </c>
      <c r="H1559">
        <v>1896</v>
      </c>
      <c r="I1559">
        <v>2643</v>
      </c>
      <c r="J1559">
        <v>4539</v>
      </c>
      <c r="K1559" t="b">
        <f>TrafficData[[#This Row],[disposedChallan]]+TrafficData[[#This Row],[pendingChallan]]=TrafficData[[#This Row],[totalChallan]]</f>
        <v>1</v>
      </c>
      <c r="L1559" t="b">
        <f>TrafficData[[#This Row],[pendingAmount]]+TrafficData[[#This Row],[disposedAmount]]=TrafficData[[#This Row],[totalAmount]]</f>
        <v>1</v>
      </c>
      <c r="M1559" t="b">
        <f>TrafficData[[#This Row],[pendingCourt]]+TrafficData[[#This Row],[disposedCourt]]=TrafficData[[#This Row],[totalCourt]]</f>
        <v>1</v>
      </c>
      <c r="N1559" s="8" t="b">
        <f>AND(TrafficData[[#This Row],[disposedChallan]]&lt;=TrafficData[[#This Row],[totalChallan]],TrafficData[[#This Row],[pendingChallan]]&lt;=TrafficData[[#This Row],[totalChallan]])</f>
        <v>1</v>
      </c>
      <c r="O1559" s="8" t="b">
        <f>AND(TrafficData[[#This Row],[pendingAmount]]&lt;=TrafficData[[#This Row],[totalAmount]],TrafficData[[#This Row],[disposedAmount]]&lt;=TrafficData[[#This Row],[totalAmount]])</f>
        <v>1</v>
      </c>
      <c r="P1559" s="8" t="b">
        <f>AND(TrafficData[[#This Row],[pendingCourt]]&lt;=TrafficData[[#This Row],[totalCourt]],TrafficData[[#This Row],[disposedCourt]]&lt;=TrafficData[[#This Row],[totalCourt]])</f>
        <v>1</v>
      </c>
    </row>
    <row r="1560" spans="1:16">
      <c r="A1560" s="1">
        <v>43563</v>
      </c>
      <c r="B1560">
        <v>25901</v>
      </c>
      <c r="C1560">
        <v>20832</v>
      </c>
      <c r="D1560">
        <v>5069</v>
      </c>
      <c r="E1560">
        <v>4633670</v>
      </c>
      <c r="F1560">
        <v>23907993</v>
      </c>
      <c r="G1560">
        <v>28541663</v>
      </c>
      <c r="H1560">
        <v>3011</v>
      </c>
      <c r="I1560">
        <v>3055</v>
      </c>
      <c r="J1560">
        <v>6066</v>
      </c>
      <c r="K1560" t="b">
        <f>TrafficData[[#This Row],[disposedChallan]]+TrafficData[[#This Row],[pendingChallan]]=TrafficData[[#This Row],[totalChallan]]</f>
        <v>1</v>
      </c>
      <c r="L1560" t="b">
        <f>TrafficData[[#This Row],[pendingAmount]]+TrafficData[[#This Row],[disposedAmount]]=TrafficData[[#This Row],[totalAmount]]</f>
        <v>1</v>
      </c>
      <c r="M1560" t="b">
        <f>TrafficData[[#This Row],[pendingCourt]]+TrafficData[[#This Row],[disposedCourt]]=TrafficData[[#This Row],[totalCourt]]</f>
        <v>1</v>
      </c>
      <c r="N1560" s="8" t="b">
        <f>AND(TrafficData[[#This Row],[disposedChallan]]&lt;=TrafficData[[#This Row],[totalChallan]],TrafficData[[#This Row],[pendingChallan]]&lt;=TrafficData[[#This Row],[totalChallan]])</f>
        <v>1</v>
      </c>
      <c r="O1560" s="8" t="b">
        <f>AND(TrafficData[[#This Row],[pendingAmount]]&lt;=TrafficData[[#This Row],[totalAmount]],TrafficData[[#This Row],[disposedAmount]]&lt;=TrafficData[[#This Row],[totalAmount]])</f>
        <v>1</v>
      </c>
      <c r="P1560" s="8" t="b">
        <f>AND(TrafficData[[#This Row],[pendingCourt]]&lt;=TrafficData[[#This Row],[totalCourt]],TrafficData[[#This Row],[disposedCourt]]&lt;=TrafficData[[#This Row],[totalCourt]])</f>
        <v>1</v>
      </c>
    </row>
    <row r="1561" spans="1:16">
      <c r="A1561" s="1">
        <v>43564</v>
      </c>
      <c r="B1561">
        <v>30803</v>
      </c>
      <c r="C1561">
        <v>23465</v>
      </c>
      <c r="D1561">
        <v>7338</v>
      </c>
      <c r="E1561">
        <v>7801176</v>
      </c>
      <c r="F1561">
        <v>27783751</v>
      </c>
      <c r="G1561">
        <v>35584927</v>
      </c>
      <c r="H1561">
        <v>4805</v>
      </c>
      <c r="I1561">
        <v>3345</v>
      </c>
      <c r="J1561">
        <v>8150</v>
      </c>
      <c r="K1561" t="b">
        <f>TrafficData[[#This Row],[disposedChallan]]+TrafficData[[#This Row],[pendingChallan]]=TrafficData[[#This Row],[totalChallan]]</f>
        <v>1</v>
      </c>
      <c r="L1561" t="b">
        <f>TrafficData[[#This Row],[pendingAmount]]+TrafficData[[#This Row],[disposedAmount]]=TrafficData[[#This Row],[totalAmount]]</f>
        <v>1</v>
      </c>
      <c r="M1561" t="b">
        <f>TrafficData[[#This Row],[pendingCourt]]+TrafficData[[#This Row],[disposedCourt]]=TrafficData[[#This Row],[totalCourt]]</f>
        <v>1</v>
      </c>
      <c r="N1561" s="8" t="b">
        <f>AND(TrafficData[[#This Row],[disposedChallan]]&lt;=TrafficData[[#This Row],[totalChallan]],TrafficData[[#This Row],[pendingChallan]]&lt;=TrafficData[[#This Row],[totalChallan]])</f>
        <v>1</v>
      </c>
      <c r="O1561" s="8" t="b">
        <f>AND(TrafficData[[#This Row],[pendingAmount]]&lt;=TrafficData[[#This Row],[totalAmount]],TrafficData[[#This Row],[disposedAmount]]&lt;=TrafficData[[#This Row],[totalAmount]])</f>
        <v>1</v>
      </c>
      <c r="P1561" s="8" t="b">
        <f>AND(TrafficData[[#This Row],[pendingCourt]]&lt;=TrafficData[[#This Row],[totalCourt]],TrafficData[[#This Row],[disposedCourt]]&lt;=TrafficData[[#This Row],[totalCourt]])</f>
        <v>1</v>
      </c>
    </row>
    <row r="1562" spans="1:16">
      <c r="A1562" s="1">
        <v>43565</v>
      </c>
      <c r="B1562">
        <v>29496</v>
      </c>
      <c r="C1562">
        <v>22420</v>
      </c>
      <c r="D1562">
        <v>7076</v>
      </c>
      <c r="E1562">
        <v>5844116</v>
      </c>
      <c r="F1562">
        <v>31860102</v>
      </c>
      <c r="G1562">
        <v>37704218</v>
      </c>
      <c r="H1562">
        <v>3193</v>
      </c>
      <c r="I1562">
        <v>2839</v>
      </c>
      <c r="J1562">
        <v>6032</v>
      </c>
      <c r="K1562" t="b">
        <f>TrafficData[[#This Row],[disposedChallan]]+TrafficData[[#This Row],[pendingChallan]]=TrafficData[[#This Row],[totalChallan]]</f>
        <v>1</v>
      </c>
      <c r="L1562" t="b">
        <f>TrafficData[[#This Row],[pendingAmount]]+TrafficData[[#This Row],[disposedAmount]]=TrafficData[[#This Row],[totalAmount]]</f>
        <v>1</v>
      </c>
      <c r="M1562" t="b">
        <f>TrafficData[[#This Row],[pendingCourt]]+TrafficData[[#This Row],[disposedCourt]]=TrafficData[[#This Row],[totalCourt]]</f>
        <v>1</v>
      </c>
      <c r="N1562" s="8" t="b">
        <f>AND(TrafficData[[#This Row],[disposedChallan]]&lt;=TrafficData[[#This Row],[totalChallan]],TrafficData[[#This Row],[pendingChallan]]&lt;=TrafficData[[#This Row],[totalChallan]])</f>
        <v>1</v>
      </c>
      <c r="O1562" s="8" t="b">
        <f>AND(TrafficData[[#This Row],[pendingAmount]]&lt;=TrafficData[[#This Row],[totalAmount]],TrafficData[[#This Row],[disposedAmount]]&lt;=TrafficData[[#This Row],[totalAmount]])</f>
        <v>1</v>
      </c>
      <c r="P1562" s="8" t="b">
        <f>AND(TrafficData[[#This Row],[pendingCourt]]&lt;=TrafficData[[#This Row],[totalCourt]],TrafficData[[#This Row],[disposedCourt]]&lt;=TrafficData[[#This Row],[totalCourt]])</f>
        <v>1</v>
      </c>
    </row>
    <row r="1563" spans="1:16">
      <c r="A1563" s="1">
        <v>43566</v>
      </c>
      <c r="B1563">
        <v>31812</v>
      </c>
      <c r="C1563">
        <v>23421</v>
      </c>
      <c r="D1563">
        <v>8391</v>
      </c>
      <c r="E1563">
        <v>13617589</v>
      </c>
      <c r="F1563">
        <v>45526777</v>
      </c>
      <c r="G1563">
        <v>59144366</v>
      </c>
      <c r="H1563">
        <v>4632</v>
      </c>
      <c r="I1563">
        <v>3166</v>
      </c>
      <c r="J1563">
        <v>7798</v>
      </c>
      <c r="K1563" t="b">
        <f>TrafficData[[#This Row],[disposedChallan]]+TrafficData[[#This Row],[pendingChallan]]=TrafficData[[#This Row],[totalChallan]]</f>
        <v>1</v>
      </c>
      <c r="L1563" t="b">
        <f>TrafficData[[#This Row],[pendingAmount]]+TrafficData[[#This Row],[disposedAmount]]=TrafficData[[#This Row],[totalAmount]]</f>
        <v>1</v>
      </c>
      <c r="M1563" t="b">
        <f>TrafficData[[#This Row],[pendingCourt]]+TrafficData[[#This Row],[disposedCourt]]=TrafficData[[#This Row],[totalCourt]]</f>
        <v>1</v>
      </c>
      <c r="N1563" s="8" t="b">
        <f>AND(TrafficData[[#This Row],[disposedChallan]]&lt;=TrafficData[[#This Row],[totalChallan]],TrafficData[[#This Row],[pendingChallan]]&lt;=TrafficData[[#This Row],[totalChallan]])</f>
        <v>1</v>
      </c>
      <c r="O1563" s="8" t="b">
        <f>AND(TrafficData[[#This Row],[pendingAmount]]&lt;=TrafficData[[#This Row],[totalAmount]],TrafficData[[#This Row],[disposedAmount]]&lt;=TrafficData[[#This Row],[totalAmount]])</f>
        <v>1</v>
      </c>
      <c r="P1563" s="8" t="b">
        <f>AND(TrafficData[[#This Row],[pendingCourt]]&lt;=TrafficData[[#This Row],[totalCourt]],TrafficData[[#This Row],[disposedCourt]]&lt;=TrafficData[[#This Row],[totalCourt]])</f>
        <v>1</v>
      </c>
    </row>
    <row r="1564" spans="1:16">
      <c r="A1564" s="1">
        <v>43567</v>
      </c>
      <c r="B1564">
        <v>25647</v>
      </c>
      <c r="C1564">
        <v>20459</v>
      </c>
      <c r="D1564">
        <v>5188</v>
      </c>
      <c r="E1564">
        <v>4890652</v>
      </c>
      <c r="F1564">
        <v>30817224</v>
      </c>
      <c r="G1564">
        <v>35707876</v>
      </c>
      <c r="H1564">
        <v>2842</v>
      </c>
      <c r="I1564">
        <v>2982</v>
      </c>
      <c r="J1564">
        <v>5824</v>
      </c>
      <c r="K1564" t="b">
        <f>TrafficData[[#This Row],[disposedChallan]]+TrafficData[[#This Row],[pendingChallan]]=TrafficData[[#This Row],[totalChallan]]</f>
        <v>1</v>
      </c>
      <c r="L1564" t="b">
        <f>TrafficData[[#This Row],[pendingAmount]]+TrafficData[[#This Row],[disposedAmount]]=TrafficData[[#This Row],[totalAmount]]</f>
        <v>1</v>
      </c>
      <c r="M1564" t="b">
        <f>TrafficData[[#This Row],[pendingCourt]]+TrafficData[[#This Row],[disposedCourt]]=TrafficData[[#This Row],[totalCourt]]</f>
        <v>1</v>
      </c>
      <c r="N1564" s="8" t="b">
        <f>AND(TrafficData[[#This Row],[disposedChallan]]&lt;=TrafficData[[#This Row],[totalChallan]],TrafficData[[#This Row],[pendingChallan]]&lt;=TrafficData[[#This Row],[totalChallan]])</f>
        <v>1</v>
      </c>
      <c r="O1564" s="8" t="b">
        <f>AND(TrafficData[[#This Row],[pendingAmount]]&lt;=TrafficData[[#This Row],[totalAmount]],TrafficData[[#This Row],[disposedAmount]]&lt;=TrafficData[[#This Row],[totalAmount]])</f>
        <v>1</v>
      </c>
      <c r="P1564" s="8" t="b">
        <f>AND(TrafficData[[#This Row],[pendingCourt]]&lt;=TrafficData[[#This Row],[totalCourt]],TrafficData[[#This Row],[disposedCourt]]&lt;=TrafficData[[#This Row],[totalCourt]])</f>
        <v>1</v>
      </c>
    </row>
    <row r="1565" spans="1:16">
      <c r="A1565" s="1">
        <v>43568</v>
      </c>
      <c r="B1565">
        <v>22959</v>
      </c>
      <c r="C1565">
        <v>17691</v>
      </c>
      <c r="D1565">
        <v>5268</v>
      </c>
      <c r="E1565">
        <v>4207425</v>
      </c>
      <c r="F1565">
        <v>20424588</v>
      </c>
      <c r="G1565">
        <v>24632013</v>
      </c>
      <c r="H1565">
        <v>2491</v>
      </c>
      <c r="I1565">
        <v>2384</v>
      </c>
      <c r="J1565">
        <v>4875</v>
      </c>
      <c r="K1565" t="b">
        <f>TrafficData[[#This Row],[disposedChallan]]+TrafficData[[#This Row],[pendingChallan]]=TrafficData[[#This Row],[totalChallan]]</f>
        <v>1</v>
      </c>
      <c r="L1565" t="b">
        <f>TrafficData[[#This Row],[pendingAmount]]+TrafficData[[#This Row],[disposedAmount]]=TrafficData[[#This Row],[totalAmount]]</f>
        <v>1</v>
      </c>
      <c r="M1565" t="b">
        <f>TrafficData[[#This Row],[pendingCourt]]+TrafficData[[#This Row],[disposedCourt]]=TrafficData[[#This Row],[totalCourt]]</f>
        <v>1</v>
      </c>
      <c r="N1565" s="8" t="b">
        <f>AND(TrafficData[[#This Row],[disposedChallan]]&lt;=TrafficData[[#This Row],[totalChallan]],TrafficData[[#This Row],[pendingChallan]]&lt;=TrafficData[[#This Row],[totalChallan]])</f>
        <v>1</v>
      </c>
      <c r="O1565" s="8" t="b">
        <f>AND(TrafficData[[#This Row],[pendingAmount]]&lt;=TrafficData[[#This Row],[totalAmount]],TrafficData[[#This Row],[disposedAmount]]&lt;=TrafficData[[#This Row],[totalAmount]])</f>
        <v>1</v>
      </c>
      <c r="P1565" s="8" t="b">
        <f>AND(TrafficData[[#This Row],[pendingCourt]]&lt;=TrafficData[[#This Row],[totalCourt]],TrafficData[[#This Row],[disposedCourt]]&lt;=TrafficData[[#This Row],[totalCourt]])</f>
        <v>1</v>
      </c>
    </row>
    <row r="1566" spans="1:16">
      <c r="A1566" s="1">
        <v>43569</v>
      </c>
      <c r="B1566">
        <v>18802</v>
      </c>
      <c r="C1566">
        <v>14687</v>
      </c>
      <c r="D1566">
        <v>4115</v>
      </c>
      <c r="E1566">
        <v>2744050</v>
      </c>
      <c r="F1566">
        <v>14933032</v>
      </c>
      <c r="G1566">
        <v>17677082</v>
      </c>
      <c r="H1566">
        <v>1695</v>
      </c>
      <c r="I1566">
        <v>2076</v>
      </c>
      <c r="J1566">
        <v>3771</v>
      </c>
      <c r="K1566" t="b">
        <f>TrafficData[[#This Row],[disposedChallan]]+TrafficData[[#This Row],[pendingChallan]]=TrafficData[[#This Row],[totalChallan]]</f>
        <v>1</v>
      </c>
      <c r="L1566" t="b">
        <f>TrafficData[[#This Row],[pendingAmount]]+TrafficData[[#This Row],[disposedAmount]]=TrafficData[[#This Row],[totalAmount]]</f>
        <v>1</v>
      </c>
      <c r="M1566" t="b">
        <f>TrafficData[[#This Row],[pendingCourt]]+TrafficData[[#This Row],[disposedCourt]]=TrafficData[[#This Row],[totalCourt]]</f>
        <v>1</v>
      </c>
      <c r="N1566" s="8" t="b">
        <f>AND(TrafficData[[#This Row],[disposedChallan]]&lt;=TrafficData[[#This Row],[totalChallan]],TrafficData[[#This Row],[pendingChallan]]&lt;=TrafficData[[#This Row],[totalChallan]])</f>
        <v>1</v>
      </c>
      <c r="O1566" s="8" t="b">
        <f>AND(TrafficData[[#This Row],[pendingAmount]]&lt;=TrafficData[[#This Row],[totalAmount]],TrafficData[[#This Row],[disposedAmount]]&lt;=TrafficData[[#This Row],[totalAmount]])</f>
        <v>1</v>
      </c>
      <c r="P1566" s="8" t="b">
        <f>AND(TrafficData[[#This Row],[pendingCourt]]&lt;=TrafficData[[#This Row],[totalCourt]],TrafficData[[#This Row],[disposedCourt]]&lt;=TrafficData[[#This Row],[totalCourt]])</f>
        <v>1</v>
      </c>
    </row>
    <row r="1567" spans="1:16">
      <c r="A1567" s="1">
        <v>43570</v>
      </c>
      <c r="B1567">
        <v>24450</v>
      </c>
      <c r="C1567">
        <v>19552</v>
      </c>
      <c r="D1567">
        <v>4898</v>
      </c>
      <c r="E1567">
        <v>5182257</v>
      </c>
      <c r="F1567">
        <v>21408494</v>
      </c>
      <c r="G1567">
        <v>26590751</v>
      </c>
      <c r="H1567">
        <v>2388</v>
      </c>
      <c r="I1567">
        <v>2757</v>
      </c>
      <c r="J1567">
        <v>5145</v>
      </c>
      <c r="K1567" t="b">
        <f>TrafficData[[#This Row],[disposedChallan]]+TrafficData[[#This Row],[pendingChallan]]=TrafficData[[#This Row],[totalChallan]]</f>
        <v>1</v>
      </c>
      <c r="L1567" t="b">
        <f>TrafficData[[#This Row],[pendingAmount]]+TrafficData[[#This Row],[disposedAmount]]=TrafficData[[#This Row],[totalAmount]]</f>
        <v>1</v>
      </c>
      <c r="M1567" t="b">
        <f>TrafficData[[#This Row],[pendingCourt]]+TrafficData[[#This Row],[disposedCourt]]=TrafficData[[#This Row],[totalCourt]]</f>
        <v>1</v>
      </c>
      <c r="N1567" s="8" t="b">
        <f>AND(TrafficData[[#This Row],[disposedChallan]]&lt;=TrafficData[[#This Row],[totalChallan]],TrafficData[[#This Row],[pendingChallan]]&lt;=TrafficData[[#This Row],[totalChallan]])</f>
        <v>1</v>
      </c>
      <c r="O1567" s="8" t="b">
        <f>AND(TrafficData[[#This Row],[pendingAmount]]&lt;=TrafficData[[#This Row],[totalAmount]],TrafficData[[#This Row],[disposedAmount]]&lt;=TrafficData[[#This Row],[totalAmount]])</f>
        <v>1</v>
      </c>
      <c r="P1567" s="8" t="b">
        <f>AND(TrafficData[[#This Row],[pendingCourt]]&lt;=TrafficData[[#This Row],[totalCourt]],TrafficData[[#This Row],[disposedCourt]]&lt;=TrafficData[[#This Row],[totalCourt]])</f>
        <v>1</v>
      </c>
    </row>
    <row r="1568" spans="1:16">
      <c r="A1568" s="1">
        <v>43571</v>
      </c>
      <c r="B1568">
        <v>26195</v>
      </c>
      <c r="C1568">
        <v>20674</v>
      </c>
      <c r="D1568">
        <v>5521</v>
      </c>
      <c r="E1568">
        <v>6375185</v>
      </c>
      <c r="F1568">
        <v>29740770</v>
      </c>
      <c r="G1568">
        <v>36115955</v>
      </c>
      <c r="H1568">
        <v>2767</v>
      </c>
      <c r="I1568">
        <v>3303</v>
      </c>
      <c r="J1568">
        <v>6070</v>
      </c>
      <c r="K1568" t="b">
        <f>TrafficData[[#This Row],[disposedChallan]]+TrafficData[[#This Row],[pendingChallan]]=TrafficData[[#This Row],[totalChallan]]</f>
        <v>1</v>
      </c>
      <c r="L1568" t="b">
        <f>TrafficData[[#This Row],[pendingAmount]]+TrafficData[[#This Row],[disposedAmount]]=TrafficData[[#This Row],[totalAmount]]</f>
        <v>1</v>
      </c>
      <c r="M1568" t="b">
        <f>TrafficData[[#This Row],[pendingCourt]]+TrafficData[[#This Row],[disposedCourt]]=TrafficData[[#This Row],[totalCourt]]</f>
        <v>1</v>
      </c>
      <c r="N1568" s="8" t="b">
        <f>AND(TrafficData[[#This Row],[disposedChallan]]&lt;=TrafficData[[#This Row],[totalChallan]],TrafficData[[#This Row],[pendingChallan]]&lt;=TrafficData[[#This Row],[totalChallan]])</f>
        <v>1</v>
      </c>
      <c r="O1568" s="8" t="b">
        <f>AND(TrafficData[[#This Row],[pendingAmount]]&lt;=TrafficData[[#This Row],[totalAmount]],TrafficData[[#This Row],[disposedAmount]]&lt;=TrafficData[[#This Row],[totalAmount]])</f>
        <v>1</v>
      </c>
      <c r="P1568" s="8" t="b">
        <f>AND(TrafficData[[#This Row],[pendingCourt]]&lt;=TrafficData[[#This Row],[totalCourt]],TrafficData[[#This Row],[disposedCourt]]&lt;=TrafficData[[#This Row],[totalCourt]])</f>
        <v>1</v>
      </c>
    </row>
    <row r="1569" spans="1:16">
      <c r="A1569" s="1">
        <v>43572</v>
      </c>
      <c r="B1569">
        <v>29331</v>
      </c>
      <c r="C1569">
        <v>22582</v>
      </c>
      <c r="D1569">
        <v>6749</v>
      </c>
      <c r="E1569">
        <v>12995975</v>
      </c>
      <c r="F1569">
        <v>46045260</v>
      </c>
      <c r="G1569">
        <v>59041235</v>
      </c>
      <c r="H1569">
        <v>4290</v>
      </c>
      <c r="I1569">
        <v>3425</v>
      </c>
      <c r="J1569">
        <v>7715</v>
      </c>
      <c r="K1569" t="b">
        <f>TrafficData[[#This Row],[disposedChallan]]+TrafficData[[#This Row],[pendingChallan]]=TrafficData[[#This Row],[totalChallan]]</f>
        <v>1</v>
      </c>
      <c r="L1569" t="b">
        <f>TrafficData[[#This Row],[pendingAmount]]+TrafficData[[#This Row],[disposedAmount]]=TrafficData[[#This Row],[totalAmount]]</f>
        <v>1</v>
      </c>
      <c r="M1569" t="b">
        <f>TrafficData[[#This Row],[pendingCourt]]+TrafficData[[#This Row],[disposedCourt]]=TrafficData[[#This Row],[totalCourt]]</f>
        <v>1</v>
      </c>
      <c r="N1569" s="8" t="b">
        <f>AND(TrafficData[[#This Row],[disposedChallan]]&lt;=TrafficData[[#This Row],[totalChallan]],TrafficData[[#This Row],[pendingChallan]]&lt;=TrafficData[[#This Row],[totalChallan]])</f>
        <v>1</v>
      </c>
      <c r="O1569" s="8" t="b">
        <f>AND(TrafficData[[#This Row],[pendingAmount]]&lt;=TrafficData[[#This Row],[totalAmount]],TrafficData[[#This Row],[disposedAmount]]&lt;=TrafficData[[#This Row],[totalAmount]])</f>
        <v>1</v>
      </c>
      <c r="P1569" s="8" t="b">
        <f>AND(TrafficData[[#This Row],[pendingCourt]]&lt;=TrafficData[[#This Row],[totalCourt]],TrafficData[[#This Row],[disposedCourt]]&lt;=TrafficData[[#This Row],[totalCourt]])</f>
        <v>1</v>
      </c>
    </row>
    <row r="1570" spans="1:16">
      <c r="A1570" s="1">
        <v>43573</v>
      </c>
      <c r="B1570">
        <v>27441</v>
      </c>
      <c r="C1570">
        <v>22039</v>
      </c>
      <c r="D1570">
        <v>5402</v>
      </c>
      <c r="E1570">
        <v>6803042</v>
      </c>
      <c r="F1570">
        <v>30776475</v>
      </c>
      <c r="G1570">
        <v>37579517</v>
      </c>
      <c r="H1570">
        <v>3067</v>
      </c>
      <c r="I1570">
        <v>3051</v>
      </c>
      <c r="J1570">
        <v>6118</v>
      </c>
      <c r="K1570" t="b">
        <f>TrafficData[[#This Row],[disposedChallan]]+TrafficData[[#This Row],[pendingChallan]]=TrafficData[[#This Row],[totalChallan]]</f>
        <v>1</v>
      </c>
      <c r="L1570" t="b">
        <f>TrafficData[[#This Row],[pendingAmount]]+TrafficData[[#This Row],[disposedAmount]]=TrafficData[[#This Row],[totalAmount]]</f>
        <v>1</v>
      </c>
      <c r="M1570" t="b">
        <f>TrafficData[[#This Row],[pendingCourt]]+TrafficData[[#This Row],[disposedCourt]]=TrafficData[[#This Row],[totalCourt]]</f>
        <v>1</v>
      </c>
      <c r="N1570" s="8" t="b">
        <f>AND(TrafficData[[#This Row],[disposedChallan]]&lt;=TrafficData[[#This Row],[totalChallan]],TrafficData[[#This Row],[pendingChallan]]&lt;=TrafficData[[#This Row],[totalChallan]])</f>
        <v>1</v>
      </c>
      <c r="O1570" s="8" t="b">
        <f>AND(TrafficData[[#This Row],[pendingAmount]]&lt;=TrafficData[[#This Row],[totalAmount]],TrafficData[[#This Row],[disposedAmount]]&lt;=TrafficData[[#This Row],[totalAmount]])</f>
        <v>1</v>
      </c>
      <c r="P1570" s="8" t="b">
        <f>AND(TrafficData[[#This Row],[pendingCourt]]&lt;=TrafficData[[#This Row],[totalCourt]],TrafficData[[#This Row],[disposedCourt]]&lt;=TrafficData[[#This Row],[totalCourt]])</f>
        <v>1</v>
      </c>
    </row>
    <row r="1571" spans="1:16">
      <c r="A1571" s="1">
        <v>43574</v>
      </c>
      <c r="B1571">
        <v>27519</v>
      </c>
      <c r="C1571">
        <v>21505</v>
      </c>
      <c r="D1571">
        <v>6014</v>
      </c>
      <c r="E1571">
        <v>5926275</v>
      </c>
      <c r="F1571">
        <v>27834100</v>
      </c>
      <c r="G1571">
        <v>33760375</v>
      </c>
      <c r="H1571">
        <v>3633</v>
      </c>
      <c r="I1571">
        <v>3026</v>
      </c>
      <c r="J1571">
        <v>6659</v>
      </c>
      <c r="K1571" t="b">
        <f>TrafficData[[#This Row],[disposedChallan]]+TrafficData[[#This Row],[pendingChallan]]=TrafficData[[#This Row],[totalChallan]]</f>
        <v>1</v>
      </c>
      <c r="L1571" t="b">
        <f>TrafficData[[#This Row],[pendingAmount]]+TrafficData[[#This Row],[disposedAmount]]=TrafficData[[#This Row],[totalAmount]]</f>
        <v>1</v>
      </c>
      <c r="M1571" t="b">
        <f>TrafficData[[#This Row],[pendingCourt]]+TrafficData[[#This Row],[disposedCourt]]=TrafficData[[#This Row],[totalCourt]]</f>
        <v>1</v>
      </c>
      <c r="N1571" s="8" t="b">
        <f>AND(TrafficData[[#This Row],[disposedChallan]]&lt;=TrafficData[[#This Row],[totalChallan]],TrafficData[[#This Row],[pendingChallan]]&lt;=TrafficData[[#This Row],[totalChallan]])</f>
        <v>1</v>
      </c>
      <c r="O1571" s="8" t="b">
        <f>AND(TrafficData[[#This Row],[pendingAmount]]&lt;=TrafficData[[#This Row],[totalAmount]],TrafficData[[#This Row],[disposedAmount]]&lt;=TrafficData[[#This Row],[totalAmount]])</f>
        <v>1</v>
      </c>
      <c r="P1571" s="8" t="b">
        <f>AND(TrafficData[[#This Row],[pendingCourt]]&lt;=TrafficData[[#This Row],[totalCourt]],TrafficData[[#This Row],[disposedCourt]]&lt;=TrafficData[[#This Row],[totalCourt]])</f>
        <v>1</v>
      </c>
    </row>
    <row r="1572" spans="1:16">
      <c r="A1572" s="1">
        <v>43575</v>
      </c>
      <c r="B1572">
        <v>27180</v>
      </c>
      <c r="C1572">
        <v>21887</v>
      </c>
      <c r="D1572">
        <v>5293</v>
      </c>
      <c r="E1572">
        <v>5630464</v>
      </c>
      <c r="F1572">
        <v>26990905</v>
      </c>
      <c r="G1572">
        <v>32621369</v>
      </c>
      <c r="H1572">
        <v>2719</v>
      </c>
      <c r="I1572">
        <v>3048</v>
      </c>
      <c r="J1572">
        <v>5767</v>
      </c>
      <c r="K1572" t="b">
        <f>TrafficData[[#This Row],[disposedChallan]]+TrafficData[[#This Row],[pendingChallan]]=TrafficData[[#This Row],[totalChallan]]</f>
        <v>1</v>
      </c>
      <c r="L1572" t="b">
        <f>TrafficData[[#This Row],[pendingAmount]]+TrafficData[[#This Row],[disposedAmount]]=TrafficData[[#This Row],[totalAmount]]</f>
        <v>1</v>
      </c>
      <c r="M1572" t="b">
        <f>TrafficData[[#This Row],[pendingCourt]]+TrafficData[[#This Row],[disposedCourt]]=TrafficData[[#This Row],[totalCourt]]</f>
        <v>1</v>
      </c>
      <c r="N1572" s="8" t="b">
        <f>AND(TrafficData[[#This Row],[disposedChallan]]&lt;=TrafficData[[#This Row],[totalChallan]],TrafficData[[#This Row],[pendingChallan]]&lt;=TrafficData[[#This Row],[totalChallan]])</f>
        <v>1</v>
      </c>
      <c r="O1572" s="8" t="b">
        <f>AND(TrafficData[[#This Row],[pendingAmount]]&lt;=TrafficData[[#This Row],[totalAmount]],TrafficData[[#This Row],[disposedAmount]]&lt;=TrafficData[[#This Row],[totalAmount]])</f>
        <v>1</v>
      </c>
      <c r="P1572" s="8" t="b">
        <f>AND(TrafficData[[#This Row],[pendingCourt]]&lt;=TrafficData[[#This Row],[totalCourt]],TrafficData[[#This Row],[disposedCourt]]&lt;=TrafficData[[#This Row],[totalCourt]])</f>
        <v>1</v>
      </c>
    </row>
    <row r="1573" spans="1:16">
      <c r="A1573" s="1">
        <v>43576</v>
      </c>
      <c r="B1573">
        <v>24999</v>
      </c>
      <c r="C1573">
        <v>19284</v>
      </c>
      <c r="D1573">
        <v>5715</v>
      </c>
      <c r="E1573">
        <v>3090385</v>
      </c>
      <c r="F1573">
        <v>20214377</v>
      </c>
      <c r="G1573">
        <v>23304762</v>
      </c>
      <c r="H1573">
        <v>2041</v>
      </c>
      <c r="I1573">
        <v>2389</v>
      </c>
      <c r="J1573">
        <v>4430</v>
      </c>
      <c r="K1573" t="b">
        <f>TrafficData[[#This Row],[disposedChallan]]+TrafficData[[#This Row],[pendingChallan]]=TrafficData[[#This Row],[totalChallan]]</f>
        <v>1</v>
      </c>
      <c r="L1573" t="b">
        <f>TrafficData[[#This Row],[pendingAmount]]+TrafficData[[#This Row],[disposedAmount]]=TrafficData[[#This Row],[totalAmount]]</f>
        <v>1</v>
      </c>
      <c r="M1573" t="b">
        <f>TrafficData[[#This Row],[pendingCourt]]+TrafficData[[#This Row],[disposedCourt]]=TrafficData[[#This Row],[totalCourt]]</f>
        <v>1</v>
      </c>
      <c r="N1573" s="8" t="b">
        <f>AND(TrafficData[[#This Row],[disposedChallan]]&lt;=TrafficData[[#This Row],[totalChallan]],TrafficData[[#This Row],[pendingChallan]]&lt;=TrafficData[[#This Row],[totalChallan]])</f>
        <v>1</v>
      </c>
      <c r="O1573" s="8" t="b">
        <f>AND(TrafficData[[#This Row],[pendingAmount]]&lt;=TrafficData[[#This Row],[totalAmount]],TrafficData[[#This Row],[disposedAmount]]&lt;=TrafficData[[#This Row],[totalAmount]])</f>
        <v>1</v>
      </c>
      <c r="P1573" s="8" t="b">
        <f>AND(TrafficData[[#This Row],[pendingCourt]]&lt;=TrafficData[[#This Row],[totalCourt]],TrafficData[[#This Row],[disposedCourt]]&lt;=TrafficData[[#This Row],[totalCourt]])</f>
        <v>1</v>
      </c>
    </row>
    <row r="1574" spans="1:16">
      <c r="A1574" s="1">
        <v>43577</v>
      </c>
      <c r="B1574">
        <v>30281</v>
      </c>
      <c r="C1574">
        <v>22823</v>
      </c>
      <c r="D1574">
        <v>7458</v>
      </c>
      <c r="E1574">
        <v>4353445</v>
      </c>
      <c r="F1574">
        <v>28862809</v>
      </c>
      <c r="G1574">
        <v>33216254</v>
      </c>
      <c r="H1574">
        <v>3742</v>
      </c>
      <c r="I1574">
        <v>3157</v>
      </c>
      <c r="J1574">
        <v>6899</v>
      </c>
      <c r="K1574" t="b">
        <f>TrafficData[[#This Row],[disposedChallan]]+TrafficData[[#This Row],[pendingChallan]]=TrafficData[[#This Row],[totalChallan]]</f>
        <v>1</v>
      </c>
      <c r="L1574" t="b">
        <f>TrafficData[[#This Row],[pendingAmount]]+TrafficData[[#This Row],[disposedAmount]]=TrafficData[[#This Row],[totalAmount]]</f>
        <v>1</v>
      </c>
      <c r="M1574" t="b">
        <f>TrafficData[[#This Row],[pendingCourt]]+TrafficData[[#This Row],[disposedCourt]]=TrafficData[[#This Row],[totalCourt]]</f>
        <v>1</v>
      </c>
      <c r="N1574" s="8" t="b">
        <f>AND(TrafficData[[#This Row],[disposedChallan]]&lt;=TrafficData[[#This Row],[totalChallan]],TrafficData[[#This Row],[pendingChallan]]&lt;=TrafficData[[#This Row],[totalChallan]])</f>
        <v>1</v>
      </c>
      <c r="O1574" s="8" t="b">
        <f>AND(TrafficData[[#This Row],[pendingAmount]]&lt;=TrafficData[[#This Row],[totalAmount]],TrafficData[[#This Row],[disposedAmount]]&lt;=TrafficData[[#This Row],[totalAmount]])</f>
        <v>1</v>
      </c>
      <c r="P1574" s="8" t="b">
        <f>AND(TrafficData[[#This Row],[pendingCourt]]&lt;=TrafficData[[#This Row],[totalCourt]],TrafficData[[#This Row],[disposedCourt]]&lt;=TrafficData[[#This Row],[totalCourt]])</f>
        <v>1</v>
      </c>
    </row>
    <row r="1575" spans="1:16">
      <c r="A1575" s="1">
        <v>43578</v>
      </c>
      <c r="B1575">
        <v>29467</v>
      </c>
      <c r="C1575">
        <v>22779</v>
      </c>
      <c r="D1575">
        <v>6688</v>
      </c>
      <c r="E1575">
        <v>5471090</v>
      </c>
      <c r="F1575">
        <v>25751550</v>
      </c>
      <c r="G1575">
        <v>31222640</v>
      </c>
      <c r="H1575">
        <v>3295</v>
      </c>
      <c r="I1575">
        <v>3099</v>
      </c>
      <c r="J1575">
        <v>6394</v>
      </c>
      <c r="K1575" t="b">
        <f>TrafficData[[#This Row],[disposedChallan]]+TrafficData[[#This Row],[pendingChallan]]=TrafficData[[#This Row],[totalChallan]]</f>
        <v>1</v>
      </c>
      <c r="L1575" t="b">
        <f>TrafficData[[#This Row],[pendingAmount]]+TrafficData[[#This Row],[disposedAmount]]=TrafficData[[#This Row],[totalAmount]]</f>
        <v>1</v>
      </c>
      <c r="M1575" t="b">
        <f>TrafficData[[#This Row],[pendingCourt]]+TrafficData[[#This Row],[disposedCourt]]=TrafficData[[#This Row],[totalCourt]]</f>
        <v>1</v>
      </c>
      <c r="N1575" s="8" t="b">
        <f>AND(TrafficData[[#This Row],[disposedChallan]]&lt;=TrafficData[[#This Row],[totalChallan]],TrafficData[[#This Row],[pendingChallan]]&lt;=TrafficData[[#This Row],[totalChallan]])</f>
        <v>1</v>
      </c>
      <c r="O1575" s="8" t="b">
        <f>AND(TrafficData[[#This Row],[pendingAmount]]&lt;=TrafficData[[#This Row],[totalAmount]],TrafficData[[#This Row],[disposedAmount]]&lt;=TrafficData[[#This Row],[totalAmount]])</f>
        <v>1</v>
      </c>
      <c r="P1575" s="8" t="b">
        <f>AND(TrafficData[[#This Row],[pendingCourt]]&lt;=TrafficData[[#This Row],[totalCourt]],TrafficData[[#This Row],[disposedCourt]]&lt;=TrafficData[[#This Row],[totalCourt]])</f>
        <v>1</v>
      </c>
    </row>
    <row r="1576" spans="1:16">
      <c r="A1576" s="1">
        <v>43579</v>
      </c>
      <c r="B1576">
        <v>29385</v>
      </c>
      <c r="C1576">
        <v>22473</v>
      </c>
      <c r="D1576">
        <v>6912</v>
      </c>
      <c r="E1576">
        <v>5231818</v>
      </c>
      <c r="F1576">
        <v>28281786</v>
      </c>
      <c r="G1576">
        <v>33513604</v>
      </c>
      <c r="H1576">
        <v>3469</v>
      </c>
      <c r="I1576">
        <v>2568</v>
      </c>
      <c r="J1576">
        <v>6037</v>
      </c>
      <c r="K1576" t="b">
        <f>TrafficData[[#This Row],[disposedChallan]]+TrafficData[[#This Row],[pendingChallan]]=TrafficData[[#This Row],[totalChallan]]</f>
        <v>1</v>
      </c>
      <c r="L1576" t="b">
        <f>TrafficData[[#This Row],[pendingAmount]]+TrafficData[[#This Row],[disposedAmount]]=TrafficData[[#This Row],[totalAmount]]</f>
        <v>1</v>
      </c>
      <c r="M1576" t="b">
        <f>TrafficData[[#This Row],[pendingCourt]]+TrafficData[[#This Row],[disposedCourt]]=TrafficData[[#This Row],[totalCourt]]</f>
        <v>1</v>
      </c>
      <c r="N1576" s="8" t="b">
        <f>AND(TrafficData[[#This Row],[disposedChallan]]&lt;=TrafficData[[#This Row],[totalChallan]],TrafficData[[#This Row],[pendingChallan]]&lt;=TrafficData[[#This Row],[totalChallan]])</f>
        <v>1</v>
      </c>
      <c r="O1576" s="8" t="b">
        <f>AND(TrafficData[[#This Row],[pendingAmount]]&lt;=TrafficData[[#This Row],[totalAmount]],TrafficData[[#This Row],[disposedAmount]]&lt;=TrafficData[[#This Row],[totalAmount]])</f>
        <v>1</v>
      </c>
      <c r="P1576" s="8" t="b">
        <f>AND(TrafficData[[#This Row],[pendingCourt]]&lt;=TrafficData[[#This Row],[totalCourt]],TrafficData[[#This Row],[disposedCourt]]&lt;=TrafficData[[#This Row],[totalCourt]])</f>
        <v>1</v>
      </c>
    </row>
    <row r="1577" spans="1:16">
      <c r="A1577" s="1">
        <v>43580</v>
      </c>
      <c r="B1577">
        <v>30934</v>
      </c>
      <c r="C1577">
        <v>23659</v>
      </c>
      <c r="D1577">
        <v>7275</v>
      </c>
      <c r="E1577">
        <v>13453945</v>
      </c>
      <c r="F1577">
        <v>47765091</v>
      </c>
      <c r="G1577">
        <v>61219036</v>
      </c>
      <c r="H1577">
        <v>3396</v>
      </c>
      <c r="I1577">
        <v>2418</v>
      </c>
      <c r="J1577">
        <v>5814</v>
      </c>
      <c r="K1577" t="b">
        <f>TrafficData[[#This Row],[disposedChallan]]+TrafficData[[#This Row],[pendingChallan]]=TrafficData[[#This Row],[totalChallan]]</f>
        <v>1</v>
      </c>
      <c r="L1577" t="b">
        <f>TrafficData[[#This Row],[pendingAmount]]+TrafficData[[#This Row],[disposedAmount]]=TrafficData[[#This Row],[totalAmount]]</f>
        <v>1</v>
      </c>
      <c r="M1577" t="b">
        <f>TrafficData[[#This Row],[pendingCourt]]+TrafficData[[#This Row],[disposedCourt]]=TrafficData[[#This Row],[totalCourt]]</f>
        <v>1</v>
      </c>
      <c r="N1577" s="8" t="b">
        <f>AND(TrafficData[[#This Row],[disposedChallan]]&lt;=TrafficData[[#This Row],[totalChallan]],TrafficData[[#This Row],[pendingChallan]]&lt;=TrafficData[[#This Row],[totalChallan]])</f>
        <v>1</v>
      </c>
      <c r="O1577" s="8" t="b">
        <f>AND(TrafficData[[#This Row],[pendingAmount]]&lt;=TrafficData[[#This Row],[totalAmount]],TrafficData[[#This Row],[disposedAmount]]&lt;=TrafficData[[#This Row],[totalAmount]])</f>
        <v>1</v>
      </c>
      <c r="P1577" s="8" t="b">
        <f>AND(TrafficData[[#This Row],[pendingCourt]]&lt;=TrafficData[[#This Row],[totalCourt]],TrafficData[[#This Row],[disposedCourt]]&lt;=TrafficData[[#This Row],[totalCourt]])</f>
        <v>1</v>
      </c>
    </row>
    <row r="1578" spans="1:16">
      <c r="A1578" s="1">
        <v>43581</v>
      </c>
      <c r="B1578">
        <v>33641</v>
      </c>
      <c r="C1578">
        <v>24906</v>
      </c>
      <c r="D1578">
        <v>8735</v>
      </c>
      <c r="E1578">
        <v>9065135</v>
      </c>
      <c r="F1578">
        <v>31777426</v>
      </c>
      <c r="G1578">
        <v>40842561</v>
      </c>
      <c r="H1578">
        <v>4957</v>
      </c>
      <c r="I1578">
        <v>2602</v>
      </c>
      <c r="J1578">
        <v>7559</v>
      </c>
      <c r="K1578" t="b">
        <f>TrafficData[[#This Row],[disposedChallan]]+TrafficData[[#This Row],[pendingChallan]]=TrafficData[[#This Row],[totalChallan]]</f>
        <v>1</v>
      </c>
      <c r="L1578" t="b">
        <f>TrafficData[[#This Row],[pendingAmount]]+TrafficData[[#This Row],[disposedAmount]]=TrafficData[[#This Row],[totalAmount]]</f>
        <v>1</v>
      </c>
      <c r="M1578" t="b">
        <f>TrafficData[[#This Row],[pendingCourt]]+TrafficData[[#This Row],[disposedCourt]]=TrafficData[[#This Row],[totalCourt]]</f>
        <v>1</v>
      </c>
      <c r="N1578" s="8" t="b">
        <f>AND(TrafficData[[#This Row],[disposedChallan]]&lt;=TrafficData[[#This Row],[totalChallan]],TrafficData[[#This Row],[pendingChallan]]&lt;=TrafficData[[#This Row],[totalChallan]])</f>
        <v>1</v>
      </c>
      <c r="O1578" s="8" t="b">
        <f>AND(TrafficData[[#This Row],[pendingAmount]]&lt;=TrafficData[[#This Row],[totalAmount]],TrafficData[[#This Row],[disposedAmount]]&lt;=TrafficData[[#This Row],[totalAmount]])</f>
        <v>1</v>
      </c>
      <c r="P1578" s="8" t="b">
        <f>AND(TrafficData[[#This Row],[pendingCourt]]&lt;=TrafficData[[#This Row],[totalCourt]],TrafficData[[#This Row],[disposedCourt]]&lt;=TrafficData[[#This Row],[totalCourt]])</f>
        <v>1</v>
      </c>
    </row>
    <row r="1579" spans="1:16">
      <c r="A1579" s="1">
        <v>43582</v>
      </c>
      <c r="B1579">
        <v>29611</v>
      </c>
      <c r="C1579">
        <v>22949</v>
      </c>
      <c r="D1579">
        <v>6662</v>
      </c>
      <c r="E1579">
        <v>6951276</v>
      </c>
      <c r="F1579">
        <v>26359189</v>
      </c>
      <c r="G1579">
        <v>33310465</v>
      </c>
      <c r="H1579">
        <v>3618</v>
      </c>
      <c r="I1579">
        <v>2626</v>
      </c>
      <c r="J1579">
        <v>6244</v>
      </c>
      <c r="K1579" t="b">
        <f>TrafficData[[#This Row],[disposedChallan]]+TrafficData[[#This Row],[pendingChallan]]=TrafficData[[#This Row],[totalChallan]]</f>
        <v>1</v>
      </c>
      <c r="L1579" t="b">
        <f>TrafficData[[#This Row],[pendingAmount]]+TrafficData[[#This Row],[disposedAmount]]=TrafficData[[#This Row],[totalAmount]]</f>
        <v>1</v>
      </c>
      <c r="M1579" t="b">
        <f>TrafficData[[#This Row],[pendingCourt]]+TrafficData[[#This Row],[disposedCourt]]=TrafficData[[#This Row],[totalCourt]]</f>
        <v>1</v>
      </c>
      <c r="N1579" s="8" t="b">
        <f>AND(TrafficData[[#This Row],[disposedChallan]]&lt;=TrafficData[[#This Row],[totalChallan]],TrafficData[[#This Row],[pendingChallan]]&lt;=TrafficData[[#This Row],[totalChallan]])</f>
        <v>1</v>
      </c>
      <c r="O1579" s="8" t="b">
        <f>AND(TrafficData[[#This Row],[pendingAmount]]&lt;=TrafficData[[#This Row],[totalAmount]],TrafficData[[#This Row],[disposedAmount]]&lt;=TrafficData[[#This Row],[totalAmount]])</f>
        <v>1</v>
      </c>
      <c r="P1579" s="8" t="b">
        <f>AND(TrafficData[[#This Row],[pendingCourt]]&lt;=TrafficData[[#This Row],[totalCourt]],TrafficData[[#This Row],[disposedCourt]]&lt;=TrafficData[[#This Row],[totalCourt]])</f>
        <v>1</v>
      </c>
    </row>
    <row r="1580" spans="1:16">
      <c r="A1580" s="1">
        <v>43583</v>
      </c>
      <c r="B1580">
        <v>21711</v>
      </c>
      <c r="C1580">
        <v>16801</v>
      </c>
      <c r="D1580">
        <v>4910</v>
      </c>
      <c r="E1580">
        <v>3047874</v>
      </c>
      <c r="F1580">
        <v>17182535</v>
      </c>
      <c r="G1580">
        <v>20230409</v>
      </c>
      <c r="H1580">
        <v>1781</v>
      </c>
      <c r="I1580">
        <v>1742</v>
      </c>
      <c r="J1580">
        <v>3523</v>
      </c>
      <c r="K1580" t="b">
        <f>TrafficData[[#This Row],[disposedChallan]]+TrafficData[[#This Row],[pendingChallan]]=TrafficData[[#This Row],[totalChallan]]</f>
        <v>1</v>
      </c>
      <c r="L1580" t="b">
        <f>TrafficData[[#This Row],[pendingAmount]]+TrafficData[[#This Row],[disposedAmount]]=TrafficData[[#This Row],[totalAmount]]</f>
        <v>1</v>
      </c>
      <c r="M1580" t="b">
        <f>TrafficData[[#This Row],[pendingCourt]]+TrafficData[[#This Row],[disposedCourt]]=TrafficData[[#This Row],[totalCourt]]</f>
        <v>1</v>
      </c>
      <c r="N1580" s="8" t="b">
        <f>AND(TrafficData[[#This Row],[disposedChallan]]&lt;=TrafficData[[#This Row],[totalChallan]],TrafficData[[#This Row],[pendingChallan]]&lt;=TrafficData[[#This Row],[totalChallan]])</f>
        <v>1</v>
      </c>
      <c r="O1580" s="8" t="b">
        <f>AND(TrafficData[[#This Row],[pendingAmount]]&lt;=TrafficData[[#This Row],[totalAmount]],TrafficData[[#This Row],[disposedAmount]]&lt;=TrafficData[[#This Row],[totalAmount]])</f>
        <v>1</v>
      </c>
      <c r="P1580" s="8" t="b">
        <f>AND(TrafficData[[#This Row],[pendingCourt]]&lt;=TrafficData[[#This Row],[totalCourt]],TrafficData[[#This Row],[disposedCourt]]&lt;=TrafficData[[#This Row],[totalCourt]])</f>
        <v>1</v>
      </c>
    </row>
    <row r="1581" spans="1:16">
      <c r="A1581" s="1">
        <v>43584</v>
      </c>
      <c r="B1581">
        <v>30755</v>
      </c>
      <c r="C1581">
        <v>22690</v>
      </c>
      <c r="D1581">
        <v>8065</v>
      </c>
      <c r="E1581">
        <v>5767725</v>
      </c>
      <c r="F1581">
        <v>25781693</v>
      </c>
      <c r="G1581">
        <v>31549418</v>
      </c>
      <c r="H1581">
        <v>4485</v>
      </c>
      <c r="I1581">
        <v>2515</v>
      </c>
      <c r="J1581">
        <v>7000</v>
      </c>
      <c r="K1581" t="b">
        <f>TrafficData[[#This Row],[disposedChallan]]+TrafficData[[#This Row],[pendingChallan]]=TrafficData[[#This Row],[totalChallan]]</f>
        <v>1</v>
      </c>
      <c r="L1581" t="b">
        <f>TrafficData[[#This Row],[pendingAmount]]+TrafficData[[#This Row],[disposedAmount]]=TrafficData[[#This Row],[totalAmount]]</f>
        <v>1</v>
      </c>
      <c r="M1581" t="b">
        <f>TrafficData[[#This Row],[pendingCourt]]+TrafficData[[#This Row],[disposedCourt]]=TrafficData[[#This Row],[totalCourt]]</f>
        <v>1</v>
      </c>
      <c r="N1581" s="8" t="b">
        <f>AND(TrafficData[[#This Row],[disposedChallan]]&lt;=TrafficData[[#This Row],[totalChallan]],TrafficData[[#This Row],[pendingChallan]]&lt;=TrafficData[[#This Row],[totalChallan]])</f>
        <v>1</v>
      </c>
      <c r="O1581" s="8" t="b">
        <f>AND(TrafficData[[#This Row],[pendingAmount]]&lt;=TrafficData[[#This Row],[totalAmount]],TrafficData[[#This Row],[disposedAmount]]&lt;=TrafficData[[#This Row],[totalAmount]])</f>
        <v>1</v>
      </c>
      <c r="P1581" s="8" t="b">
        <f>AND(TrafficData[[#This Row],[pendingCourt]]&lt;=TrafficData[[#This Row],[totalCourt]],TrafficData[[#This Row],[disposedCourt]]&lt;=TrafficData[[#This Row],[totalCourt]])</f>
        <v>1</v>
      </c>
    </row>
    <row r="1582" spans="1:16">
      <c r="A1582" s="1">
        <v>43585</v>
      </c>
      <c r="B1582">
        <v>29799</v>
      </c>
      <c r="C1582">
        <v>22429</v>
      </c>
      <c r="D1582">
        <v>7370</v>
      </c>
      <c r="E1582">
        <v>5476247</v>
      </c>
      <c r="F1582">
        <v>34627270</v>
      </c>
      <c r="G1582">
        <v>40103517</v>
      </c>
      <c r="H1582">
        <v>3344</v>
      </c>
      <c r="I1582">
        <v>2341</v>
      </c>
      <c r="J1582">
        <v>5685</v>
      </c>
      <c r="K1582" t="b">
        <f>TrafficData[[#This Row],[disposedChallan]]+TrafficData[[#This Row],[pendingChallan]]=TrafficData[[#This Row],[totalChallan]]</f>
        <v>1</v>
      </c>
      <c r="L1582" t="b">
        <f>TrafficData[[#This Row],[pendingAmount]]+TrafficData[[#This Row],[disposedAmount]]=TrafficData[[#This Row],[totalAmount]]</f>
        <v>1</v>
      </c>
      <c r="M1582" t="b">
        <f>TrafficData[[#This Row],[pendingCourt]]+TrafficData[[#This Row],[disposedCourt]]=TrafficData[[#This Row],[totalCourt]]</f>
        <v>1</v>
      </c>
      <c r="N1582" s="8" t="b">
        <f>AND(TrafficData[[#This Row],[disposedChallan]]&lt;=TrafficData[[#This Row],[totalChallan]],TrafficData[[#This Row],[pendingChallan]]&lt;=TrafficData[[#This Row],[totalChallan]])</f>
        <v>1</v>
      </c>
      <c r="O1582" s="8" t="b">
        <f>AND(TrafficData[[#This Row],[pendingAmount]]&lt;=TrafficData[[#This Row],[totalAmount]],TrafficData[[#This Row],[disposedAmount]]&lt;=TrafficData[[#This Row],[totalAmount]])</f>
        <v>1</v>
      </c>
      <c r="P1582" s="8" t="b">
        <f>AND(TrafficData[[#This Row],[pendingCourt]]&lt;=TrafficData[[#This Row],[totalCourt]],TrafficData[[#This Row],[disposedCourt]]&lt;=TrafficData[[#This Row],[totalCourt]])</f>
        <v>1</v>
      </c>
    </row>
    <row r="1583" spans="1:16">
      <c r="A1583" s="1">
        <v>43586</v>
      </c>
      <c r="B1583">
        <v>37206</v>
      </c>
      <c r="C1583">
        <v>28157</v>
      </c>
      <c r="D1583">
        <v>9049</v>
      </c>
      <c r="E1583">
        <v>7555817</v>
      </c>
      <c r="F1583">
        <v>41528979</v>
      </c>
      <c r="G1583">
        <v>49084796</v>
      </c>
      <c r="H1583">
        <v>5334</v>
      </c>
      <c r="I1583">
        <v>2774</v>
      </c>
      <c r="J1583">
        <v>8108</v>
      </c>
      <c r="K1583" t="b">
        <f>TrafficData[[#This Row],[disposedChallan]]+TrafficData[[#This Row],[pendingChallan]]=TrafficData[[#This Row],[totalChallan]]</f>
        <v>1</v>
      </c>
      <c r="L1583" t="b">
        <f>TrafficData[[#This Row],[pendingAmount]]+TrafficData[[#This Row],[disposedAmount]]=TrafficData[[#This Row],[totalAmount]]</f>
        <v>1</v>
      </c>
      <c r="M1583" t="b">
        <f>TrafficData[[#This Row],[pendingCourt]]+TrafficData[[#This Row],[disposedCourt]]=TrafficData[[#This Row],[totalCourt]]</f>
        <v>1</v>
      </c>
      <c r="N1583" s="8" t="b">
        <f>AND(TrafficData[[#This Row],[disposedChallan]]&lt;=TrafficData[[#This Row],[totalChallan]],TrafficData[[#This Row],[pendingChallan]]&lt;=TrafficData[[#This Row],[totalChallan]])</f>
        <v>1</v>
      </c>
      <c r="O1583" s="8" t="b">
        <f>AND(TrafficData[[#This Row],[pendingAmount]]&lt;=TrafficData[[#This Row],[totalAmount]],TrafficData[[#This Row],[disposedAmount]]&lt;=TrafficData[[#This Row],[totalAmount]])</f>
        <v>1</v>
      </c>
      <c r="P1583" s="8" t="b">
        <f>AND(TrafficData[[#This Row],[pendingCourt]]&lt;=TrafficData[[#This Row],[totalCourt]],TrafficData[[#This Row],[disposedCourt]]&lt;=TrafficData[[#This Row],[totalCourt]])</f>
        <v>1</v>
      </c>
    </row>
    <row r="1584" spans="1:16">
      <c r="A1584" s="1">
        <v>43587</v>
      </c>
      <c r="B1584">
        <v>33659</v>
      </c>
      <c r="C1584">
        <v>26143</v>
      </c>
      <c r="D1584">
        <v>7516</v>
      </c>
      <c r="E1584">
        <v>6471530</v>
      </c>
      <c r="F1584">
        <v>36979584</v>
      </c>
      <c r="G1584">
        <v>43451114</v>
      </c>
      <c r="H1584">
        <v>3841</v>
      </c>
      <c r="I1584">
        <v>2739</v>
      </c>
      <c r="J1584">
        <v>6580</v>
      </c>
      <c r="K1584" t="b">
        <f>TrafficData[[#This Row],[disposedChallan]]+TrafficData[[#This Row],[pendingChallan]]=TrafficData[[#This Row],[totalChallan]]</f>
        <v>1</v>
      </c>
      <c r="L1584" t="b">
        <f>TrafficData[[#This Row],[pendingAmount]]+TrafficData[[#This Row],[disposedAmount]]=TrafficData[[#This Row],[totalAmount]]</f>
        <v>1</v>
      </c>
      <c r="M1584" t="b">
        <f>TrafficData[[#This Row],[pendingCourt]]+TrafficData[[#This Row],[disposedCourt]]=TrafficData[[#This Row],[totalCourt]]</f>
        <v>1</v>
      </c>
      <c r="N1584" s="8" t="b">
        <f>AND(TrafficData[[#This Row],[disposedChallan]]&lt;=TrafficData[[#This Row],[totalChallan]],TrafficData[[#This Row],[pendingChallan]]&lt;=TrafficData[[#This Row],[totalChallan]])</f>
        <v>1</v>
      </c>
      <c r="O1584" s="8" t="b">
        <f>AND(TrafficData[[#This Row],[pendingAmount]]&lt;=TrafficData[[#This Row],[totalAmount]],TrafficData[[#This Row],[disposedAmount]]&lt;=TrafficData[[#This Row],[totalAmount]])</f>
        <v>1</v>
      </c>
      <c r="P1584" s="8" t="b">
        <f>AND(TrafficData[[#This Row],[pendingCourt]]&lt;=TrafficData[[#This Row],[totalCourt]],TrafficData[[#This Row],[disposedCourt]]&lt;=TrafficData[[#This Row],[totalCourt]])</f>
        <v>1</v>
      </c>
    </row>
    <row r="1585" spans="1:16">
      <c r="A1585" s="1">
        <v>43588</v>
      </c>
      <c r="B1585">
        <v>31220</v>
      </c>
      <c r="C1585">
        <v>24903</v>
      </c>
      <c r="D1585">
        <v>6317</v>
      </c>
      <c r="E1585">
        <v>5566043</v>
      </c>
      <c r="F1585">
        <v>30794509</v>
      </c>
      <c r="G1585">
        <v>36360552</v>
      </c>
      <c r="H1585">
        <v>3113</v>
      </c>
      <c r="I1585">
        <v>3010</v>
      </c>
      <c r="J1585">
        <v>6123</v>
      </c>
      <c r="K1585" t="b">
        <f>TrafficData[[#This Row],[disposedChallan]]+TrafficData[[#This Row],[pendingChallan]]=TrafficData[[#This Row],[totalChallan]]</f>
        <v>1</v>
      </c>
      <c r="L1585" t="b">
        <f>TrafficData[[#This Row],[pendingAmount]]+TrafficData[[#This Row],[disposedAmount]]=TrafficData[[#This Row],[totalAmount]]</f>
        <v>1</v>
      </c>
      <c r="M1585" t="b">
        <f>TrafficData[[#This Row],[pendingCourt]]+TrafficData[[#This Row],[disposedCourt]]=TrafficData[[#This Row],[totalCourt]]</f>
        <v>1</v>
      </c>
      <c r="N1585" s="8" t="b">
        <f>AND(TrafficData[[#This Row],[disposedChallan]]&lt;=TrafficData[[#This Row],[totalChallan]],TrafficData[[#This Row],[pendingChallan]]&lt;=TrafficData[[#This Row],[totalChallan]])</f>
        <v>1</v>
      </c>
      <c r="O1585" s="8" t="b">
        <f>AND(TrafficData[[#This Row],[pendingAmount]]&lt;=TrafficData[[#This Row],[totalAmount]],TrafficData[[#This Row],[disposedAmount]]&lt;=TrafficData[[#This Row],[totalAmount]])</f>
        <v>1</v>
      </c>
      <c r="P1585" s="8" t="b">
        <f>AND(TrafficData[[#This Row],[pendingCourt]]&lt;=TrafficData[[#This Row],[totalCourt]],TrafficData[[#This Row],[disposedCourt]]&lt;=TrafficData[[#This Row],[totalCourt]])</f>
        <v>1</v>
      </c>
    </row>
    <row r="1586" spans="1:16">
      <c r="A1586" s="1">
        <v>43589</v>
      </c>
      <c r="B1586">
        <v>30448</v>
      </c>
      <c r="C1586">
        <v>24759</v>
      </c>
      <c r="D1586">
        <v>5689</v>
      </c>
      <c r="E1586">
        <v>5888465</v>
      </c>
      <c r="F1586">
        <v>30332464</v>
      </c>
      <c r="G1586">
        <v>36220929</v>
      </c>
      <c r="H1586">
        <v>3102</v>
      </c>
      <c r="I1586">
        <v>3023</v>
      </c>
      <c r="J1586">
        <v>6125</v>
      </c>
      <c r="K1586" t="b">
        <f>TrafficData[[#This Row],[disposedChallan]]+TrafficData[[#This Row],[pendingChallan]]=TrafficData[[#This Row],[totalChallan]]</f>
        <v>1</v>
      </c>
      <c r="L1586" t="b">
        <f>TrafficData[[#This Row],[pendingAmount]]+TrafficData[[#This Row],[disposedAmount]]=TrafficData[[#This Row],[totalAmount]]</f>
        <v>1</v>
      </c>
      <c r="M1586" t="b">
        <f>TrafficData[[#This Row],[pendingCourt]]+TrafficData[[#This Row],[disposedCourt]]=TrafficData[[#This Row],[totalCourt]]</f>
        <v>1</v>
      </c>
      <c r="N1586" s="8" t="b">
        <f>AND(TrafficData[[#This Row],[disposedChallan]]&lt;=TrafficData[[#This Row],[totalChallan]],TrafficData[[#This Row],[pendingChallan]]&lt;=TrafficData[[#This Row],[totalChallan]])</f>
        <v>1</v>
      </c>
      <c r="O1586" s="8" t="b">
        <f>AND(TrafficData[[#This Row],[pendingAmount]]&lt;=TrafficData[[#This Row],[totalAmount]],TrafficData[[#This Row],[disposedAmount]]&lt;=TrafficData[[#This Row],[totalAmount]])</f>
        <v>1</v>
      </c>
      <c r="P1586" s="8" t="b">
        <f>AND(TrafficData[[#This Row],[pendingCourt]]&lt;=TrafficData[[#This Row],[totalCourt]],TrafficData[[#This Row],[disposedCourt]]&lt;=TrafficData[[#This Row],[totalCourt]])</f>
        <v>1</v>
      </c>
    </row>
    <row r="1587" spans="1:16">
      <c r="A1587" s="1">
        <v>43590</v>
      </c>
      <c r="B1587">
        <v>20917</v>
      </c>
      <c r="C1587">
        <v>17661</v>
      </c>
      <c r="D1587">
        <v>3256</v>
      </c>
      <c r="E1587">
        <v>3727020</v>
      </c>
      <c r="F1587">
        <v>24889088</v>
      </c>
      <c r="G1587">
        <v>28616108</v>
      </c>
      <c r="H1587">
        <v>1550</v>
      </c>
      <c r="I1587">
        <v>2400</v>
      </c>
      <c r="J1587">
        <v>3950</v>
      </c>
      <c r="K1587" t="b">
        <f>TrafficData[[#This Row],[disposedChallan]]+TrafficData[[#This Row],[pendingChallan]]=TrafficData[[#This Row],[totalChallan]]</f>
        <v>1</v>
      </c>
      <c r="L1587" t="b">
        <f>TrafficData[[#This Row],[pendingAmount]]+TrafficData[[#This Row],[disposedAmount]]=TrafficData[[#This Row],[totalAmount]]</f>
        <v>1</v>
      </c>
      <c r="M1587" t="b">
        <f>TrafficData[[#This Row],[pendingCourt]]+TrafficData[[#This Row],[disposedCourt]]=TrafficData[[#This Row],[totalCourt]]</f>
        <v>1</v>
      </c>
      <c r="N1587" s="8" t="b">
        <f>AND(TrafficData[[#This Row],[disposedChallan]]&lt;=TrafficData[[#This Row],[totalChallan]],TrafficData[[#This Row],[pendingChallan]]&lt;=TrafficData[[#This Row],[totalChallan]])</f>
        <v>1</v>
      </c>
      <c r="O1587" s="8" t="b">
        <f>AND(TrafficData[[#This Row],[pendingAmount]]&lt;=TrafficData[[#This Row],[totalAmount]],TrafficData[[#This Row],[disposedAmount]]&lt;=TrafficData[[#This Row],[totalAmount]])</f>
        <v>1</v>
      </c>
      <c r="P1587" s="8" t="b">
        <f>AND(TrafficData[[#This Row],[pendingCourt]]&lt;=TrafficData[[#This Row],[totalCourt]],TrafficData[[#This Row],[disposedCourt]]&lt;=TrafficData[[#This Row],[totalCourt]])</f>
        <v>1</v>
      </c>
    </row>
    <row r="1588" spans="1:16">
      <c r="A1588" s="1">
        <v>43591</v>
      </c>
      <c r="B1588">
        <v>29413</v>
      </c>
      <c r="C1588">
        <v>23076</v>
      </c>
      <c r="D1588">
        <v>6337</v>
      </c>
      <c r="E1588">
        <v>6461932</v>
      </c>
      <c r="F1588">
        <v>28031252</v>
      </c>
      <c r="G1588">
        <v>34493184</v>
      </c>
      <c r="H1588">
        <v>4086</v>
      </c>
      <c r="I1588">
        <v>3026</v>
      </c>
      <c r="J1588">
        <v>7112</v>
      </c>
      <c r="K1588" t="b">
        <f>TrafficData[[#This Row],[disposedChallan]]+TrafficData[[#This Row],[pendingChallan]]=TrafficData[[#This Row],[totalChallan]]</f>
        <v>1</v>
      </c>
      <c r="L1588" t="b">
        <f>TrafficData[[#This Row],[pendingAmount]]+TrafficData[[#This Row],[disposedAmount]]=TrafficData[[#This Row],[totalAmount]]</f>
        <v>1</v>
      </c>
      <c r="M1588" t="b">
        <f>TrafficData[[#This Row],[pendingCourt]]+TrafficData[[#This Row],[disposedCourt]]=TrafficData[[#This Row],[totalCourt]]</f>
        <v>1</v>
      </c>
      <c r="N1588" s="8" t="b">
        <f>AND(TrafficData[[#This Row],[disposedChallan]]&lt;=TrafficData[[#This Row],[totalChallan]],TrafficData[[#This Row],[pendingChallan]]&lt;=TrafficData[[#This Row],[totalChallan]])</f>
        <v>1</v>
      </c>
      <c r="O1588" s="8" t="b">
        <f>AND(TrafficData[[#This Row],[pendingAmount]]&lt;=TrafficData[[#This Row],[totalAmount]],TrafficData[[#This Row],[disposedAmount]]&lt;=TrafficData[[#This Row],[totalAmount]])</f>
        <v>1</v>
      </c>
      <c r="P1588" s="8" t="b">
        <f>AND(TrafficData[[#This Row],[pendingCourt]]&lt;=TrafficData[[#This Row],[totalCourt]],TrafficData[[#This Row],[disposedCourt]]&lt;=TrafficData[[#This Row],[totalCourt]])</f>
        <v>1</v>
      </c>
    </row>
    <row r="1589" spans="1:16">
      <c r="A1589" s="1">
        <v>43592</v>
      </c>
      <c r="B1589">
        <v>28423</v>
      </c>
      <c r="C1589">
        <v>22165</v>
      </c>
      <c r="D1589">
        <v>6258</v>
      </c>
      <c r="E1589">
        <v>6465945</v>
      </c>
      <c r="F1589">
        <v>27935583</v>
      </c>
      <c r="G1589">
        <v>34401528</v>
      </c>
      <c r="H1589">
        <v>3794</v>
      </c>
      <c r="I1589">
        <v>2882</v>
      </c>
      <c r="J1589">
        <v>6676</v>
      </c>
      <c r="K1589" t="b">
        <f>TrafficData[[#This Row],[disposedChallan]]+TrafficData[[#This Row],[pendingChallan]]=TrafficData[[#This Row],[totalChallan]]</f>
        <v>1</v>
      </c>
      <c r="L1589" t="b">
        <f>TrafficData[[#This Row],[pendingAmount]]+TrafficData[[#This Row],[disposedAmount]]=TrafficData[[#This Row],[totalAmount]]</f>
        <v>1</v>
      </c>
      <c r="M1589" t="b">
        <f>TrafficData[[#This Row],[pendingCourt]]+TrafficData[[#This Row],[disposedCourt]]=TrafficData[[#This Row],[totalCourt]]</f>
        <v>1</v>
      </c>
      <c r="N1589" s="8" t="b">
        <f>AND(TrafficData[[#This Row],[disposedChallan]]&lt;=TrafficData[[#This Row],[totalChallan]],TrafficData[[#This Row],[pendingChallan]]&lt;=TrafficData[[#This Row],[totalChallan]])</f>
        <v>1</v>
      </c>
      <c r="O1589" s="8" t="b">
        <f>AND(TrafficData[[#This Row],[pendingAmount]]&lt;=TrafficData[[#This Row],[totalAmount]],TrafficData[[#This Row],[disposedAmount]]&lt;=TrafficData[[#This Row],[totalAmount]])</f>
        <v>1</v>
      </c>
      <c r="P1589" s="8" t="b">
        <f>AND(TrafficData[[#This Row],[pendingCourt]]&lt;=TrafficData[[#This Row],[totalCourt]],TrafficData[[#This Row],[disposedCourt]]&lt;=TrafficData[[#This Row],[totalCourt]])</f>
        <v>1</v>
      </c>
    </row>
    <row r="1590" spans="1:16">
      <c r="A1590" s="1">
        <v>43593</v>
      </c>
      <c r="B1590">
        <v>35968</v>
      </c>
      <c r="C1590">
        <v>26428</v>
      </c>
      <c r="D1590">
        <v>9540</v>
      </c>
      <c r="E1590">
        <v>8398336</v>
      </c>
      <c r="F1590">
        <v>32777036</v>
      </c>
      <c r="G1590">
        <v>41175372</v>
      </c>
      <c r="H1590">
        <v>6530</v>
      </c>
      <c r="I1590">
        <v>3031</v>
      </c>
      <c r="J1590">
        <v>9561</v>
      </c>
      <c r="K1590" t="b">
        <f>TrafficData[[#This Row],[disposedChallan]]+TrafficData[[#This Row],[pendingChallan]]=TrafficData[[#This Row],[totalChallan]]</f>
        <v>1</v>
      </c>
      <c r="L1590" t="b">
        <f>TrafficData[[#This Row],[pendingAmount]]+TrafficData[[#This Row],[disposedAmount]]=TrafficData[[#This Row],[totalAmount]]</f>
        <v>1</v>
      </c>
      <c r="M1590" t="b">
        <f>TrafficData[[#This Row],[pendingCourt]]+TrafficData[[#This Row],[disposedCourt]]=TrafficData[[#This Row],[totalCourt]]</f>
        <v>1</v>
      </c>
      <c r="N1590" s="8" t="b">
        <f>AND(TrafficData[[#This Row],[disposedChallan]]&lt;=TrafficData[[#This Row],[totalChallan]],TrafficData[[#This Row],[pendingChallan]]&lt;=TrafficData[[#This Row],[totalChallan]])</f>
        <v>1</v>
      </c>
      <c r="O1590" s="8" t="b">
        <f>AND(TrafficData[[#This Row],[pendingAmount]]&lt;=TrafficData[[#This Row],[totalAmount]],TrafficData[[#This Row],[disposedAmount]]&lt;=TrafficData[[#This Row],[totalAmount]])</f>
        <v>1</v>
      </c>
      <c r="P1590" s="8" t="b">
        <f>AND(TrafficData[[#This Row],[pendingCourt]]&lt;=TrafficData[[#This Row],[totalCourt]],TrafficData[[#This Row],[disposedCourt]]&lt;=TrafficData[[#This Row],[totalCourt]])</f>
        <v>1</v>
      </c>
    </row>
    <row r="1591" spans="1:16">
      <c r="A1591" s="1">
        <v>43594</v>
      </c>
      <c r="B1591">
        <v>34087</v>
      </c>
      <c r="C1591">
        <v>24893</v>
      </c>
      <c r="D1591">
        <v>9194</v>
      </c>
      <c r="E1591">
        <v>7943838</v>
      </c>
      <c r="F1591">
        <v>30772225</v>
      </c>
      <c r="G1591">
        <v>38716063</v>
      </c>
      <c r="H1591">
        <v>5550</v>
      </c>
      <c r="I1591">
        <v>2555</v>
      </c>
      <c r="J1591">
        <v>8105</v>
      </c>
      <c r="K1591" t="b">
        <f>TrafficData[[#This Row],[disposedChallan]]+TrafficData[[#This Row],[pendingChallan]]=TrafficData[[#This Row],[totalChallan]]</f>
        <v>1</v>
      </c>
      <c r="L1591" t="b">
        <f>TrafficData[[#This Row],[pendingAmount]]+TrafficData[[#This Row],[disposedAmount]]=TrafficData[[#This Row],[totalAmount]]</f>
        <v>1</v>
      </c>
      <c r="M1591" t="b">
        <f>TrafficData[[#This Row],[pendingCourt]]+TrafficData[[#This Row],[disposedCourt]]=TrafficData[[#This Row],[totalCourt]]</f>
        <v>1</v>
      </c>
      <c r="N1591" s="8" t="b">
        <f>AND(TrafficData[[#This Row],[disposedChallan]]&lt;=TrafficData[[#This Row],[totalChallan]],TrafficData[[#This Row],[pendingChallan]]&lt;=TrafficData[[#This Row],[totalChallan]])</f>
        <v>1</v>
      </c>
      <c r="O1591" s="8" t="b">
        <f>AND(TrafficData[[#This Row],[pendingAmount]]&lt;=TrafficData[[#This Row],[totalAmount]],TrafficData[[#This Row],[disposedAmount]]&lt;=TrafficData[[#This Row],[totalAmount]])</f>
        <v>1</v>
      </c>
      <c r="P1591" s="8" t="b">
        <f>AND(TrafficData[[#This Row],[pendingCourt]]&lt;=TrafficData[[#This Row],[totalCourt]],TrafficData[[#This Row],[disposedCourt]]&lt;=TrafficData[[#This Row],[totalCourt]])</f>
        <v>1</v>
      </c>
    </row>
    <row r="1592" spans="1:16">
      <c r="A1592" s="1">
        <v>43595</v>
      </c>
      <c r="B1592">
        <v>28679</v>
      </c>
      <c r="C1592">
        <v>21451</v>
      </c>
      <c r="D1592">
        <v>7228</v>
      </c>
      <c r="E1592">
        <v>5869311</v>
      </c>
      <c r="F1592">
        <v>27207405</v>
      </c>
      <c r="G1592">
        <v>33076716</v>
      </c>
      <c r="H1592">
        <v>3554</v>
      </c>
      <c r="I1592">
        <v>2380</v>
      </c>
      <c r="J1592">
        <v>5934</v>
      </c>
      <c r="K1592" t="b">
        <f>TrafficData[[#This Row],[disposedChallan]]+TrafficData[[#This Row],[pendingChallan]]=TrafficData[[#This Row],[totalChallan]]</f>
        <v>1</v>
      </c>
      <c r="L1592" t="b">
        <f>TrafficData[[#This Row],[pendingAmount]]+TrafficData[[#This Row],[disposedAmount]]=TrafficData[[#This Row],[totalAmount]]</f>
        <v>1</v>
      </c>
      <c r="M1592" t="b">
        <f>TrafficData[[#This Row],[pendingCourt]]+TrafficData[[#This Row],[disposedCourt]]=TrafficData[[#This Row],[totalCourt]]</f>
        <v>1</v>
      </c>
      <c r="N1592" s="8" t="b">
        <f>AND(TrafficData[[#This Row],[disposedChallan]]&lt;=TrafficData[[#This Row],[totalChallan]],TrafficData[[#This Row],[pendingChallan]]&lt;=TrafficData[[#This Row],[totalChallan]])</f>
        <v>1</v>
      </c>
      <c r="O1592" s="8" t="b">
        <f>AND(TrafficData[[#This Row],[pendingAmount]]&lt;=TrafficData[[#This Row],[totalAmount]],TrafficData[[#This Row],[disposedAmount]]&lt;=TrafficData[[#This Row],[totalAmount]])</f>
        <v>1</v>
      </c>
      <c r="P1592" s="8" t="b">
        <f>AND(TrafficData[[#This Row],[pendingCourt]]&lt;=TrafficData[[#This Row],[totalCourt]],TrafficData[[#This Row],[disposedCourt]]&lt;=TrafficData[[#This Row],[totalCourt]])</f>
        <v>1</v>
      </c>
    </row>
    <row r="1593" spans="1:16">
      <c r="A1593" s="1">
        <v>43596</v>
      </c>
      <c r="B1593">
        <v>26332</v>
      </c>
      <c r="C1593">
        <v>19236</v>
      </c>
      <c r="D1593">
        <v>7096</v>
      </c>
      <c r="E1593">
        <v>4407487</v>
      </c>
      <c r="F1593">
        <v>74933888</v>
      </c>
      <c r="G1593">
        <v>79341375</v>
      </c>
      <c r="H1593">
        <v>3387</v>
      </c>
      <c r="I1593">
        <v>2558</v>
      </c>
      <c r="J1593">
        <v>5945</v>
      </c>
      <c r="K1593" t="b">
        <f>TrafficData[[#This Row],[disposedChallan]]+TrafficData[[#This Row],[pendingChallan]]=TrafficData[[#This Row],[totalChallan]]</f>
        <v>1</v>
      </c>
      <c r="L1593" t="b">
        <f>TrafficData[[#This Row],[pendingAmount]]+TrafficData[[#This Row],[disposedAmount]]=TrafficData[[#This Row],[totalAmount]]</f>
        <v>1</v>
      </c>
      <c r="M1593" t="b">
        <f>TrafficData[[#This Row],[pendingCourt]]+TrafficData[[#This Row],[disposedCourt]]=TrafficData[[#This Row],[totalCourt]]</f>
        <v>1</v>
      </c>
      <c r="N1593" s="8" t="b">
        <f>AND(TrafficData[[#This Row],[disposedChallan]]&lt;=TrafficData[[#This Row],[totalChallan]],TrafficData[[#This Row],[pendingChallan]]&lt;=TrafficData[[#This Row],[totalChallan]])</f>
        <v>1</v>
      </c>
      <c r="O1593" s="8" t="b">
        <f>AND(TrafficData[[#This Row],[pendingAmount]]&lt;=TrafficData[[#This Row],[totalAmount]],TrafficData[[#This Row],[disposedAmount]]&lt;=TrafficData[[#This Row],[totalAmount]])</f>
        <v>1</v>
      </c>
      <c r="P1593" s="8" t="b">
        <f>AND(TrafficData[[#This Row],[pendingCourt]]&lt;=TrafficData[[#This Row],[totalCourt]],TrafficData[[#This Row],[disposedCourt]]&lt;=TrafficData[[#This Row],[totalCourt]])</f>
        <v>1</v>
      </c>
    </row>
    <row r="1594" spans="1:16">
      <c r="A1594" s="1">
        <v>43597</v>
      </c>
      <c r="B1594">
        <v>20757</v>
      </c>
      <c r="C1594">
        <v>15582</v>
      </c>
      <c r="D1594">
        <v>5175</v>
      </c>
      <c r="E1594">
        <v>3308405</v>
      </c>
      <c r="F1594">
        <v>18851446</v>
      </c>
      <c r="G1594">
        <v>22159851</v>
      </c>
      <c r="H1594">
        <v>2136</v>
      </c>
      <c r="I1594">
        <v>2008</v>
      </c>
      <c r="J1594">
        <v>4144</v>
      </c>
      <c r="K1594" t="b">
        <f>TrafficData[[#This Row],[disposedChallan]]+TrafficData[[#This Row],[pendingChallan]]=TrafficData[[#This Row],[totalChallan]]</f>
        <v>1</v>
      </c>
      <c r="L1594" t="b">
        <f>TrafficData[[#This Row],[pendingAmount]]+TrafficData[[#This Row],[disposedAmount]]=TrafficData[[#This Row],[totalAmount]]</f>
        <v>1</v>
      </c>
      <c r="M1594" t="b">
        <f>TrafficData[[#This Row],[pendingCourt]]+TrafficData[[#This Row],[disposedCourt]]=TrafficData[[#This Row],[totalCourt]]</f>
        <v>1</v>
      </c>
      <c r="N1594" s="8" t="b">
        <f>AND(TrafficData[[#This Row],[disposedChallan]]&lt;=TrafficData[[#This Row],[totalChallan]],TrafficData[[#This Row],[pendingChallan]]&lt;=TrafficData[[#This Row],[totalChallan]])</f>
        <v>1</v>
      </c>
      <c r="O1594" s="8" t="b">
        <f>AND(TrafficData[[#This Row],[pendingAmount]]&lt;=TrafficData[[#This Row],[totalAmount]],TrafficData[[#This Row],[disposedAmount]]&lt;=TrafficData[[#This Row],[totalAmount]])</f>
        <v>1</v>
      </c>
      <c r="P1594" s="8" t="b">
        <f>AND(TrafficData[[#This Row],[pendingCourt]]&lt;=TrafficData[[#This Row],[totalCourt]],TrafficData[[#This Row],[disposedCourt]]&lt;=TrafficData[[#This Row],[totalCourt]])</f>
        <v>1</v>
      </c>
    </row>
    <row r="1595" spans="1:16">
      <c r="A1595" s="1">
        <v>43598</v>
      </c>
      <c r="B1595">
        <v>30194</v>
      </c>
      <c r="C1595">
        <v>23066</v>
      </c>
      <c r="D1595">
        <v>7128</v>
      </c>
      <c r="E1595">
        <v>5677650</v>
      </c>
      <c r="F1595">
        <v>24233546</v>
      </c>
      <c r="G1595">
        <v>29911196</v>
      </c>
      <c r="H1595">
        <v>3664</v>
      </c>
      <c r="I1595">
        <v>2677</v>
      </c>
      <c r="J1595">
        <v>6341</v>
      </c>
      <c r="K1595" t="b">
        <f>TrafficData[[#This Row],[disposedChallan]]+TrafficData[[#This Row],[pendingChallan]]=TrafficData[[#This Row],[totalChallan]]</f>
        <v>1</v>
      </c>
      <c r="L1595" t="b">
        <f>TrafficData[[#This Row],[pendingAmount]]+TrafficData[[#This Row],[disposedAmount]]=TrafficData[[#This Row],[totalAmount]]</f>
        <v>1</v>
      </c>
      <c r="M1595" t="b">
        <f>TrafficData[[#This Row],[pendingCourt]]+TrafficData[[#This Row],[disposedCourt]]=TrafficData[[#This Row],[totalCourt]]</f>
        <v>1</v>
      </c>
      <c r="N1595" s="8" t="b">
        <f>AND(TrafficData[[#This Row],[disposedChallan]]&lt;=TrafficData[[#This Row],[totalChallan]],TrafficData[[#This Row],[pendingChallan]]&lt;=TrafficData[[#This Row],[totalChallan]])</f>
        <v>1</v>
      </c>
      <c r="O1595" s="8" t="b">
        <f>AND(TrafficData[[#This Row],[pendingAmount]]&lt;=TrafficData[[#This Row],[totalAmount]],TrafficData[[#This Row],[disposedAmount]]&lt;=TrafficData[[#This Row],[totalAmount]])</f>
        <v>1</v>
      </c>
      <c r="P1595" s="8" t="b">
        <f>AND(TrafficData[[#This Row],[pendingCourt]]&lt;=TrafficData[[#This Row],[totalCourt]],TrafficData[[#This Row],[disposedCourt]]&lt;=TrafficData[[#This Row],[totalCourt]])</f>
        <v>1</v>
      </c>
    </row>
    <row r="1596" spans="1:16">
      <c r="A1596" s="1">
        <v>43599</v>
      </c>
      <c r="B1596">
        <v>36206</v>
      </c>
      <c r="C1596">
        <v>28106</v>
      </c>
      <c r="D1596">
        <v>8100</v>
      </c>
      <c r="E1596">
        <v>8512640</v>
      </c>
      <c r="F1596">
        <v>42120675</v>
      </c>
      <c r="G1596">
        <v>50633315</v>
      </c>
      <c r="H1596">
        <v>3864</v>
      </c>
      <c r="I1596">
        <v>2690</v>
      </c>
      <c r="J1596">
        <v>6554</v>
      </c>
      <c r="K1596" t="b">
        <f>TrafficData[[#This Row],[disposedChallan]]+TrafficData[[#This Row],[pendingChallan]]=TrafficData[[#This Row],[totalChallan]]</f>
        <v>1</v>
      </c>
      <c r="L1596" t="b">
        <f>TrafficData[[#This Row],[pendingAmount]]+TrafficData[[#This Row],[disposedAmount]]=TrafficData[[#This Row],[totalAmount]]</f>
        <v>1</v>
      </c>
      <c r="M1596" t="b">
        <f>TrafficData[[#This Row],[pendingCourt]]+TrafficData[[#This Row],[disposedCourt]]=TrafficData[[#This Row],[totalCourt]]</f>
        <v>1</v>
      </c>
      <c r="N1596" s="8" t="b">
        <f>AND(TrafficData[[#This Row],[disposedChallan]]&lt;=TrafficData[[#This Row],[totalChallan]],TrafficData[[#This Row],[pendingChallan]]&lt;=TrafficData[[#This Row],[totalChallan]])</f>
        <v>1</v>
      </c>
      <c r="O1596" s="8" t="b">
        <f>AND(TrafficData[[#This Row],[pendingAmount]]&lt;=TrafficData[[#This Row],[totalAmount]],TrafficData[[#This Row],[disposedAmount]]&lt;=TrafficData[[#This Row],[totalAmount]])</f>
        <v>1</v>
      </c>
      <c r="P1596" s="8" t="b">
        <f>AND(TrafficData[[#This Row],[pendingCourt]]&lt;=TrafficData[[#This Row],[totalCourt]],TrafficData[[#This Row],[disposedCourt]]&lt;=TrafficData[[#This Row],[totalCourt]])</f>
        <v>1</v>
      </c>
    </row>
    <row r="1597" spans="1:16">
      <c r="A1597" s="1">
        <v>43600</v>
      </c>
      <c r="B1597">
        <v>36432</v>
      </c>
      <c r="C1597">
        <v>28536</v>
      </c>
      <c r="D1597">
        <v>7896</v>
      </c>
      <c r="E1597">
        <v>7692170</v>
      </c>
      <c r="F1597">
        <v>38693445</v>
      </c>
      <c r="G1597">
        <v>46385615</v>
      </c>
      <c r="H1597">
        <v>3870</v>
      </c>
      <c r="I1597">
        <v>2745</v>
      </c>
      <c r="J1597">
        <v>6615</v>
      </c>
      <c r="K1597" t="b">
        <f>TrafficData[[#This Row],[disposedChallan]]+TrafficData[[#This Row],[pendingChallan]]=TrafficData[[#This Row],[totalChallan]]</f>
        <v>1</v>
      </c>
      <c r="L1597" t="b">
        <f>TrafficData[[#This Row],[pendingAmount]]+TrafficData[[#This Row],[disposedAmount]]=TrafficData[[#This Row],[totalAmount]]</f>
        <v>1</v>
      </c>
      <c r="M1597" t="b">
        <f>TrafficData[[#This Row],[pendingCourt]]+TrafficData[[#This Row],[disposedCourt]]=TrafficData[[#This Row],[totalCourt]]</f>
        <v>1</v>
      </c>
      <c r="N1597" s="8" t="b">
        <f>AND(TrafficData[[#This Row],[disposedChallan]]&lt;=TrafficData[[#This Row],[totalChallan]],TrafficData[[#This Row],[pendingChallan]]&lt;=TrafficData[[#This Row],[totalChallan]])</f>
        <v>1</v>
      </c>
      <c r="O1597" s="8" t="b">
        <f>AND(TrafficData[[#This Row],[pendingAmount]]&lt;=TrafficData[[#This Row],[totalAmount]],TrafficData[[#This Row],[disposedAmount]]&lt;=TrafficData[[#This Row],[totalAmount]])</f>
        <v>1</v>
      </c>
      <c r="P1597" s="8" t="b">
        <f>AND(TrafficData[[#This Row],[pendingCourt]]&lt;=TrafficData[[#This Row],[totalCourt]],TrafficData[[#This Row],[disposedCourt]]&lt;=TrafficData[[#This Row],[totalCourt]])</f>
        <v>1</v>
      </c>
    </row>
    <row r="1598" spans="1:16">
      <c r="A1598" s="1">
        <v>43601</v>
      </c>
      <c r="B1598">
        <v>48538</v>
      </c>
      <c r="C1598">
        <v>35398</v>
      </c>
      <c r="D1598">
        <v>13140</v>
      </c>
      <c r="E1598">
        <v>12277062</v>
      </c>
      <c r="F1598">
        <v>43813083</v>
      </c>
      <c r="G1598">
        <v>56090145</v>
      </c>
      <c r="H1598">
        <v>5821</v>
      </c>
      <c r="I1598">
        <v>3680</v>
      </c>
      <c r="J1598">
        <v>9501</v>
      </c>
      <c r="K1598" t="b">
        <f>TrafficData[[#This Row],[disposedChallan]]+TrafficData[[#This Row],[pendingChallan]]=TrafficData[[#This Row],[totalChallan]]</f>
        <v>1</v>
      </c>
      <c r="L1598" t="b">
        <f>TrafficData[[#This Row],[pendingAmount]]+TrafficData[[#This Row],[disposedAmount]]=TrafficData[[#This Row],[totalAmount]]</f>
        <v>1</v>
      </c>
      <c r="M1598" t="b">
        <f>TrafficData[[#This Row],[pendingCourt]]+TrafficData[[#This Row],[disposedCourt]]=TrafficData[[#This Row],[totalCourt]]</f>
        <v>1</v>
      </c>
      <c r="N1598" s="8" t="b">
        <f>AND(TrafficData[[#This Row],[disposedChallan]]&lt;=TrafficData[[#This Row],[totalChallan]],TrafficData[[#This Row],[pendingChallan]]&lt;=TrafficData[[#This Row],[totalChallan]])</f>
        <v>1</v>
      </c>
      <c r="O1598" s="8" t="b">
        <f>AND(TrafficData[[#This Row],[pendingAmount]]&lt;=TrafficData[[#This Row],[totalAmount]],TrafficData[[#This Row],[disposedAmount]]&lt;=TrafficData[[#This Row],[totalAmount]])</f>
        <v>1</v>
      </c>
      <c r="P1598" s="8" t="b">
        <f>AND(TrafficData[[#This Row],[pendingCourt]]&lt;=TrafficData[[#This Row],[totalCourt]],TrafficData[[#This Row],[disposedCourt]]&lt;=TrafficData[[#This Row],[totalCourt]])</f>
        <v>1</v>
      </c>
    </row>
    <row r="1599" spans="1:16">
      <c r="A1599" s="1">
        <v>43602</v>
      </c>
      <c r="B1599">
        <v>38840</v>
      </c>
      <c r="C1599">
        <v>29807</v>
      </c>
      <c r="D1599">
        <v>9033</v>
      </c>
      <c r="E1599">
        <v>9910129</v>
      </c>
      <c r="F1599">
        <v>39726816</v>
      </c>
      <c r="G1599">
        <v>49636945</v>
      </c>
      <c r="H1599">
        <v>3434</v>
      </c>
      <c r="I1599">
        <v>3239</v>
      </c>
      <c r="J1599">
        <v>6673</v>
      </c>
      <c r="K1599" t="b">
        <f>TrafficData[[#This Row],[disposedChallan]]+TrafficData[[#This Row],[pendingChallan]]=TrafficData[[#This Row],[totalChallan]]</f>
        <v>1</v>
      </c>
      <c r="L1599" t="b">
        <f>TrafficData[[#This Row],[pendingAmount]]+TrafficData[[#This Row],[disposedAmount]]=TrafficData[[#This Row],[totalAmount]]</f>
        <v>1</v>
      </c>
      <c r="M1599" t="b">
        <f>TrafficData[[#This Row],[pendingCourt]]+TrafficData[[#This Row],[disposedCourt]]=TrafficData[[#This Row],[totalCourt]]</f>
        <v>1</v>
      </c>
      <c r="N1599" s="8" t="b">
        <f>AND(TrafficData[[#This Row],[disposedChallan]]&lt;=TrafficData[[#This Row],[totalChallan]],TrafficData[[#This Row],[pendingChallan]]&lt;=TrafficData[[#This Row],[totalChallan]])</f>
        <v>1</v>
      </c>
      <c r="O1599" s="8" t="b">
        <f>AND(TrafficData[[#This Row],[pendingAmount]]&lt;=TrafficData[[#This Row],[totalAmount]],TrafficData[[#This Row],[disposedAmount]]&lt;=TrafficData[[#This Row],[totalAmount]])</f>
        <v>1</v>
      </c>
      <c r="P1599" s="8" t="b">
        <f>AND(TrafficData[[#This Row],[pendingCourt]]&lt;=TrafficData[[#This Row],[totalCourt]],TrafficData[[#This Row],[disposedCourt]]&lt;=TrafficData[[#This Row],[totalCourt]])</f>
        <v>1</v>
      </c>
    </row>
    <row r="1600" spans="1:16">
      <c r="A1600" s="1">
        <v>43603</v>
      </c>
      <c r="B1600">
        <v>39585</v>
      </c>
      <c r="C1600">
        <v>29563</v>
      </c>
      <c r="D1600">
        <v>10022</v>
      </c>
      <c r="E1600">
        <v>7946172</v>
      </c>
      <c r="F1600">
        <v>30585938</v>
      </c>
      <c r="G1600">
        <v>38532110</v>
      </c>
      <c r="H1600">
        <v>4313</v>
      </c>
      <c r="I1600">
        <v>3011</v>
      </c>
      <c r="J1600">
        <v>7324</v>
      </c>
      <c r="K1600" t="b">
        <f>TrafficData[[#This Row],[disposedChallan]]+TrafficData[[#This Row],[pendingChallan]]=TrafficData[[#This Row],[totalChallan]]</f>
        <v>1</v>
      </c>
      <c r="L1600" t="b">
        <f>TrafficData[[#This Row],[pendingAmount]]+TrafficData[[#This Row],[disposedAmount]]=TrafficData[[#This Row],[totalAmount]]</f>
        <v>1</v>
      </c>
      <c r="M1600" t="b">
        <f>TrafficData[[#This Row],[pendingCourt]]+TrafficData[[#This Row],[disposedCourt]]=TrafficData[[#This Row],[totalCourt]]</f>
        <v>1</v>
      </c>
      <c r="N1600" s="8" t="b">
        <f>AND(TrafficData[[#This Row],[disposedChallan]]&lt;=TrafficData[[#This Row],[totalChallan]],TrafficData[[#This Row],[pendingChallan]]&lt;=TrafficData[[#This Row],[totalChallan]])</f>
        <v>1</v>
      </c>
      <c r="O1600" s="8" t="b">
        <f>AND(TrafficData[[#This Row],[pendingAmount]]&lt;=TrafficData[[#This Row],[totalAmount]],TrafficData[[#This Row],[disposedAmount]]&lt;=TrafficData[[#This Row],[totalAmount]])</f>
        <v>1</v>
      </c>
      <c r="P1600" s="8" t="b">
        <f>AND(TrafficData[[#This Row],[pendingCourt]]&lt;=TrafficData[[#This Row],[totalCourt]],TrafficData[[#This Row],[disposedCourt]]&lt;=TrafficData[[#This Row],[totalCourt]])</f>
        <v>1</v>
      </c>
    </row>
    <row r="1601" spans="1:16">
      <c r="A1601" s="1">
        <v>43604</v>
      </c>
      <c r="B1601">
        <v>29464</v>
      </c>
      <c r="C1601">
        <v>21474</v>
      </c>
      <c r="D1601">
        <v>7990</v>
      </c>
      <c r="E1601">
        <v>4279450</v>
      </c>
      <c r="F1601">
        <v>19142354</v>
      </c>
      <c r="G1601">
        <v>23421804</v>
      </c>
      <c r="H1601">
        <v>2791</v>
      </c>
      <c r="I1601">
        <v>2231</v>
      </c>
      <c r="J1601">
        <v>5022</v>
      </c>
      <c r="K1601" t="b">
        <f>TrafficData[[#This Row],[disposedChallan]]+TrafficData[[#This Row],[pendingChallan]]=TrafficData[[#This Row],[totalChallan]]</f>
        <v>1</v>
      </c>
      <c r="L1601" t="b">
        <f>TrafficData[[#This Row],[pendingAmount]]+TrafficData[[#This Row],[disposedAmount]]=TrafficData[[#This Row],[totalAmount]]</f>
        <v>1</v>
      </c>
      <c r="M1601" t="b">
        <f>TrafficData[[#This Row],[pendingCourt]]+TrafficData[[#This Row],[disposedCourt]]=TrafficData[[#This Row],[totalCourt]]</f>
        <v>1</v>
      </c>
      <c r="N1601" s="8" t="b">
        <f>AND(TrafficData[[#This Row],[disposedChallan]]&lt;=TrafficData[[#This Row],[totalChallan]],TrafficData[[#This Row],[pendingChallan]]&lt;=TrafficData[[#This Row],[totalChallan]])</f>
        <v>1</v>
      </c>
      <c r="O1601" s="8" t="b">
        <f>AND(TrafficData[[#This Row],[pendingAmount]]&lt;=TrafficData[[#This Row],[totalAmount]],TrafficData[[#This Row],[disposedAmount]]&lt;=TrafficData[[#This Row],[totalAmount]])</f>
        <v>1</v>
      </c>
      <c r="P1601" s="8" t="b">
        <f>AND(TrafficData[[#This Row],[pendingCourt]]&lt;=TrafficData[[#This Row],[totalCourt]],TrafficData[[#This Row],[disposedCourt]]&lt;=TrafficData[[#This Row],[totalCourt]])</f>
        <v>1</v>
      </c>
    </row>
    <row r="1602" spans="1:16">
      <c r="A1602" s="1">
        <v>43605</v>
      </c>
      <c r="B1602">
        <v>38597</v>
      </c>
      <c r="C1602">
        <v>28804</v>
      </c>
      <c r="D1602">
        <v>9793</v>
      </c>
      <c r="E1602">
        <v>7767413</v>
      </c>
      <c r="F1602">
        <v>28444211</v>
      </c>
      <c r="G1602">
        <v>36211624</v>
      </c>
      <c r="H1602">
        <v>4904</v>
      </c>
      <c r="I1602">
        <v>3322</v>
      </c>
      <c r="J1602">
        <v>8226</v>
      </c>
      <c r="K1602" t="b">
        <f>TrafficData[[#This Row],[disposedChallan]]+TrafficData[[#This Row],[pendingChallan]]=TrafficData[[#This Row],[totalChallan]]</f>
        <v>1</v>
      </c>
      <c r="L1602" t="b">
        <f>TrafficData[[#This Row],[pendingAmount]]+TrafficData[[#This Row],[disposedAmount]]=TrafficData[[#This Row],[totalAmount]]</f>
        <v>1</v>
      </c>
      <c r="M1602" t="b">
        <f>TrafficData[[#This Row],[pendingCourt]]+TrafficData[[#This Row],[disposedCourt]]=TrafficData[[#This Row],[totalCourt]]</f>
        <v>1</v>
      </c>
      <c r="N1602" s="8" t="b">
        <f>AND(TrafficData[[#This Row],[disposedChallan]]&lt;=TrafficData[[#This Row],[totalChallan]],TrafficData[[#This Row],[pendingChallan]]&lt;=TrafficData[[#This Row],[totalChallan]])</f>
        <v>1</v>
      </c>
      <c r="O1602" s="8" t="b">
        <f>AND(TrafficData[[#This Row],[pendingAmount]]&lt;=TrafficData[[#This Row],[totalAmount]],TrafficData[[#This Row],[disposedAmount]]&lt;=TrafficData[[#This Row],[totalAmount]])</f>
        <v>1</v>
      </c>
      <c r="P1602" s="8" t="b">
        <f>AND(TrafficData[[#This Row],[pendingCourt]]&lt;=TrafficData[[#This Row],[totalCourt]],TrafficData[[#This Row],[disposedCourt]]&lt;=TrafficData[[#This Row],[totalCourt]])</f>
        <v>1</v>
      </c>
    </row>
    <row r="1603" spans="1:16">
      <c r="A1603" s="1">
        <v>43606</v>
      </c>
      <c r="B1603">
        <v>44040</v>
      </c>
      <c r="C1603">
        <v>33064</v>
      </c>
      <c r="D1603">
        <v>10976</v>
      </c>
      <c r="E1603">
        <v>10554124</v>
      </c>
      <c r="F1603">
        <v>34216650</v>
      </c>
      <c r="G1603">
        <v>44770774</v>
      </c>
      <c r="H1603">
        <v>5953</v>
      </c>
      <c r="I1603">
        <v>4502</v>
      </c>
      <c r="J1603">
        <v>10455</v>
      </c>
      <c r="K1603" t="b">
        <f>TrafficData[[#This Row],[disposedChallan]]+TrafficData[[#This Row],[pendingChallan]]=TrafficData[[#This Row],[totalChallan]]</f>
        <v>1</v>
      </c>
      <c r="L1603" t="b">
        <f>TrafficData[[#This Row],[pendingAmount]]+TrafficData[[#This Row],[disposedAmount]]=TrafficData[[#This Row],[totalAmount]]</f>
        <v>1</v>
      </c>
      <c r="M1603" t="b">
        <f>TrafficData[[#This Row],[pendingCourt]]+TrafficData[[#This Row],[disposedCourt]]=TrafficData[[#This Row],[totalCourt]]</f>
        <v>1</v>
      </c>
      <c r="N1603" s="8" t="b">
        <f>AND(TrafficData[[#This Row],[disposedChallan]]&lt;=TrafficData[[#This Row],[totalChallan]],TrafficData[[#This Row],[pendingChallan]]&lt;=TrafficData[[#This Row],[totalChallan]])</f>
        <v>1</v>
      </c>
      <c r="O1603" s="8" t="b">
        <f>AND(TrafficData[[#This Row],[pendingAmount]]&lt;=TrafficData[[#This Row],[totalAmount]],TrafficData[[#This Row],[disposedAmount]]&lt;=TrafficData[[#This Row],[totalAmount]])</f>
        <v>1</v>
      </c>
      <c r="P1603" s="8" t="b">
        <f>AND(TrafficData[[#This Row],[pendingCourt]]&lt;=TrafficData[[#This Row],[totalCourt]],TrafficData[[#This Row],[disposedCourt]]&lt;=TrafficData[[#This Row],[totalCourt]])</f>
        <v>1</v>
      </c>
    </row>
    <row r="1604" spans="1:16">
      <c r="A1604" s="1">
        <v>43607</v>
      </c>
      <c r="B1604">
        <v>38259</v>
      </c>
      <c r="C1604">
        <v>28755</v>
      </c>
      <c r="D1604">
        <v>9504</v>
      </c>
      <c r="E1604">
        <v>9927752</v>
      </c>
      <c r="F1604">
        <v>36544578</v>
      </c>
      <c r="G1604">
        <v>46472330</v>
      </c>
      <c r="H1604">
        <v>4002</v>
      </c>
      <c r="I1604">
        <v>3386</v>
      </c>
      <c r="J1604">
        <v>7388</v>
      </c>
      <c r="K1604" t="b">
        <f>TrafficData[[#This Row],[disposedChallan]]+TrafficData[[#This Row],[pendingChallan]]=TrafficData[[#This Row],[totalChallan]]</f>
        <v>1</v>
      </c>
      <c r="L1604" t="b">
        <f>TrafficData[[#This Row],[pendingAmount]]+TrafficData[[#This Row],[disposedAmount]]=TrafficData[[#This Row],[totalAmount]]</f>
        <v>1</v>
      </c>
      <c r="M1604" t="b">
        <f>TrafficData[[#This Row],[pendingCourt]]+TrafficData[[#This Row],[disposedCourt]]=TrafficData[[#This Row],[totalCourt]]</f>
        <v>1</v>
      </c>
      <c r="N1604" s="8" t="b">
        <f>AND(TrafficData[[#This Row],[disposedChallan]]&lt;=TrafficData[[#This Row],[totalChallan]],TrafficData[[#This Row],[pendingChallan]]&lt;=TrafficData[[#This Row],[totalChallan]])</f>
        <v>1</v>
      </c>
      <c r="O1604" s="8" t="b">
        <f>AND(TrafficData[[#This Row],[pendingAmount]]&lt;=TrafficData[[#This Row],[totalAmount]],TrafficData[[#This Row],[disposedAmount]]&lt;=TrafficData[[#This Row],[totalAmount]])</f>
        <v>1</v>
      </c>
      <c r="P1604" s="8" t="b">
        <f>AND(TrafficData[[#This Row],[pendingCourt]]&lt;=TrafficData[[#This Row],[totalCourt]],TrafficData[[#This Row],[disposedCourt]]&lt;=TrafficData[[#This Row],[totalCourt]])</f>
        <v>1</v>
      </c>
    </row>
    <row r="1605" spans="1:16">
      <c r="A1605" s="1">
        <v>43608</v>
      </c>
      <c r="B1605">
        <v>34353</v>
      </c>
      <c r="C1605">
        <v>23292</v>
      </c>
      <c r="D1605">
        <v>11061</v>
      </c>
      <c r="E1605">
        <v>8248393</v>
      </c>
      <c r="F1605">
        <v>27454586</v>
      </c>
      <c r="G1605">
        <v>35702979</v>
      </c>
      <c r="H1605">
        <v>5008</v>
      </c>
      <c r="I1605">
        <v>2000</v>
      </c>
      <c r="J1605">
        <v>7008</v>
      </c>
      <c r="K1605" t="b">
        <f>TrafficData[[#This Row],[disposedChallan]]+TrafficData[[#This Row],[pendingChallan]]=TrafficData[[#This Row],[totalChallan]]</f>
        <v>1</v>
      </c>
      <c r="L1605" t="b">
        <f>TrafficData[[#This Row],[pendingAmount]]+TrafficData[[#This Row],[disposedAmount]]=TrafficData[[#This Row],[totalAmount]]</f>
        <v>1</v>
      </c>
      <c r="M1605" t="b">
        <f>TrafficData[[#This Row],[pendingCourt]]+TrafficData[[#This Row],[disposedCourt]]=TrafficData[[#This Row],[totalCourt]]</f>
        <v>1</v>
      </c>
      <c r="N1605" s="8" t="b">
        <f>AND(TrafficData[[#This Row],[disposedChallan]]&lt;=TrafficData[[#This Row],[totalChallan]],TrafficData[[#This Row],[pendingChallan]]&lt;=TrafficData[[#This Row],[totalChallan]])</f>
        <v>1</v>
      </c>
      <c r="O1605" s="8" t="b">
        <f>AND(TrafficData[[#This Row],[pendingAmount]]&lt;=TrafficData[[#This Row],[totalAmount]],TrafficData[[#This Row],[disposedAmount]]&lt;=TrafficData[[#This Row],[totalAmount]])</f>
        <v>1</v>
      </c>
      <c r="P1605" s="8" t="b">
        <f>AND(TrafficData[[#This Row],[pendingCourt]]&lt;=TrafficData[[#This Row],[totalCourt]],TrafficData[[#This Row],[disposedCourt]]&lt;=TrafficData[[#This Row],[totalCourt]])</f>
        <v>1</v>
      </c>
    </row>
    <row r="1606" spans="1:16">
      <c r="A1606" s="1">
        <v>43609</v>
      </c>
      <c r="B1606">
        <v>43794</v>
      </c>
      <c r="C1606">
        <v>32011</v>
      </c>
      <c r="D1606">
        <v>11783</v>
      </c>
      <c r="E1606">
        <v>9613861</v>
      </c>
      <c r="F1606">
        <v>33145260</v>
      </c>
      <c r="G1606">
        <v>42759121</v>
      </c>
      <c r="H1606">
        <v>4696</v>
      </c>
      <c r="I1606">
        <v>3422</v>
      </c>
      <c r="J1606">
        <v>8118</v>
      </c>
      <c r="K1606" t="b">
        <f>TrafficData[[#This Row],[disposedChallan]]+TrafficData[[#This Row],[pendingChallan]]=TrafficData[[#This Row],[totalChallan]]</f>
        <v>1</v>
      </c>
      <c r="L1606" t="b">
        <f>TrafficData[[#This Row],[pendingAmount]]+TrafficData[[#This Row],[disposedAmount]]=TrafficData[[#This Row],[totalAmount]]</f>
        <v>1</v>
      </c>
      <c r="M1606" t="b">
        <f>TrafficData[[#This Row],[pendingCourt]]+TrafficData[[#This Row],[disposedCourt]]=TrafficData[[#This Row],[totalCourt]]</f>
        <v>1</v>
      </c>
      <c r="N1606" s="8" t="b">
        <f>AND(TrafficData[[#This Row],[disposedChallan]]&lt;=TrafficData[[#This Row],[totalChallan]],TrafficData[[#This Row],[pendingChallan]]&lt;=TrafficData[[#This Row],[totalChallan]])</f>
        <v>1</v>
      </c>
      <c r="O1606" s="8" t="b">
        <f>AND(TrafficData[[#This Row],[pendingAmount]]&lt;=TrafficData[[#This Row],[totalAmount]],TrafficData[[#This Row],[disposedAmount]]&lt;=TrafficData[[#This Row],[totalAmount]])</f>
        <v>1</v>
      </c>
      <c r="P1606" s="8" t="b">
        <f>AND(TrafficData[[#This Row],[pendingCourt]]&lt;=TrafficData[[#This Row],[totalCourt]],TrafficData[[#This Row],[disposedCourt]]&lt;=TrafficData[[#This Row],[totalCourt]])</f>
        <v>1</v>
      </c>
    </row>
    <row r="1607" spans="1:16">
      <c r="A1607" s="1">
        <v>43610</v>
      </c>
      <c r="B1607">
        <v>39552</v>
      </c>
      <c r="C1607">
        <v>29805</v>
      </c>
      <c r="D1607">
        <v>9747</v>
      </c>
      <c r="E1607">
        <v>9257737</v>
      </c>
      <c r="F1607">
        <v>35734486</v>
      </c>
      <c r="G1607">
        <v>44992223</v>
      </c>
      <c r="H1607">
        <v>3506</v>
      </c>
      <c r="I1607">
        <v>3190</v>
      </c>
      <c r="J1607">
        <v>6696</v>
      </c>
      <c r="K1607" t="b">
        <f>TrafficData[[#This Row],[disposedChallan]]+TrafficData[[#This Row],[pendingChallan]]=TrafficData[[#This Row],[totalChallan]]</f>
        <v>1</v>
      </c>
      <c r="L1607" t="b">
        <f>TrafficData[[#This Row],[pendingAmount]]+TrafficData[[#This Row],[disposedAmount]]=TrafficData[[#This Row],[totalAmount]]</f>
        <v>1</v>
      </c>
      <c r="M1607" t="b">
        <f>TrafficData[[#This Row],[pendingCourt]]+TrafficData[[#This Row],[disposedCourt]]=TrafficData[[#This Row],[totalCourt]]</f>
        <v>1</v>
      </c>
      <c r="N1607" s="8" t="b">
        <f>AND(TrafficData[[#This Row],[disposedChallan]]&lt;=TrafficData[[#This Row],[totalChallan]],TrafficData[[#This Row],[pendingChallan]]&lt;=TrafficData[[#This Row],[totalChallan]])</f>
        <v>1</v>
      </c>
      <c r="O1607" s="8" t="b">
        <f>AND(TrafficData[[#This Row],[pendingAmount]]&lt;=TrafficData[[#This Row],[totalAmount]],TrafficData[[#This Row],[disposedAmount]]&lt;=TrafficData[[#This Row],[totalAmount]])</f>
        <v>1</v>
      </c>
      <c r="P1607" s="8" t="b">
        <f>AND(TrafficData[[#This Row],[pendingCourt]]&lt;=TrafficData[[#This Row],[totalCourt]],TrafficData[[#This Row],[disposedCourt]]&lt;=TrafficData[[#This Row],[totalCourt]])</f>
        <v>1</v>
      </c>
    </row>
    <row r="1608" spans="1:16">
      <c r="A1608" s="1">
        <v>43611</v>
      </c>
      <c r="B1608">
        <v>31670</v>
      </c>
      <c r="C1608">
        <v>22415</v>
      </c>
      <c r="D1608">
        <v>9255</v>
      </c>
      <c r="E1608">
        <v>9671184</v>
      </c>
      <c r="F1608">
        <v>24126788</v>
      </c>
      <c r="G1608">
        <v>33797972</v>
      </c>
      <c r="H1608">
        <v>2572</v>
      </c>
      <c r="I1608">
        <v>2280</v>
      </c>
      <c r="J1608">
        <v>4852</v>
      </c>
      <c r="K1608" t="b">
        <f>TrafficData[[#This Row],[disposedChallan]]+TrafficData[[#This Row],[pendingChallan]]=TrafficData[[#This Row],[totalChallan]]</f>
        <v>1</v>
      </c>
      <c r="L1608" t="b">
        <f>TrafficData[[#This Row],[pendingAmount]]+TrafficData[[#This Row],[disposedAmount]]=TrafficData[[#This Row],[totalAmount]]</f>
        <v>1</v>
      </c>
      <c r="M1608" t="b">
        <f>TrafficData[[#This Row],[pendingCourt]]+TrafficData[[#This Row],[disposedCourt]]=TrafficData[[#This Row],[totalCourt]]</f>
        <v>1</v>
      </c>
      <c r="N1608" s="8" t="b">
        <f>AND(TrafficData[[#This Row],[disposedChallan]]&lt;=TrafficData[[#This Row],[totalChallan]],TrafficData[[#This Row],[pendingChallan]]&lt;=TrafficData[[#This Row],[totalChallan]])</f>
        <v>1</v>
      </c>
      <c r="O1608" s="8" t="b">
        <f>AND(TrafficData[[#This Row],[pendingAmount]]&lt;=TrafficData[[#This Row],[totalAmount]],TrafficData[[#This Row],[disposedAmount]]&lt;=TrafficData[[#This Row],[totalAmount]])</f>
        <v>1</v>
      </c>
      <c r="P1608" s="8" t="b">
        <f>AND(TrafficData[[#This Row],[pendingCourt]]&lt;=TrafficData[[#This Row],[totalCourt]],TrafficData[[#This Row],[disposedCourt]]&lt;=TrafficData[[#This Row],[totalCourt]])</f>
        <v>1</v>
      </c>
    </row>
    <row r="1609" spans="1:16">
      <c r="A1609" s="1">
        <v>43612</v>
      </c>
      <c r="B1609">
        <v>38597</v>
      </c>
      <c r="C1609">
        <v>28058</v>
      </c>
      <c r="D1609">
        <v>10539</v>
      </c>
      <c r="E1609">
        <v>17389968</v>
      </c>
      <c r="F1609">
        <v>45597345</v>
      </c>
      <c r="G1609">
        <v>62987313</v>
      </c>
      <c r="H1609">
        <v>4394</v>
      </c>
      <c r="I1609">
        <v>2579</v>
      </c>
      <c r="J1609">
        <v>6973</v>
      </c>
      <c r="K1609" t="b">
        <f>TrafficData[[#This Row],[disposedChallan]]+TrafficData[[#This Row],[pendingChallan]]=TrafficData[[#This Row],[totalChallan]]</f>
        <v>1</v>
      </c>
      <c r="L1609" t="b">
        <f>TrafficData[[#This Row],[pendingAmount]]+TrafficData[[#This Row],[disposedAmount]]=TrafficData[[#This Row],[totalAmount]]</f>
        <v>1</v>
      </c>
      <c r="M1609" t="b">
        <f>TrafficData[[#This Row],[pendingCourt]]+TrafficData[[#This Row],[disposedCourt]]=TrafficData[[#This Row],[totalCourt]]</f>
        <v>1</v>
      </c>
      <c r="N1609" s="8" t="b">
        <f>AND(TrafficData[[#This Row],[disposedChallan]]&lt;=TrafficData[[#This Row],[totalChallan]],TrafficData[[#This Row],[pendingChallan]]&lt;=TrafficData[[#This Row],[totalChallan]])</f>
        <v>1</v>
      </c>
      <c r="O1609" s="8" t="b">
        <f>AND(TrafficData[[#This Row],[pendingAmount]]&lt;=TrafficData[[#This Row],[totalAmount]],TrafficData[[#This Row],[disposedAmount]]&lt;=TrafficData[[#This Row],[totalAmount]])</f>
        <v>1</v>
      </c>
      <c r="P1609" s="8" t="b">
        <f>AND(TrafficData[[#This Row],[pendingCourt]]&lt;=TrafficData[[#This Row],[totalCourt]],TrafficData[[#This Row],[disposedCourt]]&lt;=TrafficData[[#This Row],[totalCourt]])</f>
        <v>1</v>
      </c>
    </row>
    <row r="1610" spans="1:16">
      <c r="A1610" s="1">
        <v>43613</v>
      </c>
      <c r="B1610">
        <v>39009</v>
      </c>
      <c r="C1610">
        <v>28537</v>
      </c>
      <c r="D1610">
        <v>10472</v>
      </c>
      <c r="E1610">
        <v>11511677</v>
      </c>
      <c r="F1610">
        <v>31614886</v>
      </c>
      <c r="G1610">
        <v>43126563</v>
      </c>
      <c r="H1610">
        <v>4072</v>
      </c>
      <c r="I1610">
        <v>3132</v>
      </c>
      <c r="J1610">
        <v>7204</v>
      </c>
      <c r="K1610" t="b">
        <f>TrafficData[[#This Row],[disposedChallan]]+TrafficData[[#This Row],[pendingChallan]]=TrafficData[[#This Row],[totalChallan]]</f>
        <v>1</v>
      </c>
      <c r="L1610" t="b">
        <f>TrafficData[[#This Row],[pendingAmount]]+TrafficData[[#This Row],[disposedAmount]]=TrafficData[[#This Row],[totalAmount]]</f>
        <v>1</v>
      </c>
      <c r="M1610" t="b">
        <f>TrafficData[[#This Row],[pendingCourt]]+TrafficData[[#This Row],[disposedCourt]]=TrafficData[[#This Row],[totalCourt]]</f>
        <v>1</v>
      </c>
      <c r="N1610" s="8" t="b">
        <f>AND(TrafficData[[#This Row],[disposedChallan]]&lt;=TrafficData[[#This Row],[totalChallan]],TrafficData[[#This Row],[pendingChallan]]&lt;=TrafficData[[#This Row],[totalChallan]])</f>
        <v>1</v>
      </c>
      <c r="O1610" s="8" t="b">
        <f>AND(TrafficData[[#This Row],[pendingAmount]]&lt;=TrafficData[[#This Row],[totalAmount]],TrafficData[[#This Row],[disposedAmount]]&lt;=TrafficData[[#This Row],[totalAmount]])</f>
        <v>1</v>
      </c>
      <c r="P1610" s="8" t="b">
        <f>AND(TrafficData[[#This Row],[pendingCourt]]&lt;=TrafficData[[#This Row],[totalCourt]],TrafficData[[#This Row],[disposedCourt]]&lt;=TrafficData[[#This Row],[totalCourt]])</f>
        <v>1</v>
      </c>
    </row>
    <row r="1611" spans="1:16">
      <c r="A1611" s="1">
        <v>43614</v>
      </c>
      <c r="B1611">
        <v>47096</v>
      </c>
      <c r="C1611">
        <v>32895</v>
      </c>
      <c r="D1611">
        <v>14201</v>
      </c>
      <c r="E1611">
        <v>17439515</v>
      </c>
      <c r="F1611">
        <v>32235668</v>
      </c>
      <c r="G1611">
        <v>49675183</v>
      </c>
      <c r="H1611">
        <v>6705</v>
      </c>
      <c r="I1611">
        <v>4143</v>
      </c>
      <c r="J1611">
        <v>10848</v>
      </c>
      <c r="K1611" t="b">
        <f>TrafficData[[#This Row],[disposedChallan]]+TrafficData[[#This Row],[pendingChallan]]=TrafficData[[#This Row],[totalChallan]]</f>
        <v>1</v>
      </c>
      <c r="L1611" t="b">
        <f>TrafficData[[#This Row],[pendingAmount]]+TrafficData[[#This Row],[disposedAmount]]=TrafficData[[#This Row],[totalAmount]]</f>
        <v>1</v>
      </c>
      <c r="M1611" t="b">
        <f>TrafficData[[#This Row],[pendingCourt]]+TrafficData[[#This Row],[disposedCourt]]=TrafficData[[#This Row],[totalCourt]]</f>
        <v>1</v>
      </c>
      <c r="N1611" s="8" t="b">
        <f>AND(TrafficData[[#This Row],[disposedChallan]]&lt;=TrafficData[[#This Row],[totalChallan]],TrafficData[[#This Row],[pendingChallan]]&lt;=TrafficData[[#This Row],[totalChallan]])</f>
        <v>1</v>
      </c>
      <c r="O1611" s="8" t="b">
        <f>AND(TrafficData[[#This Row],[pendingAmount]]&lt;=TrafficData[[#This Row],[totalAmount]],TrafficData[[#This Row],[disposedAmount]]&lt;=TrafficData[[#This Row],[totalAmount]])</f>
        <v>1</v>
      </c>
      <c r="P1611" s="8" t="b">
        <f>AND(TrafficData[[#This Row],[pendingCourt]]&lt;=TrafficData[[#This Row],[totalCourt]],TrafficData[[#This Row],[disposedCourt]]&lt;=TrafficData[[#This Row],[totalCourt]])</f>
        <v>1</v>
      </c>
    </row>
    <row r="1612" spans="1:16">
      <c r="A1612" s="1">
        <v>43615</v>
      </c>
      <c r="B1612">
        <v>43205</v>
      </c>
      <c r="C1612">
        <v>30201</v>
      </c>
      <c r="D1612">
        <v>13004</v>
      </c>
      <c r="E1612">
        <v>15264319</v>
      </c>
      <c r="F1612">
        <v>32438717</v>
      </c>
      <c r="G1612">
        <v>47703036</v>
      </c>
      <c r="H1612">
        <v>4860</v>
      </c>
      <c r="I1612">
        <v>3206</v>
      </c>
      <c r="J1612">
        <v>8066</v>
      </c>
      <c r="K1612" t="b">
        <f>TrafficData[[#This Row],[disposedChallan]]+TrafficData[[#This Row],[pendingChallan]]=TrafficData[[#This Row],[totalChallan]]</f>
        <v>1</v>
      </c>
      <c r="L1612" t="b">
        <f>TrafficData[[#This Row],[pendingAmount]]+TrafficData[[#This Row],[disposedAmount]]=TrafficData[[#This Row],[totalAmount]]</f>
        <v>1</v>
      </c>
      <c r="M1612" t="b">
        <f>TrafficData[[#This Row],[pendingCourt]]+TrafficData[[#This Row],[disposedCourt]]=TrafficData[[#This Row],[totalCourt]]</f>
        <v>1</v>
      </c>
      <c r="N1612" s="8" t="b">
        <f>AND(TrafficData[[#This Row],[disposedChallan]]&lt;=TrafficData[[#This Row],[totalChallan]],TrafficData[[#This Row],[pendingChallan]]&lt;=TrafficData[[#This Row],[totalChallan]])</f>
        <v>1</v>
      </c>
      <c r="O1612" s="8" t="b">
        <f>AND(TrafficData[[#This Row],[pendingAmount]]&lt;=TrafficData[[#This Row],[totalAmount]],TrafficData[[#This Row],[disposedAmount]]&lt;=TrafficData[[#This Row],[totalAmount]])</f>
        <v>1</v>
      </c>
      <c r="P1612" s="8" t="b">
        <f>AND(TrafficData[[#This Row],[pendingCourt]]&lt;=TrafficData[[#This Row],[totalCourt]],TrafficData[[#This Row],[disposedCourt]]&lt;=TrafficData[[#This Row],[totalCourt]])</f>
        <v>1</v>
      </c>
    </row>
    <row r="1613" spans="1:16">
      <c r="A1613" s="1">
        <v>43616</v>
      </c>
      <c r="B1613">
        <v>42629</v>
      </c>
      <c r="C1613">
        <v>29904</v>
      </c>
      <c r="D1613">
        <v>12725</v>
      </c>
      <c r="E1613">
        <v>15659188</v>
      </c>
      <c r="F1613">
        <v>34046266</v>
      </c>
      <c r="G1613">
        <v>49705454</v>
      </c>
      <c r="H1613">
        <v>3293</v>
      </c>
      <c r="I1613">
        <v>3156</v>
      </c>
      <c r="J1613">
        <v>6449</v>
      </c>
      <c r="K1613" t="b">
        <f>TrafficData[[#This Row],[disposedChallan]]+TrafficData[[#This Row],[pendingChallan]]=TrafficData[[#This Row],[totalChallan]]</f>
        <v>1</v>
      </c>
      <c r="L1613" t="b">
        <f>TrafficData[[#This Row],[pendingAmount]]+TrafficData[[#This Row],[disposedAmount]]=TrafficData[[#This Row],[totalAmount]]</f>
        <v>1</v>
      </c>
      <c r="M1613" t="b">
        <f>TrafficData[[#This Row],[pendingCourt]]+TrafficData[[#This Row],[disposedCourt]]=TrafficData[[#This Row],[totalCourt]]</f>
        <v>1</v>
      </c>
      <c r="N1613" s="8" t="b">
        <f>AND(TrafficData[[#This Row],[disposedChallan]]&lt;=TrafficData[[#This Row],[totalChallan]],TrafficData[[#This Row],[pendingChallan]]&lt;=TrafficData[[#This Row],[totalChallan]])</f>
        <v>1</v>
      </c>
      <c r="O1613" s="8" t="b">
        <f>AND(TrafficData[[#This Row],[pendingAmount]]&lt;=TrafficData[[#This Row],[totalAmount]],TrafficData[[#This Row],[disposedAmount]]&lt;=TrafficData[[#This Row],[totalAmount]])</f>
        <v>1</v>
      </c>
      <c r="P1613" s="8" t="b">
        <f>AND(TrafficData[[#This Row],[pendingCourt]]&lt;=TrafficData[[#This Row],[totalCourt]],TrafficData[[#This Row],[disposedCourt]]&lt;=TrafficData[[#This Row],[totalCourt]])</f>
        <v>1</v>
      </c>
    </row>
    <row r="1614" spans="1:16">
      <c r="A1614" s="1">
        <v>43617</v>
      </c>
      <c r="B1614">
        <v>56944</v>
      </c>
      <c r="C1614">
        <v>38055</v>
      </c>
      <c r="D1614">
        <v>18889</v>
      </c>
      <c r="E1614">
        <v>17473100</v>
      </c>
      <c r="F1614">
        <v>45072960</v>
      </c>
      <c r="G1614">
        <v>62546060</v>
      </c>
      <c r="H1614">
        <v>8148</v>
      </c>
      <c r="I1614">
        <v>3799</v>
      </c>
      <c r="J1614">
        <v>11947</v>
      </c>
      <c r="K1614" t="b">
        <f>TrafficData[[#This Row],[disposedChallan]]+TrafficData[[#This Row],[pendingChallan]]=TrafficData[[#This Row],[totalChallan]]</f>
        <v>1</v>
      </c>
      <c r="L1614" t="b">
        <f>TrafficData[[#This Row],[pendingAmount]]+TrafficData[[#This Row],[disposedAmount]]=TrafficData[[#This Row],[totalAmount]]</f>
        <v>1</v>
      </c>
      <c r="M1614" t="b">
        <f>TrafficData[[#This Row],[pendingCourt]]+TrafficData[[#This Row],[disposedCourt]]=TrafficData[[#This Row],[totalCourt]]</f>
        <v>1</v>
      </c>
      <c r="N1614" s="8" t="b">
        <f>AND(TrafficData[[#This Row],[disposedChallan]]&lt;=TrafficData[[#This Row],[totalChallan]],TrafficData[[#This Row],[pendingChallan]]&lt;=TrafficData[[#This Row],[totalChallan]])</f>
        <v>1</v>
      </c>
      <c r="O1614" s="8" t="b">
        <f>AND(TrafficData[[#This Row],[pendingAmount]]&lt;=TrafficData[[#This Row],[totalAmount]],TrafficData[[#This Row],[disposedAmount]]&lt;=TrafficData[[#This Row],[totalAmount]])</f>
        <v>1</v>
      </c>
      <c r="P1614" s="8" t="b">
        <f>AND(TrafficData[[#This Row],[pendingCourt]]&lt;=TrafficData[[#This Row],[totalCourt]],TrafficData[[#This Row],[disposedCourt]]&lt;=TrafficData[[#This Row],[totalCourt]])</f>
        <v>1</v>
      </c>
    </row>
    <row r="1615" spans="1:16">
      <c r="A1615" s="1">
        <v>43618</v>
      </c>
      <c r="B1615">
        <v>43114</v>
      </c>
      <c r="C1615">
        <v>28759</v>
      </c>
      <c r="D1615">
        <v>14355</v>
      </c>
      <c r="E1615">
        <v>16433955</v>
      </c>
      <c r="F1615">
        <v>31296393</v>
      </c>
      <c r="G1615">
        <v>47730348</v>
      </c>
      <c r="H1615">
        <v>4945</v>
      </c>
      <c r="I1615">
        <v>2838</v>
      </c>
      <c r="J1615">
        <v>7783</v>
      </c>
      <c r="K1615" t="b">
        <f>TrafficData[[#This Row],[disposedChallan]]+TrafficData[[#This Row],[pendingChallan]]=TrafficData[[#This Row],[totalChallan]]</f>
        <v>1</v>
      </c>
      <c r="L1615" t="b">
        <f>TrafficData[[#This Row],[pendingAmount]]+TrafficData[[#This Row],[disposedAmount]]=TrafficData[[#This Row],[totalAmount]]</f>
        <v>1</v>
      </c>
      <c r="M1615" t="b">
        <f>TrafficData[[#This Row],[pendingCourt]]+TrafficData[[#This Row],[disposedCourt]]=TrafficData[[#This Row],[totalCourt]]</f>
        <v>1</v>
      </c>
      <c r="N1615" s="8" t="b">
        <f>AND(TrafficData[[#This Row],[disposedChallan]]&lt;=TrafficData[[#This Row],[totalChallan]],TrafficData[[#This Row],[pendingChallan]]&lt;=TrafficData[[#This Row],[totalChallan]])</f>
        <v>1</v>
      </c>
      <c r="O1615" s="8" t="b">
        <f>AND(TrafficData[[#This Row],[pendingAmount]]&lt;=TrafficData[[#This Row],[totalAmount]],TrafficData[[#This Row],[disposedAmount]]&lt;=TrafficData[[#This Row],[totalAmount]])</f>
        <v>1</v>
      </c>
      <c r="P1615" s="8" t="b">
        <f>AND(TrafficData[[#This Row],[pendingCourt]]&lt;=TrafficData[[#This Row],[totalCourt]],TrafficData[[#This Row],[disposedCourt]]&lt;=TrafficData[[#This Row],[totalCourt]])</f>
        <v>1</v>
      </c>
    </row>
    <row r="1616" spans="1:16">
      <c r="A1616" s="1">
        <v>43619</v>
      </c>
      <c r="B1616">
        <v>45692</v>
      </c>
      <c r="C1616">
        <v>31554</v>
      </c>
      <c r="D1616">
        <v>14138</v>
      </c>
      <c r="E1616">
        <v>17285357</v>
      </c>
      <c r="F1616">
        <v>32902086</v>
      </c>
      <c r="G1616">
        <v>50187443</v>
      </c>
      <c r="H1616">
        <v>4312</v>
      </c>
      <c r="I1616">
        <v>3247</v>
      </c>
      <c r="J1616">
        <v>7559</v>
      </c>
      <c r="K1616" t="b">
        <f>TrafficData[[#This Row],[disposedChallan]]+TrafficData[[#This Row],[pendingChallan]]=TrafficData[[#This Row],[totalChallan]]</f>
        <v>1</v>
      </c>
      <c r="L1616" t="b">
        <f>TrafficData[[#This Row],[pendingAmount]]+TrafficData[[#This Row],[disposedAmount]]=TrafficData[[#This Row],[totalAmount]]</f>
        <v>1</v>
      </c>
      <c r="M1616" t="b">
        <f>TrafficData[[#This Row],[pendingCourt]]+TrafficData[[#This Row],[disposedCourt]]=TrafficData[[#This Row],[totalCourt]]</f>
        <v>1</v>
      </c>
      <c r="N1616" s="8" t="b">
        <f>AND(TrafficData[[#This Row],[disposedChallan]]&lt;=TrafficData[[#This Row],[totalChallan]],TrafficData[[#This Row],[pendingChallan]]&lt;=TrafficData[[#This Row],[totalChallan]])</f>
        <v>1</v>
      </c>
      <c r="O1616" s="8" t="b">
        <f>AND(TrafficData[[#This Row],[pendingAmount]]&lt;=TrafficData[[#This Row],[totalAmount]],TrafficData[[#This Row],[disposedAmount]]&lt;=TrafficData[[#This Row],[totalAmount]])</f>
        <v>1</v>
      </c>
      <c r="P1616" s="8" t="b">
        <f>AND(TrafficData[[#This Row],[pendingCourt]]&lt;=TrafficData[[#This Row],[totalCourt]],TrafficData[[#This Row],[disposedCourt]]&lt;=TrafficData[[#This Row],[totalCourt]])</f>
        <v>1</v>
      </c>
    </row>
    <row r="1617" spans="1:16">
      <c r="A1617" s="1">
        <v>43620</v>
      </c>
      <c r="B1617">
        <v>47470</v>
      </c>
      <c r="C1617">
        <v>33725</v>
      </c>
      <c r="D1617">
        <v>13745</v>
      </c>
      <c r="E1617">
        <v>15163889</v>
      </c>
      <c r="F1617">
        <v>39572922</v>
      </c>
      <c r="G1617">
        <v>54736811</v>
      </c>
      <c r="H1617">
        <v>5071</v>
      </c>
      <c r="I1617">
        <v>3587</v>
      </c>
      <c r="J1617">
        <v>8658</v>
      </c>
      <c r="K1617" t="b">
        <f>TrafficData[[#This Row],[disposedChallan]]+TrafficData[[#This Row],[pendingChallan]]=TrafficData[[#This Row],[totalChallan]]</f>
        <v>1</v>
      </c>
      <c r="L1617" t="b">
        <f>TrafficData[[#This Row],[pendingAmount]]+TrafficData[[#This Row],[disposedAmount]]=TrafficData[[#This Row],[totalAmount]]</f>
        <v>1</v>
      </c>
      <c r="M1617" t="b">
        <f>TrafficData[[#This Row],[pendingCourt]]+TrafficData[[#This Row],[disposedCourt]]=TrafficData[[#This Row],[totalCourt]]</f>
        <v>1</v>
      </c>
      <c r="N1617" s="8" t="b">
        <f>AND(TrafficData[[#This Row],[disposedChallan]]&lt;=TrafficData[[#This Row],[totalChallan]],TrafficData[[#This Row],[pendingChallan]]&lt;=TrafficData[[#This Row],[totalChallan]])</f>
        <v>1</v>
      </c>
      <c r="O1617" s="8" t="b">
        <f>AND(TrafficData[[#This Row],[pendingAmount]]&lt;=TrafficData[[#This Row],[totalAmount]],TrafficData[[#This Row],[disposedAmount]]&lt;=TrafficData[[#This Row],[totalAmount]])</f>
        <v>1</v>
      </c>
      <c r="P1617" s="8" t="b">
        <f>AND(TrafficData[[#This Row],[pendingCourt]]&lt;=TrafficData[[#This Row],[totalCourt]],TrafficData[[#This Row],[disposedCourt]]&lt;=TrafficData[[#This Row],[totalCourt]])</f>
        <v>1</v>
      </c>
    </row>
    <row r="1618" spans="1:16">
      <c r="A1618" s="1">
        <v>43621</v>
      </c>
      <c r="B1618">
        <v>43772</v>
      </c>
      <c r="C1618">
        <v>29818</v>
      </c>
      <c r="D1618">
        <v>13954</v>
      </c>
      <c r="E1618">
        <v>7633437</v>
      </c>
      <c r="F1618">
        <v>23891798</v>
      </c>
      <c r="G1618">
        <v>31525235</v>
      </c>
      <c r="H1618">
        <v>3963</v>
      </c>
      <c r="I1618">
        <v>2392</v>
      </c>
      <c r="J1618">
        <v>6355</v>
      </c>
      <c r="K1618" t="b">
        <f>TrafficData[[#This Row],[disposedChallan]]+TrafficData[[#This Row],[pendingChallan]]=TrafficData[[#This Row],[totalChallan]]</f>
        <v>1</v>
      </c>
      <c r="L1618" t="b">
        <f>TrafficData[[#This Row],[pendingAmount]]+TrafficData[[#This Row],[disposedAmount]]=TrafficData[[#This Row],[totalAmount]]</f>
        <v>1</v>
      </c>
      <c r="M1618" t="b">
        <f>TrafficData[[#This Row],[pendingCourt]]+TrafficData[[#This Row],[disposedCourt]]=TrafficData[[#This Row],[totalCourt]]</f>
        <v>1</v>
      </c>
      <c r="N1618" s="8" t="b">
        <f>AND(TrafficData[[#This Row],[disposedChallan]]&lt;=TrafficData[[#This Row],[totalChallan]],TrafficData[[#This Row],[pendingChallan]]&lt;=TrafficData[[#This Row],[totalChallan]])</f>
        <v>1</v>
      </c>
      <c r="O1618" s="8" t="b">
        <f>AND(TrafficData[[#This Row],[pendingAmount]]&lt;=TrafficData[[#This Row],[totalAmount]],TrafficData[[#This Row],[disposedAmount]]&lt;=TrafficData[[#This Row],[totalAmount]])</f>
        <v>1</v>
      </c>
      <c r="P1618" s="8" t="b">
        <f>AND(TrafficData[[#This Row],[pendingCourt]]&lt;=TrafficData[[#This Row],[totalCourt]],TrafficData[[#This Row],[disposedCourt]]&lt;=TrafficData[[#This Row],[totalCourt]])</f>
        <v>1</v>
      </c>
    </row>
    <row r="1619" spans="1:16">
      <c r="A1619" s="1">
        <v>43622</v>
      </c>
      <c r="B1619">
        <v>54700</v>
      </c>
      <c r="C1619">
        <v>37247</v>
      </c>
      <c r="D1619">
        <v>17453</v>
      </c>
      <c r="E1619">
        <v>12362265</v>
      </c>
      <c r="F1619">
        <v>126520165</v>
      </c>
      <c r="G1619">
        <v>138882430</v>
      </c>
      <c r="H1619">
        <v>7904</v>
      </c>
      <c r="I1619">
        <v>3765</v>
      </c>
      <c r="J1619">
        <v>11669</v>
      </c>
      <c r="K1619" t="b">
        <f>TrafficData[[#This Row],[disposedChallan]]+TrafficData[[#This Row],[pendingChallan]]=TrafficData[[#This Row],[totalChallan]]</f>
        <v>1</v>
      </c>
      <c r="L1619" t="b">
        <f>TrafficData[[#This Row],[pendingAmount]]+TrafficData[[#This Row],[disposedAmount]]=TrafficData[[#This Row],[totalAmount]]</f>
        <v>1</v>
      </c>
      <c r="M1619" t="b">
        <f>TrafficData[[#This Row],[pendingCourt]]+TrafficData[[#This Row],[disposedCourt]]=TrafficData[[#This Row],[totalCourt]]</f>
        <v>1</v>
      </c>
      <c r="N1619" s="8" t="b">
        <f>AND(TrafficData[[#This Row],[disposedChallan]]&lt;=TrafficData[[#This Row],[totalChallan]],TrafficData[[#This Row],[pendingChallan]]&lt;=TrafficData[[#This Row],[totalChallan]])</f>
        <v>1</v>
      </c>
      <c r="O1619" s="8" t="b">
        <f>AND(TrafficData[[#This Row],[pendingAmount]]&lt;=TrafficData[[#This Row],[totalAmount]],TrafficData[[#This Row],[disposedAmount]]&lt;=TrafficData[[#This Row],[totalAmount]])</f>
        <v>1</v>
      </c>
      <c r="P1619" s="8" t="b">
        <f>AND(TrafficData[[#This Row],[pendingCourt]]&lt;=TrafficData[[#This Row],[totalCourt]],TrafficData[[#This Row],[disposedCourt]]&lt;=TrafficData[[#This Row],[totalCourt]])</f>
        <v>1</v>
      </c>
    </row>
    <row r="1620" spans="1:16">
      <c r="A1620" s="1">
        <v>43623</v>
      </c>
      <c r="B1620">
        <v>55885</v>
      </c>
      <c r="C1620">
        <v>38088</v>
      </c>
      <c r="D1620">
        <v>17797</v>
      </c>
      <c r="E1620">
        <v>13386183</v>
      </c>
      <c r="F1620">
        <v>32343039</v>
      </c>
      <c r="G1620">
        <v>45729222</v>
      </c>
      <c r="H1620">
        <v>7922</v>
      </c>
      <c r="I1620">
        <v>3943</v>
      </c>
      <c r="J1620">
        <v>11865</v>
      </c>
      <c r="K1620" t="b">
        <f>TrafficData[[#This Row],[disposedChallan]]+TrafficData[[#This Row],[pendingChallan]]=TrafficData[[#This Row],[totalChallan]]</f>
        <v>1</v>
      </c>
      <c r="L1620" t="b">
        <f>TrafficData[[#This Row],[pendingAmount]]+TrafficData[[#This Row],[disposedAmount]]=TrafficData[[#This Row],[totalAmount]]</f>
        <v>1</v>
      </c>
      <c r="M1620" t="b">
        <f>TrafficData[[#This Row],[pendingCourt]]+TrafficData[[#This Row],[disposedCourt]]=TrafficData[[#This Row],[totalCourt]]</f>
        <v>1</v>
      </c>
      <c r="N1620" s="8" t="b">
        <f>AND(TrafficData[[#This Row],[disposedChallan]]&lt;=TrafficData[[#This Row],[totalChallan]],TrafficData[[#This Row],[pendingChallan]]&lt;=TrafficData[[#This Row],[totalChallan]])</f>
        <v>1</v>
      </c>
      <c r="O1620" s="8" t="b">
        <f>AND(TrafficData[[#This Row],[pendingAmount]]&lt;=TrafficData[[#This Row],[totalAmount]],TrafficData[[#This Row],[disposedAmount]]&lt;=TrafficData[[#This Row],[totalAmount]])</f>
        <v>1</v>
      </c>
      <c r="P1620" s="8" t="b">
        <f>AND(TrafficData[[#This Row],[pendingCourt]]&lt;=TrafficData[[#This Row],[totalCourt]],TrafficData[[#This Row],[disposedCourt]]&lt;=TrafficData[[#This Row],[totalCourt]])</f>
        <v>1</v>
      </c>
    </row>
    <row r="1621" spans="1:16">
      <c r="A1621" s="1">
        <v>43624</v>
      </c>
      <c r="B1621">
        <v>48778</v>
      </c>
      <c r="C1621">
        <v>35546</v>
      </c>
      <c r="D1621">
        <v>13232</v>
      </c>
      <c r="E1621">
        <v>8899978</v>
      </c>
      <c r="F1621">
        <v>29145353</v>
      </c>
      <c r="G1621">
        <v>38045331</v>
      </c>
      <c r="H1621">
        <v>5459</v>
      </c>
      <c r="I1621">
        <v>3225</v>
      </c>
      <c r="J1621">
        <v>8684</v>
      </c>
      <c r="K1621" t="b">
        <f>TrafficData[[#This Row],[disposedChallan]]+TrafficData[[#This Row],[pendingChallan]]=TrafficData[[#This Row],[totalChallan]]</f>
        <v>1</v>
      </c>
      <c r="L1621" t="b">
        <f>TrafficData[[#This Row],[pendingAmount]]+TrafficData[[#This Row],[disposedAmount]]=TrafficData[[#This Row],[totalAmount]]</f>
        <v>1</v>
      </c>
      <c r="M1621" t="b">
        <f>TrafficData[[#This Row],[pendingCourt]]+TrafficData[[#This Row],[disposedCourt]]=TrafficData[[#This Row],[totalCourt]]</f>
        <v>1</v>
      </c>
      <c r="N1621" s="8" t="b">
        <f>AND(TrafficData[[#This Row],[disposedChallan]]&lt;=TrafficData[[#This Row],[totalChallan]],TrafficData[[#This Row],[pendingChallan]]&lt;=TrafficData[[#This Row],[totalChallan]])</f>
        <v>1</v>
      </c>
      <c r="O1621" s="8" t="b">
        <f>AND(TrafficData[[#This Row],[pendingAmount]]&lt;=TrafficData[[#This Row],[totalAmount]],TrafficData[[#This Row],[disposedAmount]]&lt;=TrafficData[[#This Row],[totalAmount]])</f>
        <v>1</v>
      </c>
      <c r="P1621" s="8" t="b">
        <f>AND(TrafficData[[#This Row],[pendingCourt]]&lt;=TrafficData[[#This Row],[totalCourt]],TrafficData[[#This Row],[disposedCourt]]&lt;=TrafficData[[#This Row],[totalCourt]])</f>
        <v>1</v>
      </c>
    </row>
    <row r="1622" spans="1:16">
      <c r="A1622" s="1">
        <v>43625</v>
      </c>
      <c r="B1622">
        <v>33876</v>
      </c>
      <c r="C1622">
        <v>25281</v>
      </c>
      <c r="D1622">
        <v>8595</v>
      </c>
      <c r="E1622">
        <v>5337305</v>
      </c>
      <c r="F1622">
        <v>22416989</v>
      </c>
      <c r="G1622">
        <v>27754294</v>
      </c>
      <c r="H1622">
        <v>3024</v>
      </c>
      <c r="I1622">
        <v>2664</v>
      </c>
      <c r="J1622">
        <v>5688</v>
      </c>
      <c r="K1622" t="b">
        <f>TrafficData[[#This Row],[disposedChallan]]+TrafficData[[#This Row],[pendingChallan]]=TrafficData[[#This Row],[totalChallan]]</f>
        <v>1</v>
      </c>
      <c r="L1622" t="b">
        <f>TrafficData[[#This Row],[pendingAmount]]+TrafficData[[#This Row],[disposedAmount]]=TrafficData[[#This Row],[totalAmount]]</f>
        <v>1</v>
      </c>
      <c r="M1622" t="b">
        <f>TrafficData[[#This Row],[pendingCourt]]+TrafficData[[#This Row],[disposedCourt]]=TrafficData[[#This Row],[totalCourt]]</f>
        <v>1</v>
      </c>
      <c r="N1622" s="8" t="b">
        <f>AND(TrafficData[[#This Row],[disposedChallan]]&lt;=TrafficData[[#This Row],[totalChallan]],TrafficData[[#This Row],[pendingChallan]]&lt;=TrafficData[[#This Row],[totalChallan]])</f>
        <v>1</v>
      </c>
      <c r="O1622" s="8" t="b">
        <f>AND(TrafficData[[#This Row],[pendingAmount]]&lt;=TrafficData[[#This Row],[totalAmount]],TrafficData[[#This Row],[disposedAmount]]&lt;=TrafficData[[#This Row],[totalAmount]])</f>
        <v>1</v>
      </c>
      <c r="P1622" s="8" t="b">
        <f>AND(TrafficData[[#This Row],[pendingCourt]]&lt;=TrafficData[[#This Row],[totalCourt]],TrafficData[[#This Row],[disposedCourt]]&lt;=TrafficData[[#This Row],[totalCourt]])</f>
        <v>1</v>
      </c>
    </row>
    <row r="1623" spans="1:16">
      <c r="A1623" s="1">
        <v>43626</v>
      </c>
      <c r="B1623">
        <v>45911</v>
      </c>
      <c r="C1623">
        <v>33480</v>
      </c>
      <c r="D1623">
        <v>12431</v>
      </c>
      <c r="E1623">
        <v>8965239</v>
      </c>
      <c r="F1623">
        <v>32092342</v>
      </c>
      <c r="G1623">
        <v>41057581</v>
      </c>
      <c r="H1623">
        <v>4042</v>
      </c>
      <c r="I1623">
        <v>2967</v>
      </c>
      <c r="J1623">
        <v>7009</v>
      </c>
      <c r="K1623" t="b">
        <f>TrafficData[[#This Row],[disposedChallan]]+TrafficData[[#This Row],[pendingChallan]]=TrafficData[[#This Row],[totalChallan]]</f>
        <v>1</v>
      </c>
      <c r="L1623" t="b">
        <f>TrafficData[[#This Row],[pendingAmount]]+TrafficData[[#This Row],[disposedAmount]]=TrafficData[[#This Row],[totalAmount]]</f>
        <v>1</v>
      </c>
      <c r="M1623" t="b">
        <f>TrafficData[[#This Row],[pendingCourt]]+TrafficData[[#This Row],[disposedCourt]]=TrafficData[[#This Row],[totalCourt]]</f>
        <v>1</v>
      </c>
      <c r="N1623" s="8" t="b">
        <f>AND(TrafficData[[#This Row],[disposedChallan]]&lt;=TrafficData[[#This Row],[totalChallan]],TrafficData[[#This Row],[pendingChallan]]&lt;=TrafficData[[#This Row],[totalChallan]])</f>
        <v>1</v>
      </c>
      <c r="O1623" s="8" t="b">
        <f>AND(TrafficData[[#This Row],[pendingAmount]]&lt;=TrafficData[[#This Row],[totalAmount]],TrafficData[[#This Row],[disposedAmount]]&lt;=TrafficData[[#This Row],[totalAmount]])</f>
        <v>1</v>
      </c>
      <c r="P1623" s="8" t="b">
        <f>AND(TrafficData[[#This Row],[pendingCourt]]&lt;=TrafficData[[#This Row],[totalCourt]],TrafficData[[#This Row],[disposedCourt]]&lt;=TrafficData[[#This Row],[totalCourt]])</f>
        <v>1</v>
      </c>
    </row>
    <row r="1624" spans="1:16">
      <c r="A1624" s="1">
        <v>43627</v>
      </c>
      <c r="B1624">
        <v>46349</v>
      </c>
      <c r="C1624">
        <v>34100</v>
      </c>
      <c r="D1624">
        <v>12249</v>
      </c>
      <c r="E1624">
        <v>9043596</v>
      </c>
      <c r="F1624">
        <v>38998563</v>
      </c>
      <c r="G1624">
        <v>48042159</v>
      </c>
      <c r="H1624">
        <v>4620</v>
      </c>
      <c r="I1624">
        <v>2909</v>
      </c>
      <c r="J1624">
        <v>7529</v>
      </c>
      <c r="K1624" t="b">
        <f>TrafficData[[#This Row],[disposedChallan]]+TrafficData[[#This Row],[pendingChallan]]=TrafficData[[#This Row],[totalChallan]]</f>
        <v>1</v>
      </c>
      <c r="L1624" t="b">
        <f>TrafficData[[#This Row],[pendingAmount]]+TrafficData[[#This Row],[disposedAmount]]=TrafficData[[#This Row],[totalAmount]]</f>
        <v>1</v>
      </c>
      <c r="M1624" t="b">
        <f>TrafficData[[#This Row],[pendingCourt]]+TrafficData[[#This Row],[disposedCourt]]=TrafficData[[#This Row],[totalCourt]]</f>
        <v>1</v>
      </c>
      <c r="N1624" s="8" t="b">
        <f>AND(TrafficData[[#This Row],[disposedChallan]]&lt;=TrafficData[[#This Row],[totalChallan]],TrafficData[[#This Row],[pendingChallan]]&lt;=TrafficData[[#This Row],[totalChallan]])</f>
        <v>1</v>
      </c>
      <c r="O1624" s="8" t="b">
        <f>AND(TrafficData[[#This Row],[pendingAmount]]&lt;=TrafficData[[#This Row],[totalAmount]],TrafficData[[#This Row],[disposedAmount]]&lt;=TrafficData[[#This Row],[totalAmount]])</f>
        <v>1</v>
      </c>
      <c r="P1624" s="8" t="b">
        <f>AND(TrafficData[[#This Row],[pendingCourt]]&lt;=TrafficData[[#This Row],[totalCourt]],TrafficData[[#This Row],[disposedCourt]]&lt;=TrafficData[[#This Row],[totalCourt]])</f>
        <v>1</v>
      </c>
    </row>
    <row r="1625" spans="1:16">
      <c r="A1625" s="1">
        <v>43628</v>
      </c>
      <c r="B1625">
        <v>55361</v>
      </c>
      <c r="C1625">
        <v>37857</v>
      </c>
      <c r="D1625">
        <v>17504</v>
      </c>
      <c r="E1625">
        <v>12989893</v>
      </c>
      <c r="F1625">
        <v>39698506</v>
      </c>
      <c r="G1625">
        <v>52688399</v>
      </c>
      <c r="H1625">
        <v>7617</v>
      </c>
      <c r="I1625">
        <v>3758</v>
      </c>
      <c r="J1625">
        <v>11375</v>
      </c>
      <c r="K1625" t="b">
        <f>TrafficData[[#This Row],[disposedChallan]]+TrafficData[[#This Row],[pendingChallan]]=TrafficData[[#This Row],[totalChallan]]</f>
        <v>1</v>
      </c>
      <c r="L1625" t="b">
        <f>TrafficData[[#This Row],[pendingAmount]]+TrafficData[[#This Row],[disposedAmount]]=TrafficData[[#This Row],[totalAmount]]</f>
        <v>1</v>
      </c>
      <c r="M1625" t="b">
        <f>TrafficData[[#This Row],[pendingCourt]]+TrafficData[[#This Row],[disposedCourt]]=TrafficData[[#This Row],[totalCourt]]</f>
        <v>1</v>
      </c>
      <c r="N1625" s="8" t="b">
        <f>AND(TrafficData[[#This Row],[disposedChallan]]&lt;=TrafficData[[#This Row],[totalChallan]],TrafficData[[#This Row],[pendingChallan]]&lt;=TrafficData[[#This Row],[totalChallan]])</f>
        <v>1</v>
      </c>
      <c r="O1625" s="8" t="b">
        <f>AND(TrafficData[[#This Row],[pendingAmount]]&lt;=TrafficData[[#This Row],[totalAmount]],TrafficData[[#This Row],[disposedAmount]]&lt;=TrafficData[[#This Row],[totalAmount]])</f>
        <v>1</v>
      </c>
      <c r="P1625" s="8" t="b">
        <f>AND(TrafficData[[#This Row],[pendingCourt]]&lt;=TrafficData[[#This Row],[totalCourt]],TrafficData[[#This Row],[disposedCourt]]&lt;=TrafficData[[#This Row],[totalCourt]])</f>
        <v>1</v>
      </c>
    </row>
    <row r="1626" spans="1:16">
      <c r="A1626" s="1">
        <v>43629</v>
      </c>
      <c r="B1626">
        <v>50059</v>
      </c>
      <c r="C1626">
        <v>35634</v>
      </c>
      <c r="D1626">
        <v>14425</v>
      </c>
      <c r="E1626">
        <v>10728810</v>
      </c>
      <c r="F1626">
        <v>37274563</v>
      </c>
      <c r="G1626">
        <v>48003373</v>
      </c>
      <c r="H1626">
        <v>5166</v>
      </c>
      <c r="I1626">
        <v>3315</v>
      </c>
      <c r="J1626">
        <v>8481</v>
      </c>
      <c r="K1626" t="b">
        <f>TrafficData[[#This Row],[disposedChallan]]+TrafficData[[#This Row],[pendingChallan]]=TrafficData[[#This Row],[totalChallan]]</f>
        <v>1</v>
      </c>
      <c r="L1626" t="b">
        <f>TrafficData[[#This Row],[pendingAmount]]+TrafficData[[#This Row],[disposedAmount]]=TrafficData[[#This Row],[totalAmount]]</f>
        <v>1</v>
      </c>
      <c r="M1626" t="b">
        <f>TrafficData[[#This Row],[pendingCourt]]+TrafficData[[#This Row],[disposedCourt]]=TrafficData[[#This Row],[totalCourt]]</f>
        <v>1</v>
      </c>
      <c r="N1626" s="8" t="b">
        <f>AND(TrafficData[[#This Row],[disposedChallan]]&lt;=TrafficData[[#This Row],[totalChallan]],TrafficData[[#This Row],[pendingChallan]]&lt;=TrafficData[[#This Row],[totalChallan]])</f>
        <v>1</v>
      </c>
      <c r="O1626" s="8" t="b">
        <f>AND(TrafficData[[#This Row],[pendingAmount]]&lt;=TrafficData[[#This Row],[totalAmount]],TrafficData[[#This Row],[disposedAmount]]&lt;=TrafficData[[#This Row],[totalAmount]])</f>
        <v>1</v>
      </c>
      <c r="P1626" s="8" t="b">
        <f>AND(TrafficData[[#This Row],[pendingCourt]]&lt;=TrafficData[[#This Row],[totalCourt]],TrafficData[[#This Row],[disposedCourt]]&lt;=TrafficData[[#This Row],[totalCourt]])</f>
        <v>1</v>
      </c>
    </row>
    <row r="1627" spans="1:16">
      <c r="A1627" s="1">
        <v>43630</v>
      </c>
      <c r="B1627">
        <v>56173</v>
      </c>
      <c r="C1627">
        <v>38680</v>
      </c>
      <c r="D1627">
        <v>17493</v>
      </c>
      <c r="E1627">
        <v>18262066</v>
      </c>
      <c r="F1627">
        <v>40910792</v>
      </c>
      <c r="G1627">
        <v>59172858</v>
      </c>
      <c r="H1627">
        <v>8577</v>
      </c>
      <c r="I1627">
        <v>4399</v>
      </c>
      <c r="J1627">
        <v>12976</v>
      </c>
      <c r="K1627" t="b">
        <f>TrafficData[[#This Row],[disposedChallan]]+TrafficData[[#This Row],[pendingChallan]]=TrafficData[[#This Row],[totalChallan]]</f>
        <v>1</v>
      </c>
      <c r="L1627" t="b">
        <f>TrafficData[[#This Row],[pendingAmount]]+TrafficData[[#This Row],[disposedAmount]]=TrafficData[[#This Row],[totalAmount]]</f>
        <v>1</v>
      </c>
      <c r="M1627" t="b">
        <f>TrafficData[[#This Row],[pendingCourt]]+TrafficData[[#This Row],[disposedCourt]]=TrafficData[[#This Row],[totalCourt]]</f>
        <v>1</v>
      </c>
      <c r="N1627" s="8" t="b">
        <f>AND(TrafficData[[#This Row],[disposedChallan]]&lt;=TrafficData[[#This Row],[totalChallan]],TrafficData[[#This Row],[pendingChallan]]&lt;=TrafficData[[#This Row],[totalChallan]])</f>
        <v>1</v>
      </c>
      <c r="O1627" s="8" t="b">
        <f>AND(TrafficData[[#This Row],[pendingAmount]]&lt;=TrafficData[[#This Row],[totalAmount]],TrafficData[[#This Row],[disposedAmount]]&lt;=TrafficData[[#This Row],[totalAmount]])</f>
        <v>1</v>
      </c>
      <c r="P1627" s="8" t="b">
        <f>AND(TrafficData[[#This Row],[pendingCourt]]&lt;=TrafficData[[#This Row],[totalCourt]],TrafficData[[#This Row],[disposedCourt]]&lt;=TrafficData[[#This Row],[totalCourt]])</f>
        <v>1</v>
      </c>
    </row>
    <row r="1628" spans="1:16">
      <c r="A1628" s="1">
        <v>43631</v>
      </c>
      <c r="B1628">
        <v>53782</v>
      </c>
      <c r="C1628">
        <v>38196</v>
      </c>
      <c r="D1628">
        <v>15586</v>
      </c>
      <c r="E1628">
        <v>12402205</v>
      </c>
      <c r="F1628">
        <v>40172526</v>
      </c>
      <c r="G1628">
        <v>52574731</v>
      </c>
      <c r="H1628">
        <v>6374</v>
      </c>
      <c r="I1628">
        <v>3413</v>
      </c>
      <c r="J1628">
        <v>9787</v>
      </c>
      <c r="K1628" t="b">
        <f>TrafficData[[#This Row],[disposedChallan]]+TrafficData[[#This Row],[pendingChallan]]=TrafficData[[#This Row],[totalChallan]]</f>
        <v>1</v>
      </c>
      <c r="L1628" t="b">
        <f>TrafficData[[#This Row],[pendingAmount]]+TrafficData[[#This Row],[disposedAmount]]=TrafficData[[#This Row],[totalAmount]]</f>
        <v>1</v>
      </c>
      <c r="M1628" t="b">
        <f>TrafficData[[#This Row],[pendingCourt]]+TrafficData[[#This Row],[disposedCourt]]=TrafficData[[#This Row],[totalCourt]]</f>
        <v>1</v>
      </c>
      <c r="N1628" s="8" t="b">
        <f>AND(TrafficData[[#This Row],[disposedChallan]]&lt;=TrafficData[[#This Row],[totalChallan]],TrafficData[[#This Row],[pendingChallan]]&lt;=TrafficData[[#This Row],[totalChallan]])</f>
        <v>1</v>
      </c>
      <c r="O1628" s="8" t="b">
        <f>AND(TrafficData[[#This Row],[pendingAmount]]&lt;=TrafficData[[#This Row],[totalAmount]],TrafficData[[#This Row],[disposedAmount]]&lt;=TrafficData[[#This Row],[totalAmount]])</f>
        <v>1</v>
      </c>
      <c r="P1628" s="8" t="b">
        <f>AND(TrafficData[[#This Row],[pendingCourt]]&lt;=TrafficData[[#This Row],[totalCourt]],TrafficData[[#This Row],[disposedCourt]]&lt;=TrafficData[[#This Row],[totalCourt]])</f>
        <v>1</v>
      </c>
    </row>
    <row r="1629" spans="1:16">
      <c r="A1629" s="1">
        <v>43632</v>
      </c>
      <c r="B1629">
        <v>45275</v>
      </c>
      <c r="C1629">
        <v>31474</v>
      </c>
      <c r="D1629">
        <v>13801</v>
      </c>
      <c r="E1629">
        <v>10628365</v>
      </c>
      <c r="F1629">
        <v>28602036</v>
      </c>
      <c r="G1629">
        <v>39230401</v>
      </c>
      <c r="H1629">
        <v>5617</v>
      </c>
      <c r="I1629">
        <v>3218</v>
      </c>
      <c r="J1629">
        <v>8835</v>
      </c>
      <c r="K1629" t="b">
        <f>TrafficData[[#This Row],[disposedChallan]]+TrafficData[[#This Row],[pendingChallan]]=TrafficData[[#This Row],[totalChallan]]</f>
        <v>1</v>
      </c>
      <c r="L1629" t="b">
        <f>TrafficData[[#This Row],[pendingAmount]]+TrafficData[[#This Row],[disposedAmount]]=TrafficData[[#This Row],[totalAmount]]</f>
        <v>1</v>
      </c>
      <c r="M1629" t="b">
        <f>TrafficData[[#This Row],[pendingCourt]]+TrafficData[[#This Row],[disposedCourt]]=TrafficData[[#This Row],[totalCourt]]</f>
        <v>1</v>
      </c>
      <c r="N1629" s="8" t="b">
        <f>AND(TrafficData[[#This Row],[disposedChallan]]&lt;=TrafficData[[#This Row],[totalChallan]],TrafficData[[#This Row],[pendingChallan]]&lt;=TrafficData[[#This Row],[totalChallan]])</f>
        <v>1</v>
      </c>
      <c r="O1629" s="8" t="b">
        <f>AND(TrafficData[[#This Row],[pendingAmount]]&lt;=TrafficData[[#This Row],[totalAmount]],TrafficData[[#This Row],[disposedAmount]]&lt;=TrafficData[[#This Row],[totalAmount]])</f>
        <v>1</v>
      </c>
      <c r="P1629" s="8" t="b">
        <f>AND(TrafficData[[#This Row],[pendingCourt]]&lt;=TrafficData[[#This Row],[totalCourt]],TrafficData[[#This Row],[disposedCourt]]&lt;=TrafficData[[#This Row],[totalCourt]])</f>
        <v>1</v>
      </c>
    </row>
    <row r="1630" spans="1:16">
      <c r="A1630" s="1">
        <v>43633</v>
      </c>
      <c r="B1630">
        <v>63266</v>
      </c>
      <c r="C1630">
        <v>46044</v>
      </c>
      <c r="D1630">
        <v>17222</v>
      </c>
      <c r="E1630">
        <v>15322607</v>
      </c>
      <c r="F1630">
        <v>39724756</v>
      </c>
      <c r="G1630">
        <v>55047363</v>
      </c>
      <c r="H1630">
        <v>7976</v>
      </c>
      <c r="I1630">
        <v>4055</v>
      </c>
      <c r="J1630">
        <v>12031</v>
      </c>
      <c r="K1630" t="b">
        <f>TrafficData[[#This Row],[disposedChallan]]+TrafficData[[#This Row],[pendingChallan]]=TrafficData[[#This Row],[totalChallan]]</f>
        <v>1</v>
      </c>
      <c r="L1630" t="b">
        <f>TrafficData[[#This Row],[pendingAmount]]+TrafficData[[#This Row],[disposedAmount]]=TrafficData[[#This Row],[totalAmount]]</f>
        <v>1</v>
      </c>
      <c r="M1630" t="b">
        <f>TrafficData[[#This Row],[pendingCourt]]+TrafficData[[#This Row],[disposedCourt]]=TrafficData[[#This Row],[totalCourt]]</f>
        <v>1</v>
      </c>
      <c r="N1630" s="8" t="b">
        <f>AND(TrafficData[[#This Row],[disposedChallan]]&lt;=TrafficData[[#This Row],[totalChallan]],TrafficData[[#This Row],[pendingChallan]]&lt;=TrafficData[[#This Row],[totalChallan]])</f>
        <v>1</v>
      </c>
      <c r="O1630" s="8" t="b">
        <f>AND(TrafficData[[#This Row],[pendingAmount]]&lt;=TrafficData[[#This Row],[totalAmount]],TrafficData[[#This Row],[disposedAmount]]&lt;=TrafficData[[#This Row],[totalAmount]])</f>
        <v>1</v>
      </c>
      <c r="P1630" s="8" t="b">
        <f>AND(TrafficData[[#This Row],[pendingCourt]]&lt;=TrafficData[[#This Row],[totalCourt]],TrafficData[[#This Row],[disposedCourt]]&lt;=TrafficData[[#This Row],[totalCourt]])</f>
        <v>1</v>
      </c>
    </row>
    <row r="1631" spans="1:16">
      <c r="A1631" s="1">
        <v>43634</v>
      </c>
      <c r="B1631">
        <v>79743</v>
      </c>
      <c r="C1631">
        <v>58372</v>
      </c>
      <c r="D1631">
        <v>21371</v>
      </c>
      <c r="E1631">
        <v>24353888</v>
      </c>
      <c r="F1631">
        <v>67451963</v>
      </c>
      <c r="G1631">
        <v>91805851</v>
      </c>
      <c r="H1631">
        <v>9766</v>
      </c>
      <c r="I1631">
        <v>5310</v>
      </c>
      <c r="J1631">
        <v>15076</v>
      </c>
      <c r="K1631" t="b">
        <f>TrafficData[[#This Row],[disposedChallan]]+TrafficData[[#This Row],[pendingChallan]]=TrafficData[[#This Row],[totalChallan]]</f>
        <v>1</v>
      </c>
      <c r="L1631" t="b">
        <f>TrafficData[[#This Row],[pendingAmount]]+TrafficData[[#This Row],[disposedAmount]]=TrafficData[[#This Row],[totalAmount]]</f>
        <v>1</v>
      </c>
      <c r="M1631" t="b">
        <f>TrafficData[[#This Row],[pendingCourt]]+TrafficData[[#This Row],[disposedCourt]]=TrafficData[[#This Row],[totalCourt]]</f>
        <v>1</v>
      </c>
      <c r="N1631" s="8" t="b">
        <f>AND(TrafficData[[#This Row],[disposedChallan]]&lt;=TrafficData[[#This Row],[totalChallan]],TrafficData[[#This Row],[pendingChallan]]&lt;=TrafficData[[#This Row],[totalChallan]])</f>
        <v>1</v>
      </c>
      <c r="O1631" s="8" t="b">
        <f>AND(TrafficData[[#This Row],[pendingAmount]]&lt;=TrafficData[[#This Row],[totalAmount]],TrafficData[[#This Row],[disposedAmount]]&lt;=TrafficData[[#This Row],[totalAmount]])</f>
        <v>1</v>
      </c>
      <c r="P1631" s="8" t="b">
        <f>AND(TrafficData[[#This Row],[pendingCourt]]&lt;=TrafficData[[#This Row],[totalCourt]],TrafficData[[#This Row],[disposedCourt]]&lt;=TrafficData[[#This Row],[totalCourt]])</f>
        <v>1</v>
      </c>
    </row>
    <row r="1632" spans="1:16">
      <c r="A1632" s="1">
        <v>43635</v>
      </c>
      <c r="B1632">
        <v>83242</v>
      </c>
      <c r="C1632">
        <v>63136</v>
      </c>
      <c r="D1632">
        <v>20106</v>
      </c>
      <c r="E1632">
        <v>20870092</v>
      </c>
      <c r="F1632">
        <v>59100911</v>
      </c>
      <c r="G1632">
        <v>79971003</v>
      </c>
      <c r="H1632">
        <v>8895</v>
      </c>
      <c r="I1632">
        <v>5496</v>
      </c>
      <c r="J1632">
        <v>14391</v>
      </c>
      <c r="K1632" t="b">
        <f>TrafficData[[#This Row],[disposedChallan]]+TrafficData[[#This Row],[pendingChallan]]=TrafficData[[#This Row],[totalChallan]]</f>
        <v>1</v>
      </c>
      <c r="L1632" t="b">
        <f>TrafficData[[#This Row],[pendingAmount]]+TrafficData[[#This Row],[disposedAmount]]=TrafficData[[#This Row],[totalAmount]]</f>
        <v>1</v>
      </c>
      <c r="M1632" t="b">
        <f>TrafficData[[#This Row],[pendingCourt]]+TrafficData[[#This Row],[disposedCourt]]=TrafficData[[#This Row],[totalCourt]]</f>
        <v>1</v>
      </c>
      <c r="N1632" s="8" t="b">
        <f>AND(TrafficData[[#This Row],[disposedChallan]]&lt;=TrafficData[[#This Row],[totalChallan]],TrafficData[[#This Row],[pendingChallan]]&lt;=TrafficData[[#This Row],[totalChallan]])</f>
        <v>1</v>
      </c>
      <c r="O1632" s="8" t="b">
        <f>AND(TrafficData[[#This Row],[pendingAmount]]&lt;=TrafficData[[#This Row],[totalAmount]],TrafficData[[#This Row],[disposedAmount]]&lt;=TrafficData[[#This Row],[totalAmount]])</f>
        <v>1</v>
      </c>
      <c r="P1632" s="8" t="b">
        <f>AND(TrafficData[[#This Row],[pendingCourt]]&lt;=TrafficData[[#This Row],[totalCourt]],TrafficData[[#This Row],[disposedCourt]]&lt;=TrafficData[[#This Row],[totalCourt]])</f>
        <v>1</v>
      </c>
    </row>
    <row r="1633" spans="1:16">
      <c r="A1633" s="1">
        <v>43636</v>
      </c>
      <c r="B1633">
        <v>89442</v>
      </c>
      <c r="C1633">
        <v>66312</v>
      </c>
      <c r="D1633">
        <v>23130</v>
      </c>
      <c r="E1633">
        <v>25060295</v>
      </c>
      <c r="F1633">
        <v>55349235</v>
      </c>
      <c r="G1633">
        <v>80409530</v>
      </c>
      <c r="H1633">
        <v>10713</v>
      </c>
      <c r="I1633">
        <v>6814</v>
      </c>
      <c r="J1633">
        <v>17527</v>
      </c>
      <c r="K1633" t="b">
        <f>TrafficData[[#This Row],[disposedChallan]]+TrafficData[[#This Row],[pendingChallan]]=TrafficData[[#This Row],[totalChallan]]</f>
        <v>1</v>
      </c>
      <c r="L1633" t="b">
        <f>TrafficData[[#This Row],[pendingAmount]]+TrafficData[[#This Row],[disposedAmount]]=TrafficData[[#This Row],[totalAmount]]</f>
        <v>1</v>
      </c>
      <c r="M1633" t="b">
        <f>TrafficData[[#This Row],[pendingCourt]]+TrafficData[[#This Row],[disposedCourt]]=TrafficData[[#This Row],[totalCourt]]</f>
        <v>1</v>
      </c>
      <c r="N1633" s="8" t="b">
        <f>AND(TrafficData[[#This Row],[disposedChallan]]&lt;=TrafficData[[#This Row],[totalChallan]],TrafficData[[#This Row],[pendingChallan]]&lt;=TrafficData[[#This Row],[totalChallan]])</f>
        <v>1</v>
      </c>
      <c r="O1633" s="8" t="b">
        <f>AND(TrafficData[[#This Row],[pendingAmount]]&lt;=TrafficData[[#This Row],[totalAmount]],TrafficData[[#This Row],[disposedAmount]]&lt;=TrafficData[[#This Row],[totalAmount]])</f>
        <v>1</v>
      </c>
      <c r="P1633" s="8" t="b">
        <f>AND(TrafficData[[#This Row],[pendingCourt]]&lt;=TrafficData[[#This Row],[totalCourt]],TrafficData[[#This Row],[disposedCourt]]&lt;=TrafficData[[#This Row],[totalCourt]])</f>
        <v>1</v>
      </c>
    </row>
    <row r="1634" spans="1:16">
      <c r="A1634" s="1">
        <v>43637</v>
      </c>
      <c r="B1634">
        <v>80952</v>
      </c>
      <c r="C1634">
        <v>62117</v>
      </c>
      <c r="D1634">
        <v>18835</v>
      </c>
      <c r="E1634">
        <v>15317758</v>
      </c>
      <c r="F1634">
        <v>52328438</v>
      </c>
      <c r="G1634">
        <v>67646196</v>
      </c>
      <c r="H1634">
        <v>6620</v>
      </c>
      <c r="I1634">
        <v>5393</v>
      </c>
      <c r="J1634">
        <v>12013</v>
      </c>
      <c r="K1634" t="b">
        <f>TrafficData[[#This Row],[disposedChallan]]+TrafficData[[#This Row],[pendingChallan]]=TrafficData[[#This Row],[totalChallan]]</f>
        <v>1</v>
      </c>
      <c r="L1634" t="b">
        <f>TrafficData[[#This Row],[pendingAmount]]+TrafficData[[#This Row],[disposedAmount]]=TrafficData[[#This Row],[totalAmount]]</f>
        <v>1</v>
      </c>
      <c r="M1634" t="b">
        <f>TrafficData[[#This Row],[pendingCourt]]+TrafficData[[#This Row],[disposedCourt]]=TrafficData[[#This Row],[totalCourt]]</f>
        <v>1</v>
      </c>
      <c r="N1634" s="8" t="b">
        <f>AND(TrafficData[[#This Row],[disposedChallan]]&lt;=TrafficData[[#This Row],[totalChallan]],TrafficData[[#This Row],[pendingChallan]]&lt;=TrafficData[[#This Row],[totalChallan]])</f>
        <v>1</v>
      </c>
      <c r="O1634" s="8" t="b">
        <f>AND(TrafficData[[#This Row],[pendingAmount]]&lt;=TrafficData[[#This Row],[totalAmount]],TrafficData[[#This Row],[disposedAmount]]&lt;=TrafficData[[#This Row],[totalAmount]])</f>
        <v>1</v>
      </c>
      <c r="P1634" s="8" t="b">
        <f>AND(TrafficData[[#This Row],[pendingCourt]]&lt;=TrafficData[[#This Row],[totalCourt]],TrafficData[[#This Row],[disposedCourt]]&lt;=TrafficData[[#This Row],[totalCourt]])</f>
        <v>1</v>
      </c>
    </row>
    <row r="1635" spans="1:16">
      <c r="A1635" s="1">
        <v>43638</v>
      </c>
      <c r="B1635">
        <v>84453</v>
      </c>
      <c r="C1635">
        <v>66440</v>
      </c>
      <c r="D1635">
        <v>18013</v>
      </c>
      <c r="E1635">
        <v>14878367</v>
      </c>
      <c r="F1635">
        <v>48102198</v>
      </c>
      <c r="G1635">
        <v>62980565</v>
      </c>
      <c r="H1635">
        <v>6741</v>
      </c>
      <c r="I1635">
        <v>6886</v>
      </c>
      <c r="J1635">
        <v>13627</v>
      </c>
      <c r="K1635" t="b">
        <f>TrafficData[[#This Row],[disposedChallan]]+TrafficData[[#This Row],[pendingChallan]]=TrafficData[[#This Row],[totalChallan]]</f>
        <v>1</v>
      </c>
      <c r="L1635" t="b">
        <f>TrafficData[[#This Row],[pendingAmount]]+TrafficData[[#This Row],[disposedAmount]]=TrafficData[[#This Row],[totalAmount]]</f>
        <v>1</v>
      </c>
      <c r="M1635" t="b">
        <f>TrafficData[[#This Row],[pendingCourt]]+TrafficData[[#This Row],[disposedCourt]]=TrafficData[[#This Row],[totalCourt]]</f>
        <v>1</v>
      </c>
      <c r="N1635" s="8" t="b">
        <f>AND(TrafficData[[#This Row],[disposedChallan]]&lt;=TrafficData[[#This Row],[totalChallan]],TrafficData[[#This Row],[pendingChallan]]&lt;=TrafficData[[#This Row],[totalChallan]])</f>
        <v>1</v>
      </c>
      <c r="O1635" s="8" t="b">
        <f>AND(TrafficData[[#This Row],[pendingAmount]]&lt;=TrafficData[[#This Row],[totalAmount]],TrafficData[[#This Row],[disposedAmount]]&lt;=TrafficData[[#This Row],[totalAmount]])</f>
        <v>1</v>
      </c>
      <c r="P1635" s="8" t="b">
        <f>AND(TrafficData[[#This Row],[pendingCourt]]&lt;=TrafficData[[#This Row],[totalCourt]],TrafficData[[#This Row],[disposedCourt]]&lt;=TrafficData[[#This Row],[totalCourt]])</f>
        <v>1</v>
      </c>
    </row>
    <row r="1636" spans="1:16">
      <c r="A1636" s="1">
        <v>43639</v>
      </c>
      <c r="B1636">
        <v>70130</v>
      </c>
      <c r="C1636">
        <v>53586</v>
      </c>
      <c r="D1636">
        <v>16544</v>
      </c>
      <c r="E1636">
        <v>11739756</v>
      </c>
      <c r="F1636">
        <v>29478630</v>
      </c>
      <c r="G1636">
        <v>41218386</v>
      </c>
      <c r="H1636">
        <v>5902</v>
      </c>
      <c r="I1636">
        <v>5261</v>
      </c>
      <c r="J1636">
        <v>11163</v>
      </c>
      <c r="K1636" t="b">
        <f>TrafficData[[#This Row],[disposedChallan]]+TrafficData[[#This Row],[pendingChallan]]=TrafficData[[#This Row],[totalChallan]]</f>
        <v>1</v>
      </c>
      <c r="L1636" t="b">
        <f>TrafficData[[#This Row],[pendingAmount]]+TrafficData[[#This Row],[disposedAmount]]=TrafficData[[#This Row],[totalAmount]]</f>
        <v>1</v>
      </c>
      <c r="M1636" t="b">
        <f>TrafficData[[#This Row],[pendingCourt]]+TrafficData[[#This Row],[disposedCourt]]=TrafficData[[#This Row],[totalCourt]]</f>
        <v>1</v>
      </c>
      <c r="N1636" s="8" t="b">
        <f>AND(TrafficData[[#This Row],[disposedChallan]]&lt;=TrafficData[[#This Row],[totalChallan]],TrafficData[[#This Row],[pendingChallan]]&lt;=TrafficData[[#This Row],[totalChallan]])</f>
        <v>1</v>
      </c>
      <c r="O1636" s="8" t="b">
        <f>AND(TrafficData[[#This Row],[pendingAmount]]&lt;=TrafficData[[#This Row],[totalAmount]],TrafficData[[#This Row],[disposedAmount]]&lt;=TrafficData[[#This Row],[totalAmount]])</f>
        <v>1</v>
      </c>
      <c r="P1636" s="8" t="b">
        <f>AND(TrafficData[[#This Row],[pendingCourt]]&lt;=TrafficData[[#This Row],[totalCourt]],TrafficData[[#This Row],[disposedCourt]]&lt;=TrafficData[[#This Row],[totalCourt]])</f>
        <v>1</v>
      </c>
    </row>
    <row r="1637" spans="1:16">
      <c r="A1637" s="1">
        <v>43640</v>
      </c>
      <c r="B1637">
        <v>82979</v>
      </c>
      <c r="C1637">
        <v>64471</v>
      </c>
      <c r="D1637">
        <v>18508</v>
      </c>
      <c r="E1637">
        <v>15292297</v>
      </c>
      <c r="F1637">
        <v>44232194</v>
      </c>
      <c r="G1637">
        <v>59524491</v>
      </c>
      <c r="H1637">
        <v>7309</v>
      </c>
      <c r="I1637">
        <v>6122</v>
      </c>
      <c r="J1637">
        <v>13431</v>
      </c>
      <c r="K1637" t="b">
        <f>TrafficData[[#This Row],[disposedChallan]]+TrafficData[[#This Row],[pendingChallan]]=TrafficData[[#This Row],[totalChallan]]</f>
        <v>1</v>
      </c>
      <c r="L1637" t="b">
        <f>TrafficData[[#This Row],[pendingAmount]]+TrafficData[[#This Row],[disposedAmount]]=TrafficData[[#This Row],[totalAmount]]</f>
        <v>1</v>
      </c>
      <c r="M1637" t="b">
        <f>TrafficData[[#This Row],[pendingCourt]]+TrafficData[[#This Row],[disposedCourt]]=TrafficData[[#This Row],[totalCourt]]</f>
        <v>1</v>
      </c>
      <c r="N1637" s="8" t="b">
        <f>AND(TrafficData[[#This Row],[disposedChallan]]&lt;=TrafficData[[#This Row],[totalChallan]],TrafficData[[#This Row],[pendingChallan]]&lt;=TrafficData[[#This Row],[totalChallan]])</f>
        <v>1</v>
      </c>
      <c r="O1637" s="8" t="b">
        <f>AND(TrafficData[[#This Row],[pendingAmount]]&lt;=TrafficData[[#This Row],[totalAmount]],TrafficData[[#This Row],[disposedAmount]]&lt;=TrafficData[[#This Row],[totalAmount]])</f>
        <v>1</v>
      </c>
      <c r="P1637" s="8" t="b">
        <f>AND(TrafficData[[#This Row],[pendingCourt]]&lt;=TrafficData[[#This Row],[totalCourt]],TrafficData[[#This Row],[disposedCourt]]&lt;=TrafficData[[#This Row],[totalCourt]])</f>
        <v>1</v>
      </c>
    </row>
    <row r="1638" spans="1:16">
      <c r="A1638" s="1">
        <v>43641</v>
      </c>
      <c r="B1638">
        <v>86718</v>
      </c>
      <c r="C1638">
        <v>66208</v>
      </c>
      <c r="D1638">
        <v>20510</v>
      </c>
      <c r="E1638">
        <v>18809560</v>
      </c>
      <c r="F1638">
        <v>52588668</v>
      </c>
      <c r="G1638">
        <v>71398228</v>
      </c>
      <c r="H1638">
        <v>8543</v>
      </c>
      <c r="I1638">
        <v>7177</v>
      </c>
      <c r="J1638">
        <v>15720</v>
      </c>
      <c r="K1638" t="b">
        <f>TrafficData[[#This Row],[disposedChallan]]+TrafficData[[#This Row],[pendingChallan]]=TrafficData[[#This Row],[totalChallan]]</f>
        <v>1</v>
      </c>
      <c r="L1638" t="b">
        <f>TrafficData[[#This Row],[pendingAmount]]+TrafficData[[#This Row],[disposedAmount]]=TrafficData[[#This Row],[totalAmount]]</f>
        <v>1</v>
      </c>
      <c r="M1638" t="b">
        <f>TrafficData[[#This Row],[pendingCourt]]+TrafficData[[#This Row],[disposedCourt]]=TrafficData[[#This Row],[totalCourt]]</f>
        <v>1</v>
      </c>
      <c r="N1638" s="8" t="b">
        <f>AND(TrafficData[[#This Row],[disposedChallan]]&lt;=TrafficData[[#This Row],[totalChallan]],TrafficData[[#This Row],[pendingChallan]]&lt;=TrafficData[[#This Row],[totalChallan]])</f>
        <v>1</v>
      </c>
      <c r="O1638" s="8" t="b">
        <f>AND(TrafficData[[#This Row],[pendingAmount]]&lt;=TrafficData[[#This Row],[totalAmount]],TrafficData[[#This Row],[disposedAmount]]&lt;=TrafficData[[#This Row],[totalAmount]])</f>
        <v>1</v>
      </c>
      <c r="P1638" s="8" t="b">
        <f>AND(TrafficData[[#This Row],[pendingCourt]]&lt;=TrafficData[[#This Row],[totalCourt]],TrafficData[[#This Row],[disposedCourt]]&lt;=TrafficData[[#This Row],[totalCourt]])</f>
        <v>1</v>
      </c>
    </row>
    <row r="1639" spans="1:16">
      <c r="A1639" s="1">
        <v>43642</v>
      </c>
      <c r="B1639">
        <v>89655</v>
      </c>
      <c r="C1639">
        <v>68106</v>
      </c>
      <c r="D1639">
        <v>21549</v>
      </c>
      <c r="E1639">
        <v>22797350</v>
      </c>
      <c r="F1639">
        <v>67994841</v>
      </c>
      <c r="G1639">
        <v>90792191</v>
      </c>
      <c r="H1639">
        <v>10230</v>
      </c>
      <c r="I1639">
        <v>7848</v>
      </c>
      <c r="J1639">
        <v>18078</v>
      </c>
      <c r="K1639" t="b">
        <f>TrafficData[[#This Row],[disposedChallan]]+TrafficData[[#This Row],[pendingChallan]]=TrafficData[[#This Row],[totalChallan]]</f>
        <v>1</v>
      </c>
      <c r="L1639" t="b">
        <f>TrafficData[[#This Row],[pendingAmount]]+TrafficData[[#This Row],[disposedAmount]]=TrafficData[[#This Row],[totalAmount]]</f>
        <v>1</v>
      </c>
      <c r="M1639" t="b">
        <f>TrafficData[[#This Row],[pendingCourt]]+TrafficData[[#This Row],[disposedCourt]]=TrafficData[[#This Row],[totalCourt]]</f>
        <v>1</v>
      </c>
      <c r="N1639" s="8" t="b">
        <f>AND(TrafficData[[#This Row],[disposedChallan]]&lt;=TrafficData[[#This Row],[totalChallan]],TrafficData[[#This Row],[pendingChallan]]&lt;=TrafficData[[#This Row],[totalChallan]])</f>
        <v>1</v>
      </c>
      <c r="O1639" s="8" t="b">
        <f>AND(TrafficData[[#This Row],[pendingAmount]]&lt;=TrafficData[[#This Row],[totalAmount]],TrafficData[[#This Row],[disposedAmount]]&lt;=TrafficData[[#This Row],[totalAmount]])</f>
        <v>1</v>
      </c>
      <c r="P1639" s="8" t="b">
        <f>AND(TrafficData[[#This Row],[pendingCourt]]&lt;=TrafficData[[#This Row],[totalCourt]],TrafficData[[#This Row],[disposedCourt]]&lt;=TrafficData[[#This Row],[totalCourt]])</f>
        <v>1</v>
      </c>
    </row>
    <row r="1640" spans="1:16">
      <c r="A1640" s="1">
        <v>43643</v>
      </c>
      <c r="B1640">
        <v>84609</v>
      </c>
      <c r="C1640">
        <v>64677</v>
      </c>
      <c r="D1640">
        <v>19932</v>
      </c>
      <c r="E1640">
        <v>15872270</v>
      </c>
      <c r="F1640">
        <v>53708728</v>
      </c>
      <c r="G1640">
        <v>69580998</v>
      </c>
      <c r="H1640">
        <v>8631</v>
      </c>
      <c r="I1640">
        <v>7700</v>
      </c>
      <c r="J1640">
        <v>16331</v>
      </c>
      <c r="K1640" t="b">
        <f>TrafficData[[#This Row],[disposedChallan]]+TrafficData[[#This Row],[pendingChallan]]=TrafficData[[#This Row],[totalChallan]]</f>
        <v>1</v>
      </c>
      <c r="L1640" t="b">
        <f>TrafficData[[#This Row],[pendingAmount]]+TrafficData[[#This Row],[disposedAmount]]=TrafficData[[#This Row],[totalAmount]]</f>
        <v>1</v>
      </c>
      <c r="M1640" t="b">
        <f>TrafficData[[#This Row],[pendingCourt]]+TrafficData[[#This Row],[disposedCourt]]=TrafficData[[#This Row],[totalCourt]]</f>
        <v>1</v>
      </c>
      <c r="N1640" s="8" t="b">
        <f>AND(TrafficData[[#This Row],[disposedChallan]]&lt;=TrafficData[[#This Row],[totalChallan]],TrafficData[[#This Row],[pendingChallan]]&lt;=TrafficData[[#This Row],[totalChallan]])</f>
        <v>1</v>
      </c>
      <c r="O1640" s="8" t="b">
        <f>AND(TrafficData[[#This Row],[pendingAmount]]&lt;=TrafficData[[#This Row],[totalAmount]],TrafficData[[#This Row],[disposedAmount]]&lt;=TrafficData[[#This Row],[totalAmount]])</f>
        <v>1</v>
      </c>
      <c r="P1640" s="8" t="b">
        <f>AND(TrafficData[[#This Row],[pendingCourt]]&lt;=TrafficData[[#This Row],[totalCourt]],TrafficData[[#This Row],[disposedCourt]]&lt;=TrafficData[[#This Row],[totalCourt]])</f>
        <v>1</v>
      </c>
    </row>
    <row r="1641" spans="1:16">
      <c r="A1641" s="1">
        <v>43644</v>
      </c>
      <c r="B1641">
        <v>86555</v>
      </c>
      <c r="C1641">
        <v>66146</v>
      </c>
      <c r="D1641">
        <v>20409</v>
      </c>
      <c r="E1641">
        <v>19709963</v>
      </c>
      <c r="F1641">
        <v>45768491</v>
      </c>
      <c r="G1641">
        <v>65478454</v>
      </c>
      <c r="H1641">
        <v>10417</v>
      </c>
      <c r="I1641">
        <v>8150</v>
      </c>
      <c r="J1641">
        <v>18567</v>
      </c>
      <c r="K1641" t="b">
        <f>TrafficData[[#This Row],[disposedChallan]]+TrafficData[[#This Row],[pendingChallan]]=TrafficData[[#This Row],[totalChallan]]</f>
        <v>1</v>
      </c>
      <c r="L1641" t="b">
        <f>TrafficData[[#This Row],[pendingAmount]]+TrafficData[[#This Row],[disposedAmount]]=TrafficData[[#This Row],[totalAmount]]</f>
        <v>1</v>
      </c>
      <c r="M1641" t="b">
        <f>TrafficData[[#This Row],[pendingCourt]]+TrafficData[[#This Row],[disposedCourt]]=TrafficData[[#This Row],[totalCourt]]</f>
        <v>1</v>
      </c>
      <c r="N1641" s="8" t="b">
        <f>AND(TrafficData[[#This Row],[disposedChallan]]&lt;=TrafficData[[#This Row],[totalChallan]],TrafficData[[#This Row],[pendingChallan]]&lt;=TrafficData[[#This Row],[totalChallan]])</f>
        <v>1</v>
      </c>
      <c r="O1641" s="8" t="b">
        <f>AND(TrafficData[[#This Row],[pendingAmount]]&lt;=TrafficData[[#This Row],[totalAmount]],TrafficData[[#This Row],[disposedAmount]]&lt;=TrafficData[[#This Row],[totalAmount]])</f>
        <v>1</v>
      </c>
      <c r="P1641" s="8" t="b">
        <f>AND(TrafficData[[#This Row],[pendingCourt]]&lt;=TrafficData[[#This Row],[totalCourt]],TrafficData[[#This Row],[disposedCourt]]&lt;=TrafficData[[#This Row],[totalCourt]])</f>
        <v>1</v>
      </c>
    </row>
    <row r="1642" spans="1:16">
      <c r="A1642" s="1">
        <v>43645</v>
      </c>
      <c r="B1642">
        <v>87716</v>
      </c>
      <c r="C1642">
        <v>68406</v>
      </c>
      <c r="D1642">
        <v>19310</v>
      </c>
      <c r="E1642">
        <v>14264508</v>
      </c>
      <c r="F1642">
        <v>43094384</v>
      </c>
      <c r="G1642">
        <v>57358892</v>
      </c>
      <c r="H1642">
        <v>8691</v>
      </c>
      <c r="I1642">
        <v>7860</v>
      </c>
      <c r="J1642">
        <v>16551</v>
      </c>
      <c r="K1642" t="b">
        <f>TrafficData[[#This Row],[disposedChallan]]+TrafficData[[#This Row],[pendingChallan]]=TrafficData[[#This Row],[totalChallan]]</f>
        <v>1</v>
      </c>
      <c r="L1642" t="b">
        <f>TrafficData[[#This Row],[pendingAmount]]+TrafficData[[#This Row],[disposedAmount]]=TrafficData[[#This Row],[totalAmount]]</f>
        <v>1</v>
      </c>
      <c r="M1642" t="b">
        <f>TrafficData[[#This Row],[pendingCourt]]+TrafficData[[#This Row],[disposedCourt]]=TrafficData[[#This Row],[totalCourt]]</f>
        <v>1</v>
      </c>
      <c r="N1642" s="8" t="b">
        <f>AND(TrafficData[[#This Row],[disposedChallan]]&lt;=TrafficData[[#This Row],[totalChallan]],TrafficData[[#This Row],[pendingChallan]]&lt;=TrafficData[[#This Row],[totalChallan]])</f>
        <v>1</v>
      </c>
      <c r="O1642" s="8" t="b">
        <f>AND(TrafficData[[#This Row],[pendingAmount]]&lt;=TrafficData[[#This Row],[totalAmount]],TrafficData[[#This Row],[disposedAmount]]&lt;=TrafficData[[#This Row],[totalAmount]])</f>
        <v>1</v>
      </c>
      <c r="P1642" s="8" t="b">
        <f>AND(TrafficData[[#This Row],[pendingCourt]]&lt;=TrafficData[[#This Row],[totalCourt]],TrafficData[[#This Row],[disposedCourt]]&lt;=TrafficData[[#This Row],[totalCourt]])</f>
        <v>1</v>
      </c>
    </row>
    <row r="1643" spans="1:16">
      <c r="A1643" s="1">
        <v>43646</v>
      </c>
      <c r="B1643">
        <v>74612</v>
      </c>
      <c r="C1643">
        <v>57825</v>
      </c>
      <c r="D1643">
        <v>16787</v>
      </c>
      <c r="E1643">
        <v>11673587</v>
      </c>
      <c r="F1643">
        <v>35641872</v>
      </c>
      <c r="G1643">
        <v>47315459</v>
      </c>
      <c r="H1643">
        <v>6466</v>
      </c>
      <c r="I1643">
        <v>6019</v>
      </c>
      <c r="J1643">
        <v>12485</v>
      </c>
      <c r="K1643" t="b">
        <f>TrafficData[[#This Row],[disposedChallan]]+TrafficData[[#This Row],[pendingChallan]]=TrafficData[[#This Row],[totalChallan]]</f>
        <v>1</v>
      </c>
      <c r="L1643" t="b">
        <f>TrafficData[[#This Row],[pendingAmount]]+TrafficData[[#This Row],[disposedAmount]]=TrafficData[[#This Row],[totalAmount]]</f>
        <v>1</v>
      </c>
      <c r="M1643" t="b">
        <f>TrafficData[[#This Row],[pendingCourt]]+TrafficData[[#This Row],[disposedCourt]]=TrafficData[[#This Row],[totalCourt]]</f>
        <v>1</v>
      </c>
      <c r="N1643" s="8" t="b">
        <f>AND(TrafficData[[#This Row],[disposedChallan]]&lt;=TrafficData[[#This Row],[totalChallan]],TrafficData[[#This Row],[pendingChallan]]&lt;=TrafficData[[#This Row],[totalChallan]])</f>
        <v>1</v>
      </c>
      <c r="O1643" s="8" t="b">
        <f>AND(TrafficData[[#This Row],[pendingAmount]]&lt;=TrafficData[[#This Row],[totalAmount]],TrafficData[[#This Row],[disposedAmount]]&lt;=TrafficData[[#This Row],[totalAmount]])</f>
        <v>1</v>
      </c>
      <c r="P1643" s="8" t="b">
        <f>AND(TrafficData[[#This Row],[pendingCourt]]&lt;=TrafficData[[#This Row],[totalCourt]],TrafficData[[#This Row],[disposedCourt]]&lt;=TrafficData[[#This Row],[totalCourt]])</f>
        <v>1</v>
      </c>
    </row>
    <row r="1644" spans="1:16">
      <c r="A1644" s="1">
        <v>43647</v>
      </c>
      <c r="B1644">
        <v>84747</v>
      </c>
      <c r="C1644">
        <v>65278</v>
      </c>
      <c r="D1644">
        <v>19469</v>
      </c>
      <c r="E1644">
        <v>13917870</v>
      </c>
      <c r="F1644">
        <v>47995633</v>
      </c>
      <c r="G1644">
        <v>61913503</v>
      </c>
      <c r="H1644">
        <v>7373</v>
      </c>
      <c r="I1644">
        <v>7178</v>
      </c>
      <c r="J1644">
        <v>14551</v>
      </c>
      <c r="K1644" t="b">
        <f>TrafficData[[#This Row],[disposedChallan]]+TrafficData[[#This Row],[pendingChallan]]=TrafficData[[#This Row],[totalChallan]]</f>
        <v>1</v>
      </c>
      <c r="L1644" t="b">
        <f>TrafficData[[#This Row],[pendingAmount]]+TrafficData[[#This Row],[disposedAmount]]=TrafficData[[#This Row],[totalAmount]]</f>
        <v>1</v>
      </c>
      <c r="M1644" t="b">
        <f>TrafficData[[#This Row],[pendingCourt]]+TrafficData[[#This Row],[disposedCourt]]=TrafficData[[#This Row],[totalCourt]]</f>
        <v>1</v>
      </c>
      <c r="N1644" s="8" t="b">
        <f>AND(TrafficData[[#This Row],[disposedChallan]]&lt;=TrafficData[[#This Row],[totalChallan]],TrafficData[[#This Row],[pendingChallan]]&lt;=TrafficData[[#This Row],[totalChallan]])</f>
        <v>1</v>
      </c>
      <c r="O1644" s="8" t="b">
        <f>AND(TrafficData[[#This Row],[pendingAmount]]&lt;=TrafficData[[#This Row],[totalAmount]],TrafficData[[#This Row],[disposedAmount]]&lt;=TrafficData[[#This Row],[totalAmount]])</f>
        <v>1</v>
      </c>
      <c r="P1644" s="8" t="b">
        <f>AND(TrafficData[[#This Row],[pendingCourt]]&lt;=TrafficData[[#This Row],[totalCourt]],TrafficData[[#This Row],[disposedCourt]]&lt;=TrafficData[[#This Row],[totalCourt]])</f>
        <v>1</v>
      </c>
    </row>
    <row r="1645" spans="1:16">
      <c r="A1645" s="1">
        <v>43648</v>
      </c>
      <c r="B1645">
        <v>91379</v>
      </c>
      <c r="C1645">
        <v>70098</v>
      </c>
      <c r="D1645">
        <v>21281</v>
      </c>
      <c r="E1645">
        <v>15658798</v>
      </c>
      <c r="F1645">
        <v>52729202</v>
      </c>
      <c r="G1645">
        <v>68388000</v>
      </c>
      <c r="H1645">
        <v>8435</v>
      </c>
      <c r="I1645">
        <v>7118</v>
      </c>
      <c r="J1645">
        <v>15553</v>
      </c>
      <c r="K1645" t="b">
        <f>TrafficData[[#This Row],[disposedChallan]]+TrafficData[[#This Row],[pendingChallan]]=TrafficData[[#This Row],[totalChallan]]</f>
        <v>1</v>
      </c>
      <c r="L1645" t="b">
        <f>TrafficData[[#This Row],[pendingAmount]]+TrafficData[[#This Row],[disposedAmount]]=TrafficData[[#This Row],[totalAmount]]</f>
        <v>1</v>
      </c>
      <c r="M1645" t="b">
        <f>TrafficData[[#This Row],[pendingCourt]]+TrafficData[[#This Row],[disposedCourt]]=TrafficData[[#This Row],[totalCourt]]</f>
        <v>1</v>
      </c>
      <c r="N1645" s="8" t="b">
        <f>AND(TrafficData[[#This Row],[disposedChallan]]&lt;=TrafficData[[#This Row],[totalChallan]],TrafficData[[#This Row],[pendingChallan]]&lt;=TrafficData[[#This Row],[totalChallan]])</f>
        <v>1</v>
      </c>
      <c r="O1645" s="8" t="b">
        <f>AND(TrafficData[[#This Row],[pendingAmount]]&lt;=TrafficData[[#This Row],[totalAmount]],TrafficData[[#This Row],[disposedAmount]]&lt;=TrafficData[[#This Row],[totalAmount]])</f>
        <v>1</v>
      </c>
      <c r="P1645" s="8" t="b">
        <f>AND(TrafficData[[#This Row],[pendingCourt]]&lt;=TrafficData[[#This Row],[totalCourt]],TrafficData[[#This Row],[disposedCourt]]&lt;=TrafficData[[#This Row],[totalCourt]])</f>
        <v>1</v>
      </c>
    </row>
    <row r="1646" spans="1:16">
      <c r="A1646" s="1">
        <v>43649</v>
      </c>
      <c r="B1646">
        <v>99341</v>
      </c>
      <c r="C1646">
        <v>74973</v>
      </c>
      <c r="D1646">
        <v>24368</v>
      </c>
      <c r="E1646">
        <v>16656258</v>
      </c>
      <c r="F1646">
        <v>52255271</v>
      </c>
      <c r="G1646">
        <v>68911529</v>
      </c>
      <c r="H1646">
        <v>10094</v>
      </c>
      <c r="I1646">
        <v>8044</v>
      </c>
      <c r="J1646">
        <v>18138</v>
      </c>
      <c r="K1646" t="b">
        <f>TrafficData[[#This Row],[disposedChallan]]+TrafficData[[#This Row],[pendingChallan]]=TrafficData[[#This Row],[totalChallan]]</f>
        <v>1</v>
      </c>
      <c r="L1646" t="b">
        <f>TrafficData[[#This Row],[pendingAmount]]+TrafficData[[#This Row],[disposedAmount]]=TrafficData[[#This Row],[totalAmount]]</f>
        <v>1</v>
      </c>
      <c r="M1646" t="b">
        <f>TrafficData[[#This Row],[pendingCourt]]+TrafficData[[#This Row],[disposedCourt]]=TrafficData[[#This Row],[totalCourt]]</f>
        <v>1</v>
      </c>
      <c r="N1646" s="8" t="b">
        <f>AND(TrafficData[[#This Row],[disposedChallan]]&lt;=TrafficData[[#This Row],[totalChallan]],TrafficData[[#This Row],[pendingChallan]]&lt;=TrafficData[[#This Row],[totalChallan]])</f>
        <v>1</v>
      </c>
      <c r="O1646" s="8" t="b">
        <f>AND(TrafficData[[#This Row],[pendingAmount]]&lt;=TrafficData[[#This Row],[totalAmount]],TrafficData[[#This Row],[disposedAmount]]&lt;=TrafficData[[#This Row],[totalAmount]])</f>
        <v>1</v>
      </c>
      <c r="P1646" s="8" t="b">
        <f>AND(TrafficData[[#This Row],[pendingCourt]]&lt;=TrafficData[[#This Row],[totalCourt]],TrafficData[[#This Row],[disposedCourt]]&lt;=TrafficData[[#This Row],[totalCourt]])</f>
        <v>1</v>
      </c>
    </row>
    <row r="1647" spans="1:16">
      <c r="A1647" s="1">
        <v>43650</v>
      </c>
      <c r="B1647">
        <v>97616</v>
      </c>
      <c r="C1647">
        <v>71127</v>
      </c>
      <c r="D1647">
        <v>26489</v>
      </c>
      <c r="E1647">
        <v>20519228</v>
      </c>
      <c r="F1647">
        <v>48895701</v>
      </c>
      <c r="G1647">
        <v>69414929</v>
      </c>
      <c r="H1647">
        <v>12223</v>
      </c>
      <c r="I1647">
        <v>7519</v>
      </c>
      <c r="J1647">
        <v>19742</v>
      </c>
      <c r="K1647" t="b">
        <f>TrafficData[[#This Row],[disposedChallan]]+TrafficData[[#This Row],[pendingChallan]]=TrafficData[[#This Row],[totalChallan]]</f>
        <v>1</v>
      </c>
      <c r="L1647" t="b">
        <f>TrafficData[[#This Row],[pendingAmount]]+TrafficData[[#This Row],[disposedAmount]]=TrafficData[[#This Row],[totalAmount]]</f>
        <v>1</v>
      </c>
      <c r="M1647" t="b">
        <f>TrafficData[[#This Row],[pendingCourt]]+TrafficData[[#This Row],[disposedCourt]]=TrafficData[[#This Row],[totalCourt]]</f>
        <v>1</v>
      </c>
      <c r="N1647" s="8" t="b">
        <f>AND(TrafficData[[#This Row],[disposedChallan]]&lt;=TrafficData[[#This Row],[totalChallan]],TrafficData[[#This Row],[pendingChallan]]&lt;=TrafficData[[#This Row],[totalChallan]])</f>
        <v>1</v>
      </c>
      <c r="O1647" s="8" t="b">
        <f>AND(TrafficData[[#This Row],[pendingAmount]]&lt;=TrafficData[[#This Row],[totalAmount]],TrafficData[[#This Row],[disposedAmount]]&lt;=TrafficData[[#This Row],[totalAmount]])</f>
        <v>1</v>
      </c>
      <c r="P1647" s="8" t="b">
        <f>AND(TrafficData[[#This Row],[pendingCourt]]&lt;=TrafficData[[#This Row],[totalCourt]],TrafficData[[#This Row],[disposedCourt]]&lt;=TrafficData[[#This Row],[totalCourt]])</f>
        <v>1</v>
      </c>
    </row>
    <row r="1648" spans="1:16">
      <c r="A1648" s="1">
        <v>43651</v>
      </c>
      <c r="B1648">
        <v>98261</v>
      </c>
      <c r="C1648">
        <v>72569</v>
      </c>
      <c r="D1648">
        <v>25692</v>
      </c>
      <c r="E1648">
        <v>20919519</v>
      </c>
      <c r="F1648">
        <v>45622371</v>
      </c>
      <c r="G1648">
        <v>66541890</v>
      </c>
      <c r="H1648">
        <v>12070</v>
      </c>
      <c r="I1648">
        <v>6664</v>
      </c>
      <c r="J1648">
        <v>18734</v>
      </c>
      <c r="K1648" t="b">
        <f>TrafficData[[#This Row],[disposedChallan]]+TrafficData[[#This Row],[pendingChallan]]=TrafficData[[#This Row],[totalChallan]]</f>
        <v>1</v>
      </c>
      <c r="L1648" t="b">
        <f>TrafficData[[#This Row],[pendingAmount]]+TrafficData[[#This Row],[disposedAmount]]=TrafficData[[#This Row],[totalAmount]]</f>
        <v>1</v>
      </c>
      <c r="M1648" t="b">
        <f>TrafficData[[#This Row],[pendingCourt]]+TrafficData[[#This Row],[disposedCourt]]=TrafficData[[#This Row],[totalCourt]]</f>
        <v>1</v>
      </c>
      <c r="N1648" s="8" t="b">
        <f>AND(TrafficData[[#This Row],[disposedChallan]]&lt;=TrafficData[[#This Row],[totalChallan]],TrafficData[[#This Row],[pendingChallan]]&lt;=TrafficData[[#This Row],[totalChallan]])</f>
        <v>1</v>
      </c>
      <c r="O1648" s="8" t="b">
        <f>AND(TrafficData[[#This Row],[pendingAmount]]&lt;=TrafficData[[#This Row],[totalAmount]],TrafficData[[#This Row],[disposedAmount]]&lt;=TrafficData[[#This Row],[totalAmount]])</f>
        <v>1</v>
      </c>
      <c r="P1648" s="8" t="b">
        <f>AND(TrafficData[[#This Row],[pendingCourt]]&lt;=TrafficData[[#This Row],[totalCourt]],TrafficData[[#This Row],[disposedCourt]]&lt;=TrafficData[[#This Row],[totalCourt]])</f>
        <v>1</v>
      </c>
    </row>
    <row r="1649" spans="1:16">
      <c r="A1649" s="1">
        <v>43652</v>
      </c>
      <c r="B1649">
        <v>92219</v>
      </c>
      <c r="C1649">
        <v>69818</v>
      </c>
      <c r="D1649">
        <v>22401</v>
      </c>
      <c r="E1649">
        <v>16934842</v>
      </c>
      <c r="F1649">
        <v>43923886</v>
      </c>
      <c r="G1649">
        <v>60858728</v>
      </c>
      <c r="H1649">
        <v>9773</v>
      </c>
      <c r="I1649">
        <v>6063</v>
      </c>
      <c r="J1649">
        <v>15836</v>
      </c>
      <c r="K1649" t="b">
        <f>TrafficData[[#This Row],[disposedChallan]]+TrafficData[[#This Row],[pendingChallan]]=TrafficData[[#This Row],[totalChallan]]</f>
        <v>1</v>
      </c>
      <c r="L1649" t="b">
        <f>TrafficData[[#This Row],[pendingAmount]]+TrafficData[[#This Row],[disposedAmount]]=TrafficData[[#This Row],[totalAmount]]</f>
        <v>1</v>
      </c>
      <c r="M1649" t="b">
        <f>TrafficData[[#This Row],[pendingCourt]]+TrafficData[[#This Row],[disposedCourt]]=TrafficData[[#This Row],[totalCourt]]</f>
        <v>1</v>
      </c>
      <c r="N1649" s="8" t="b">
        <f>AND(TrafficData[[#This Row],[disposedChallan]]&lt;=TrafficData[[#This Row],[totalChallan]],TrafficData[[#This Row],[pendingChallan]]&lt;=TrafficData[[#This Row],[totalChallan]])</f>
        <v>1</v>
      </c>
      <c r="O1649" s="8" t="b">
        <f>AND(TrafficData[[#This Row],[pendingAmount]]&lt;=TrafficData[[#This Row],[totalAmount]],TrafficData[[#This Row],[disposedAmount]]&lt;=TrafficData[[#This Row],[totalAmount]])</f>
        <v>1</v>
      </c>
      <c r="P1649" s="8" t="b">
        <f>AND(TrafficData[[#This Row],[pendingCourt]]&lt;=TrafficData[[#This Row],[totalCourt]],TrafficData[[#This Row],[disposedCourt]]&lt;=TrafficData[[#This Row],[totalCourt]])</f>
        <v>1</v>
      </c>
    </row>
    <row r="1650" spans="1:16">
      <c r="A1650" s="1">
        <v>43653</v>
      </c>
      <c r="B1650">
        <v>81019</v>
      </c>
      <c r="C1650">
        <v>60827</v>
      </c>
      <c r="D1650">
        <v>20192</v>
      </c>
      <c r="E1650">
        <v>12951693</v>
      </c>
      <c r="F1650">
        <v>35202665</v>
      </c>
      <c r="G1650">
        <v>48154358</v>
      </c>
      <c r="H1650">
        <v>8569</v>
      </c>
      <c r="I1650">
        <v>5739</v>
      </c>
      <c r="J1650">
        <v>14308</v>
      </c>
      <c r="K1650" t="b">
        <f>TrafficData[[#This Row],[disposedChallan]]+TrafficData[[#This Row],[pendingChallan]]=TrafficData[[#This Row],[totalChallan]]</f>
        <v>1</v>
      </c>
      <c r="L1650" t="b">
        <f>TrafficData[[#This Row],[pendingAmount]]+TrafficData[[#This Row],[disposedAmount]]=TrafficData[[#This Row],[totalAmount]]</f>
        <v>1</v>
      </c>
      <c r="M1650" t="b">
        <f>TrafficData[[#This Row],[pendingCourt]]+TrafficData[[#This Row],[disposedCourt]]=TrafficData[[#This Row],[totalCourt]]</f>
        <v>1</v>
      </c>
      <c r="N1650" s="8" t="b">
        <f>AND(TrafficData[[#This Row],[disposedChallan]]&lt;=TrafficData[[#This Row],[totalChallan]],TrafficData[[#This Row],[pendingChallan]]&lt;=TrafficData[[#This Row],[totalChallan]])</f>
        <v>1</v>
      </c>
      <c r="O1650" s="8" t="b">
        <f>AND(TrafficData[[#This Row],[pendingAmount]]&lt;=TrafficData[[#This Row],[totalAmount]],TrafficData[[#This Row],[disposedAmount]]&lt;=TrafficData[[#This Row],[totalAmount]])</f>
        <v>1</v>
      </c>
      <c r="P1650" s="8" t="b">
        <f>AND(TrafficData[[#This Row],[pendingCourt]]&lt;=TrafficData[[#This Row],[totalCourt]],TrafficData[[#This Row],[disposedCourt]]&lt;=TrafficData[[#This Row],[totalCourt]])</f>
        <v>1</v>
      </c>
    </row>
    <row r="1651" spans="1:16">
      <c r="A1651" s="1">
        <v>43655</v>
      </c>
      <c r="B1651">
        <v>99541</v>
      </c>
      <c r="C1651">
        <v>73737</v>
      </c>
      <c r="D1651">
        <v>25804</v>
      </c>
      <c r="E1651">
        <v>19450480</v>
      </c>
      <c r="F1651">
        <v>48145472</v>
      </c>
      <c r="G1651">
        <v>67595952</v>
      </c>
      <c r="H1651">
        <v>11508</v>
      </c>
      <c r="I1651">
        <v>7376</v>
      </c>
      <c r="J1651">
        <v>18884</v>
      </c>
      <c r="K1651" t="b">
        <f>TrafficData[[#This Row],[disposedChallan]]+TrafficData[[#This Row],[pendingChallan]]=TrafficData[[#This Row],[totalChallan]]</f>
        <v>1</v>
      </c>
      <c r="L1651" t="b">
        <f>TrafficData[[#This Row],[pendingAmount]]+TrafficData[[#This Row],[disposedAmount]]=TrafficData[[#This Row],[totalAmount]]</f>
        <v>1</v>
      </c>
      <c r="M1651" t="b">
        <f>TrafficData[[#This Row],[pendingCourt]]+TrafficData[[#This Row],[disposedCourt]]=TrafficData[[#This Row],[totalCourt]]</f>
        <v>1</v>
      </c>
      <c r="N1651" s="8" t="b">
        <f>AND(TrafficData[[#This Row],[disposedChallan]]&lt;=TrafficData[[#This Row],[totalChallan]],TrafficData[[#This Row],[pendingChallan]]&lt;=TrafficData[[#This Row],[totalChallan]])</f>
        <v>1</v>
      </c>
      <c r="O1651" s="8" t="b">
        <f>AND(TrafficData[[#This Row],[pendingAmount]]&lt;=TrafficData[[#This Row],[totalAmount]],TrafficData[[#This Row],[disposedAmount]]&lt;=TrafficData[[#This Row],[totalAmount]])</f>
        <v>1</v>
      </c>
      <c r="P1651" s="8" t="b">
        <f>AND(TrafficData[[#This Row],[pendingCourt]]&lt;=TrafficData[[#This Row],[totalCourt]],TrafficData[[#This Row],[disposedCourt]]&lt;=TrafficData[[#This Row],[totalCourt]])</f>
        <v>1</v>
      </c>
    </row>
    <row r="1652" spans="1:16">
      <c r="A1652" s="1">
        <v>43656</v>
      </c>
      <c r="B1652">
        <v>97566</v>
      </c>
      <c r="C1652">
        <v>72058</v>
      </c>
      <c r="D1652">
        <v>25508</v>
      </c>
      <c r="E1652">
        <v>17071307</v>
      </c>
      <c r="F1652">
        <v>49412436</v>
      </c>
      <c r="G1652">
        <v>66483743</v>
      </c>
      <c r="H1652">
        <v>9593</v>
      </c>
      <c r="I1652">
        <v>6373</v>
      </c>
      <c r="J1652">
        <v>15966</v>
      </c>
      <c r="K1652" t="b">
        <f>TrafficData[[#This Row],[disposedChallan]]+TrafficData[[#This Row],[pendingChallan]]=TrafficData[[#This Row],[totalChallan]]</f>
        <v>1</v>
      </c>
      <c r="L1652" t="b">
        <f>TrafficData[[#This Row],[pendingAmount]]+TrafficData[[#This Row],[disposedAmount]]=TrafficData[[#This Row],[totalAmount]]</f>
        <v>1</v>
      </c>
      <c r="M1652" t="b">
        <f>TrafficData[[#This Row],[pendingCourt]]+TrafficData[[#This Row],[disposedCourt]]=TrafficData[[#This Row],[totalCourt]]</f>
        <v>1</v>
      </c>
      <c r="N1652" s="8" t="b">
        <f>AND(TrafficData[[#This Row],[disposedChallan]]&lt;=TrafficData[[#This Row],[totalChallan]],TrafficData[[#This Row],[pendingChallan]]&lt;=TrafficData[[#This Row],[totalChallan]])</f>
        <v>1</v>
      </c>
      <c r="O1652" s="8" t="b">
        <f>AND(TrafficData[[#This Row],[pendingAmount]]&lt;=TrafficData[[#This Row],[totalAmount]],TrafficData[[#This Row],[disposedAmount]]&lt;=TrafficData[[#This Row],[totalAmount]])</f>
        <v>1</v>
      </c>
      <c r="P1652" s="8" t="b">
        <f>AND(TrafficData[[#This Row],[pendingCourt]]&lt;=TrafficData[[#This Row],[totalCourt]],TrafficData[[#This Row],[disposedCourt]]&lt;=TrafficData[[#This Row],[totalCourt]])</f>
        <v>1</v>
      </c>
    </row>
    <row r="1653" spans="1:16">
      <c r="A1653" s="1">
        <v>43657</v>
      </c>
      <c r="B1653">
        <v>96689</v>
      </c>
      <c r="C1653">
        <v>73033</v>
      </c>
      <c r="D1653">
        <v>23656</v>
      </c>
      <c r="E1653">
        <v>17405716</v>
      </c>
      <c r="F1653">
        <v>54317326</v>
      </c>
      <c r="G1653">
        <v>71723042</v>
      </c>
      <c r="H1653">
        <v>10217</v>
      </c>
      <c r="I1653">
        <v>7582</v>
      </c>
      <c r="J1653">
        <v>17799</v>
      </c>
      <c r="K1653" t="b">
        <f>TrafficData[[#This Row],[disposedChallan]]+TrafficData[[#This Row],[pendingChallan]]=TrafficData[[#This Row],[totalChallan]]</f>
        <v>1</v>
      </c>
      <c r="L1653" t="b">
        <f>TrafficData[[#This Row],[pendingAmount]]+TrafficData[[#This Row],[disposedAmount]]=TrafficData[[#This Row],[totalAmount]]</f>
        <v>1</v>
      </c>
      <c r="M1653" t="b">
        <f>TrafficData[[#This Row],[pendingCourt]]+TrafficData[[#This Row],[disposedCourt]]=TrafficData[[#This Row],[totalCourt]]</f>
        <v>1</v>
      </c>
      <c r="N1653" s="8" t="b">
        <f>AND(TrafficData[[#This Row],[disposedChallan]]&lt;=TrafficData[[#This Row],[totalChallan]],TrafficData[[#This Row],[pendingChallan]]&lt;=TrafficData[[#This Row],[totalChallan]])</f>
        <v>1</v>
      </c>
      <c r="O1653" s="8" t="b">
        <f>AND(TrafficData[[#This Row],[pendingAmount]]&lt;=TrafficData[[#This Row],[totalAmount]],TrafficData[[#This Row],[disposedAmount]]&lt;=TrafficData[[#This Row],[totalAmount]])</f>
        <v>1</v>
      </c>
      <c r="P1653" s="8" t="b">
        <f>AND(TrafficData[[#This Row],[pendingCourt]]&lt;=TrafficData[[#This Row],[totalCourt]],TrafficData[[#This Row],[disposedCourt]]&lt;=TrafficData[[#This Row],[totalCourt]])</f>
        <v>1</v>
      </c>
    </row>
    <row r="1654" spans="1:16">
      <c r="A1654" s="1">
        <v>43658</v>
      </c>
      <c r="B1654">
        <v>92004</v>
      </c>
      <c r="C1654">
        <v>70472</v>
      </c>
      <c r="D1654">
        <v>21532</v>
      </c>
      <c r="E1654">
        <v>17981394</v>
      </c>
      <c r="F1654">
        <v>50835192</v>
      </c>
      <c r="G1654">
        <v>68816586</v>
      </c>
      <c r="H1654">
        <v>9884</v>
      </c>
      <c r="I1654">
        <v>7283</v>
      </c>
      <c r="J1654">
        <v>17167</v>
      </c>
      <c r="K1654" t="b">
        <f>TrafficData[[#This Row],[disposedChallan]]+TrafficData[[#This Row],[pendingChallan]]=TrafficData[[#This Row],[totalChallan]]</f>
        <v>1</v>
      </c>
      <c r="L1654" t="b">
        <f>TrafficData[[#This Row],[pendingAmount]]+TrafficData[[#This Row],[disposedAmount]]=TrafficData[[#This Row],[totalAmount]]</f>
        <v>1</v>
      </c>
      <c r="M1654" t="b">
        <f>TrafficData[[#This Row],[pendingCourt]]+TrafficData[[#This Row],[disposedCourt]]=TrafficData[[#This Row],[totalCourt]]</f>
        <v>1</v>
      </c>
      <c r="N1654" s="8" t="b">
        <f>AND(TrafficData[[#This Row],[disposedChallan]]&lt;=TrafficData[[#This Row],[totalChallan]],TrafficData[[#This Row],[pendingChallan]]&lt;=TrafficData[[#This Row],[totalChallan]])</f>
        <v>1</v>
      </c>
      <c r="O1654" s="8" t="b">
        <f>AND(TrafficData[[#This Row],[pendingAmount]]&lt;=TrafficData[[#This Row],[totalAmount]],TrafficData[[#This Row],[disposedAmount]]&lt;=TrafficData[[#This Row],[totalAmount]])</f>
        <v>1</v>
      </c>
      <c r="P1654" s="8" t="b">
        <f>AND(TrafficData[[#This Row],[pendingCourt]]&lt;=TrafficData[[#This Row],[totalCourt]],TrafficData[[#This Row],[disposedCourt]]&lt;=TrafficData[[#This Row],[totalCourt]])</f>
        <v>1</v>
      </c>
    </row>
    <row r="1655" spans="1:16">
      <c r="A1655" s="1">
        <v>43659</v>
      </c>
      <c r="B1655">
        <v>98442</v>
      </c>
      <c r="C1655">
        <v>74191</v>
      </c>
      <c r="D1655">
        <v>24251</v>
      </c>
      <c r="E1655">
        <v>19647964</v>
      </c>
      <c r="F1655">
        <v>44488873</v>
      </c>
      <c r="G1655">
        <v>64136837</v>
      </c>
      <c r="H1655">
        <v>11526</v>
      </c>
      <c r="I1655">
        <v>8363</v>
      </c>
      <c r="J1655">
        <v>19889</v>
      </c>
      <c r="K1655" t="b">
        <f>TrafficData[[#This Row],[disposedChallan]]+TrafficData[[#This Row],[pendingChallan]]=TrafficData[[#This Row],[totalChallan]]</f>
        <v>1</v>
      </c>
      <c r="L1655" t="b">
        <f>TrafficData[[#This Row],[pendingAmount]]+TrafficData[[#This Row],[disposedAmount]]=TrafficData[[#This Row],[totalAmount]]</f>
        <v>1</v>
      </c>
      <c r="M1655" t="b">
        <f>TrafficData[[#This Row],[pendingCourt]]+TrafficData[[#This Row],[disposedCourt]]=TrafficData[[#This Row],[totalCourt]]</f>
        <v>1</v>
      </c>
      <c r="N1655" s="8" t="b">
        <f>AND(TrafficData[[#This Row],[disposedChallan]]&lt;=TrafficData[[#This Row],[totalChallan]],TrafficData[[#This Row],[pendingChallan]]&lt;=TrafficData[[#This Row],[totalChallan]])</f>
        <v>1</v>
      </c>
      <c r="O1655" s="8" t="b">
        <f>AND(TrafficData[[#This Row],[pendingAmount]]&lt;=TrafficData[[#This Row],[totalAmount]],TrafficData[[#This Row],[disposedAmount]]&lt;=TrafficData[[#This Row],[totalAmount]])</f>
        <v>1</v>
      </c>
      <c r="P1655" s="8" t="b">
        <f>AND(TrafficData[[#This Row],[pendingCourt]]&lt;=TrafficData[[#This Row],[totalCourt]],TrafficData[[#This Row],[disposedCourt]]&lt;=TrafficData[[#This Row],[totalCourt]])</f>
        <v>1</v>
      </c>
    </row>
    <row r="1656" spans="1:16">
      <c r="A1656" s="1">
        <v>43660</v>
      </c>
      <c r="B1656">
        <v>82225</v>
      </c>
      <c r="C1656">
        <v>61936</v>
      </c>
      <c r="D1656">
        <v>20289</v>
      </c>
      <c r="E1656">
        <v>14111438</v>
      </c>
      <c r="F1656">
        <v>33586567</v>
      </c>
      <c r="G1656">
        <v>47698005</v>
      </c>
      <c r="H1656">
        <v>7243</v>
      </c>
      <c r="I1656">
        <v>5160</v>
      </c>
      <c r="J1656">
        <v>12403</v>
      </c>
      <c r="K1656" t="b">
        <f>TrafficData[[#This Row],[disposedChallan]]+TrafficData[[#This Row],[pendingChallan]]=TrafficData[[#This Row],[totalChallan]]</f>
        <v>1</v>
      </c>
      <c r="L1656" t="b">
        <f>TrafficData[[#This Row],[pendingAmount]]+TrafficData[[#This Row],[disposedAmount]]=TrafficData[[#This Row],[totalAmount]]</f>
        <v>1</v>
      </c>
      <c r="M1656" t="b">
        <f>TrafficData[[#This Row],[pendingCourt]]+TrafficData[[#This Row],[disposedCourt]]=TrafficData[[#This Row],[totalCourt]]</f>
        <v>1</v>
      </c>
      <c r="N1656" s="8" t="b">
        <f>AND(TrafficData[[#This Row],[disposedChallan]]&lt;=TrafficData[[#This Row],[totalChallan]],TrafficData[[#This Row],[pendingChallan]]&lt;=TrafficData[[#This Row],[totalChallan]])</f>
        <v>1</v>
      </c>
      <c r="O1656" s="8" t="b">
        <f>AND(TrafficData[[#This Row],[pendingAmount]]&lt;=TrafficData[[#This Row],[totalAmount]],TrafficData[[#This Row],[disposedAmount]]&lt;=TrafficData[[#This Row],[totalAmount]])</f>
        <v>1</v>
      </c>
      <c r="P1656" s="8" t="b">
        <f>AND(TrafficData[[#This Row],[pendingCourt]]&lt;=TrafficData[[#This Row],[totalCourt]],TrafficData[[#This Row],[disposedCourt]]&lt;=TrafficData[[#This Row],[totalCourt]])</f>
        <v>1</v>
      </c>
    </row>
    <row r="1657" spans="1:16">
      <c r="A1657" s="1">
        <v>43661</v>
      </c>
      <c r="B1657">
        <v>83202</v>
      </c>
      <c r="C1657">
        <v>62456</v>
      </c>
      <c r="D1657">
        <v>20746</v>
      </c>
      <c r="E1657">
        <v>15383343</v>
      </c>
      <c r="F1657">
        <v>41837990</v>
      </c>
      <c r="G1657">
        <v>57221333</v>
      </c>
      <c r="H1657">
        <v>8193</v>
      </c>
      <c r="I1657">
        <v>6332</v>
      </c>
      <c r="J1657">
        <v>14525</v>
      </c>
      <c r="K1657" t="b">
        <f>TrafficData[[#This Row],[disposedChallan]]+TrafficData[[#This Row],[pendingChallan]]=TrafficData[[#This Row],[totalChallan]]</f>
        <v>1</v>
      </c>
      <c r="L1657" t="b">
        <f>TrafficData[[#This Row],[pendingAmount]]+TrafficData[[#This Row],[disposedAmount]]=TrafficData[[#This Row],[totalAmount]]</f>
        <v>1</v>
      </c>
      <c r="M1657" t="b">
        <f>TrafficData[[#This Row],[pendingCourt]]+TrafficData[[#This Row],[disposedCourt]]=TrafficData[[#This Row],[totalCourt]]</f>
        <v>1</v>
      </c>
      <c r="N1657" s="8" t="b">
        <f>AND(TrafficData[[#This Row],[disposedChallan]]&lt;=TrafficData[[#This Row],[totalChallan]],TrafficData[[#This Row],[pendingChallan]]&lt;=TrafficData[[#This Row],[totalChallan]])</f>
        <v>1</v>
      </c>
      <c r="O1657" s="8" t="b">
        <f>AND(TrafficData[[#This Row],[pendingAmount]]&lt;=TrafficData[[#This Row],[totalAmount]],TrafficData[[#This Row],[disposedAmount]]&lt;=TrafficData[[#This Row],[totalAmount]])</f>
        <v>1</v>
      </c>
      <c r="P1657" s="8" t="b">
        <f>AND(TrafficData[[#This Row],[pendingCourt]]&lt;=TrafficData[[#This Row],[totalCourt]],TrafficData[[#This Row],[disposedCourt]]&lt;=TrafficData[[#This Row],[totalCourt]])</f>
        <v>1</v>
      </c>
    </row>
    <row r="1658" spans="1:16">
      <c r="A1658" s="1">
        <v>43662</v>
      </c>
      <c r="B1658">
        <v>94025</v>
      </c>
      <c r="C1658">
        <v>70561</v>
      </c>
      <c r="D1658">
        <v>23464</v>
      </c>
      <c r="E1658">
        <v>21578275</v>
      </c>
      <c r="F1658">
        <v>51249944</v>
      </c>
      <c r="G1658">
        <v>72828219</v>
      </c>
      <c r="H1658">
        <v>10743</v>
      </c>
      <c r="I1658">
        <v>6454</v>
      </c>
      <c r="J1658">
        <v>17197</v>
      </c>
      <c r="K1658" t="b">
        <f>TrafficData[[#This Row],[disposedChallan]]+TrafficData[[#This Row],[pendingChallan]]=TrafficData[[#This Row],[totalChallan]]</f>
        <v>1</v>
      </c>
      <c r="L1658" t="b">
        <f>TrafficData[[#This Row],[pendingAmount]]+TrafficData[[#This Row],[disposedAmount]]=TrafficData[[#This Row],[totalAmount]]</f>
        <v>1</v>
      </c>
      <c r="M1658" t="b">
        <f>TrafficData[[#This Row],[pendingCourt]]+TrafficData[[#This Row],[disposedCourt]]=TrafficData[[#This Row],[totalCourt]]</f>
        <v>1</v>
      </c>
      <c r="N1658" s="8" t="b">
        <f>AND(TrafficData[[#This Row],[disposedChallan]]&lt;=TrafficData[[#This Row],[totalChallan]],TrafficData[[#This Row],[pendingChallan]]&lt;=TrafficData[[#This Row],[totalChallan]])</f>
        <v>1</v>
      </c>
      <c r="O1658" s="8" t="b">
        <f>AND(TrafficData[[#This Row],[pendingAmount]]&lt;=TrafficData[[#This Row],[totalAmount]],TrafficData[[#This Row],[disposedAmount]]&lt;=TrafficData[[#This Row],[totalAmount]])</f>
        <v>1</v>
      </c>
      <c r="P1658" s="8" t="b">
        <f>AND(TrafficData[[#This Row],[pendingCourt]]&lt;=TrafficData[[#This Row],[totalCourt]],TrafficData[[#This Row],[disposedCourt]]&lt;=TrafficData[[#This Row],[totalCourt]])</f>
        <v>1</v>
      </c>
    </row>
    <row r="1659" spans="1:16">
      <c r="A1659" s="1">
        <v>43663</v>
      </c>
      <c r="B1659">
        <v>92596</v>
      </c>
      <c r="C1659">
        <v>69667</v>
      </c>
      <c r="D1659">
        <v>22929</v>
      </c>
      <c r="E1659">
        <v>24601025</v>
      </c>
      <c r="F1659">
        <v>48250618</v>
      </c>
      <c r="G1659">
        <v>72851643</v>
      </c>
      <c r="H1659">
        <v>11923</v>
      </c>
      <c r="I1659">
        <v>7539</v>
      </c>
      <c r="J1659">
        <v>19462</v>
      </c>
      <c r="K1659" t="b">
        <f>TrafficData[[#This Row],[disposedChallan]]+TrafficData[[#This Row],[pendingChallan]]=TrafficData[[#This Row],[totalChallan]]</f>
        <v>1</v>
      </c>
      <c r="L1659" t="b">
        <f>TrafficData[[#This Row],[pendingAmount]]+TrafficData[[#This Row],[disposedAmount]]=TrafficData[[#This Row],[totalAmount]]</f>
        <v>1</v>
      </c>
      <c r="M1659" t="b">
        <f>TrafficData[[#This Row],[pendingCourt]]+TrafficData[[#This Row],[disposedCourt]]=TrafficData[[#This Row],[totalCourt]]</f>
        <v>1</v>
      </c>
      <c r="N1659" s="8" t="b">
        <f>AND(TrafficData[[#This Row],[disposedChallan]]&lt;=TrafficData[[#This Row],[totalChallan]],TrafficData[[#This Row],[pendingChallan]]&lt;=TrafficData[[#This Row],[totalChallan]])</f>
        <v>1</v>
      </c>
      <c r="O1659" s="8" t="b">
        <f>AND(TrafficData[[#This Row],[pendingAmount]]&lt;=TrafficData[[#This Row],[totalAmount]],TrafficData[[#This Row],[disposedAmount]]&lt;=TrafficData[[#This Row],[totalAmount]])</f>
        <v>1</v>
      </c>
      <c r="P1659" s="8" t="b">
        <f>AND(TrafficData[[#This Row],[pendingCourt]]&lt;=TrafficData[[#This Row],[totalCourt]],TrafficData[[#This Row],[disposedCourt]]&lt;=TrafficData[[#This Row],[totalCourt]])</f>
        <v>1</v>
      </c>
    </row>
    <row r="1660" spans="1:16">
      <c r="A1660" s="1">
        <v>43664</v>
      </c>
      <c r="B1660">
        <v>88353</v>
      </c>
      <c r="C1660">
        <v>68215</v>
      </c>
      <c r="D1660">
        <v>20138</v>
      </c>
      <c r="E1660">
        <v>23180142</v>
      </c>
      <c r="F1660">
        <v>52402734</v>
      </c>
      <c r="G1660">
        <v>75582876</v>
      </c>
      <c r="H1660">
        <v>11714</v>
      </c>
      <c r="I1660">
        <v>8180</v>
      </c>
      <c r="J1660">
        <v>19894</v>
      </c>
      <c r="K1660" t="b">
        <f>TrafficData[[#This Row],[disposedChallan]]+TrafficData[[#This Row],[pendingChallan]]=TrafficData[[#This Row],[totalChallan]]</f>
        <v>1</v>
      </c>
      <c r="L1660" t="b">
        <f>TrafficData[[#This Row],[pendingAmount]]+TrafficData[[#This Row],[disposedAmount]]=TrafficData[[#This Row],[totalAmount]]</f>
        <v>1</v>
      </c>
      <c r="M1660" t="b">
        <f>TrafficData[[#This Row],[pendingCourt]]+TrafficData[[#This Row],[disposedCourt]]=TrafficData[[#This Row],[totalCourt]]</f>
        <v>1</v>
      </c>
      <c r="N1660" s="8" t="b">
        <f>AND(TrafficData[[#This Row],[disposedChallan]]&lt;=TrafficData[[#This Row],[totalChallan]],TrafficData[[#This Row],[pendingChallan]]&lt;=TrafficData[[#This Row],[totalChallan]])</f>
        <v>1</v>
      </c>
      <c r="O1660" s="8" t="b">
        <f>AND(TrafficData[[#This Row],[pendingAmount]]&lt;=TrafficData[[#This Row],[totalAmount]],TrafficData[[#This Row],[disposedAmount]]&lt;=TrafficData[[#This Row],[totalAmount]])</f>
        <v>1</v>
      </c>
      <c r="P1660" s="8" t="b">
        <f>AND(TrafficData[[#This Row],[pendingCourt]]&lt;=TrafficData[[#This Row],[totalCourt]],TrafficData[[#This Row],[disposedCourt]]&lt;=TrafficData[[#This Row],[totalCourt]])</f>
        <v>1</v>
      </c>
    </row>
    <row r="1661" spans="1:16">
      <c r="A1661" s="1">
        <v>43665</v>
      </c>
      <c r="B1661">
        <v>84868</v>
      </c>
      <c r="C1661">
        <v>67890</v>
      </c>
      <c r="D1661">
        <v>16978</v>
      </c>
      <c r="E1661">
        <v>19456510</v>
      </c>
      <c r="F1661">
        <v>51244899</v>
      </c>
      <c r="G1661">
        <v>70701409</v>
      </c>
      <c r="H1661">
        <v>9049</v>
      </c>
      <c r="I1661">
        <v>7733</v>
      </c>
      <c r="J1661">
        <v>16782</v>
      </c>
      <c r="K1661" t="b">
        <f>TrafficData[[#This Row],[disposedChallan]]+TrafficData[[#This Row],[pendingChallan]]=TrafficData[[#This Row],[totalChallan]]</f>
        <v>1</v>
      </c>
      <c r="L1661" t="b">
        <f>TrafficData[[#This Row],[pendingAmount]]+TrafficData[[#This Row],[disposedAmount]]=TrafficData[[#This Row],[totalAmount]]</f>
        <v>1</v>
      </c>
      <c r="M1661" t="b">
        <f>TrafficData[[#This Row],[pendingCourt]]+TrafficData[[#This Row],[disposedCourt]]=TrafficData[[#This Row],[totalCourt]]</f>
        <v>1</v>
      </c>
      <c r="N1661" s="8" t="b">
        <f>AND(TrafficData[[#This Row],[disposedChallan]]&lt;=TrafficData[[#This Row],[totalChallan]],TrafficData[[#This Row],[pendingChallan]]&lt;=TrafficData[[#This Row],[totalChallan]])</f>
        <v>1</v>
      </c>
      <c r="O1661" s="8" t="b">
        <f>AND(TrafficData[[#This Row],[pendingAmount]]&lt;=TrafficData[[#This Row],[totalAmount]],TrafficData[[#This Row],[disposedAmount]]&lt;=TrafficData[[#This Row],[totalAmount]])</f>
        <v>1</v>
      </c>
      <c r="P1661" s="8" t="b">
        <f>AND(TrafficData[[#This Row],[pendingCourt]]&lt;=TrafficData[[#This Row],[totalCourt]],TrafficData[[#This Row],[disposedCourt]]&lt;=TrafficData[[#This Row],[totalCourt]])</f>
        <v>1</v>
      </c>
    </row>
    <row r="1662" spans="1:16">
      <c r="A1662" s="1">
        <v>43666</v>
      </c>
      <c r="B1662">
        <v>85554</v>
      </c>
      <c r="C1662">
        <v>66978</v>
      </c>
      <c r="D1662">
        <v>18576</v>
      </c>
      <c r="E1662">
        <v>18112994</v>
      </c>
      <c r="F1662">
        <v>48298977</v>
      </c>
      <c r="G1662">
        <v>66411971</v>
      </c>
      <c r="H1662">
        <v>9552</v>
      </c>
      <c r="I1662">
        <v>6875</v>
      </c>
      <c r="J1662">
        <v>16427</v>
      </c>
      <c r="K1662" t="b">
        <f>TrafficData[[#This Row],[disposedChallan]]+TrafficData[[#This Row],[pendingChallan]]=TrafficData[[#This Row],[totalChallan]]</f>
        <v>1</v>
      </c>
      <c r="L1662" t="b">
        <f>TrafficData[[#This Row],[pendingAmount]]+TrafficData[[#This Row],[disposedAmount]]=TrafficData[[#This Row],[totalAmount]]</f>
        <v>1</v>
      </c>
      <c r="M1662" t="b">
        <f>TrafficData[[#This Row],[pendingCourt]]+TrafficData[[#This Row],[disposedCourt]]=TrafficData[[#This Row],[totalCourt]]</f>
        <v>1</v>
      </c>
      <c r="N1662" s="8" t="b">
        <f>AND(TrafficData[[#This Row],[disposedChallan]]&lt;=TrafficData[[#This Row],[totalChallan]],TrafficData[[#This Row],[pendingChallan]]&lt;=TrafficData[[#This Row],[totalChallan]])</f>
        <v>1</v>
      </c>
      <c r="O1662" s="8" t="b">
        <f>AND(TrafficData[[#This Row],[pendingAmount]]&lt;=TrafficData[[#This Row],[totalAmount]],TrafficData[[#This Row],[disposedAmount]]&lt;=TrafficData[[#This Row],[totalAmount]])</f>
        <v>1</v>
      </c>
      <c r="P1662" s="8" t="b">
        <f>AND(TrafficData[[#This Row],[pendingCourt]]&lt;=TrafficData[[#This Row],[totalCourt]],TrafficData[[#This Row],[disposedCourt]]&lt;=TrafficData[[#This Row],[totalCourt]])</f>
        <v>1</v>
      </c>
    </row>
    <row r="1663" spans="1:16">
      <c r="A1663" s="1">
        <v>43667</v>
      </c>
      <c r="B1663">
        <v>67066</v>
      </c>
      <c r="C1663">
        <v>52526</v>
      </c>
      <c r="D1663">
        <v>14540</v>
      </c>
      <c r="E1663">
        <v>11019815</v>
      </c>
      <c r="F1663">
        <v>32536679</v>
      </c>
      <c r="G1663">
        <v>43556494</v>
      </c>
      <c r="H1663">
        <v>6180</v>
      </c>
      <c r="I1663">
        <v>6120</v>
      </c>
      <c r="J1663">
        <v>12300</v>
      </c>
      <c r="K1663" t="b">
        <f>TrafficData[[#This Row],[disposedChallan]]+TrafficData[[#This Row],[pendingChallan]]=TrafficData[[#This Row],[totalChallan]]</f>
        <v>1</v>
      </c>
      <c r="L1663" t="b">
        <f>TrafficData[[#This Row],[pendingAmount]]+TrafficData[[#This Row],[disposedAmount]]=TrafficData[[#This Row],[totalAmount]]</f>
        <v>1</v>
      </c>
      <c r="M1663" t="b">
        <f>TrafficData[[#This Row],[pendingCourt]]+TrafficData[[#This Row],[disposedCourt]]=TrafficData[[#This Row],[totalCourt]]</f>
        <v>1</v>
      </c>
      <c r="N1663" s="8" t="b">
        <f>AND(TrafficData[[#This Row],[disposedChallan]]&lt;=TrafficData[[#This Row],[totalChallan]],TrafficData[[#This Row],[pendingChallan]]&lt;=TrafficData[[#This Row],[totalChallan]])</f>
        <v>1</v>
      </c>
      <c r="O1663" s="8" t="b">
        <f>AND(TrafficData[[#This Row],[pendingAmount]]&lt;=TrafficData[[#This Row],[totalAmount]],TrafficData[[#This Row],[disposedAmount]]&lt;=TrafficData[[#This Row],[totalAmount]])</f>
        <v>1</v>
      </c>
      <c r="P1663" s="8" t="b">
        <f>AND(TrafficData[[#This Row],[pendingCourt]]&lt;=TrafficData[[#This Row],[totalCourt]],TrafficData[[#This Row],[disposedCourt]]&lt;=TrafficData[[#This Row],[totalCourt]])</f>
        <v>1</v>
      </c>
    </row>
    <row r="1664" spans="1:16">
      <c r="A1664" s="1">
        <v>43668</v>
      </c>
      <c r="B1664">
        <v>78311</v>
      </c>
      <c r="C1664">
        <v>62537</v>
      </c>
      <c r="D1664">
        <v>15774</v>
      </c>
      <c r="E1664">
        <v>16137880</v>
      </c>
      <c r="F1664">
        <v>39294196</v>
      </c>
      <c r="G1664">
        <v>55432076</v>
      </c>
      <c r="H1664">
        <v>8459</v>
      </c>
      <c r="I1664">
        <v>7542</v>
      </c>
      <c r="J1664">
        <v>16001</v>
      </c>
      <c r="K1664" t="b">
        <f>TrafficData[[#This Row],[disposedChallan]]+TrafficData[[#This Row],[pendingChallan]]=TrafficData[[#This Row],[totalChallan]]</f>
        <v>1</v>
      </c>
      <c r="L1664" t="b">
        <f>TrafficData[[#This Row],[pendingAmount]]+TrafficData[[#This Row],[disposedAmount]]=TrafficData[[#This Row],[totalAmount]]</f>
        <v>1</v>
      </c>
      <c r="M1664" t="b">
        <f>TrafficData[[#This Row],[pendingCourt]]+TrafficData[[#This Row],[disposedCourt]]=TrafficData[[#This Row],[totalCourt]]</f>
        <v>1</v>
      </c>
      <c r="N1664" s="8" t="b">
        <f>AND(TrafficData[[#This Row],[disposedChallan]]&lt;=TrafficData[[#This Row],[totalChallan]],TrafficData[[#This Row],[pendingChallan]]&lt;=TrafficData[[#This Row],[totalChallan]])</f>
        <v>1</v>
      </c>
      <c r="O1664" s="8" t="b">
        <f>AND(TrafficData[[#This Row],[pendingAmount]]&lt;=TrafficData[[#This Row],[totalAmount]],TrafficData[[#This Row],[disposedAmount]]&lt;=TrafficData[[#This Row],[totalAmount]])</f>
        <v>1</v>
      </c>
      <c r="P1664" s="8" t="b">
        <f>AND(TrafficData[[#This Row],[pendingCourt]]&lt;=TrafficData[[#This Row],[totalCourt]],TrafficData[[#This Row],[disposedCourt]]&lt;=TrafficData[[#This Row],[totalCourt]])</f>
        <v>1</v>
      </c>
    </row>
    <row r="1665" spans="1:16">
      <c r="A1665" s="1">
        <v>43669</v>
      </c>
      <c r="B1665">
        <v>79397</v>
      </c>
      <c r="C1665">
        <v>64690</v>
      </c>
      <c r="D1665">
        <v>14707</v>
      </c>
      <c r="E1665">
        <v>17584751</v>
      </c>
      <c r="F1665">
        <v>49904772</v>
      </c>
      <c r="G1665">
        <v>67489523</v>
      </c>
      <c r="H1665">
        <v>7630</v>
      </c>
      <c r="I1665">
        <v>8084</v>
      </c>
      <c r="J1665">
        <v>15714</v>
      </c>
      <c r="K1665" t="b">
        <f>TrafficData[[#This Row],[disposedChallan]]+TrafficData[[#This Row],[pendingChallan]]=TrafficData[[#This Row],[totalChallan]]</f>
        <v>1</v>
      </c>
      <c r="L1665" t="b">
        <f>TrafficData[[#This Row],[pendingAmount]]+TrafficData[[#This Row],[disposedAmount]]=TrafficData[[#This Row],[totalAmount]]</f>
        <v>1</v>
      </c>
      <c r="M1665" t="b">
        <f>TrafficData[[#This Row],[pendingCourt]]+TrafficData[[#This Row],[disposedCourt]]=TrafficData[[#This Row],[totalCourt]]</f>
        <v>1</v>
      </c>
      <c r="N1665" s="8" t="b">
        <f>AND(TrafficData[[#This Row],[disposedChallan]]&lt;=TrafficData[[#This Row],[totalChallan]],TrafficData[[#This Row],[pendingChallan]]&lt;=TrafficData[[#This Row],[totalChallan]])</f>
        <v>1</v>
      </c>
      <c r="O1665" s="8" t="b">
        <f>AND(TrafficData[[#This Row],[pendingAmount]]&lt;=TrafficData[[#This Row],[totalAmount]],TrafficData[[#This Row],[disposedAmount]]&lt;=TrafficData[[#This Row],[totalAmount]])</f>
        <v>1</v>
      </c>
      <c r="P1665" s="8" t="b">
        <f>AND(TrafficData[[#This Row],[pendingCourt]]&lt;=TrafficData[[#This Row],[totalCourt]],TrafficData[[#This Row],[disposedCourt]]&lt;=TrafficData[[#This Row],[totalCourt]])</f>
        <v>1</v>
      </c>
    </row>
    <row r="1666" spans="1:16">
      <c r="A1666" s="1">
        <v>43670</v>
      </c>
      <c r="B1666">
        <v>78398</v>
      </c>
      <c r="C1666">
        <v>63925</v>
      </c>
      <c r="D1666">
        <v>14473</v>
      </c>
      <c r="E1666">
        <v>17148310</v>
      </c>
      <c r="F1666">
        <v>53533287</v>
      </c>
      <c r="G1666">
        <v>70681597</v>
      </c>
      <c r="H1666">
        <v>7383</v>
      </c>
      <c r="I1666">
        <v>7693</v>
      </c>
      <c r="J1666">
        <v>15076</v>
      </c>
      <c r="K1666" t="b">
        <f>TrafficData[[#This Row],[disposedChallan]]+TrafficData[[#This Row],[pendingChallan]]=TrafficData[[#This Row],[totalChallan]]</f>
        <v>1</v>
      </c>
      <c r="L1666" t="b">
        <f>TrafficData[[#This Row],[pendingAmount]]+TrafficData[[#This Row],[disposedAmount]]=TrafficData[[#This Row],[totalAmount]]</f>
        <v>1</v>
      </c>
      <c r="M1666" t="b">
        <f>TrafficData[[#This Row],[pendingCourt]]+TrafficData[[#This Row],[disposedCourt]]=TrafficData[[#This Row],[totalCourt]]</f>
        <v>1</v>
      </c>
      <c r="N1666" s="8" t="b">
        <f>AND(TrafficData[[#This Row],[disposedChallan]]&lt;=TrafficData[[#This Row],[totalChallan]],TrafficData[[#This Row],[pendingChallan]]&lt;=TrafficData[[#This Row],[totalChallan]])</f>
        <v>1</v>
      </c>
      <c r="O1666" s="8" t="b">
        <f>AND(TrafficData[[#This Row],[pendingAmount]]&lt;=TrafficData[[#This Row],[totalAmount]],TrafficData[[#This Row],[disposedAmount]]&lt;=TrafficData[[#This Row],[totalAmount]])</f>
        <v>1</v>
      </c>
      <c r="P1666" s="8" t="b">
        <f>AND(TrafficData[[#This Row],[pendingCourt]]&lt;=TrafficData[[#This Row],[totalCourt]],TrafficData[[#This Row],[disposedCourt]]&lt;=TrafficData[[#This Row],[totalCourt]])</f>
        <v>1</v>
      </c>
    </row>
    <row r="1667" spans="1:16">
      <c r="A1667" s="1">
        <v>43671</v>
      </c>
      <c r="B1667">
        <v>85720</v>
      </c>
      <c r="C1667">
        <v>65409</v>
      </c>
      <c r="D1667">
        <v>20311</v>
      </c>
      <c r="E1667">
        <v>24150728</v>
      </c>
      <c r="F1667">
        <v>47327824</v>
      </c>
      <c r="G1667">
        <v>71478552</v>
      </c>
      <c r="H1667">
        <v>12650</v>
      </c>
      <c r="I1667">
        <v>7494</v>
      </c>
      <c r="J1667">
        <v>20144</v>
      </c>
      <c r="K1667" t="b">
        <f>TrafficData[[#This Row],[disposedChallan]]+TrafficData[[#This Row],[pendingChallan]]=TrafficData[[#This Row],[totalChallan]]</f>
        <v>1</v>
      </c>
      <c r="L1667" t="b">
        <f>TrafficData[[#This Row],[pendingAmount]]+TrafficData[[#This Row],[disposedAmount]]=TrafficData[[#This Row],[totalAmount]]</f>
        <v>1</v>
      </c>
      <c r="M1667" t="b">
        <f>TrafficData[[#This Row],[pendingCourt]]+TrafficData[[#This Row],[disposedCourt]]=TrafficData[[#This Row],[totalCourt]]</f>
        <v>1</v>
      </c>
      <c r="N1667" s="8" t="b">
        <f>AND(TrafficData[[#This Row],[disposedChallan]]&lt;=TrafficData[[#This Row],[totalChallan]],TrafficData[[#This Row],[pendingChallan]]&lt;=TrafficData[[#This Row],[totalChallan]])</f>
        <v>1</v>
      </c>
      <c r="O1667" s="8" t="b">
        <f>AND(TrafficData[[#This Row],[pendingAmount]]&lt;=TrafficData[[#This Row],[totalAmount]],TrafficData[[#This Row],[disposedAmount]]&lt;=TrafficData[[#This Row],[totalAmount]])</f>
        <v>1</v>
      </c>
      <c r="P1667" s="8" t="b">
        <f>AND(TrafficData[[#This Row],[pendingCourt]]&lt;=TrafficData[[#This Row],[totalCourt]],TrafficData[[#This Row],[disposedCourt]]&lt;=TrafficData[[#This Row],[totalCourt]])</f>
        <v>1</v>
      </c>
    </row>
    <row r="1668" spans="1:16">
      <c r="A1668" s="1">
        <v>43672</v>
      </c>
      <c r="B1668">
        <v>79580</v>
      </c>
      <c r="C1668">
        <v>60138</v>
      </c>
      <c r="D1668">
        <v>19442</v>
      </c>
      <c r="E1668">
        <v>21140201</v>
      </c>
      <c r="F1668">
        <v>44795204</v>
      </c>
      <c r="G1668">
        <v>65935405</v>
      </c>
      <c r="H1668">
        <v>11176</v>
      </c>
      <c r="I1668">
        <v>6916</v>
      </c>
      <c r="J1668">
        <v>18092</v>
      </c>
      <c r="K1668" t="b">
        <f>TrafficData[[#This Row],[disposedChallan]]+TrafficData[[#This Row],[pendingChallan]]=TrafficData[[#This Row],[totalChallan]]</f>
        <v>1</v>
      </c>
      <c r="L1668" t="b">
        <f>TrafficData[[#This Row],[pendingAmount]]+TrafficData[[#This Row],[disposedAmount]]=TrafficData[[#This Row],[totalAmount]]</f>
        <v>1</v>
      </c>
      <c r="M1668" t="b">
        <f>TrafficData[[#This Row],[pendingCourt]]+TrafficData[[#This Row],[disposedCourt]]=TrafficData[[#This Row],[totalCourt]]</f>
        <v>1</v>
      </c>
      <c r="N1668" s="8" t="b">
        <f>AND(TrafficData[[#This Row],[disposedChallan]]&lt;=TrafficData[[#This Row],[totalChallan]],TrafficData[[#This Row],[pendingChallan]]&lt;=TrafficData[[#This Row],[totalChallan]])</f>
        <v>1</v>
      </c>
      <c r="O1668" s="8" t="b">
        <f>AND(TrafficData[[#This Row],[pendingAmount]]&lt;=TrafficData[[#This Row],[totalAmount]],TrafficData[[#This Row],[disposedAmount]]&lt;=TrafficData[[#This Row],[totalAmount]])</f>
        <v>1</v>
      </c>
      <c r="P1668" s="8" t="b">
        <f>AND(TrafficData[[#This Row],[pendingCourt]]&lt;=TrafficData[[#This Row],[totalCourt]],TrafficData[[#This Row],[disposedCourt]]&lt;=TrafficData[[#This Row],[totalCourt]])</f>
        <v>1</v>
      </c>
    </row>
    <row r="1669" spans="1:16">
      <c r="A1669" s="1">
        <v>43673</v>
      </c>
      <c r="B1669">
        <v>74423</v>
      </c>
      <c r="C1669">
        <v>57993</v>
      </c>
      <c r="D1669">
        <v>16430</v>
      </c>
      <c r="E1669">
        <v>15264453</v>
      </c>
      <c r="F1669">
        <v>42401379</v>
      </c>
      <c r="G1669">
        <v>57665832</v>
      </c>
      <c r="H1669">
        <v>8403</v>
      </c>
      <c r="I1669">
        <v>6437</v>
      </c>
      <c r="J1669">
        <v>14840</v>
      </c>
      <c r="K1669" t="b">
        <f>TrafficData[[#This Row],[disposedChallan]]+TrafficData[[#This Row],[pendingChallan]]=TrafficData[[#This Row],[totalChallan]]</f>
        <v>1</v>
      </c>
      <c r="L1669" t="b">
        <f>TrafficData[[#This Row],[pendingAmount]]+TrafficData[[#This Row],[disposedAmount]]=TrafficData[[#This Row],[totalAmount]]</f>
        <v>1</v>
      </c>
      <c r="M1669" t="b">
        <f>TrafficData[[#This Row],[pendingCourt]]+TrafficData[[#This Row],[disposedCourt]]=TrafficData[[#This Row],[totalCourt]]</f>
        <v>1</v>
      </c>
      <c r="N1669" s="8" t="b">
        <f>AND(TrafficData[[#This Row],[disposedChallan]]&lt;=TrafficData[[#This Row],[totalChallan]],TrafficData[[#This Row],[pendingChallan]]&lt;=TrafficData[[#This Row],[totalChallan]])</f>
        <v>1</v>
      </c>
      <c r="O1669" s="8" t="b">
        <f>AND(TrafficData[[#This Row],[pendingAmount]]&lt;=TrafficData[[#This Row],[totalAmount]],TrafficData[[#This Row],[disposedAmount]]&lt;=TrafficData[[#This Row],[totalAmount]])</f>
        <v>1</v>
      </c>
      <c r="P1669" s="8" t="b">
        <f>AND(TrafficData[[#This Row],[pendingCourt]]&lt;=TrafficData[[#This Row],[totalCourt]],TrafficData[[#This Row],[disposedCourt]]&lt;=TrafficData[[#This Row],[totalCourt]])</f>
        <v>1</v>
      </c>
    </row>
    <row r="1670" spans="1:16">
      <c r="A1670" s="1">
        <v>43674</v>
      </c>
      <c r="B1670">
        <v>66733</v>
      </c>
      <c r="C1670">
        <v>51822</v>
      </c>
      <c r="D1670">
        <v>14911</v>
      </c>
      <c r="E1670">
        <v>12147870</v>
      </c>
      <c r="F1670">
        <v>37867637</v>
      </c>
      <c r="G1670">
        <v>50015507</v>
      </c>
      <c r="H1670">
        <v>6403</v>
      </c>
      <c r="I1670">
        <v>5299</v>
      </c>
      <c r="J1670">
        <v>11702</v>
      </c>
      <c r="K1670" t="b">
        <f>TrafficData[[#This Row],[disposedChallan]]+TrafficData[[#This Row],[pendingChallan]]=TrafficData[[#This Row],[totalChallan]]</f>
        <v>1</v>
      </c>
      <c r="L1670" t="b">
        <f>TrafficData[[#This Row],[pendingAmount]]+TrafficData[[#This Row],[disposedAmount]]=TrafficData[[#This Row],[totalAmount]]</f>
        <v>1</v>
      </c>
      <c r="M1670" t="b">
        <f>TrafficData[[#This Row],[pendingCourt]]+TrafficData[[#This Row],[disposedCourt]]=TrafficData[[#This Row],[totalCourt]]</f>
        <v>1</v>
      </c>
      <c r="N1670" s="8" t="b">
        <f>AND(TrafficData[[#This Row],[disposedChallan]]&lt;=TrafficData[[#This Row],[totalChallan]],TrafficData[[#This Row],[pendingChallan]]&lt;=TrafficData[[#This Row],[totalChallan]])</f>
        <v>1</v>
      </c>
      <c r="O1670" s="8" t="b">
        <f>AND(TrafficData[[#This Row],[pendingAmount]]&lt;=TrafficData[[#This Row],[totalAmount]],TrafficData[[#This Row],[disposedAmount]]&lt;=TrafficData[[#This Row],[totalAmount]])</f>
        <v>1</v>
      </c>
      <c r="P1670" s="8" t="b">
        <f>AND(TrafficData[[#This Row],[pendingCourt]]&lt;=TrafficData[[#This Row],[totalCourt]],TrafficData[[#This Row],[disposedCourt]]&lt;=TrafficData[[#This Row],[totalCourt]])</f>
        <v>1</v>
      </c>
    </row>
    <row r="1671" spans="1:16">
      <c r="A1671" s="1">
        <v>43675</v>
      </c>
      <c r="B1671">
        <v>62629</v>
      </c>
      <c r="C1671">
        <v>49371</v>
      </c>
      <c r="D1671">
        <v>13258</v>
      </c>
      <c r="E1671">
        <v>14333030</v>
      </c>
      <c r="F1671">
        <v>34218124</v>
      </c>
      <c r="G1671">
        <v>48551154</v>
      </c>
      <c r="H1671">
        <v>7420</v>
      </c>
      <c r="I1671">
        <v>5814</v>
      </c>
      <c r="J1671">
        <v>13234</v>
      </c>
      <c r="K1671" t="b">
        <f>TrafficData[[#This Row],[disposedChallan]]+TrafficData[[#This Row],[pendingChallan]]=TrafficData[[#This Row],[totalChallan]]</f>
        <v>1</v>
      </c>
      <c r="L1671" t="b">
        <f>TrafficData[[#This Row],[pendingAmount]]+TrafficData[[#This Row],[disposedAmount]]=TrafficData[[#This Row],[totalAmount]]</f>
        <v>1</v>
      </c>
      <c r="M1671" t="b">
        <f>TrafficData[[#This Row],[pendingCourt]]+TrafficData[[#This Row],[disposedCourt]]=TrafficData[[#This Row],[totalCourt]]</f>
        <v>1</v>
      </c>
      <c r="N1671" s="8" t="b">
        <f>AND(TrafficData[[#This Row],[disposedChallan]]&lt;=TrafficData[[#This Row],[totalChallan]],TrafficData[[#This Row],[pendingChallan]]&lt;=TrafficData[[#This Row],[totalChallan]])</f>
        <v>1</v>
      </c>
      <c r="O1671" s="8" t="b">
        <f>AND(TrafficData[[#This Row],[pendingAmount]]&lt;=TrafficData[[#This Row],[totalAmount]],TrafficData[[#This Row],[disposedAmount]]&lt;=TrafficData[[#This Row],[totalAmount]])</f>
        <v>1</v>
      </c>
      <c r="P1671" s="8" t="b">
        <f>AND(TrafficData[[#This Row],[pendingCourt]]&lt;=TrafficData[[#This Row],[totalCourt]],TrafficData[[#This Row],[disposedCourt]]&lt;=TrafficData[[#This Row],[totalCourt]])</f>
        <v>1</v>
      </c>
    </row>
    <row r="1672" spans="1:16">
      <c r="A1672" s="1">
        <v>43676</v>
      </c>
      <c r="B1672">
        <v>70885</v>
      </c>
      <c r="C1672">
        <v>55828</v>
      </c>
      <c r="D1672">
        <v>15057</v>
      </c>
      <c r="E1672">
        <v>14914353</v>
      </c>
      <c r="F1672">
        <v>37004430</v>
      </c>
      <c r="G1672">
        <v>51918783</v>
      </c>
      <c r="H1672">
        <v>7630</v>
      </c>
      <c r="I1672">
        <v>6303</v>
      </c>
      <c r="J1672">
        <v>13933</v>
      </c>
      <c r="K1672" t="b">
        <f>TrafficData[[#This Row],[disposedChallan]]+TrafficData[[#This Row],[pendingChallan]]=TrafficData[[#This Row],[totalChallan]]</f>
        <v>1</v>
      </c>
      <c r="L1672" t="b">
        <f>TrafficData[[#This Row],[pendingAmount]]+TrafficData[[#This Row],[disposedAmount]]=TrafficData[[#This Row],[totalAmount]]</f>
        <v>1</v>
      </c>
      <c r="M1672" t="b">
        <f>TrafficData[[#This Row],[pendingCourt]]+TrafficData[[#This Row],[disposedCourt]]=TrafficData[[#This Row],[totalCourt]]</f>
        <v>1</v>
      </c>
      <c r="N1672" s="8" t="b">
        <f>AND(TrafficData[[#This Row],[disposedChallan]]&lt;=TrafficData[[#This Row],[totalChallan]],TrafficData[[#This Row],[pendingChallan]]&lt;=TrafficData[[#This Row],[totalChallan]])</f>
        <v>1</v>
      </c>
      <c r="O1672" s="8" t="b">
        <f>AND(TrafficData[[#This Row],[pendingAmount]]&lt;=TrafficData[[#This Row],[totalAmount]],TrafficData[[#This Row],[disposedAmount]]&lt;=TrafficData[[#This Row],[totalAmount]])</f>
        <v>1</v>
      </c>
      <c r="P1672" s="8" t="b">
        <f>AND(TrafficData[[#This Row],[pendingCourt]]&lt;=TrafficData[[#This Row],[totalCourt]],TrafficData[[#This Row],[disposedCourt]]&lt;=TrafficData[[#This Row],[totalCourt]])</f>
        <v>1</v>
      </c>
    </row>
    <row r="1673" spans="1:16">
      <c r="A1673" s="1">
        <v>43677</v>
      </c>
      <c r="B1673">
        <v>92092</v>
      </c>
      <c r="C1673">
        <v>68981</v>
      </c>
      <c r="D1673">
        <v>23111</v>
      </c>
      <c r="E1673">
        <v>20602301</v>
      </c>
      <c r="F1673">
        <v>46839314</v>
      </c>
      <c r="G1673">
        <v>67441615</v>
      </c>
      <c r="H1673">
        <v>10627</v>
      </c>
      <c r="I1673">
        <v>8708</v>
      </c>
      <c r="J1673">
        <v>19335</v>
      </c>
      <c r="K1673" t="b">
        <f>TrafficData[[#This Row],[disposedChallan]]+TrafficData[[#This Row],[pendingChallan]]=TrafficData[[#This Row],[totalChallan]]</f>
        <v>1</v>
      </c>
      <c r="L1673" t="b">
        <f>TrafficData[[#This Row],[pendingAmount]]+TrafficData[[#This Row],[disposedAmount]]=TrafficData[[#This Row],[totalAmount]]</f>
        <v>1</v>
      </c>
      <c r="M1673" t="b">
        <f>TrafficData[[#This Row],[pendingCourt]]+TrafficData[[#This Row],[disposedCourt]]=TrafficData[[#This Row],[totalCourt]]</f>
        <v>1</v>
      </c>
      <c r="N1673" s="8" t="b">
        <f>AND(TrafficData[[#This Row],[disposedChallan]]&lt;=TrafficData[[#This Row],[totalChallan]],TrafficData[[#This Row],[pendingChallan]]&lt;=TrafficData[[#This Row],[totalChallan]])</f>
        <v>1</v>
      </c>
      <c r="O1673" s="8" t="b">
        <f>AND(TrafficData[[#This Row],[pendingAmount]]&lt;=TrafficData[[#This Row],[totalAmount]],TrafficData[[#This Row],[disposedAmount]]&lt;=TrafficData[[#This Row],[totalAmount]])</f>
        <v>1</v>
      </c>
      <c r="P1673" s="8" t="b">
        <f>AND(TrafficData[[#This Row],[pendingCourt]]&lt;=TrafficData[[#This Row],[totalCourt]],TrafficData[[#This Row],[disposedCourt]]&lt;=TrafficData[[#This Row],[totalCourt]])</f>
        <v>1</v>
      </c>
    </row>
    <row r="1674" spans="1:16">
      <c r="A1674" s="1">
        <v>43678</v>
      </c>
      <c r="B1674">
        <v>100772</v>
      </c>
      <c r="C1674">
        <v>74077</v>
      </c>
      <c r="D1674">
        <v>26695</v>
      </c>
      <c r="E1674">
        <v>17229640</v>
      </c>
      <c r="F1674">
        <v>52147017</v>
      </c>
      <c r="G1674">
        <v>69376657</v>
      </c>
      <c r="H1674">
        <v>7159</v>
      </c>
      <c r="I1674">
        <v>8229</v>
      </c>
      <c r="J1674">
        <v>15388</v>
      </c>
      <c r="K1674" t="b">
        <f>TrafficData[[#This Row],[disposedChallan]]+TrafficData[[#This Row],[pendingChallan]]=TrafficData[[#This Row],[totalChallan]]</f>
        <v>1</v>
      </c>
      <c r="L1674" t="b">
        <f>TrafficData[[#This Row],[pendingAmount]]+TrafficData[[#This Row],[disposedAmount]]=TrafficData[[#This Row],[totalAmount]]</f>
        <v>1</v>
      </c>
      <c r="M1674" t="b">
        <f>TrafficData[[#This Row],[pendingCourt]]+TrafficData[[#This Row],[disposedCourt]]=TrafficData[[#This Row],[totalCourt]]</f>
        <v>1</v>
      </c>
      <c r="N1674" s="8" t="b">
        <f>AND(TrafficData[[#This Row],[disposedChallan]]&lt;=TrafficData[[#This Row],[totalChallan]],TrafficData[[#This Row],[pendingChallan]]&lt;=TrafficData[[#This Row],[totalChallan]])</f>
        <v>1</v>
      </c>
      <c r="O1674" s="8" t="b">
        <f>AND(TrafficData[[#This Row],[pendingAmount]]&lt;=TrafficData[[#This Row],[totalAmount]],TrafficData[[#This Row],[disposedAmount]]&lt;=TrafficData[[#This Row],[totalAmount]])</f>
        <v>1</v>
      </c>
      <c r="P1674" s="8" t="b">
        <f>AND(TrafficData[[#This Row],[pendingCourt]]&lt;=TrafficData[[#This Row],[totalCourt]],TrafficData[[#This Row],[disposedCourt]]&lt;=TrafficData[[#This Row],[totalCourt]])</f>
        <v>1</v>
      </c>
    </row>
    <row r="1675" spans="1:16">
      <c r="A1675" s="1">
        <v>43679</v>
      </c>
      <c r="B1675">
        <v>103794</v>
      </c>
      <c r="C1675">
        <v>73346</v>
      </c>
      <c r="D1675">
        <v>30448</v>
      </c>
      <c r="E1675">
        <v>26698541</v>
      </c>
      <c r="F1675">
        <v>52841068</v>
      </c>
      <c r="G1675">
        <v>79539609</v>
      </c>
      <c r="H1675">
        <v>11787</v>
      </c>
      <c r="I1675">
        <v>7266</v>
      </c>
      <c r="J1675">
        <v>19053</v>
      </c>
      <c r="K1675" t="b">
        <f>TrafficData[[#This Row],[disposedChallan]]+TrafficData[[#This Row],[pendingChallan]]=TrafficData[[#This Row],[totalChallan]]</f>
        <v>1</v>
      </c>
      <c r="L1675" t="b">
        <f>TrafficData[[#This Row],[pendingAmount]]+TrafficData[[#This Row],[disposedAmount]]=TrafficData[[#This Row],[totalAmount]]</f>
        <v>1</v>
      </c>
      <c r="M1675" t="b">
        <f>TrafficData[[#This Row],[pendingCourt]]+TrafficData[[#This Row],[disposedCourt]]=TrafficData[[#This Row],[totalCourt]]</f>
        <v>1</v>
      </c>
      <c r="N1675" s="8" t="b">
        <f>AND(TrafficData[[#This Row],[disposedChallan]]&lt;=TrafficData[[#This Row],[totalChallan]],TrafficData[[#This Row],[pendingChallan]]&lt;=TrafficData[[#This Row],[totalChallan]])</f>
        <v>1</v>
      </c>
      <c r="O1675" s="8" t="b">
        <f>AND(TrafficData[[#This Row],[pendingAmount]]&lt;=TrafficData[[#This Row],[totalAmount]],TrafficData[[#This Row],[disposedAmount]]&lt;=TrafficData[[#This Row],[totalAmount]])</f>
        <v>1</v>
      </c>
      <c r="P1675" s="8" t="b">
        <f>AND(TrafficData[[#This Row],[pendingCourt]]&lt;=TrafficData[[#This Row],[totalCourt]],TrafficData[[#This Row],[disposedCourt]]&lt;=TrafficData[[#This Row],[totalCourt]])</f>
        <v>1</v>
      </c>
    </row>
    <row r="1676" spans="1:16">
      <c r="A1676" s="1">
        <v>43680</v>
      </c>
      <c r="B1676">
        <v>100100</v>
      </c>
      <c r="C1676">
        <v>72458</v>
      </c>
      <c r="D1676">
        <v>27642</v>
      </c>
      <c r="E1676">
        <v>18540294</v>
      </c>
      <c r="F1676">
        <v>50268452</v>
      </c>
      <c r="G1676">
        <v>68808746</v>
      </c>
      <c r="H1676">
        <v>8155</v>
      </c>
      <c r="I1676">
        <v>6007</v>
      </c>
      <c r="J1676">
        <v>14162</v>
      </c>
      <c r="K1676" t="b">
        <f>TrafficData[[#This Row],[disposedChallan]]+TrafficData[[#This Row],[pendingChallan]]=TrafficData[[#This Row],[totalChallan]]</f>
        <v>1</v>
      </c>
      <c r="L1676" t="b">
        <f>TrafficData[[#This Row],[pendingAmount]]+TrafficData[[#This Row],[disposedAmount]]=TrafficData[[#This Row],[totalAmount]]</f>
        <v>1</v>
      </c>
      <c r="M1676" t="b">
        <f>TrafficData[[#This Row],[pendingCourt]]+TrafficData[[#This Row],[disposedCourt]]=TrafficData[[#This Row],[totalCourt]]</f>
        <v>1</v>
      </c>
      <c r="N1676" s="8" t="b">
        <f>AND(TrafficData[[#This Row],[disposedChallan]]&lt;=TrafficData[[#This Row],[totalChallan]],TrafficData[[#This Row],[pendingChallan]]&lt;=TrafficData[[#This Row],[totalChallan]])</f>
        <v>1</v>
      </c>
      <c r="O1676" s="8" t="b">
        <f>AND(TrafficData[[#This Row],[pendingAmount]]&lt;=TrafficData[[#This Row],[totalAmount]],TrafficData[[#This Row],[disposedAmount]]&lt;=TrafficData[[#This Row],[totalAmount]])</f>
        <v>1</v>
      </c>
      <c r="P1676" s="8" t="b">
        <f>AND(TrafficData[[#This Row],[pendingCourt]]&lt;=TrafficData[[#This Row],[totalCourt]],TrafficData[[#This Row],[disposedCourt]]&lt;=TrafficData[[#This Row],[totalCourt]])</f>
        <v>1</v>
      </c>
    </row>
    <row r="1677" spans="1:16">
      <c r="A1677" s="1">
        <v>43681</v>
      </c>
      <c r="B1677">
        <v>82703</v>
      </c>
      <c r="C1677">
        <v>60391</v>
      </c>
      <c r="D1677">
        <v>22312</v>
      </c>
      <c r="E1677">
        <v>12134155</v>
      </c>
      <c r="F1677">
        <v>33112258</v>
      </c>
      <c r="G1677">
        <v>45246413</v>
      </c>
      <c r="H1677">
        <v>5201</v>
      </c>
      <c r="I1677">
        <v>5784</v>
      </c>
      <c r="J1677">
        <v>10985</v>
      </c>
      <c r="K1677" t="b">
        <f>TrafficData[[#This Row],[disposedChallan]]+TrafficData[[#This Row],[pendingChallan]]=TrafficData[[#This Row],[totalChallan]]</f>
        <v>1</v>
      </c>
      <c r="L1677" t="b">
        <f>TrafficData[[#This Row],[pendingAmount]]+TrafficData[[#This Row],[disposedAmount]]=TrafficData[[#This Row],[totalAmount]]</f>
        <v>1</v>
      </c>
      <c r="M1677" t="b">
        <f>TrafficData[[#This Row],[pendingCourt]]+TrafficData[[#This Row],[disposedCourt]]=TrafficData[[#This Row],[totalCourt]]</f>
        <v>1</v>
      </c>
      <c r="N1677" s="8" t="b">
        <f>AND(TrafficData[[#This Row],[disposedChallan]]&lt;=TrafficData[[#This Row],[totalChallan]],TrafficData[[#This Row],[pendingChallan]]&lt;=TrafficData[[#This Row],[totalChallan]])</f>
        <v>1</v>
      </c>
      <c r="O1677" s="8" t="b">
        <f>AND(TrafficData[[#This Row],[pendingAmount]]&lt;=TrafficData[[#This Row],[totalAmount]],TrafficData[[#This Row],[disposedAmount]]&lt;=TrafficData[[#This Row],[totalAmount]])</f>
        <v>1</v>
      </c>
      <c r="P1677" s="8" t="b">
        <f>AND(TrafficData[[#This Row],[pendingCourt]]&lt;=TrafficData[[#This Row],[totalCourt]],TrafficData[[#This Row],[disposedCourt]]&lt;=TrafficData[[#This Row],[totalCourt]])</f>
        <v>1</v>
      </c>
    </row>
    <row r="1678" spans="1:16">
      <c r="A1678" s="1">
        <v>43682</v>
      </c>
      <c r="B1678">
        <v>86351</v>
      </c>
      <c r="C1678">
        <v>64286</v>
      </c>
      <c r="D1678">
        <v>22065</v>
      </c>
      <c r="E1678">
        <v>15237838</v>
      </c>
      <c r="F1678">
        <v>42033846</v>
      </c>
      <c r="G1678">
        <v>57271684</v>
      </c>
      <c r="H1678">
        <v>7152</v>
      </c>
      <c r="I1678">
        <v>5407</v>
      </c>
      <c r="J1678">
        <v>12559</v>
      </c>
      <c r="K1678" t="b">
        <f>TrafficData[[#This Row],[disposedChallan]]+TrafficData[[#This Row],[pendingChallan]]=TrafficData[[#This Row],[totalChallan]]</f>
        <v>1</v>
      </c>
      <c r="L1678" t="b">
        <f>TrafficData[[#This Row],[pendingAmount]]+TrafficData[[#This Row],[disposedAmount]]=TrafficData[[#This Row],[totalAmount]]</f>
        <v>1</v>
      </c>
      <c r="M1678" t="b">
        <f>TrafficData[[#This Row],[pendingCourt]]+TrafficData[[#This Row],[disposedCourt]]=TrafficData[[#This Row],[totalCourt]]</f>
        <v>1</v>
      </c>
      <c r="N1678" s="8" t="b">
        <f>AND(TrafficData[[#This Row],[disposedChallan]]&lt;=TrafficData[[#This Row],[totalChallan]],TrafficData[[#This Row],[pendingChallan]]&lt;=TrafficData[[#This Row],[totalChallan]])</f>
        <v>1</v>
      </c>
      <c r="O1678" s="8" t="b">
        <f>AND(TrafficData[[#This Row],[pendingAmount]]&lt;=TrafficData[[#This Row],[totalAmount]],TrafficData[[#This Row],[disposedAmount]]&lt;=TrafficData[[#This Row],[totalAmount]])</f>
        <v>1</v>
      </c>
      <c r="P1678" s="8" t="b">
        <f>AND(TrafficData[[#This Row],[pendingCourt]]&lt;=TrafficData[[#This Row],[totalCourt]],TrafficData[[#This Row],[disposedCourt]]&lt;=TrafficData[[#This Row],[totalCourt]])</f>
        <v>1</v>
      </c>
    </row>
    <row r="1679" spans="1:16">
      <c r="A1679" s="1">
        <v>43683</v>
      </c>
      <c r="B1679">
        <v>88968</v>
      </c>
      <c r="C1679">
        <v>64045</v>
      </c>
      <c r="D1679">
        <v>24923</v>
      </c>
      <c r="E1679">
        <v>21516600</v>
      </c>
      <c r="F1679">
        <v>49622893</v>
      </c>
      <c r="G1679">
        <v>71139493</v>
      </c>
      <c r="H1679">
        <v>10365</v>
      </c>
      <c r="I1679">
        <v>5707</v>
      </c>
      <c r="J1679">
        <v>16072</v>
      </c>
      <c r="K1679" t="b">
        <f>TrafficData[[#This Row],[disposedChallan]]+TrafficData[[#This Row],[pendingChallan]]=TrafficData[[#This Row],[totalChallan]]</f>
        <v>1</v>
      </c>
      <c r="L1679" t="b">
        <f>TrafficData[[#This Row],[pendingAmount]]+TrafficData[[#This Row],[disposedAmount]]=TrafficData[[#This Row],[totalAmount]]</f>
        <v>1</v>
      </c>
      <c r="M1679" t="b">
        <f>TrafficData[[#This Row],[pendingCourt]]+TrafficData[[#This Row],[disposedCourt]]=TrafficData[[#This Row],[totalCourt]]</f>
        <v>1</v>
      </c>
      <c r="N1679" s="8" t="b">
        <f>AND(TrafficData[[#This Row],[disposedChallan]]&lt;=TrafficData[[#This Row],[totalChallan]],TrafficData[[#This Row],[pendingChallan]]&lt;=TrafficData[[#This Row],[totalChallan]])</f>
        <v>1</v>
      </c>
      <c r="O1679" s="8" t="b">
        <f>AND(TrafficData[[#This Row],[pendingAmount]]&lt;=TrafficData[[#This Row],[totalAmount]],TrafficData[[#This Row],[disposedAmount]]&lt;=TrafficData[[#This Row],[totalAmount]])</f>
        <v>1</v>
      </c>
      <c r="P1679" s="8" t="b">
        <f>AND(TrafficData[[#This Row],[pendingCourt]]&lt;=TrafficData[[#This Row],[totalCourt]],TrafficData[[#This Row],[disposedCourt]]&lt;=TrafficData[[#This Row],[totalCourt]])</f>
        <v>1</v>
      </c>
    </row>
    <row r="1680" spans="1:16">
      <c r="A1680" s="1">
        <v>43684</v>
      </c>
      <c r="B1680">
        <v>89323</v>
      </c>
      <c r="C1680">
        <v>66508</v>
      </c>
      <c r="D1680">
        <v>22815</v>
      </c>
      <c r="E1680">
        <v>18686690</v>
      </c>
      <c r="F1680">
        <v>53422714</v>
      </c>
      <c r="G1680">
        <v>72109404</v>
      </c>
      <c r="H1680">
        <v>8530</v>
      </c>
      <c r="I1680">
        <v>6681</v>
      </c>
      <c r="J1680">
        <v>15211</v>
      </c>
      <c r="K1680" t="b">
        <f>TrafficData[[#This Row],[disposedChallan]]+TrafficData[[#This Row],[pendingChallan]]=TrafficData[[#This Row],[totalChallan]]</f>
        <v>1</v>
      </c>
      <c r="L1680" t="b">
        <f>TrafficData[[#This Row],[pendingAmount]]+TrafficData[[#This Row],[disposedAmount]]=TrafficData[[#This Row],[totalAmount]]</f>
        <v>1</v>
      </c>
      <c r="M1680" t="b">
        <f>TrafficData[[#This Row],[pendingCourt]]+TrafficData[[#This Row],[disposedCourt]]=TrafficData[[#This Row],[totalCourt]]</f>
        <v>1</v>
      </c>
      <c r="N1680" s="8" t="b">
        <f>AND(TrafficData[[#This Row],[disposedChallan]]&lt;=TrafficData[[#This Row],[totalChallan]],TrafficData[[#This Row],[pendingChallan]]&lt;=TrafficData[[#This Row],[totalChallan]])</f>
        <v>1</v>
      </c>
      <c r="O1680" s="8" t="b">
        <f>AND(TrafficData[[#This Row],[pendingAmount]]&lt;=TrafficData[[#This Row],[totalAmount]],TrafficData[[#This Row],[disposedAmount]]&lt;=TrafficData[[#This Row],[totalAmount]])</f>
        <v>1</v>
      </c>
      <c r="P1680" s="8" t="b">
        <f>AND(TrafficData[[#This Row],[pendingCourt]]&lt;=TrafficData[[#This Row],[totalCourt]],TrafficData[[#This Row],[disposedCourt]]&lt;=TrafficData[[#This Row],[totalCourt]])</f>
        <v>1</v>
      </c>
    </row>
    <row r="1681" spans="1:16">
      <c r="A1681" s="1">
        <v>43685</v>
      </c>
      <c r="B1681">
        <v>103454</v>
      </c>
      <c r="C1681">
        <v>73647</v>
      </c>
      <c r="D1681">
        <v>29807</v>
      </c>
      <c r="E1681">
        <v>27908159</v>
      </c>
      <c r="F1681">
        <v>58034290</v>
      </c>
      <c r="G1681">
        <v>85942449</v>
      </c>
      <c r="H1681">
        <v>13042</v>
      </c>
      <c r="I1681">
        <v>7068</v>
      </c>
      <c r="J1681">
        <v>20110</v>
      </c>
      <c r="K1681" t="b">
        <f>TrafficData[[#This Row],[disposedChallan]]+TrafficData[[#This Row],[pendingChallan]]=TrafficData[[#This Row],[totalChallan]]</f>
        <v>1</v>
      </c>
      <c r="L1681" t="b">
        <f>TrafficData[[#This Row],[pendingAmount]]+TrafficData[[#This Row],[disposedAmount]]=TrafficData[[#This Row],[totalAmount]]</f>
        <v>1</v>
      </c>
      <c r="M1681" t="b">
        <f>TrafficData[[#This Row],[pendingCourt]]+TrafficData[[#This Row],[disposedCourt]]=TrafficData[[#This Row],[totalCourt]]</f>
        <v>1</v>
      </c>
      <c r="N1681" s="8" t="b">
        <f>AND(TrafficData[[#This Row],[disposedChallan]]&lt;=TrafficData[[#This Row],[totalChallan]],TrafficData[[#This Row],[pendingChallan]]&lt;=TrafficData[[#This Row],[totalChallan]])</f>
        <v>1</v>
      </c>
      <c r="O1681" s="8" t="b">
        <f>AND(TrafficData[[#This Row],[pendingAmount]]&lt;=TrafficData[[#This Row],[totalAmount]],TrafficData[[#This Row],[disposedAmount]]&lt;=TrafficData[[#This Row],[totalAmount]])</f>
        <v>1</v>
      </c>
      <c r="P1681" s="8" t="b">
        <f>AND(TrafficData[[#This Row],[pendingCourt]]&lt;=TrafficData[[#This Row],[totalCourt]],TrafficData[[#This Row],[disposedCourt]]&lt;=TrafficData[[#This Row],[totalCourt]])</f>
        <v>1</v>
      </c>
    </row>
    <row r="1682" spans="1:16">
      <c r="A1682" s="1">
        <v>43686</v>
      </c>
      <c r="B1682">
        <v>97008</v>
      </c>
      <c r="C1682">
        <v>70200</v>
      </c>
      <c r="D1682">
        <v>26808</v>
      </c>
      <c r="E1682">
        <v>18728070</v>
      </c>
      <c r="F1682">
        <v>55502386</v>
      </c>
      <c r="G1682">
        <v>74230456</v>
      </c>
      <c r="H1682">
        <v>8945</v>
      </c>
      <c r="I1682">
        <v>6072</v>
      </c>
      <c r="J1682">
        <v>15017</v>
      </c>
      <c r="K1682" t="b">
        <f>TrafficData[[#This Row],[disposedChallan]]+TrafficData[[#This Row],[pendingChallan]]=TrafficData[[#This Row],[totalChallan]]</f>
        <v>1</v>
      </c>
      <c r="L1682" t="b">
        <f>TrafficData[[#This Row],[pendingAmount]]+TrafficData[[#This Row],[disposedAmount]]=TrafficData[[#This Row],[totalAmount]]</f>
        <v>1</v>
      </c>
      <c r="M1682" t="b">
        <f>TrafficData[[#This Row],[pendingCourt]]+TrafficData[[#This Row],[disposedCourt]]=TrafficData[[#This Row],[totalCourt]]</f>
        <v>1</v>
      </c>
      <c r="N1682" s="8" t="b">
        <f>AND(TrafficData[[#This Row],[disposedChallan]]&lt;=TrafficData[[#This Row],[totalChallan]],TrafficData[[#This Row],[pendingChallan]]&lt;=TrafficData[[#This Row],[totalChallan]])</f>
        <v>1</v>
      </c>
      <c r="O1682" s="8" t="b">
        <f>AND(TrafficData[[#This Row],[pendingAmount]]&lt;=TrafficData[[#This Row],[totalAmount]],TrafficData[[#This Row],[disposedAmount]]&lt;=TrafficData[[#This Row],[totalAmount]])</f>
        <v>1</v>
      </c>
      <c r="P1682" s="8" t="b">
        <f>AND(TrafficData[[#This Row],[pendingCourt]]&lt;=TrafficData[[#This Row],[totalCourt]],TrafficData[[#This Row],[disposedCourt]]&lt;=TrafficData[[#This Row],[totalCourt]])</f>
        <v>1</v>
      </c>
    </row>
    <row r="1683" spans="1:16">
      <c r="A1683" s="1">
        <v>43687</v>
      </c>
      <c r="B1683">
        <v>98436</v>
      </c>
      <c r="C1683">
        <v>69331</v>
      </c>
      <c r="D1683">
        <v>29105</v>
      </c>
      <c r="E1683">
        <v>18189821</v>
      </c>
      <c r="F1683">
        <v>46725505</v>
      </c>
      <c r="G1683">
        <v>64915326</v>
      </c>
      <c r="H1683">
        <v>8773</v>
      </c>
      <c r="I1683">
        <v>5976</v>
      </c>
      <c r="J1683">
        <v>14749</v>
      </c>
      <c r="K1683" t="b">
        <f>TrafficData[[#This Row],[disposedChallan]]+TrafficData[[#This Row],[pendingChallan]]=TrafficData[[#This Row],[totalChallan]]</f>
        <v>1</v>
      </c>
      <c r="L1683" t="b">
        <f>TrafficData[[#This Row],[pendingAmount]]+TrafficData[[#This Row],[disposedAmount]]=TrafficData[[#This Row],[totalAmount]]</f>
        <v>1</v>
      </c>
      <c r="M1683" t="b">
        <f>TrafficData[[#This Row],[pendingCourt]]+TrafficData[[#This Row],[disposedCourt]]=TrafficData[[#This Row],[totalCourt]]</f>
        <v>1</v>
      </c>
      <c r="N1683" s="8" t="b">
        <f>AND(TrafficData[[#This Row],[disposedChallan]]&lt;=TrafficData[[#This Row],[totalChallan]],TrafficData[[#This Row],[pendingChallan]]&lt;=TrafficData[[#This Row],[totalChallan]])</f>
        <v>1</v>
      </c>
      <c r="O1683" s="8" t="b">
        <f>AND(TrafficData[[#This Row],[pendingAmount]]&lt;=TrafficData[[#This Row],[totalAmount]],TrafficData[[#This Row],[disposedAmount]]&lt;=TrafficData[[#This Row],[totalAmount]])</f>
        <v>1</v>
      </c>
      <c r="P1683" s="8" t="b">
        <f>AND(TrafficData[[#This Row],[pendingCourt]]&lt;=TrafficData[[#This Row],[totalCourt]],TrafficData[[#This Row],[disposedCourt]]&lt;=TrafficData[[#This Row],[totalCourt]])</f>
        <v>1</v>
      </c>
    </row>
    <row r="1684" spans="1:16">
      <c r="A1684" s="1">
        <v>43688</v>
      </c>
      <c r="B1684">
        <v>88597</v>
      </c>
      <c r="C1684">
        <v>58588</v>
      </c>
      <c r="D1684">
        <v>30009</v>
      </c>
      <c r="E1684">
        <v>15508350</v>
      </c>
      <c r="F1684">
        <v>35879551</v>
      </c>
      <c r="G1684">
        <v>51387901</v>
      </c>
      <c r="H1684">
        <v>7050</v>
      </c>
      <c r="I1684">
        <v>4792</v>
      </c>
      <c r="J1684">
        <v>11842</v>
      </c>
      <c r="K1684" t="b">
        <f>TrafficData[[#This Row],[disposedChallan]]+TrafficData[[#This Row],[pendingChallan]]=TrafficData[[#This Row],[totalChallan]]</f>
        <v>1</v>
      </c>
      <c r="L1684" t="b">
        <f>TrafficData[[#This Row],[pendingAmount]]+TrafficData[[#This Row],[disposedAmount]]=TrafficData[[#This Row],[totalAmount]]</f>
        <v>1</v>
      </c>
      <c r="M1684" t="b">
        <f>TrafficData[[#This Row],[pendingCourt]]+TrafficData[[#This Row],[disposedCourt]]=TrafficData[[#This Row],[totalCourt]]</f>
        <v>1</v>
      </c>
      <c r="N1684" s="8" t="b">
        <f>AND(TrafficData[[#This Row],[disposedChallan]]&lt;=TrafficData[[#This Row],[totalChallan]],TrafficData[[#This Row],[pendingChallan]]&lt;=TrafficData[[#This Row],[totalChallan]])</f>
        <v>1</v>
      </c>
      <c r="O1684" s="8" t="b">
        <f>AND(TrafficData[[#This Row],[pendingAmount]]&lt;=TrafficData[[#This Row],[totalAmount]],TrafficData[[#This Row],[disposedAmount]]&lt;=TrafficData[[#This Row],[totalAmount]])</f>
        <v>1</v>
      </c>
      <c r="P1684" s="8" t="b">
        <f>AND(TrafficData[[#This Row],[pendingCourt]]&lt;=TrafficData[[#This Row],[totalCourt]],TrafficData[[#This Row],[disposedCourt]]&lt;=TrafficData[[#This Row],[totalCourt]])</f>
        <v>1</v>
      </c>
    </row>
    <row r="1685" spans="1:16">
      <c r="A1685" s="1">
        <v>43689</v>
      </c>
      <c r="B1685">
        <v>87392</v>
      </c>
      <c r="C1685">
        <v>59620</v>
      </c>
      <c r="D1685">
        <v>27772</v>
      </c>
      <c r="E1685">
        <v>12317050</v>
      </c>
      <c r="F1685">
        <v>25714881</v>
      </c>
      <c r="G1685">
        <v>38031931</v>
      </c>
      <c r="H1685">
        <v>5898</v>
      </c>
      <c r="I1685">
        <v>4064</v>
      </c>
      <c r="J1685">
        <v>9962</v>
      </c>
      <c r="K1685" t="b">
        <f>TrafficData[[#This Row],[disposedChallan]]+TrafficData[[#This Row],[pendingChallan]]=TrafficData[[#This Row],[totalChallan]]</f>
        <v>1</v>
      </c>
      <c r="L1685" t="b">
        <f>TrafficData[[#This Row],[pendingAmount]]+TrafficData[[#This Row],[disposedAmount]]=TrafficData[[#This Row],[totalAmount]]</f>
        <v>1</v>
      </c>
      <c r="M1685" t="b">
        <f>TrafficData[[#This Row],[pendingCourt]]+TrafficData[[#This Row],[disposedCourt]]=TrafficData[[#This Row],[totalCourt]]</f>
        <v>1</v>
      </c>
      <c r="N1685" s="8" t="b">
        <f>AND(TrafficData[[#This Row],[disposedChallan]]&lt;=TrafficData[[#This Row],[totalChallan]],TrafficData[[#This Row],[pendingChallan]]&lt;=TrafficData[[#This Row],[totalChallan]])</f>
        <v>1</v>
      </c>
      <c r="O1685" s="8" t="b">
        <f>AND(TrafficData[[#This Row],[pendingAmount]]&lt;=TrafficData[[#This Row],[totalAmount]],TrafficData[[#This Row],[disposedAmount]]&lt;=TrafficData[[#This Row],[totalAmount]])</f>
        <v>1</v>
      </c>
      <c r="P1685" s="8" t="b">
        <f>AND(TrafficData[[#This Row],[pendingCourt]]&lt;=TrafficData[[#This Row],[totalCourt]],TrafficData[[#This Row],[disposedCourt]]&lt;=TrafficData[[#This Row],[totalCourt]])</f>
        <v>1</v>
      </c>
    </row>
    <row r="1686" spans="1:16">
      <c r="A1686" s="1">
        <v>43690</v>
      </c>
      <c r="B1686">
        <v>88353</v>
      </c>
      <c r="C1686">
        <v>56850</v>
      </c>
      <c r="D1686">
        <v>31503</v>
      </c>
      <c r="E1686">
        <v>16780559</v>
      </c>
      <c r="F1686">
        <v>42512830</v>
      </c>
      <c r="G1686">
        <v>59293389</v>
      </c>
      <c r="H1686">
        <v>7519</v>
      </c>
      <c r="I1686">
        <v>5770</v>
      </c>
      <c r="J1686">
        <v>13289</v>
      </c>
      <c r="K1686" t="b">
        <f>TrafficData[[#This Row],[disposedChallan]]+TrafficData[[#This Row],[pendingChallan]]=TrafficData[[#This Row],[totalChallan]]</f>
        <v>1</v>
      </c>
      <c r="L1686" t="b">
        <f>TrafficData[[#This Row],[pendingAmount]]+TrafficData[[#This Row],[disposedAmount]]=TrafficData[[#This Row],[totalAmount]]</f>
        <v>1</v>
      </c>
      <c r="M1686" t="b">
        <f>TrafficData[[#This Row],[pendingCourt]]+TrafficData[[#This Row],[disposedCourt]]=TrafficData[[#This Row],[totalCourt]]</f>
        <v>1</v>
      </c>
      <c r="N1686" s="8" t="b">
        <f>AND(TrafficData[[#This Row],[disposedChallan]]&lt;=TrafficData[[#This Row],[totalChallan]],TrafficData[[#This Row],[pendingChallan]]&lt;=TrafficData[[#This Row],[totalChallan]])</f>
        <v>1</v>
      </c>
      <c r="O1686" s="8" t="b">
        <f>AND(TrafficData[[#This Row],[pendingAmount]]&lt;=TrafficData[[#This Row],[totalAmount]],TrafficData[[#This Row],[disposedAmount]]&lt;=TrafficData[[#This Row],[totalAmount]])</f>
        <v>1</v>
      </c>
      <c r="P1686" s="8" t="b">
        <f>AND(TrafficData[[#This Row],[pendingCourt]]&lt;=TrafficData[[#This Row],[totalCourt]],TrafficData[[#This Row],[disposedCourt]]&lt;=TrafficData[[#This Row],[totalCourt]])</f>
        <v>1</v>
      </c>
    </row>
    <row r="1687" spans="1:16">
      <c r="A1687" s="1">
        <v>43691</v>
      </c>
      <c r="B1687">
        <v>104998</v>
      </c>
      <c r="C1687">
        <v>71160</v>
      </c>
      <c r="D1687">
        <v>33838</v>
      </c>
      <c r="E1687">
        <v>21646303</v>
      </c>
      <c r="F1687">
        <v>51050277</v>
      </c>
      <c r="G1687">
        <v>72696580</v>
      </c>
      <c r="H1687">
        <v>11035</v>
      </c>
      <c r="I1687">
        <v>6688</v>
      </c>
      <c r="J1687">
        <v>17723</v>
      </c>
      <c r="K1687" t="b">
        <f>TrafficData[[#This Row],[disposedChallan]]+TrafficData[[#This Row],[pendingChallan]]=TrafficData[[#This Row],[totalChallan]]</f>
        <v>1</v>
      </c>
      <c r="L1687" t="b">
        <f>TrafficData[[#This Row],[pendingAmount]]+TrafficData[[#This Row],[disposedAmount]]=TrafficData[[#This Row],[totalAmount]]</f>
        <v>1</v>
      </c>
      <c r="M1687" t="b">
        <f>TrafficData[[#This Row],[pendingCourt]]+TrafficData[[#This Row],[disposedCourt]]=TrafficData[[#This Row],[totalCourt]]</f>
        <v>1</v>
      </c>
      <c r="N1687" s="8" t="b">
        <f>AND(TrafficData[[#This Row],[disposedChallan]]&lt;=TrafficData[[#This Row],[totalChallan]],TrafficData[[#This Row],[pendingChallan]]&lt;=TrafficData[[#This Row],[totalChallan]])</f>
        <v>1</v>
      </c>
      <c r="O1687" s="8" t="b">
        <f>AND(TrafficData[[#This Row],[pendingAmount]]&lt;=TrafficData[[#This Row],[totalAmount]],TrafficData[[#This Row],[disposedAmount]]&lt;=TrafficData[[#This Row],[totalAmount]])</f>
        <v>1</v>
      </c>
      <c r="P1687" s="8" t="b">
        <f>AND(TrafficData[[#This Row],[pendingCourt]]&lt;=TrafficData[[#This Row],[totalCourt]],TrafficData[[#This Row],[disposedCourt]]&lt;=TrafficData[[#This Row],[totalCourt]])</f>
        <v>1</v>
      </c>
    </row>
    <row r="1688" spans="1:16">
      <c r="A1688" s="1">
        <v>43692</v>
      </c>
      <c r="B1688">
        <v>63886</v>
      </c>
      <c r="C1688">
        <v>37490</v>
      </c>
      <c r="D1688">
        <v>26396</v>
      </c>
      <c r="E1688">
        <v>10606532</v>
      </c>
      <c r="F1688">
        <v>19696548</v>
      </c>
      <c r="G1688">
        <v>30303080</v>
      </c>
      <c r="H1688">
        <v>4838</v>
      </c>
      <c r="I1688">
        <v>2537</v>
      </c>
      <c r="J1688">
        <v>7375</v>
      </c>
      <c r="K1688" t="b">
        <f>TrafficData[[#This Row],[disposedChallan]]+TrafficData[[#This Row],[pendingChallan]]=TrafficData[[#This Row],[totalChallan]]</f>
        <v>1</v>
      </c>
      <c r="L1688" t="b">
        <f>TrafficData[[#This Row],[pendingAmount]]+TrafficData[[#This Row],[disposedAmount]]=TrafficData[[#This Row],[totalAmount]]</f>
        <v>1</v>
      </c>
      <c r="M1688" t="b">
        <f>TrafficData[[#This Row],[pendingCourt]]+TrafficData[[#This Row],[disposedCourt]]=TrafficData[[#This Row],[totalCourt]]</f>
        <v>1</v>
      </c>
      <c r="N1688" s="8" t="b">
        <f>AND(TrafficData[[#This Row],[disposedChallan]]&lt;=TrafficData[[#This Row],[totalChallan]],TrafficData[[#This Row],[pendingChallan]]&lt;=TrafficData[[#This Row],[totalChallan]])</f>
        <v>1</v>
      </c>
      <c r="O1688" s="8" t="b">
        <f>AND(TrafficData[[#This Row],[pendingAmount]]&lt;=TrafficData[[#This Row],[totalAmount]],TrafficData[[#This Row],[disposedAmount]]&lt;=TrafficData[[#This Row],[totalAmount]])</f>
        <v>1</v>
      </c>
      <c r="P1688" s="8" t="b">
        <f>AND(TrafficData[[#This Row],[pendingCourt]]&lt;=TrafficData[[#This Row],[totalCourt]],TrafficData[[#This Row],[disposedCourt]]&lt;=TrafficData[[#This Row],[totalCourt]])</f>
        <v>1</v>
      </c>
    </row>
    <row r="1689" spans="1:16">
      <c r="A1689" s="1">
        <v>43693</v>
      </c>
      <c r="B1689">
        <v>106479</v>
      </c>
      <c r="C1689">
        <v>72357</v>
      </c>
      <c r="D1689">
        <v>34122</v>
      </c>
      <c r="E1689">
        <v>24050958</v>
      </c>
      <c r="F1689">
        <v>42021550</v>
      </c>
      <c r="G1689">
        <v>66072508</v>
      </c>
      <c r="H1689">
        <v>11528</v>
      </c>
      <c r="I1689">
        <v>6931</v>
      </c>
      <c r="J1689">
        <v>18459</v>
      </c>
      <c r="K1689" t="b">
        <f>TrafficData[[#This Row],[disposedChallan]]+TrafficData[[#This Row],[pendingChallan]]=TrafficData[[#This Row],[totalChallan]]</f>
        <v>1</v>
      </c>
      <c r="L1689" t="b">
        <f>TrafficData[[#This Row],[pendingAmount]]+TrafficData[[#This Row],[disposedAmount]]=TrafficData[[#This Row],[totalAmount]]</f>
        <v>1</v>
      </c>
      <c r="M1689" t="b">
        <f>TrafficData[[#This Row],[pendingCourt]]+TrafficData[[#This Row],[disposedCourt]]=TrafficData[[#This Row],[totalCourt]]</f>
        <v>1</v>
      </c>
      <c r="N1689" s="8" t="b">
        <f>AND(TrafficData[[#This Row],[disposedChallan]]&lt;=TrafficData[[#This Row],[totalChallan]],TrafficData[[#This Row],[pendingChallan]]&lt;=TrafficData[[#This Row],[totalChallan]])</f>
        <v>1</v>
      </c>
      <c r="O1689" s="8" t="b">
        <f>AND(TrafficData[[#This Row],[pendingAmount]]&lt;=TrafficData[[#This Row],[totalAmount]],TrafficData[[#This Row],[disposedAmount]]&lt;=TrafficData[[#This Row],[totalAmount]])</f>
        <v>1</v>
      </c>
      <c r="P1689" s="8" t="b">
        <f>AND(TrafficData[[#This Row],[pendingCourt]]&lt;=TrafficData[[#This Row],[totalCourt]],TrafficData[[#This Row],[disposedCourt]]&lt;=TrafficData[[#This Row],[totalCourt]])</f>
        <v>1</v>
      </c>
    </row>
    <row r="1690" spans="1:16">
      <c r="A1690" s="1">
        <v>43694</v>
      </c>
      <c r="B1690">
        <v>104194</v>
      </c>
      <c r="C1690">
        <v>71975</v>
      </c>
      <c r="D1690">
        <v>32219</v>
      </c>
      <c r="E1690">
        <v>22196180</v>
      </c>
      <c r="F1690">
        <v>47049032</v>
      </c>
      <c r="G1690">
        <v>69245212</v>
      </c>
      <c r="H1690">
        <v>10347</v>
      </c>
      <c r="I1690">
        <v>7173</v>
      </c>
      <c r="J1690">
        <v>17520</v>
      </c>
      <c r="K1690" t="b">
        <f>TrafficData[[#This Row],[disposedChallan]]+TrafficData[[#This Row],[pendingChallan]]=TrafficData[[#This Row],[totalChallan]]</f>
        <v>1</v>
      </c>
      <c r="L1690" t="b">
        <f>TrafficData[[#This Row],[pendingAmount]]+TrafficData[[#This Row],[disposedAmount]]=TrafficData[[#This Row],[totalAmount]]</f>
        <v>1</v>
      </c>
      <c r="M1690" t="b">
        <f>TrafficData[[#This Row],[pendingCourt]]+TrafficData[[#This Row],[disposedCourt]]=TrafficData[[#This Row],[totalCourt]]</f>
        <v>1</v>
      </c>
      <c r="N1690" s="8" t="b">
        <f>AND(TrafficData[[#This Row],[disposedChallan]]&lt;=TrafficData[[#This Row],[totalChallan]],TrafficData[[#This Row],[pendingChallan]]&lt;=TrafficData[[#This Row],[totalChallan]])</f>
        <v>1</v>
      </c>
      <c r="O1690" s="8" t="b">
        <f>AND(TrafficData[[#This Row],[pendingAmount]]&lt;=TrafficData[[#This Row],[totalAmount]],TrafficData[[#This Row],[disposedAmount]]&lt;=TrafficData[[#This Row],[totalAmount]])</f>
        <v>1</v>
      </c>
      <c r="P1690" s="8" t="b">
        <f>AND(TrafficData[[#This Row],[pendingCourt]]&lt;=TrafficData[[#This Row],[totalCourt]],TrafficData[[#This Row],[disposedCourt]]&lt;=TrafficData[[#This Row],[totalCourt]])</f>
        <v>1</v>
      </c>
    </row>
    <row r="1691" spans="1:16">
      <c r="A1691" s="1">
        <v>43695</v>
      </c>
      <c r="B1691">
        <v>90433</v>
      </c>
      <c r="C1691">
        <v>63095</v>
      </c>
      <c r="D1691">
        <v>27338</v>
      </c>
      <c r="E1691">
        <v>14083950</v>
      </c>
      <c r="F1691">
        <v>32401875</v>
      </c>
      <c r="G1691">
        <v>46485825</v>
      </c>
      <c r="H1691">
        <v>6687</v>
      </c>
      <c r="I1691">
        <v>5380</v>
      </c>
      <c r="J1691">
        <v>12067</v>
      </c>
      <c r="K1691" t="b">
        <f>TrafficData[[#This Row],[disposedChallan]]+TrafficData[[#This Row],[pendingChallan]]=TrafficData[[#This Row],[totalChallan]]</f>
        <v>1</v>
      </c>
      <c r="L1691" t="b">
        <f>TrafficData[[#This Row],[pendingAmount]]+TrafficData[[#This Row],[disposedAmount]]=TrafficData[[#This Row],[totalAmount]]</f>
        <v>1</v>
      </c>
      <c r="M1691" t="b">
        <f>TrafficData[[#This Row],[pendingCourt]]+TrafficData[[#This Row],[disposedCourt]]=TrafficData[[#This Row],[totalCourt]]</f>
        <v>1</v>
      </c>
      <c r="N1691" s="8" t="b">
        <f>AND(TrafficData[[#This Row],[disposedChallan]]&lt;=TrafficData[[#This Row],[totalChallan]],TrafficData[[#This Row],[pendingChallan]]&lt;=TrafficData[[#This Row],[totalChallan]])</f>
        <v>1</v>
      </c>
      <c r="O1691" s="8" t="b">
        <f>AND(TrafficData[[#This Row],[pendingAmount]]&lt;=TrafficData[[#This Row],[totalAmount]],TrafficData[[#This Row],[disposedAmount]]&lt;=TrafficData[[#This Row],[totalAmount]])</f>
        <v>1</v>
      </c>
      <c r="P1691" s="8" t="b">
        <f>AND(TrafficData[[#This Row],[pendingCourt]]&lt;=TrafficData[[#This Row],[totalCourt]],TrafficData[[#This Row],[disposedCourt]]&lt;=TrafficData[[#This Row],[totalCourt]])</f>
        <v>1</v>
      </c>
    </row>
    <row r="1692" spans="1:16">
      <c r="A1692" s="1">
        <v>43696</v>
      </c>
      <c r="B1692">
        <v>108997</v>
      </c>
      <c r="C1692">
        <v>76146</v>
      </c>
      <c r="D1692">
        <v>32851</v>
      </c>
      <c r="E1692">
        <v>21155292</v>
      </c>
      <c r="F1692">
        <v>51390195</v>
      </c>
      <c r="G1692">
        <v>72545487</v>
      </c>
      <c r="H1692">
        <v>9164</v>
      </c>
      <c r="I1692">
        <v>7639</v>
      </c>
      <c r="J1692">
        <v>16803</v>
      </c>
      <c r="K1692" t="b">
        <f>TrafficData[[#This Row],[disposedChallan]]+TrafficData[[#This Row],[pendingChallan]]=TrafficData[[#This Row],[totalChallan]]</f>
        <v>1</v>
      </c>
      <c r="L1692" t="b">
        <f>TrafficData[[#This Row],[pendingAmount]]+TrafficData[[#This Row],[disposedAmount]]=TrafficData[[#This Row],[totalAmount]]</f>
        <v>1</v>
      </c>
      <c r="M1692" t="b">
        <f>TrafficData[[#This Row],[pendingCourt]]+TrafficData[[#This Row],[disposedCourt]]=TrafficData[[#This Row],[totalCourt]]</f>
        <v>1</v>
      </c>
      <c r="N1692" s="8" t="b">
        <f>AND(TrafficData[[#This Row],[disposedChallan]]&lt;=TrafficData[[#This Row],[totalChallan]],TrafficData[[#This Row],[pendingChallan]]&lt;=TrafficData[[#This Row],[totalChallan]])</f>
        <v>1</v>
      </c>
      <c r="O1692" s="8" t="b">
        <f>AND(TrafficData[[#This Row],[pendingAmount]]&lt;=TrafficData[[#This Row],[totalAmount]],TrafficData[[#This Row],[disposedAmount]]&lt;=TrafficData[[#This Row],[totalAmount]])</f>
        <v>1</v>
      </c>
      <c r="P1692" s="8" t="b">
        <f>AND(TrafficData[[#This Row],[pendingCourt]]&lt;=TrafficData[[#This Row],[totalCourt]],TrafficData[[#This Row],[disposedCourt]]&lt;=TrafficData[[#This Row],[totalCourt]])</f>
        <v>1</v>
      </c>
    </row>
    <row r="1693" spans="1:16">
      <c r="A1693" s="1">
        <v>43697</v>
      </c>
      <c r="B1693">
        <v>111421</v>
      </c>
      <c r="C1693">
        <v>80367</v>
      </c>
      <c r="D1693">
        <v>31054</v>
      </c>
      <c r="E1693">
        <v>19585145</v>
      </c>
      <c r="F1693">
        <v>60285389</v>
      </c>
      <c r="G1693">
        <v>79870534</v>
      </c>
      <c r="H1693">
        <v>9101</v>
      </c>
      <c r="I1693">
        <v>8366</v>
      </c>
      <c r="J1693">
        <v>17467</v>
      </c>
      <c r="K1693" t="b">
        <f>TrafficData[[#This Row],[disposedChallan]]+TrafficData[[#This Row],[pendingChallan]]=TrafficData[[#This Row],[totalChallan]]</f>
        <v>1</v>
      </c>
      <c r="L1693" t="b">
        <f>TrafficData[[#This Row],[pendingAmount]]+TrafficData[[#This Row],[disposedAmount]]=TrafficData[[#This Row],[totalAmount]]</f>
        <v>1</v>
      </c>
      <c r="M1693" t="b">
        <f>TrafficData[[#This Row],[pendingCourt]]+TrafficData[[#This Row],[disposedCourt]]=TrafficData[[#This Row],[totalCourt]]</f>
        <v>1</v>
      </c>
      <c r="N1693" s="8" t="b">
        <f>AND(TrafficData[[#This Row],[disposedChallan]]&lt;=TrafficData[[#This Row],[totalChallan]],TrafficData[[#This Row],[pendingChallan]]&lt;=TrafficData[[#This Row],[totalChallan]])</f>
        <v>1</v>
      </c>
      <c r="O1693" s="8" t="b">
        <f>AND(TrafficData[[#This Row],[pendingAmount]]&lt;=TrafficData[[#This Row],[totalAmount]],TrafficData[[#This Row],[disposedAmount]]&lt;=TrafficData[[#This Row],[totalAmount]])</f>
        <v>1</v>
      </c>
      <c r="P1693" s="8" t="b">
        <f>AND(TrafficData[[#This Row],[pendingCourt]]&lt;=TrafficData[[#This Row],[totalCourt]],TrafficData[[#This Row],[disposedCourt]]&lt;=TrafficData[[#This Row],[totalCourt]])</f>
        <v>1</v>
      </c>
    </row>
    <row r="1694" spans="1:16">
      <c r="A1694" s="1">
        <v>43698</v>
      </c>
      <c r="B1694">
        <v>108106</v>
      </c>
      <c r="C1694">
        <v>75845</v>
      </c>
      <c r="D1694">
        <v>32261</v>
      </c>
      <c r="E1694">
        <v>24152230</v>
      </c>
      <c r="F1694">
        <v>54522699</v>
      </c>
      <c r="G1694">
        <v>78674929</v>
      </c>
      <c r="H1694">
        <v>12036</v>
      </c>
      <c r="I1694">
        <v>7312</v>
      </c>
      <c r="J1694">
        <v>19348</v>
      </c>
      <c r="K1694" t="b">
        <f>TrafficData[[#This Row],[disposedChallan]]+TrafficData[[#This Row],[pendingChallan]]=TrafficData[[#This Row],[totalChallan]]</f>
        <v>1</v>
      </c>
      <c r="L1694" t="b">
        <f>TrafficData[[#This Row],[pendingAmount]]+TrafficData[[#This Row],[disposedAmount]]=TrafficData[[#This Row],[totalAmount]]</f>
        <v>1</v>
      </c>
      <c r="M1694" t="b">
        <f>TrafficData[[#This Row],[pendingCourt]]+TrafficData[[#This Row],[disposedCourt]]=TrafficData[[#This Row],[totalCourt]]</f>
        <v>1</v>
      </c>
      <c r="N1694" s="8" t="b">
        <f>AND(TrafficData[[#This Row],[disposedChallan]]&lt;=TrafficData[[#This Row],[totalChallan]],TrafficData[[#This Row],[pendingChallan]]&lt;=TrafficData[[#This Row],[totalChallan]])</f>
        <v>1</v>
      </c>
      <c r="O1694" s="8" t="b">
        <f>AND(TrafficData[[#This Row],[pendingAmount]]&lt;=TrafficData[[#This Row],[totalAmount]],TrafficData[[#This Row],[disposedAmount]]&lt;=TrafficData[[#This Row],[totalAmount]])</f>
        <v>1</v>
      </c>
      <c r="P1694" s="8" t="b">
        <f>AND(TrafficData[[#This Row],[pendingCourt]]&lt;=TrafficData[[#This Row],[totalCourt]],TrafficData[[#This Row],[disposedCourt]]&lt;=TrafficData[[#This Row],[totalCourt]])</f>
        <v>1</v>
      </c>
    </row>
    <row r="1695" spans="1:16">
      <c r="A1695" s="1">
        <v>43699</v>
      </c>
      <c r="B1695">
        <v>111180</v>
      </c>
      <c r="C1695">
        <v>78548</v>
      </c>
      <c r="D1695">
        <v>32632</v>
      </c>
      <c r="E1695">
        <v>24111032</v>
      </c>
      <c r="F1695">
        <v>56477375</v>
      </c>
      <c r="G1695">
        <v>80588407</v>
      </c>
      <c r="H1695">
        <v>11639</v>
      </c>
      <c r="I1695">
        <v>6743</v>
      </c>
      <c r="J1695">
        <v>18382</v>
      </c>
      <c r="K1695" t="b">
        <f>TrafficData[[#This Row],[disposedChallan]]+TrafficData[[#This Row],[pendingChallan]]=TrafficData[[#This Row],[totalChallan]]</f>
        <v>1</v>
      </c>
      <c r="L1695" t="b">
        <f>TrafficData[[#This Row],[pendingAmount]]+TrafficData[[#This Row],[disposedAmount]]=TrafficData[[#This Row],[totalAmount]]</f>
        <v>1</v>
      </c>
      <c r="M1695" t="b">
        <f>TrafficData[[#This Row],[pendingCourt]]+TrafficData[[#This Row],[disposedCourt]]=TrafficData[[#This Row],[totalCourt]]</f>
        <v>1</v>
      </c>
      <c r="N1695" s="8" t="b">
        <f>AND(TrafficData[[#This Row],[disposedChallan]]&lt;=TrafficData[[#This Row],[totalChallan]],TrafficData[[#This Row],[pendingChallan]]&lt;=TrafficData[[#This Row],[totalChallan]])</f>
        <v>1</v>
      </c>
      <c r="O1695" s="8" t="b">
        <f>AND(TrafficData[[#This Row],[pendingAmount]]&lt;=TrafficData[[#This Row],[totalAmount]],TrafficData[[#This Row],[disposedAmount]]&lt;=TrafficData[[#This Row],[totalAmount]])</f>
        <v>1</v>
      </c>
      <c r="P1695" s="8" t="b">
        <f>AND(TrafficData[[#This Row],[pendingCourt]]&lt;=TrafficData[[#This Row],[totalCourt]],TrafficData[[#This Row],[disposedCourt]]&lt;=TrafficData[[#This Row],[totalCourt]])</f>
        <v>1</v>
      </c>
    </row>
    <row r="1696" spans="1:16">
      <c r="A1696" s="1">
        <v>43700</v>
      </c>
      <c r="B1696">
        <v>102175</v>
      </c>
      <c r="C1696">
        <v>73657</v>
      </c>
      <c r="D1696">
        <v>28518</v>
      </c>
      <c r="E1696">
        <v>14876440</v>
      </c>
      <c r="F1696">
        <v>42336774</v>
      </c>
      <c r="G1696">
        <v>57213214</v>
      </c>
      <c r="H1696">
        <v>7586</v>
      </c>
      <c r="I1696">
        <v>5129</v>
      </c>
      <c r="J1696">
        <v>12715</v>
      </c>
      <c r="K1696" t="b">
        <f>TrafficData[[#This Row],[disposedChallan]]+TrafficData[[#This Row],[pendingChallan]]=TrafficData[[#This Row],[totalChallan]]</f>
        <v>1</v>
      </c>
      <c r="L1696" t="b">
        <f>TrafficData[[#This Row],[pendingAmount]]+TrafficData[[#This Row],[disposedAmount]]=TrafficData[[#This Row],[totalAmount]]</f>
        <v>1</v>
      </c>
      <c r="M1696" t="b">
        <f>TrafficData[[#This Row],[pendingCourt]]+TrafficData[[#This Row],[disposedCourt]]=TrafficData[[#This Row],[totalCourt]]</f>
        <v>1</v>
      </c>
      <c r="N1696" s="8" t="b">
        <f>AND(TrafficData[[#This Row],[disposedChallan]]&lt;=TrafficData[[#This Row],[totalChallan]],TrafficData[[#This Row],[pendingChallan]]&lt;=TrafficData[[#This Row],[totalChallan]])</f>
        <v>1</v>
      </c>
      <c r="O1696" s="8" t="b">
        <f>AND(TrafficData[[#This Row],[pendingAmount]]&lt;=TrafficData[[#This Row],[totalAmount]],TrafficData[[#This Row],[disposedAmount]]&lt;=TrafficData[[#This Row],[totalAmount]])</f>
        <v>1</v>
      </c>
      <c r="P1696" s="8" t="b">
        <f>AND(TrafficData[[#This Row],[pendingCourt]]&lt;=TrafficData[[#This Row],[totalCourt]],TrafficData[[#This Row],[disposedCourt]]&lt;=TrafficData[[#This Row],[totalCourt]])</f>
        <v>1</v>
      </c>
    </row>
    <row r="1697" spans="1:16">
      <c r="A1697" s="1">
        <v>43701</v>
      </c>
      <c r="B1697">
        <v>94065</v>
      </c>
      <c r="C1697">
        <v>68052</v>
      </c>
      <c r="D1697">
        <v>26013</v>
      </c>
      <c r="E1697">
        <v>14290504</v>
      </c>
      <c r="F1697">
        <v>40462120</v>
      </c>
      <c r="G1697">
        <v>54752624</v>
      </c>
      <c r="H1697">
        <v>8435</v>
      </c>
      <c r="I1697">
        <v>5846</v>
      </c>
      <c r="J1697">
        <v>14281</v>
      </c>
      <c r="K1697" t="b">
        <f>TrafficData[[#This Row],[disposedChallan]]+TrafficData[[#This Row],[pendingChallan]]=TrafficData[[#This Row],[totalChallan]]</f>
        <v>1</v>
      </c>
      <c r="L1697" t="b">
        <f>TrafficData[[#This Row],[pendingAmount]]+TrafficData[[#This Row],[disposedAmount]]=TrafficData[[#This Row],[totalAmount]]</f>
        <v>1</v>
      </c>
      <c r="M1697" t="b">
        <f>TrafficData[[#This Row],[pendingCourt]]+TrafficData[[#This Row],[disposedCourt]]=TrafficData[[#This Row],[totalCourt]]</f>
        <v>1</v>
      </c>
      <c r="N1697" s="8" t="b">
        <f>AND(TrafficData[[#This Row],[disposedChallan]]&lt;=TrafficData[[#This Row],[totalChallan]],TrafficData[[#This Row],[pendingChallan]]&lt;=TrafficData[[#This Row],[totalChallan]])</f>
        <v>1</v>
      </c>
      <c r="O1697" s="8" t="b">
        <f>AND(TrafficData[[#This Row],[pendingAmount]]&lt;=TrafficData[[#This Row],[totalAmount]],TrafficData[[#This Row],[disposedAmount]]&lt;=TrafficData[[#This Row],[totalAmount]])</f>
        <v>1</v>
      </c>
      <c r="P1697" s="8" t="b">
        <f>AND(TrafficData[[#This Row],[pendingCourt]]&lt;=TrafficData[[#This Row],[totalCourt]],TrafficData[[#This Row],[disposedCourt]]&lt;=TrafficData[[#This Row],[totalCourt]])</f>
        <v>1</v>
      </c>
    </row>
    <row r="1698" spans="1:16">
      <c r="A1698" s="1">
        <v>43702</v>
      </c>
      <c r="B1698">
        <v>88384</v>
      </c>
      <c r="C1698">
        <v>61055</v>
      </c>
      <c r="D1698">
        <v>27329</v>
      </c>
      <c r="E1698">
        <v>12578615</v>
      </c>
      <c r="F1698">
        <v>32043512</v>
      </c>
      <c r="G1698">
        <v>44622127</v>
      </c>
      <c r="H1698">
        <v>6357</v>
      </c>
      <c r="I1698">
        <v>4545</v>
      </c>
      <c r="J1698">
        <v>10902</v>
      </c>
      <c r="K1698" t="b">
        <f>TrafficData[[#This Row],[disposedChallan]]+TrafficData[[#This Row],[pendingChallan]]=TrafficData[[#This Row],[totalChallan]]</f>
        <v>1</v>
      </c>
      <c r="L1698" t="b">
        <f>TrafficData[[#This Row],[pendingAmount]]+TrafficData[[#This Row],[disposedAmount]]=TrafficData[[#This Row],[totalAmount]]</f>
        <v>1</v>
      </c>
      <c r="M1698" t="b">
        <f>TrafficData[[#This Row],[pendingCourt]]+TrafficData[[#This Row],[disposedCourt]]=TrafficData[[#This Row],[totalCourt]]</f>
        <v>1</v>
      </c>
      <c r="N1698" s="8" t="b">
        <f>AND(TrafficData[[#This Row],[disposedChallan]]&lt;=TrafficData[[#This Row],[totalChallan]],TrafficData[[#This Row],[pendingChallan]]&lt;=TrafficData[[#This Row],[totalChallan]])</f>
        <v>1</v>
      </c>
      <c r="O1698" s="8" t="b">
        <f>AND(TrafficData[[#This Row],[pendingAmount]]&lt;=TrafficData[[#This Row],[totalAmount]],TrafficData[[#This Row],[disposedAmount]]&lt;=TrafficData[[#This Row],[totalAmount]])</f>
        <v>1</v>
      </c>
      <c r="P1698" s="8" t="b">
        <f>AND(TrafficData[[#This Row],[pendingCourt]]&lt;=TrafficData[[#This Row],[totalCourt]],TrafficData[[#This Row],[disposedCourt]]&lt;=TrafficData[[#This Row],[totalCourt]])</f>
        <v>1</v>
      </c>
    </row>
    <row r="1699" spans="1:16">
      <c r="A1699" s="1">
        <v>43703</v>
      </c>
      <c r="B1699">
        <v>106728</v>
      </c>
      <c r="C1699">
        <v>77037</v>
      </c>
      <c r="D1699">
        <v>29691</v>
      </c>
      <c r="E1699">
        <v>18687535</v>
      </c>
      <c r="F1699">
        <v>49218090</v>
      </c>
      <c r="G1699">
        <v>67905625</v>
      </c>
      <c r="H1699">
        <v>9062</v>
      </c>
      <c r="I1699">
        <v>6998</v>
      </c>
      <c r="J1699">
        <v>16060</v>
      </c>
      <c r="K1699" t="b">
        <f>TrafficData[[#This Row],[disposedChallan]]+TrafficData[[#This Row],[pendingChallan]]=TrafficData[[#This Row],[totalChallan]]</f>
        <v>1</v>
      </c>
      <c r="L1699" t="b">
        <f>TrafficData[[#This Row],[pendingAmount]]+TrafficData[[#This Row],[disposedAmount]]=TrafficData[[#This Row],[totalAmount]]</f>
        <v>1</v>
      </c>
      <c r="M1699" t="b">
        <f>TrafficData[[#This Row],[pendingCourt]]+TrafficData[[#This Row],[disposedCourt]]=TrafficData[[#This Row],[totalCourt]]</f>
        <v>1</v>
      </c>
      <c r="N1699" s="8" t="b">
        <f>AND(TrafficData[[#This Row],[disposedChallan]]&lt;=TrafficData[[#This Row],[totalChallan]],TrafficData[[#This Row],[pendingChallan]]&lt;=TrafficData[[#This Row],[totalChallan]])</f>
        <v>1</v>
      </c>
      <c r="O1699" s="8" t="b">
        <f>AND(TrafficData[[#This Row],[pendingAmount]]&lt;=TrafficData[[#This Row],[totalAmount]],TrafficData[[#This Row],[disposedAmount]]&lt;=TrafficData[[#This Row],[totalAmount]])</f>
        <v>1</v>
      </c>
      <c r="P1699" s="8" t="b">
        <f>AND(TrafficData[[#This Row],[pendingCourt]]&lt;=TrafficData[[#This Row],[totalCourt]],TrafficData[[#This Row],[disposedCourt]]&lt;=TrafficData[[#This Row],[totalCourt]])</f>
        <v>1</v>
      </c>
    </row>
    <row r="1700" spans="1:16">
      <c r="A1700" s="1">
        <v>43704</v>
      </c>
      <c r="B1700">
        <v>104045</v>
      </c>
      <c r="C1700">
        <v>76020</v>
      </c>
      <c r="D1700">
        <v>28025</v>
      </c>
      <c r="E1700">
        <v>19530876</v>
      </c>
      <c r="F1700">
        <v>53846710</v>
      </c>
      <c r="G1700">
        <v>73377586</v>
      </c>
      <c r="H1700">
        <v>8854</v>
      </c>
      <c r="I1700">
        <v>6234</v>
      </c>
      <c r="J1700">
        <v>15088</v>
      </c>
      <c r="K1700" t="b">
        <f>TrafficData[[#This Row],[disposedChallan]]+TrafficData[[#This Row],[pendingChallan]]=TrafficData[[#This Row],[totalChallan]]</f>
        <v>1</v>
      </c>
      <c r="L1700" t="b">
        <f>TrafficData[[#This Row],[pendingAmount]]+TrafficData[[#This Row],[disposedAmount]]=TrafficData[[#This Row],[totalAmount]]</f>
        <v>1</v>
      </c>
      <c r="M1700" t="b">
        <f>TrafficData[[#This Row],[pendingCourt]]+TrafficData[[#This Row],[disposedCourt]]=TrafficData[[#This Row],[totalCourt]]</f>
        <v>1</v>
      </c>
      <c r="N1700" s="8" t="b">
        <f>AND(TrafficData[[#This Row],[disposedChallan]]&lt;=TrafficData[[#This Row],[totalChallan]],TrafficData[[#This Row],[pendingChallan]]&lt;=TrafficData[[#This Row],[totalChallan]])</f>
        <v>1</v>
      </c>
      <c r="O1700" s="8" t="b">
        <f>AND(TrafficData[[#This Row],[pendingAmount]]&lt;=TrafficData[[#This Row],[totalAmount]],TrafficData[[#This Row],[disposedAmount]]&lt;=TrafficData[[#This Row],[totalAmount]])</f>
        <v>1</v>
      </c>
      <c r="P1700" s="8" t="b">
        <f>AND(TrafficData[[#This Row],[pendingCourt]]&lt;=TrafficData[[#This Row],[totalCourt]],TrafficData[[#This Row],[disposedCourt]]&lt;=TrafficData[[#This Row],[totalCourt]])</f>
        <v>1</v>
      </c>
    </row>
    <row r="1701" spans="1:16">
      <c r="A1701" s="1">
        <v>43705</v>
      </c>
      <c r="B1701">
        <v>112331</v>
      </c>
      <c r="C1701">
        <v>80609</v>
      </c>
      <c r="D1701">
        <v>31722</v>
      </c>
      <c r="E1701">
        <v>26359206</v>
      </c>
      <c r="F1701">
        <v>53284630</v>
      </c>
      <c r="G1701">
        <v>79643836</v>
      </c>
      <c r="H1701">
        <v>13179</v>
      </c>
      <c r="I1701">
        <v>6596</v>
      </c>
      <c r="J1701">
        <v>19775</v>
      </c>
      <c r="K1701" t="b">
        <f>TrafficData[[#This Row],[disposedChallan]]+TrafficData[[#This Row],[pendingChallan]]=TrafficData[[#This Row],[totalChallan]]</f>
        <v>1</v>
      </c>
      <c r="L1701" t="b">
        <f>TrafficData[[#This Row],[pendingAmount]]+TrafficData[[#This Row],[disposedAmount]]=TrafficData[[#This Row],[totalAmount]]</f>
        <v>1</v>
      </c>
      <c r="M1701" t="b">
        <f>TrafficData[[#This Row],[pendingCourt]]+TrafficData[[#This Row],[disposedCourt]]=TrafficData[[#This Row],[totalCourt]]</f>
        <v>1</v>
      </c>
      <c r="N1701" s="8" t="b">
        <f>AND(TrafficData[[#This Row],[disposedChallan]]&lt;=TrafficData[[#This Row],[totalChallan]],TrafficData[[#This Row],[pendingChallan]]&lt;=TrafficData[[#This Row],[totalChallan]])</f>
        <v>1</v>
      </c>
      <c r="O1701" s="8" t="b">
        <f>AND(TrafficData[[#This Row],[pendingAmount]]&lt;=TrafficData[[#This Row],[totalAmount]],TrafficData[[#This Row],[disposedAmount]]&lt;=TrafficData[[#This Row],[totalAmount]])</f>
        <v>1</v>
      </c>
      <c r="P1701" s="8" t="b">
        <f>AND(TrafficData[[#This Row],[pendingCourt]]&lt;=TrafficData[[#This Row],[totalCourt]],TrafficData[[#This Row],[disposedCourt]]&lt;=TrafficData[[#This Row],[totalCourt]])</f>
        <v>1</v>
      </c>
    </row>
    <row r="1702" spans="1:16">
      <c r="A1702" s="1">
        <v>43706</v>
      </c>
      <c r="B1702">
        <v>106490</v>
      </c>
      <c r="C1702">
        <v>77633</v>
      </c>
      <c r="D1702">
        <v>28857</v>
      </c>
      <c r="E1702">
        <v>19658851</v>
      </c>
      <c r="F1702">
        <v>53723735</v>
      </c>
      <c r="G1702">
        <v>73382586</v>
      </c>
      <c r="H1702">
        <v>8298</v>
      </c>
      <c r="I1702">
        <v>5879</v>
      </c>
      <c r="J1702">
        <v>14177</v>
      </c>
      <c r="K1702" t="b">
        <f>TrafficData[[#This Row],[disposedChallan]]+TrafficData[[#This Row],[pendingChallan]]=TrafficData[[#This Row],[totalChallan]]</f>
        <v>1</v>
      </c>
      <c r="L1702" t="b">
        <f>TrafficData[[#This Row],[pendingAmount]]+TrafficData[[#This Row],[disposedAmount]]=TrafficData[[#This Row],[totalAmount]]</f>
        <v>1</v>
      </c>
      <c r="M1702" t="b">
        <f>TrafficData[[#This Row],[pendingCourt]]+TrafficData[[#This Row],[disposedCourt]]=TrafficData[[#This Row],[totalCourt]]</f>
        <v>1</v>
      </c>
      <c r="N1702" s="8" t="b">
        <f>AND(TrafficData[[#This Row],[disposedChallan]]&lt;=TrafficData[[#This Row],[totalChallan]],TrafficData[[#This Row],[pendingChallan]]&lt;=TrafficData[[#This Row],[totalChallan]])</f>
        <v>1</v>
      </c>
      <c r="O1702" s="8" t="b">
        <f>AND(TrafficData[[#This Row],[pendingAmount]]&lt;=TrafficData[[#This Row],[totalAmount]],TrafficData[[#This Row],[disposedAmount]]&lt;=TrafficData[[#This Row],[totalAmount]])</f>
        <v>1</v>
      </c>
      <c r="P1702" s="8" t="b">
        <f>AND(TrafficData[[#This Row],[pendingCourt]]&lt;=TrafficData[[#This Row],[totalCourt]],TrafficData[[#This Row],[disposedCourt]]&lt;=TrafficData[[#This Row],[totalCourt]])</f>
        <v>1</v>
      </c>
    </row>
    <row r="1703" spans="1:16">
      <c r="A1703" s="1">
        <v>43707</v>
      </c>
      <c r="B1703">
        <v>115826</v>
      </c>
      <c r="C1703">
        <v>78278</v>
      </c>
      <c r="D1703">
        <v>37548</v>
      </c>
      <c r="E1703">
        <v>25785980</v>
      </c>
      <c r="F1703">
        <v>50824890</v>
      </c>
      <c r="G1703">
        <v>76610870</v>
      </c>
      <c r="H1703">
        <v>10812</v>
      </c>
      <c r="I1703">
        <v>6258</v>
      </c>
      <c r="J1703">
        <v>17070</v>
      </c>
      <c r="K1703" t="b">
        <f>TrafficData[[#This Row],[disposedChallan]]+TrafficData[[#This Row],[pendingChallan]]=TrafficData[[#This Row],[totalChallan]]</f>
        <v>1</v>
      </c>
      <c r="L1703" t="b">
        <f>TrafficData[[#This Row],[pendingAmount]]+TrafficData[[#This Row],[disposedAmount]]=TrafficData[[#This Row],[totalAmount]]</f>
        <v>1</v>
      </c>
      <c r="M1703" t="b">
        <f>TrafficData[[#This Row],[pendingCourt]]+TrafficData[[#This Row],[disposedCourt]]=TrafficData[[#This Row],[totalCourt]]</f>
        <v>1</v>
      </c>
      <c r="N1703" s="8" t="b">
        <f>AND(TrafficData[[#This Row],[disposedChallan]]&lt;=TrafficData[[#This Row],[totalChallan]],TrafficData[[#This Row],[pendingChallan]]&lt;=TrafficData[[#This Row],[totalChallan]])</f>
        <v>1</v>
      </c>
      <c r="O1703" s="8" t="b">
        <f>AND(TrafficData[[#This Row],[pendingAmount]]&lt;=TrafficData[[#This Row],[totalAmount]],TrafficData[[#This Row],[disposedAmount]]&lt;=TrafficData[[#This Row],[totalAmount]])</f>
        <v>1</v>
      </c>
      <c r="P1703" s="8" t="b">
        <f>AND(TrafficData[[#This Row],[pendingCourt]]&lt;=TrafficData[[#This Row],[totalCourt]],TrafficData[[#This Row],[disposedCourt]]&lt;=TrafficData[[#This Row],[totalCourt]])</f>
        <v>1</v>
      </c>
    </row>
    <row r="1704" spans="1:16">
      <c r="A1704" s="1">
        <v>43708</v>
      </c>
      <c r="B1704">
        <v>104223</v>
      </c>
      <c r="C1704">
        <v>73703</v>
      </c>
      <c r="D1704">
        <v>30520</v>
      </c>
      <c r="E1704">
        <v>17282802</v>
      </c>
      <c r="F1704">
        <v>51087442</v>
      </c>
      <c r="G1704">
        <v>68370244</v>
      </c>
      <c r="H1704">
        <v>9730</v>
      </c>
      <c r="I1704">
        <v>4392</v>
      </c>
      <c r="J1704">
        <v>14122</v>
      </c>
      <c r="K1704" t="b">
        <f>TrafficData[[#This Row],[disposedChallan]]+TrafficData[[#This Row],[pendingChallan]]=TrafficData[[#This Row],[totalChallan]]</f>
        <v>1</v>
      </c>
      <c r="L1704" t="b">
        <f>TrafficData[[#This Row],[pendingAmount]]+TrafficData[[#This Row],[disposedAmount]]=TrafficData[[#This Row],[totalAmount]]</f>
        <v>1</v>
      </c>
      <c r="M1704" t="b">
        <f>TrafficData[[#This Row],[pendingCourt]]+TrafficData[[#This Row],[disposedCourt]]=TrafficData[[#This Row],[totalCourt]]</f>
        <v>1</v>
      </c>
      <c r="N1704" s="8" t="b">
        <f>AND(TrafficData[[#This Row],[disposedChallan]]&lt;=TrafficData[[#This Row],[totalChallan]],TrafficData[[#This Row],[pendingChallan]]&lt;=TrafficData[[#This Row],[totalChallan]])</f>
        <v>1</v>
      </c>
      <c r="O1704" s="8" t="b">
        <f>AND(TrafficData[[#This Row],[pendingAmount]]&lt;=TrafficData[[#This Row],[totalAmount]],TrafficData[[#This Row],[disposedAmount]]&lt;=TrafficData[[#This Row],[totalAmount]])</f>
        <v>1</v>
      </c>
      <c r="P1704" s="8" t="b">
        <f>AND(TrafficData[[#This Row],[pendingCourt]]&lt;=TrafficData[[#This Row],[totalCourt]],TrafficData[[#This Row],[disposedCourt]]&lt;=TrafficData[[#This Row],[totalCourt]])</f>
        <v>1</v>
      </c>
    </row>
    <row r="1705" spans="1:16">
      <c r="A1705" s="1">
        <v>43709</v>
      </c>
      <c r="B1705">
        <v>70264</v>
      </c>
      <c r="C1705">
        <v>36492</v>
      </c>
      <c r="D1705">
        <v>33772</v>
      </c>
      <c r="E1705">
        <v>10555741</v>
      </c>
      <c r="F1705">
        <v>43986952</v>
      </c>
      <c r="G1705">
        <v>54542693</v>
      </c>
      <c r="H1705">
        <v>26633</v>
      </c>
      <c r="I1705">
        <v>6172</v>
      </c>
      <c r="J1705">
        <v>32805</v>
      </c>
      <c r="K1705" t="b">
        <f>TrafficData[[#This Row],[disposedChallan]]+TrafficData[[#This Row],[pendingChallan]]=TrafficData[[#This Row],[totalChallan]]</f>
        <v>1</v>
      </c>
      <c r="L1705" t="b">
        <f>TrafficData[[#This Row],[pendingAmount]]+TrafficData[[#This Row],[disposedAmount]]=TrafficData[[#This Row],[totalAmount]]</f>
        <v>1</v>
      </c>
      <c r="M1705" t="b">
        <f>TrafficData[[#This Row],[pendingCourt]]+TrafficData[[#This Row],[disposedCourt]]=TrafficData[[#This Row],[totalCourt]]</f>
        <v>1</v>
      </c>
      <c r="N1705" s="8" t="b">
        <f>AND(TrafficData[[#This Row],[disposedChallan]]&lt;=TrafficData[[#This Row],[totalChallan]],TrafficData[[#This Row],[pendingChallan]]&lt;=TrafficData[[#This Row],[totalChallan]])</f>
        <v>1</v>
      </c>
      <c r="O1705" s="8" t="b">
        <f>AND(TrafficData[[#This Row],[pendingAmount]]&lt;=TrafficData[[#This Row],[totalAmount]],TrafficData[[#This Row],[disposedAmount]]&lt;=TrafficData[[#This Row],[totalAmount]])</f>
        <v>1</v>
      </c>
      <c r="P1705" s="8" t="b">
        <f>AND(TrafficData[[#This Row],[pendingCourt]]&lt;=TrafficData[[#This Row],[totalCourt]],TrafficData[[#This Row],[disposedCourt]]&lt;=TrafficData[[#This Row],[totalCourt]])</f>
        <v>1</v>
      </c>
    </row>
    <row r="1706" spans="1:16">
      <c r="A1706" s="1">
        <v>43710</v>
      </c>
      <c r="B1706">
        <v>73830</v>
      </c>
      <c r="C1706">
        <v>36856</v>
      </c>
      <c r="D1706">
        <v>36974</v>
      </c>
      <c r="E1706">
        <v>14446912</v>
      </c>
      <c r="F1706">
        <v>52419227</v>
      </c>
      <c r="G1706">
        <v>66866139</v>
      </c>
      <c r="H1706">
        <v>31278</v>
      </c>
      <c r="I1706">
        <v>8009</v>
      </c>
      <c r="J1706">
        <v>39287</v>
      </c>
      <c r="K1706" t="b">
        <f>TrafficData[[#This Row],[disposedChallan]]+TrafficData[[#This Row],[pendingChallan]]=TrafficData[[#This Row],[totalChallan]]</f>
        <v>1</v>
      </c>
      <c r="L1706" t="b">
        <f>TrafficData[[#This Row],[pendingAmount]]+TrafficData[[#This Row],[disposedAmount]]=TrafficData[[#This Row],[totalAmount]]</f>
        <v>1</v>
      </c>
      <c r="M1706" t="b">
        <f>TrafficData[[#This Row],[pendingCourt]]+TrafficData[[#This Row],[disposedCourt]]=TrafficData[[#This Row],[totalCourt]]</f>
        <v>1</v>
      </c>
      <c r="N1706" s="8" t="b">
        <f>AND(TrafficData[[#This Row],[disposedChallan]]&lt;=TrafficData[[#This Row],[totalChallan]],TrafficData[[#This Row],[pendingChallan]]&lt;=TrafficData[[#This Row],[totalChallan]])</f>
        <v>1</v>
      </c>
      <c r="O1706" s="8" t="b">
        <f>AND(TrafficData[[#This Row],[pendingAmount]]&lt;=TrafficData[[#This Row],[totalAmount]],TrafficData[[#This Row],[disposedAmount]]&lt;=TrafficData[[#This Row],[totalAmount]])</f>
        <v>1</v>
      </c>
      <c r="P1706" s="8" t="b">
        <f>AND(TrafficData[[#This Row],[pendingCourt]]&lt;=TrafficData[[#This Row],[totalCourt]],TrafficData[[#This Row],[disposedCourt]]&lt;=TrafficData[[#This Row],[totalCourt]])</f>
        <v>1</v>
      </c>
    </row>
    <row r="1707" spans="1:16">
      <c r="A1707" s="1">
        <v>43711</v>
      </c>
      <c r="B1707">
        <v>83429</v>
      </c>
      <c r="C1707">
        <v>41855</v>
      </c>
      <c r="D1707">
        <v>41574</v>
      </c>
      <c r="E1707">
        <v>17086235</v>
      </c>
      <c r="F1707">
        <v>58741166</v>
      </c>
      <c r="G1707">
        <v>75827401</v>
      </c>
      <c r="H1707">
        <v>34344</v>
      </c>
      <c r="I1707">
        <v>8474</v>
      </c>
      <c r="J1707">
        <v>42818</v>
      </c>
      <c r="K1707" t="b">
        <f>TrafficData[[#This Row],[disposedChallan]]+TrafficData[[#This Row],[pendingChallan]]=TrafficData[[#This Row],[totalChallan]]</f>
        <v>1</v>
      </c>
      <c r="L1707" t="b">
        <f>TrafficData[[#This Row],[pendingAmount]]+TrafficData[[#This Row],[disposedAmount]]=TrafficData[[#This Row],[totalAmount]]</f>
        <v>1</v>
      </c>
      <c r="M1707" t="b">
        <f>TrafficData[[#This Row],[pendingCourt]]+TrafficData[[#This Row],[disposedCourt]]=TrafficData[[#This Row],[totalCourt]]</f>
        <v>1</v>
      </c>
      <c r="N1707" s="8" t="b">
        <f>AND(TrafficData[[#This Row],[disposedChallan]]&lt;=TrafficData[[#This Row],[totalChallan]],TrafficData[[#This Row],[pendingChallan]]&lt;=TrafficData[[#This Row],[totalChallan]])</f>
        <v>1</v>
      </c>
      <c r="O1707" s="8" t="b">
        <f>AND(TrafficData[[#This Row],[pendingAmount]]&lt;=TrafficData[[#This Row],[totalAmount]],TrafficData[[#This Row],[disposedAmount]]&lt;=TrafficData[[#This Row],[totalAmount]])</f>
        <v>1</v>
      </c>
      <c r="P1707" s="8" t="b">
        <f>AND(TrafficData[[#This Row],[pendingCourt]]&lt;=TrafficData[[#This Row],[totalCourt]],TrafficData[[#This Row],[disposedCourt]]&lt;=TrafficData[[#This Row],[totalCourt]])</f>
        <v>1</v>
      </c>
    </row>
    <row r="1708" spans="1:16">
      <c r="A1708" s="1">
        <v>43712</v>
      </c>
      <c r="B1708">
        <v>82278</v>
      </c>
      <c r="C1708">
        <v>38030</v>
      </c>
      <c r="D1708">
        <v>44248</v>
      </c>
      <c r="E1708">
        <v>17453783</v>
      </c>
      <c r="F1708">
        <v>57277652</v>
      </c>
      <c r="G1708">
        <v>74731435</v>
      </c>
      <c r="H1708">
        <v>39181</v>
      </c>
      <c r="I1708">
        <v>8325</v>
      </c>
      <c r="J1708">
        <v>47506</v>
      </c>
      <c r="K1708" t="b">
        <f>TrafficData[[#This Row],[disposedChallan]]+TrafficData[[#This Row],[pendingChallan]]=TrafficData[[#This Row],[totalChallan]]</f>
        <v>1</v>
      </c>
      <c r="L1708" t="b">
        <f>TrafficData[[#This Row],[pendingAmount]]+TrafficData[[#This Row],[disposedAmount]]=TrafficData[[#This Row],[totalAmount]]</f>
        <v>1</v>
      </c>
      <c r="M1708" t="b">
        <f>TrafficData[[#This Row],[pendingCourt]]+TrafficData[[#This Row],[disposedCourt]]=TrafficData[[#This Row],[totalCourt]]</f>
        <v>1</v>
      </c>
      <c r="N1708" s="8" t="b">
        <f>AND(TrafficData[[#This Row],[disposedChallan]]&lt;=TrafficData[[#This Row],[totalChallan]],TrafficData[[#This Row],[pendingChallan]]&lt;=TrafficData[[#This Row],[totalChallan]])</f>
        <v>1</v>
      </c>
      <c r="O1708" s="8" t="b">
        <f>AND(TrafficData[[#This Row],[pendingAmount]]&lt;=TrafficData[[#This Row],[totalAmount]],TrafficData[[#This Row],[disposedAmount]]&lt;=TrafficData[[#This Row],[totalAmount]])</f>
        <v>1</v>
      </c>
      <c r="P1708" s="8" t="b">
        <f>AND(TrafficData[[#This Row],[pendingCourt]]&lt;=TrafficData[[#This Row],[totalCourt]],TrafficData[[#This Row],[disposedCourt]]&lt;=TrafficData[[#This Row],[totalCourt]])</f>
        <v>1</v>
      </c>
    </row>
    <row r="1709" spans="1:16">
      <c r="A1709" s="1">
        <v>43713</v>
      </c>
      <c r="B1709">
        <v>90140</v>
      </c>
      <c r="C1709">
        <v>41864</v>
      </c>
      <c r="D1709">
        <v>48276</v>
      </c>
      <c r="E1709">
        <v>21762494</v>
      </c>
      <c r="F1709">
        <v>64760087</v>
      </c>
      <c r="G1709">
        <v>86522581</v>
      </c>
      <c r="H1709">
        <v>41529</v>
      </c>
      <c r="I1709">
        <v>8278</v>
      </c>
      <c r="J1709">
        <v>49807</v>
      </c>
      <c r="K1709" t="b">
        <f>TrafficData[[#This Row],[disposedChallan]]+TrafficData[[#This Row],[pendingChallan]]=TrafficData[[#This Row],[totalChallan]]</f>
        <v>1</v>
      </c>
      <c r="L1709" t="b">
        <f>TrafficData[[#This Row],[pendingAmount]]+TrafficData[[#This Row],[disposedAmount]]=TrafficData[[#This Row],[totalAmount]]</f>
        <v>1</v>
      </c>
      <c r="M1709" t="b">
        <f>TrafficData[[#This Row],[pendingCourt]]+TrafficData[[#This Row],[disposedCourt]]=TrafficData[[#This Row],[totalCourt]]</f>
        <v>1</v>
      </c>
      <c r="N1709" s="8" t="b">
        <f>AND(TrafficData[[#This Row],[disposedChallan]]&lt;=TrafficData[[#This Row],[totalChallan]],TrafficData[[#This Row],[pendingChallan]]&lt;=TrafficData[[#This Row],[totalChallan]])</f>
        <v>1</v>
      </c>
      <c r="O1709" s="8" t="b">
        <f>AND(TrafficData[[#This Row],[pendingAmount]]&lt;=TrafficData[[#This Row],[totalAmount]],TrafficData[[#This Row],[disposedAmount]]&lt;=TrafficData[[#This Row],[totalAmount]])</f>
        <v>1</v>
      </c>
      <c r="P1709" s="8" t="b">
        <f>AND(TrafficData[[#This Row],[pendingCourt]]&lt;=TrafficData[[#This Row],[totalCourt]],TrafficData[[#This Row],[disposedCourt]]&lt;=TrafficData[[#This Row],[totalCourt]])</f>
        <v>1</v>
      </c>
    </row>
    <row r="1710" spans="1:16">
      <c r="A1710" s="1">
        <v>43714</v>
      </c>
      <c r="B1710">
        <v>82552</v>
      </c>
      <c r="C1710">
        <v>39083</v>
      </c>
      <c r="D1710">
        <v>43469</v>
      </c>
      <c r="E1710">
        <v>19288616</v>
      </c>
      <c r="F1710">
        <v>55700340</v>
      </c>
      <c r="G1710">
        <v>74988956</v>
      </c>
      <c r="H1710">
        <v>37114</v>
      </c>
      <c r="I1710">
        <v>7762</v>
      </c>
      <c r="J1710">
        <v>44876</v>
      </c>
      <c r="K1710" t="b">
        <f>TrafficData[[#This Row],[disposedChallan]]+TrafficData[[#This Row],[pendingChallan]]=TrafficData[[#This Row],[totalChallan]]</f>
        <v>1</v>
      </c>
      <c r="L1710" t="b">
        <f>TrafficData[[#This Row],[pendingAmount]]+TrafficData[[#This Row],[disposedAmount]]=TrafficData[[#This Row],[totalAmount]]</f>
        <v>1</v>
      </c>
      <c r="M1710" t="b">
        <f>TrafficData[[#This Row],[pendingCourt]]+TrafficData[[#This Row],[disposedCourt]]=TrafficData[[#This Row],[totalCourt]]</f>
        <v>1</v>
      </c>
      <c r="N1710" s="8" t="b">
        <f>AND(TrafficData[[#This Row],[disposedChallan]]&lt;=TrafficData[[#This Row],[totalChallan]],TrafficData[[#This Row],[pendingChallan]]&lt;=TrafficData[[#This Row],[totalChallan]])</f>
        <v>1</v>
      </c>
      <c r="O1710" s="8" t="b">
        <f>AND(TrafficData[[#This Row],[pendingAmount]]&lt;=TrafficData[[#This Row],[totalAmount]],TrafficData[[#This Row],[disposedAmount]]&lt;=TrafficData[[#This Row],[totalAmount]])</f>
        <v>1</v>
      </c>
      <c r="P1710" s="8" t="b">
        <f>AND(TrafficData[[#This Row],[pendingCourt]]&lt;=TrafficData[[#This Row],[totalCourt]],TrafficData[[#This Row],[disposedCourt]]&lt;=TrafficData[[#This Row],[totalCourt]])</f>
        <v>1</v>
      </c>
    </row>
    <row r="1711" spans="1:16">
      <c r="A1711" s="1">
        <v>43715</v>
      </c>
      <c r="B1711">
        <v>74925</v>
      </c>
      <c r="C1711">
        <v>38946</v>
      </c>
      <c r="D1711">
        <v>35979</v>
      </c>
      <c r="E1711">
        <v>14411980</v>
      </c>
      <c r="F1711">
        <v>57827892</v>
      </c>
      <c r="G1711">
        <v>72239872</v>
      </c>
      <c r="H1711">
        <v>29284</v>
      </c>
      <c r="I1711">
        <v>8136</v>
      </c>
      <c r="J1711">
        <v>37420</v>
      </c>
      <c r="K1711" t="b">
        <f>TrafficData[[#This Row],[disposedChallan]]+TrafficData[[#This Row],[pendingChallan]]=TrafficData[[#This Row],[totalChallan]]</f>
        <v>1</v>
      </c>
      <c r="L1711" t="b">
        <f>TrafficData[[#This Row],[pendingAmount]]+TrafficData[[#This Row],[disposedAmount]]=TrafficData[[#This Row],[totalAmount]]</f>
        <v>1</v>
      </c>
      <c r="M1711" t="b">
        <f>TrafficData[[#This Row],[pendingCourt]]+TrafficData[[#This Row],[disposedCourt]]=TrafficData[[#This Row],[totalCourt]]</f>
        <v>1</v>
      </c>
      <c r="N1711" s="8" t="b">
        <f>AND(TrafficData[[#This Row],[disposedChallan]]&lt;=TrafficData[[#This Row],[totalChallan]],TrafficData[[#This Row],[pendingChallan]]&lt;=TrafficData[[#This Row],[totalChallan]])</f>
        <v>1</v>
      </c>
      <c r="O1711" s="8" t="b">
        <f>AND(TrafficData[[#This Row],[pendingAmount]]&lt;=TrafficData[[#This Row],[totalAmount]],TrafficData[[#This Row],[disposedAmount]]&lt;=TrafficData[[#This Row],[totalAmount]])</f>
        <v>1</v>
      </c>
      <c r="P1711" s="8" t="b">
        <f>AND(TrafficData[[#This Row],[pendingCourt]]&lt;=TrafficData[[#This Row],[totalCourt]],TrafficData[[#This Row],[disposedCourt]]&lt;=TrafficData[[#This Row],[totalCourt]])</f>
        <v>1</v>
      </c>
    </row>
    <row r="1712" spans="1:16">
      <c r="A1712" s="1">
        <v>43716</v>
      </c>
      <c r="B1712">
        <v>60917</v>
      </c>
      <c r="C1712">
        <v>29267</v>
      </c>
      <c r="D1712">
        <v>31650</v>
      </c>
      <c r="E1712">
        <v>9033470</v>
      </c>
      <c r="F1712">
        <v>39752963</v>
      </c>
      <c r="G1712">
        <v>48786433</v>
      </c>
      <c r="H1712">
        <v>26922</v>
      </c>
      <c r="I1712">
        <v>7027</v>
      </c>
      <c r="J1712">
        <v>33949</v>
      </c>
      <c r="K1712" t="b">
        <f>TrafficData[[#This Row],[disposedChallan]]+TrafficData[[#This Row],[pendingChallan]]=TrafficData[[#This Row],[totalChallan]]</f>
        <v>1</v>
      </c>
      <c r="L1712" t="b">
        <f>TrafficData[[#This Row],[pendingAmount]]+TrafficData[[#This Row],[disposedAmount]]=TrafficData[[#This Row],[totalAmount]]</f>
        <v>1</v>
      </c>
      <c r="M1712" t="b">
        <f>TrafficData[[#This Row],[pendingCourt]]+TrafficData[[#This Row],[disposedCourt]]=TrafficData[[#This Row],[totalCourt]]</f>
        <v>1</v>
      </c>
      <c r="N1712" s="8" t="b">
        <f>AND(TrafficData[[#This Row],[disposedChallan]]&lt;=TrafficData[[#This Row],[totalChallan]],TrafficData[[#This Row],[pendingChallan]]&lt;=TrafficData[[#This Row],[totalChallan]])</f>
        <v>1</v>
      </c>
      <c r="O1712" s="8" t="b">
        <f>AND(TrafficData[[#This Row],[pendingAmount]]&lt;=TrafficData[[#This Row],[totalAmount]],TrafficData[[#This Row],[disposedAmount]]&lt;=TrafficData[[#This Row],[totalAmount]])</f>
        <v>1</v>
      </c>
      <c r="P1712" s="8" t="b">
        <f>AND(TrafficData[[#This Row],[pendingCourt]]&lt;=TrafficData[[#This Row],[totalCourt]],TrafficData[[#This Row],[disposedCourt]]&lt;=TrafficData[[#This Row],[totalCourt]])</f>
        <v>1</v>
      </c>
    </row>
    <row r="1713" spans="1:16">
      <c r="A1713" s="1">
        <v>43717</v>
      </c>
      <c r="B1713">
        <v>74239</v>
      </c>
      <c r="C1713">
        <v>39305</v>
      </c>
      <c r="D1713">
        <v>34934</v>
      </c>
      <c r="E1713">
        <v>13035937</v>
      </c>
      <c r="F1713">
        <v>52652149</v>
      </c>
      <c r="G1713">
        <v>65688086</v>
      </c>
      <c r="H1713">
        <v>28201</v>
      </c>
      <c r="I1713">
        <v>8434</v>
      </c>
      <c r="J1713">
        <v>36635</v>
      </c>
      <c r="K1713" t="b">
        <f>TrafficData[[#This Row],[disposedChallan]]+TrafficData[[#This Row],[pendingChallan]]=TrafficData[[#This Row],[totalChallan]]</f>
        <v>1</v>
      </c>
      <c r="L1713" t="b">
        <f>TrafficData[[#This Row],[pendingAmount]]+TrafficData[[#This Row],[disposedAmount]]=TrafficData[[#This Row],[totalAmount]]</f>
        <v>1</v>
      </c>
      <c r="M1713" t="b">
        <f>TrafficData[[#This Row],[pendingCourt]]+TrafficData[[#This Row],[disposedCourt]]=TrafficData[[#This Row],[totalCourt]]</f>
        <v>1</v>
      </c>
      <c r="N1713" s="8" t="b">
        <f>AND(TrafficData[[#This Row],[disposedChallan]]&lt;=TrafficData[[#This Row],[totalChallan]],TrafficData[[#This Row],[pendingChallan]]&lt;=TrafficData[[#This Row],[totalChallan]])</f>
        <v>1</v>
      </c>
      <c r="O1713" s="8" t="b">
        <f>AND(TrafficData[[#This Row],[pendingAmount]]&lt;=TrafficData[[#This Row],[totalAmount]],TrafficData[[#This Row],[disposedAmount]]&lt;=TrafficData[[#This Row],[totalAmount]])</f>
        <v>1</v>
      </c>
      <c r="P1713" s="8" t="b">
        <f>AND(TrafficData[[#This Row],[pendingCourt]]&lt;=TrafficData[[#This Row],[totalCourt]],TrafficData[[#This Row],[disposedCourt]]&lt;=TrafficData[[#This Row],[totalCourt]])</f>
        <v>1</v>
      </c>
    </row>
    <row r="1714" spans="1:16">
      <c r="A1714" s="1">
        <v>43718</v>
      </c>
      <c r="B1714">
        <v>64685</v>
      </c>
      <c r="C1714">
        <v>32889</v>
      </c>
      <c r="D1714">
        <v>31796</v>
      </c>
      <c r="E1714">
        <v>10466612</v>
      </c>
      <c r="F1714">
        <v>44511244</v>
      </c>
      <c r="G1714">
        <v>54977856</v>
      </c>
      <c r="H1714">
        <v>25761</v>
      </c>
      <c r="I1714">
        <v>6723</v>
      </c>
      <c r="J1714">
        <v>32484</v>
      </c>
      <c r="K1714" t="b">
        <f>TrafficData[[#This Row],[disposedChallan]]+TrafficData[[#This Row],[pendingChallan]]=TrafficData[[#This Row],[totalChallan]]</f>
        <v>1</v>
      </c>
      <c r="L1714" t="b">
        <f>TrafficData[[#This Row],[pendingAmount]]+TrafficData[[#This Row],[disposedAmount]]=TrafficData[[#This Row],[totalAmount]]</f>
        <v>1</v>
      </c>
      <c r="M1714" t="b">
        <f>TrafficData[[#This Row],[pendingCourt]]+TrafficData[[#This Row],[disposedCourt]]=TrafficData[[#This Row],[totalCourt]]</f>
        <v>1</v>
      </c>
      <c r="N1714" s="8" t="b">
        <f>AND(TrafficData[[#This Row],[disposedChallan]]&lt;=TrafficData[[#This Row],[totalChallan]],TrafficData[[#This Row],[pendingChallan]]&lt;=TrafficData[[#This Row],[totalChallan]])</f>
        <v>1</v>
      </c>
      <c r="O1714" s="8" t="b">
        <f>AND(TrafficData[[#This Row],[pendingAmount]]&lt;=TrafficData[[#This Row],[totalAmount]],TrafficData[[#This Row],[disposedAmount]]&lt;=TrafficData[[#This Row],[totalAmount]])</f>
        <v>1</v>
      </c>
      <c r="P1714" s="8" t="b">
        <f>AND(TrafficData[[#This Row],[pendingCourt]]&lt;=TrafficData[[#This Row],[totalCourt]],TrafficData[[#This Row],[disposedCourt]]&lt;=TrafficData[[#This Row],[totalCourt]])</f>
        <v>1</v>
      </c>
    </row>
    <row r="1715" spans="1:16">
      <c r="A1715" s="1">
        <v>43719</v>
      </c>
      <c r="B1715">
        <v>69783</v>
      </c>
      <c r="C1715">
        <v>36231</v>
      </c>
      <c r="D1715">
        <v>33552</v>
      </c>
      <c r="E1715">
        <v>18214309</v>
      </c>
      <c r="F1715">
        <v>54968465</v>
      </c>
      <c r="G1715">
        <v>73182774</v>
      </c>
      <c r="H1715">
        <v>27928</v>
      </c>
      <c r="I1715">
        <v>9173</v>
      </c>
      <c r="J1715">
        <v>37101</v>
      </c>
      <c r="K1715" t="b">
        <f>TrafficData[[#This Row],[disposedChallan]]+TrafficData[[#This Row],[pendingChallan]]=TrafficData[[#This Row],[totalChallan]]</f>
        <v>1</v>
      </c>
      <c r="L1715" t="b">
        <f>TrafficData[[#This Row],[pendingAmount]]+TrafficData[[#This Row],[disposedAmount]]=TrafficData[[#This Row],[totalAmount]]</f>
        <v>1</v>
      </c>
      <c r="M1715" t="b">
        <f>TrafficData[[#This Row],[pendingCourt]]+TrafficData[[#This Row],[disposedCourt]]=TrafficData[[#This Row],[totalCourt]]</f>
        <v>1</v>
      </c>
      <c r="N1715" s="8" t="b">
        <f>AND(TrafficData[[#This Row],[disposedChallan]]&lt;=TrafficData[[#This Row],[totalChallan]],TrafficData[[#This Row],[pendingChallan]]&lt;=TrafficData[[#This Row],[totalChallan]])</f>
        <v>1</v>
      </c>
      <c r="O1715" s="8" t="b">
        <f>AND(TrafficData[[#This Row],[pendingAmount]]&lt;=TrafficData[[#This Row],[totalAmount]],TrafficData[[#This Row],[disposedAmount]]&lt;=TrafficData[[#This Row],[totalAmount]])</f>
        <v>1</v>
      </c>
      <c r="P1715" s="8" t="b">
        <f>AND(TrafficData[[#This Row],[pendingCourt]]&lt;=TrafficData[[#This Row],[totalCourt]],TrafficData[[#This Row],[disposedCourt]]&lt;=TrafficData[[#This Row],[totalCourt]])</f>
        <v>1</v>
      </c>
    </row>
    <row r="1716" spans="1:16">
      <c r="A1716" s="1">
        <v>43720</v>
      </c>
      <c r="B1716">
        <v>67875</v>
      </c>
      <c r="C1716">
        <v>32893</v>
      </c>
      <c r="D1716">
        <v>34982</v>
      </c>
      <c r="E1716">
        <v>14279090</v>
      </c>
      <c r="F1716">
        <v>58381077</v>
      </c>
      <c r="G1716">
        <v>72660167</v>
      </c>
      <c r="H1716">
        <v>28754</v>
      </c>
      <c r="I1716">
        <v>7624</v>
      </c>
      <c r="J1716">
        <v>36378</v>
      </c>
      <c r="K1716" t="b">
        <f>TrafficData[[#This Row],[disposedChallan]]+TrafficData[[#This Row],[pendingChallan]]=TrafficData[[#This Row],[totalChallan]]</f>
        <v>1</v>
      </c>
      <c r="L1716" t="b">
        <f>TrafficData[[#This Row],[pendingAmount]]+TrafficData[[#This Row],[disposedAmount]]=TrafficData[[#This Row],[totalAmount]]</f>
        <v>1</v>
      </c>
      <c r="M1716" t="b">
        <f>TrafficData[[#This Row],[pendingCourt]]+TrafficData[[#This Row],[disposedCourt]]=TrafficData[[#This Row],[totalCourt]]</f>
        <v>1</v>
      </c>
      <c r="N1716" s="8" t="b">
        <f>AND(TrafficData[[#This Row],[disposedChallan]]&lt;=TrafficData[[#This Row],[totalChallan]],TrafficData[[#This Row],[pendingChallan]]&lt;=TrafficData[[#This Row],[totalChallan]])</f>
        <v>1</v>
      </c>
      <c r="O1716" s="8" t="b">
        <f>AND(TrafficData[[#This Row],[pendingAmount]]&lt;=TrafficData[[#This Row],[totalAmount]],TrafficData[[#This Row],[disposedAmount]]&lt;=TrafficData[[#This Row],[totalAmount]])</f>
        <v>1</v>
      </c>
      <c r="P1716" s="8" t="b">
        <f>AND(TrafficData[[#This Row],[pendingCourt]]&lt;=TrafficData[[#This Row],[totalCourt]],TrafficData[[#This Row],[disposedCourt]]&lt;=TrafficData[[#This Row],[totalCourt]])</f>
        <v>1</v>
      </c>
    </row>
    <row r="1717" spans="1:16">
      <c r="A1717" s="1">
        <v>43721</v>
      </c>
      <c r="B1717">
        <v>73085</v>
      </c>
      <c r="C1717">
        <v>36272</v>
      </c>
      <c r="D1717">
        <v>36813</v>
      </c>
      <c r="E1717">
        <v>17096194</v>
      </c>
      <c r="F1717">
        <v>54325503</v>
      </c>
      <c r="G1717">
        <v>71421697</v>
      </c>
      <c r="H1717">
        <v>30458</v>
      </c>
      <c r="I1717">
        <v>8396</v>
      </c>
      <c r="J1717">
        <v>38854</v>
      </c>
      <c r="K1717" t="b">
        <f>TrafficData[[#This Row],[disposedChallan]]+TrafficData[[#This Row],[pendingChallan]]=TrafficData[[#This Row],[totalChallan]]</f>
        <v>1</v>
      </c>
      <c r="L1717" t="b">
        <f>TrafficData[[#This Row],[pendingAmount]]+TrafficData[[#This Row],[disposedAmount]]=TrafficData[[#This Row],[totalAmount]]</f>
        <v>1</v>
      </c>
      <c r="M1717" t="b">
        <f>TrafficData[[#This Row],[pendingCourt]]+TrafficData[[#This Row],[disposedCourt]]=TrafficData[[#This Row],[totalCourt]]</f>
        <v>1</v>
      </c>
      <c r="N1717" s="8" t="b">
        <f>AND(TrafficData[[#This Row],[disposedChallan]]&lt;=TrafficData[[#This Row],[totalChallan]],TrafficData[[#This Row],[pendingChallan]]&lt;=TrafficData[[#This Row],[totalChallan]])</f>
        <v>1</v>
      </c>
      <c r="O1717" s="8" t="b">
        <f>AND(TrafficData[[#This Row],[pendingAmount]]&lt;=TrafficData[[#This Row],[totalAmount]],TrafficData[[#This Row],[disposedAmount]]&lt;=TrafficData[[#This Row],[totalAmount]])</f>
        <v>1</v>
      </c>
      <c r="P1717" s="8" t="b">
        <f>AND(TrafficData[[#This Row],[pendingCourt]]&lt;=TrafficData[[#This Row],[totalCourt]],TrafficData[[#This Row],[disposedCourt]]&lt;=TrafficData[[#This Row],[totalCourt]])</f>
        <v>1</v>
      </c>
    </row>
    <row r="1718" spans="1:16">
      <c r="A1718" s="1">
        <v>43722</v>
      </c>
      <c r="B1718">
        <v>76206</v>
      </c>
      <c r="C1718">
        <v>40290</v>
      </c>
      <c r="D1718">
        <v>35916</v>
      </c>
      <c r="E1718">
        <v>12149670</v>
      </c>
      <c r="F1718">
        <v>50465812</v>
      </c>
      <c r="G1718">
        <v>62615482</v>
      </c>
      <c r="H1718">
        <v>27237</v>
      </c>
      <c r="I1718">
        <v>8223</v>
      </c>
      <c r="J1718">
        <v>35460</v>
      </c>
      <c r="K1718" t="b">
        <f>TrafficData[[#This Row],[disposedChallan]]+TrafficData[[#This Row],[pendingChallan]]=TrafficData[[#This Row],[totalChallan]]</f>
        <v>1</v>
      </c>
      <c r="L1718" t="b">
        <f>TrafficData[[#This Row],[pendingAmount]]+TrafficData[[#This Row],[disposedAmount]]=TrafficData[[#This Row],[totalAmount]]</f>
        <v>1</v>
      </c>
      <c r="M1718" t="b">
        <f>TrafficData[[#This Row],[pendingCourt]]+TrafficData[[#This Row],[disposedCourt]]=TrafficData[[#This Row],[totalCourt]]</f>
        <v>1</v>
      </c>
      <c r="N1718" s="8" t="b">
        <f>AND(TrafficData[[#This Row],[disposedChallan]]&lt;=TrafficData[[#This Row],[totalChallan]],TrafficData[[#This Row],[pendingChallan]]&lt;=TrafficData[[#This Row],[totalChallan]])</f>
        <v>1</v>
      </c>
      <c r="O1718" s="8" t="b">
        <f>AND(TrafficData[[#This Row],[pendingAmount]]&lt;=TrafficData[[#This Row],[totalAmount]],TrafficData[[#This Row],[disposedAmount]]&lt;=TrafficData[[#This Row],[totalAmount]])</f>
        <v>1</v>
      </c>
      <c r="P1718" s="8" t="b">
        <f>AND(TrafficData[[#This Row],[pendingCourt]]&lt;=TrafficData[[#This Row],[totalCourt]],TrafficData[[#This Row],[disposedCourt]]&lt;=TrafficData[[#This Row],[totalCourt]])</f>
        <v>1</v>
      </c>
    </row>
    <row r="1719" spans="1:16">
      <c r="A1719" s="1">
        <v>43723</v>
      </c>
      <c r="B1719">
        <v>66391</v>
      </c>
      <c r="C1719">
        <v>32999</v>
      </c>
      <c r="D1719">
        <v>33392</v>
      </c>
      <c r="E1719">
        <v>8979374</v>
      </c>
      <c r="F1719">
        <v>38389594</v>
      </c>
      <c r="G1719">
        <v>47368968</v>
      </c>
      <c r="H1719">
        <v>26083</v>
      </c>
      <c r="I1719">
        <v>7982</v>
      </c>
      <c r="J1719">
        <v>34065</v>
      </c>
      <c r="K1719" t="b">
        <f>TrafficData[[#This Row],[disposedChallan]]+TrafficData[[#This Row],[pendingChallan]]=TrafficData[[#This Row],[totalChallan]]</f>
        <v>1</v>
      </c>
      <c r="L1719" t="b">
        <f>TrafficData[[#This Row],[pendingAmount]]+TrafficData[[#This Row],[disposedAmount]]=TrafficData[[#This Row],[totalAmount]]</f>
        <v>1</v>
      </c>
      <c r="M1719" t="b">
        <f>TrafficData[[#This Row],[pendingCourt]]+TrafficData[[#This Row],[disposedCourt]]=TrafficData[[#This Row],[totalCourt]]</f>
        <v>1</v>
      </c>
      <c r="N1719" s="8" t="b">
        <f>AND(TrafficData[[#This Row],[disposedChallan]]&lt;=TrafficData[[#This Row],[totalChallan]],TrafficData[[#This Row],[pendingChallan]]&lt;=TrafficData[[#This Row],[totalChallan]])</f>
        <v>1</v>
      </c>
      <c r="O1719" s="8" t="b">
        <f>AND(TrafficData[[#This Row],[pendingAmount]]&lt;=TrafficData[[#This Row],[totalAmount]],TrafficData[[#This Row],[disposedAmount]]&lt;=TrafficData[[#This Row],[totalAmount]])</f>
        <v>1</v>
      </c>
      <c r="P1719" s="8" t="b">
        <f>AND(TrafficData[[#This Row],[pendingCourt]]&lt;=TrafficData[[#This Row],[totalCourt]],TrafficData[[#This Row],[disposedCourt]]&lt;=TrafficData[[#This Row],[totalCourt]])</f>
        <v>1</v>
      </c>
    </row>
    <row r="1720" spans="1:16">
      <c r="A1720" s="1">
        <v>43724</v>
      </c>
      <c r="B1720">
        <v>60214</v>
      </c>
      <c r="C1720">
        <v>30919</v>
      </c>
      <c r="D1720">
        <v>29295</v>
      </c>
      <c r="E1720">
        <v>10638041</v>
      </c>
      <c r="F1720">
        <v>51316590</v>
      </c>
      <c r="G1720">
        <v>61954631</v>
      </c>
      <c r="H1720">
        <v>23880</v>
      </c>
      <c r="I1720">
        <v>8698</v>
      </c>
      <c r="J1720">
        <v>32578</v>
      </c>
      <c r="K1720" t="b">
        <f>TrafficData[[#This Row],[disposedChallan]]+TrafficData[[#This Row],[pendingChallan]]=TrafficData[[#This Row],[totalChallan]]</f>
        <v>1</v>
      </c>
      <c r="L1720" t="b">
        <f>TrafficData[[#This Row],[pendingAmount]]+TrafficData[[#This Row],[disposedAmount]]=TrafficData[[#This Row],[totalAmount]]</f>
        <v>1</v>
      </c>
      <c r="M1720" t="b">
        <f>TrafficData[[#This Row],[pendingCourt]]+TrafficData[[#This Row],[disposedCourt]]=TrafficData[[#This Row],[totalCourt]]</f>
        <v>1</v>
      </c>
      <c r="N1720" s="8" t="b">
        <f>AND(TrafficData[[#This Row],[disposedChallan]]&lt;=TrafficData[[#This Row],[totalChallan]],TrafficData[[#This Row],[pendingChallan]]&lt;=TrafficData[[#This Row],[totalChallan]])</f>
        <v>1</v>
      </c>
      <c r="O1720" s="8" t="b">
        <f>AND(TrafficData[[#This Row],[pendingAmount]]&lt;=TrafficData[[#This Row],[totalAmount]],TrafficData[[#This Row],[disposedAmount]]&lt;=TrafficData[[#This Row],[totalAmount]])</f>
        <v>1</v>
      </c>
      <c r="P1720" s="8" t="b">
        <f>AND(TrafficData[[#This Row],[pendingCourt]]&lt;=TrafficData[[#This Row],[totalCourt]],TrafficData[[#This Row],[disposedCourt]]&lt;=TrafficData[[#This Row],[totalCourt]])</f>
        <v>1</v>
      </c>
    </row>
    <row r="1721" spans="1:16">
      <c r="A1721" s="1">
        <v>43725</v>
      </c>
      <c r="B1721">
        <v>62590</v>
      </c>
      <c r="C1721">
        <v>33467</v>
      </c>
      <c r="D1721">
        <v>29123</v>
      </c>
      <c r="E1721">
        <v>10429480</v>
      </c>
      <c r="F1721">
        <v>56186042</v>
      </c>
      <c r="G1721">
        <v>66615522</v>
      </c>
      <c r="H1721">
        <v>22438</v>
      </c>
      <c r="I1721">
        <v>8805</v>
      </c>
      <c r="J1721">
        <v>31243</v>
      </c>
      <c r="K1721" t="b">
        <f>TrafficData[[#This Row],[disposedChallan]]+TrafficData[[#This Row],[pendingChallan]]=TrafficData[[#This Row],[totalChallan]]</f>
        <v>1</v>
      </c>
      <c r="L1721" t="b">
        <f>TrafficData[[#This Row],[pendingAmount]]+TrafficData[[#This Row],[disposedAmount]]=TrafficData[[#This Row],[totalAmount]]</f>
        <v>1</v>
      </c>
      <c r="M1721" t="b">
        <f>TrafficData[[#This Row],[pendingCourt]]+TrafficData[[#This Row],[disposedCourt]]=TrafficData[[#This Row],[totalCourt]]</f>
        <v>1</v>
      </c>
      <c r="N1721" s="8" t="b">
        <f>AND(TrafficData[[#This Row],[disposedChallan]]&lt;=TrafficData[[#This Row],[totalChallan]],TrafficData[[#This Row],[pendingChallan]]&lt;=TrafficData[[#This Row],[totalChallan]])</f>
        <v>1</v>
      </c>
      <c r="O1721" s="8" t="b">
        <f>AND(TrafficData[[#This Row],[pendingAmount]]&lt;=TrafficData[[#This Row],[totalAmount]],TrafficData[[#This Row],[disposedAmount]]&lt;=TrafficData[[#This Row],[totalAmount]])</f>
        <v>1</v>
      </c>
      <c r="P1721" s="8" t="b">
        <f>AND(TrafficData[[#This Row],[pendingCourt]]&lt;=TrafficData[[#This Row],[totalCourt]],TrafficData[[#This Row],[disposedCourt]]&lt;=TrafficData[[#This Row],[totalCourt]])</f>
        <v>1</v>
      </c>
    </row>
    <row r="1722" spans="1:16">
      <c r="A1722" s="1">
        <v>43726</v>
      </c>
      <c r="B1722">
        <v>70333</v>
      </c>
      <c r="C1722">
        <v>36844</v>
      </c>
      <c r="D1722">
        <v>33489</v>
      </c>
      <c r="E1722">
        <v>15568927</v>
      </c>
      <c r="F1722">
        <v>51988509</v>
      </c>
      <c r="G1722">
        <v>67557436</v>
      </c>
      <c r="H1722">
        <v>25982</v>
      </c>
      <c r="I1722">
        <v>8759</v>
      </c>
      <c r="J1722">
        <v>34741</v>
      </c>
      <c r="K1722" t="b">
        <f>TrafficData[[#This Row],[disposedChallan]]+TrafficData[[#This Row],[pendingChallan]]=TrafficData[[#This Row],[totalChallan]]</f>
        <v>1</v>
      </c>
      <c r="L1722" t="b">
        <f>TrafficData[[#This Row],[pendingAmount]]+TrafficData[[#This Row],[disposedAmount]]=TrafficData[[#This Row],[totalAmount]]</f>
        <v>1</v>
      </c>
      <c r="M1722" t="b">
        <f>TrafficData[[#This Row],[pendingCourt]]+TrafficData[[#This Row],[disposedCourt]]=TrafficData[[#This Row],[totalCourt]]</f>
        <v>1</v>
      </c>
      <c r="N1722" s="8" t="b">
        <f>AND(TrafficData[[#This Row],[disposedChallan]]&lt;=TrafficData[[#This Row],[totalChallan]],TrafficData[[#This Row],[pendingChallan]]&lt;=TrafficData[[#This Row],[totalChallan]])</f>
        <v>1</v>
      </c>
      <c r="O1722" s="8" t="b">
        <f>AND(TrafficData[[#This Row],[pendingAmount]]&lt;=TrafficData[[#This Row],[totalAmount]],TrafficData[[#This Row],[disposedAmount]]&lt;=TrafficData[[#This Row],[totalAmount]])</f>
        <v>1</v>
      </c>
      <c r="P1722" s="8" t="b">
        <f>AND(TrafficData[[#This Row],[pendingCourt]]&lt;=TrafficData[[#This Row],[totalCourt]],TrafficData[[#This Row],[disposedCourt]]&lt;=TrafficData[[#This Row],[totalCourt]])</f>
        <v>1</v>
      </c>
    </row>
    <row r="1723" spans="1:16">
      <c r="A1723" s="1">
        <v>43727</v>
      </c>
      <c r="B1723">
        <v>72533</v>
      </c>
      <c r="C1723">
        <v>36050</v>
      </c>
      <c r="D1723">
        <v>36483</v>
      </c>
      <c r="E1723">
        <v>16435711</v>
      </c>
      <c r="F1723">
        <v>56017567</v>
      </c>
      <c r="G1723">
        <v>72453278</v>
      </c>
      <c r="H1723">
        <v>29272</v>
      </c>
      <c r="I1723">
        <v>8658</v>
      </c>
      <c r="J1723">
        <v>37930</v>
      </c>
      <c r="K1723" t="b">
        <f>TrafficData[[#This Row],[disposedChallan]]+TrafficData[[#This Row],[pendingChallan]]=TrafficData[[#This Row],[totalChallan]]</f>
        <v>1</v>
      </c>
      <c r="L1723" t="b">
        <f>TrafficData[[#This Row],[pendingAmount]]+TrafficData[[#This Row],[disposedAmount]]=TrafficData[[#This Row],[totalAmount]]</f>
        <v>1</v>
      </c>
      <c r="M1723" t="b">
        <f>TrafficData[[#This Row],[pendingCourt]]+TrafficData[[#This Row],[disposedCourt]]=TrafficData[[#This Row],[totalCourt]]</f>
        <v>1</v>
      </c>
      <c r="N1723" s="8" t="b">
        <f>AND(TrafficData[[#This Row],[disposedChallan]]&lt;=TrafficData[[#This Row],[totalChallan]],TrafficData[[#This Row],[pendingChallan]]&lt;=TrafficData[[#This Row],[totalChallan]])</f>
        <v>1</v>
      </c>
      <c r="O1723" s="8" t="b">
        <f>AND(TrafficData[[#This Row],[pendingAmount]]&lt;=TrafficData[[#This Row],[totalAmount]],TrafficData[[#This Row],[disposedAmount]]&lt;=TrafficData[[#This Row],[totalAmount]])</f>
        <v>1</v>
      </c>
      <c r="P1723" s="8" t="b">
        <f>AND(TrafficData[[#This Row],[pendingCourt]]&lt;=TrafficData[[#This Row],[totalCourt]],TrafficData[[#This Row],[disposedCourt]]&lt;=TrafficData[[#This Row],[totalCourt]])</f>
        <v>1</v>
      </c>
    </row>
    <row r="1724" spans="1:16">
      <c r="A1724" s="1">
        <v>43728</v>
      </c>
      <c r="B1724">
        <v>72847</v>
      </c>
      <c r="C1724">
        <v>38783</v>
      </c>
      <c r="D1724">
        <v>34064</v>
      </c>
      <c r="E1724">
        <v>12559065</v>
      </c>
      <c r="F1724">
        <v>56249977</v>
      </c>
      <c r="G1724">
        <v>68809042</v>
      </c>
      <c r="H1724">
        <v>25882</v>
      </c>
      <c r="I1724">
        <v>8733</v>
      </c>
      <c r="J1724">
        <v>34615</v>
      </c>
      <c r="K1724" t="b">
        <f>TrafficData[[#This Row],[disposedChallan]]+TrafficData[[#This Row],[pendingChallan]]=TrafficData[[#This Row],[totalChallan]]</f>
        <v>1</v>
      </c>
      <c r="L1724" t="b">
        <f>TrafficData[[#This Row],[pendingAmount]]+TrafficData[[#This Row],[disposedAmount]]=TrafficData[[#This Row],[totalAmount]]</f>
        <v>1</v>
      </c>
      <c r="M1724" t="b">
        <f>TrafficData[[#This Row],[pendingCourt]]+TrafficData[[#This Row],[disposedCourt]]=TrafficData[[#This Row],[totalCourt]]</f>
        <v>1</v>
      </c>
      <c r="N1724" s="8" t="b">
        <f>AND(TrafficData[[#This Row],[disposedChallan]]&lt;=TrafficData[[#This Row],[totalChallan]],TrafficData[[#This Row],[pendingChallan]]&lt;=TrafficData[[#This Row],[totalChallan]])</f>
        <v>1</v>
      </c>
      <c r="O1724" s="8" t="b">
        <f>AND(TrafficData[[#This Row],[pendingAmount]]&lt;=TrafficData[[#This Row],[totalAmount]],TrafficData[[#This Row],[disposedAmount]]&lt;=TrafficData[[#This Row],[totalAmount]])</f>
        <v>1</v>
      </c>
      <c r="P1724" s="8" t="b">
        <f>AND(TrafficData[[#This Row],[pendingCourt]]&lt;=TrafficData[[#This Row],[totalCourt]],TrafficData[[#This Row],[disposedCourt]]&lt;=TrafficData[[#This Row],[totalCourt]])</f>
        <v>1</v>
      </c>
    </row>
    <row r="1725" spans="1:16">
      <c r="A1725" s="1">
        <v>43729</v>
      </c>
      <c r="B1725">
        <v>68546</v>
      </c>
      <c r="C1725">
        <v>36176</v>
      </c>
      <c r="D1725">
        <v>32370</v>
      </c>
      <c r="E1725">
        <v>10724807</v>
      </c>
      <c r="F1725">
        <v>53567337</v>
      </c>
      <c r="G1725">
        <v>64292144</v>
      </c>
      <c r="H1725">
        <v>24770</v>
      </c>
      <c r="I1725">
        <v>7779</v>
      </c>
      <c r="J1725">
        <v>32549</v>
      </c>
      <c r="K1725" t="b">
        <f>TrafficData[[#This Row],[disposedChallan]]+TrafficData[[#This Row],[pendingChallan]]=TrafficData[[#This Row],[totalChallan]]</f>
        <v>1</v>
      </c>
      <c r="L1725" t="b">
        <f>TrafficData[[#This Row],[pendingAmount]]+TrafficData[[#This Row],[disposedAmount]]=TrafficData[[#This Row],[totalAmount]]</f>
        <v>1</v>
      </c>
      <c r="M1725" t="b">
        <f>TrafficData[[#This Row],[pendingCourt]]+TrafficData[[#This Row],[disposedCourt]]=TrafficData[[#This Row],[totalCourt]]</f>
        <v>1</v>
      </c>
      <c r="N1725" s="8" t="b">
        <f>AND(TrafficData[[#This Row],[disposedChallan]]&lt;=TrafficData[[#This Row],[totalChallan]],TrafficData[[#This Row],[pendingChallan]]&lt;=TrafficData[[#This Row],[totalChallan]])</f>
        <v>1</v>
      </c>
      <c r="O1725" s="8" t="b">
        <f>AND(TrafficData[[#This Row],[pendingAmount]]&lt;=TrafficData[[#This Row],[totalAmount]],TrafficData[[#This Row],[disposedAmount]]&lt;=TrafficData[[#This Row],[totalAmount]])</f>
        <v>1</v>
      </c>
      <c r="P1725" s="8" t="b">
        <f>AND(TrafficData[[#This Row],[pendingCourt]]&lt;=TrafficData[[#This Row],[totalCourt]],TrafficData[[#This Row],[disposedCourt]]&lt;=TrafficData[[#This Row],[totalCourt]])</f>
        <v>1</v>
      </c>
    </row>
    <row r="1726" spans="1:16">
      <c r="A1726" s="1">
        <v>43730</v>
      </c>
      <c r="B1726">
        <v>60383</v>
      </c>
      <c r="C1726">
        <v>31730</v>
      </c>
      <c r="D1726">
        <v>28653</v>
      </c>
      <c r="E1726">
        <v>8002056</v>
      </c>
      <c r="F1726">
        <v>37970095</v>
      </c>
      <c r="G1726">
        <v>45972151</v>
      </c>
      <c r="H1726">
        <v>21233</v>
      </c>
      <c r="I1726">
        <v>7278</v>
      </c>
      <c r="J1726">
        <v>28511</v>
      </c>
      <c r="K1726" t="b">
        <f>TrafficData[[#This Row],[disposedChallan]]+TrafficData[[#This Row],[pendingChallan]]=TrafficData[[#This Row],[totalChallan]]</f>
        <v>1</v>
      </c>
      <c r="L1726" t="b">
        <f>TrafficData[[#This Row],[pendingAmount]]+TrafficData[[#This Row],[disposedAmount]]=TrafficData[[#This Row],[totalAmount]]</f>
        <v>1</v>
      </c>
      <c r="M1726" t="b">
        <f>TrafficData[[#This Row],[pendingCourt]]+TrafficData[[#This Row],[disposedCourt]]=TrafficData[[#This Row],[totalCourt]]</f>
        <v>1</v>
      </c>
      <c r="N1726" s="8" t="b">
        <f>AND(TrafficData[[#This Row],[disposedChallan]]&lt;=TrafficData[[#This Row],[totalChallan]],TrafficData[[#This Row],[pendingChallan]]&lt;=TrafficData[[#This Row],[totalChallan]])</f>
        <v>1</v>
      </c>
      <c r="O1726" s="8" t="b">
        <f>AND(TrafficData[[#This Row],[pendingAmount]]&lt;=TrafficData[[#This Row],[totalAmount]],TrafficData[[#This Row],[disposedAmount]]&lt;=TrafficData[[#This Row],[totalAmount]])</f>
        <v>1</v>
      </c>
      <c r="P1726" s="8" t="b">
        <f>AND(TrafficData[[#This Row],[pendingCourt]]&lt;=TrafficData[[#This Row],[totalCourt]],TrafficData[[#This Row],[disposedCourt]]&lt;=TrafficData[[#This Row],[totalCourt]])</f>
        <v>1</v>
      </c>
    </row>
    <row r="1727" spans="1:16">
      <c r="A1727" s="1">
        <v>43731</v>
      </c>
      <c r="B1727">
        <v>64978</v>
      </c>
      <c r="C1727">
        <v>35548</v>
      </c>
      <c r="D1727">
        <v>29430</v>
      </c>
      <c r="E1727">
        <v>9503786</v>
      </c>
      <c r="F1727">
        <v>45157137</v>
      </c>
      <c r="G1727">
        <v>54660923</v>
      </c>
      <c r="H1727">
        <v>22064</v>
      </c>
      <c r="I1727">
        <v>8639</v>
      </c>
      <c r="J1727">
        <v>30703</v>
      </c>
      <c r="K1727" t="b">
        <f>TrafficData[[#This Row],[disposedChallan]]+TrafficData[[#This Row],[pendingChallan]]=TrafficData[[#This Row],[totalChallan]]</f>
        <v>1</v>
      </c>
      <c r="L1727" t="b">
        <f>TrafficData[[#This Row],[pendingAmount]]+TrafficData[[#This Row],[disposedAmount]]=TrafficData[[#This Row],[totalAmount]]</f>
        <v>1</v>
      </c>
      <c r="M1727" t="b">
        <f>TrafficData[[#This Row],[pendingCourt]]+TrafficData[[#This Row],[disposedCourt]]=TrafficData[[#This Row],[totalCourt]]</f>
        <v>1</v>
      </c>
      <c r="N1727" s="8" t="b">
        <f>AND(TrafficData[[#This Row],[disposedChallan]]&lt;=TrafficData[[#This Row],[totalChallan]],TrafficData[[#This Row],[pendingChallan]]&lt;=TrafficData[[#This Row],[totalChallan]])</f>
        <v>1</v>
      </c>
      <c r="O1727" s="8" t="b">
        <f>AND(TrafficData[[#This Row],[pendingAmount]]&lt;=TrafficData[[#This Row],[totalAmount]],TrafficData[[#This Row],[disposedAmount]]&lt;=TrafficData[[#This Row],[totalAmount]])</f>
        <v>1</v>
      </c>
      <c r="P1727" s="8" t="b">
        <f>AND(TrafficData[[#This Row],[pendingCourt]]&lt;=TrafficData[[#This Row],[totalCourt]],TrafficData[[#This Row],[disposedCourt]]&lt;=TrafficData[[#This Row],[totalCourt]])</f>
        <v>1</v>
      </c>
    </row>
    <row r="1728" spans="1:16">
      <c r="A1728" s="1">
        <v>43732</v>
      </c>
      <c r="B1728">
        <v>68463</v>
      </c>
      <c r="C1728">
        <v>38486</v>
      </c>
      <c r="D1728">
        <v>29977</v>
      </c>
      <c r="E1728">
        <v>12641720</v>
      </c>
      <c r="F1728">
        <v>53560621</v>
      </c>
      <c r="G1728">
        <v>66202341</v>
      </c>
      <c r="H1728">
        <v>22061</v>
      </c>
      <c r="I1728">
        <v>9032</v>
      </c>
      <c r="J1728">
        <v>31093</v>
      </c>
      <c r="K1728" t="b">
        <f>TrafficData[[#This Row],[disposedChallan]]+TrafficData[[#This Row],[pendingChallan]]=TrafficData[[#This Row],[totalChallan]]</f>
        <v>1</v>
      </c>
      <c r="L1728" t="b">
        <f>TrafficData[[#This Row],[pendingAmount]]+TrafficData[[#This Row],[disposedAmount]]=TrafficData[[#This Row],[totalAmount]]</f>
        <v>1</v>
      </c>
      <c r="M1728" t="b">
        <f>TrafficData[[#This Row],[pendingCourt]]+TrafficData[[#This Row],[disposedCourt]]=TrafficData[[#This Row],[totalCourt]]</f>
        <v>1</v>
      </c>
      <c r="N1728" s="8" t="b">
        <f>AND(TrafficData[[#This Row],[disposedChallan]]&lt;=TrafficData[[#This Row],[totalChallan]],TrafficData[[#This Row],[pendingChallan]]&lt;=TrafficData[[#This Row],[totalChallan]])</f>
        <v>1</v>
      </c>
      <c r="O1728" s="8" t="b">
        <f>AND(TrafficData[[#This Row],[pendingAmount]]&lt;=TrafficData[[#This Row],[totalAmount]],TrafficData[[#This Row],[disposedAmount]]&lt;=TrafficData[[#This Row],[totalAmount]])</f>
        <v>1</v>
      </c>
      <c r="P1728" s="8" t="b">
        <f>AND(TrafficData[[#This Row],[pendingCourt]]&lt;=TrafficData[[#This Row],[totalCourt]],TrafficData[[#This Row],[disposedCourt]]&lt;=TrafficData[[#This Row],[totalCourt]])</f>
        <v>1</v>
      </c>
    </row>
    <row r="1729" spans="1:16">
      <c r="A1729" s="1">
        <v>43733</v>
      </c>
      <c r="B1729">
        <v>64528</v>
      </c>
      <c r="C1729">
        <v>36934</v>
      </c>
      <c r="D1729">
        <v>27594</v>
      </c>
      <c r="E1729">
        <v>11879533</v>
      </c>
      <c r="F1729">
        <v>57940827</v>
      </c>
      <c r="G1729">
        <v>69820360</v>
      </c>
      <c r="H1729">
        <v>19943</v>
      </c>
      <c r="I1729">
        <v>8865</v>
      </c>
      <c r="J1729">
        <v>28808</v>
      </c>
      <c r="K1729" t="b">
        <f>TrafficData[[#This Row],[disposedChallan]]+TrafficData[[#This Row],[pendingChallan]]=TrafficData[[#This Row],[totalChallan]]</f>
        <v>1</v>
      </c>
      <c r="L1729" t="b">
        <f>TrafficData[[#This Row],[pendingAmount]]+TrafficData[[#This Row],[disposedAmount]]=TrafficData[[#This Row],[totalAmount]]</f>
        <v>1</v>
      </c>
      <c r="M1729" t="b">
        <f>TrafficData[[#This Row],[pendingCourt]]+TrafficData[[#This Row],[disposedCourt]]=TrafficData[[#This Row],[totalCourt]]</f>
        <v>1</v>
      </c>
      <c r="N1729" s="8" t="b">
        <f>AND(TrafficData[[#This Row],[disposedChallan]]&lt;=TrafficData[[#This Row],[totalChallan]],TrafficData[[#This Row],[pendingChallan]]&lt;=TrafficData[[#This Row],[totalChallan]])</f>
        <v>1</v>
      </c>
      <c r="O1729" s="8" t="b">
        <f>AND(TrafficData[[#This Row],[pendingAmount]]&lt;=TrafficData[[#This Row],[totalAmount]],TrafficData[[#This Row],[disposedAmount]]&lt;=TrafficData[[#This Row],[totalAmount]])</f>
        <v>1</v>
      </c>
      <c r="P1729" s="8" t="b">
        <f>AND(TrafficData[[#This Row],[pendingCourt]]&lt;=TrafficData[[#This Row],[totalCourt]],TrafficData[[#This Row],[disposedCourt]]&lt;=TrafficData[[#This Row],[totalCourt]])</f>
        <v>1</v>
      </c>
    </row>
    <row r="1730" spans="1:16">
      <c r="A1730" s="1">
        <v>43734</v>
      </c>
      <c r="B1730">
        <v>61105</v>
      </c>
      <c r="C1730">
        <v>36312</v>
      </c>
      <c r="D1730">
        <v>24793</v>
      </c>
      <c r="E1730">
        <v>11329309</v>
      </c>
      <c r="F1730">
        <v>52809816</v>
      </c>
      <c r="G1730">
        <v>64139125</v>
      </c>
      <c r="H1730">
        <v>17038</v>
      </c>
      <c r="I1730">
        <v>7809</v>
      </c>
      <c r="J1730">
        <v>24847</v>
      </c>
      <c r="K1730" t="b">
        <f>TrafficData[[#This Row],[disposedChallan]]+TrafficData[[#This Row],[pendingChallan]]=TrafficData[[#This Row],[totalChallan]]</f>
        <v>1</v>
      </c>
      <c r="L1730" t="b">
        <f>TrafficData[[#This Row],[pendingAmount]]+TrafficData[[#This Row],[disposedAmount]]=TrafficData[[#This Row],[totalAmount]]</f>
        <v>1</v>
      </c>
      <c r="M1730" t="b">
        <f>TrafficData[[#This Row],[pendingCourt]]+TrafficData[[#This Row],[disposedCourt]]=TrafficData[[#This Row],[totalCourt]]</f>
        <v>1</v>
      </c>
      <c r="N1730" s="8" t="b">
        <f>AND(TrafficData[[#This Row],[disposedChallan]]&lt;=TrafficData[[#This Row],[totalChallan]],TrafficData[[#This Row],[pendingChallan]]&lt;=TrafficData[[#This Row],[totalChallan]])</f>
        <v>1</v>
      </c>
      <c r="O1730" s="8" t="b">
        <f>AND(TrafficData[[#This Row],[pendingAmount]]&lt;=TrafficData[[#This Row],[totalAmount]],TrafficData[[#This Row],[disposedAmount]]&lt;=TrafficData[[#This Row],[totalAmount]])</f>
        <v>1</v>
      </c>
      <c r="P1730" s="8" t="b">
        <f>AND(TrafficData[[#This Row],[pendingCourt]]&lt;=TrafficData[[#This Row],[totalCourt]],TrafficData[[#This Row],[disposedCourt]]&lt;=TrafficData[[#This Row],[totalCourt]])</f>
        <v>1</v>
      </c>
    </row>
    <row r="1731" spans="1:16">
      <c r="A1731" s="1">
        <v>43735</v>
      </c>
      <c r="B1731">
        <v>58425</v>
      </c>
      <c r="C1731">
        <v>35368</v>
      </c>
      <c r="D1731">
        <v>23057</v>
      </c>
      <c r="E1731">
        <v>13215002</v>
      </c>
      <c r="F1731">
        <v>53787364</v>
      </c>
      <c r="G1731">
        <v>67002366</v>
      </c>
      <c r="H1731">
        <v>15761</v>
      </c>
      <c r="I1731">
        <v>8387</v>
      </c>
      <c r="J1731">
        <v>24148</v>
      </c>
      <c r="K1731" t="b">
        <f>TrafficData[[#This Row],[disposedChallan]]+TrafficData[[#This Row],[pendingChallan]]=TrafficData[[#This Row],[totalChallan]]</f>
        <v>1</v>
      </c>
      <c r="L1731" t="b">
        <f>TrafficData[[#This Row],[pendingAmount]]+TrafficData[[#This Row],[disposedAmount]]=TrafficData[[#This Row],[totalAmount]]</f>
        <v>1</v>
      </c>
      <c r="M1731" t="b">
        <f>TrafficData[[#This Row],[pendingCourt]]+TrafficData[[#This Row],[disposedCourt]]=TrafficData[[#This Row],[totalCourt]]</f>
        <v>1</v>
      </c>
      <c r="N1731" s="8" t="b">
        <f>AND(TrafficData[[#This Row],[disposedChallan]]&lt;=TrafficData[[#This Row],[totalChallan]],TrafficData[[#This Row],[pendingChallan]]&lt;=TrafficData[[#This Row],[totalChallan]])</f>
        <v>1</v>
      </c>
      <c r="O1731" s="8" t="b">
        <f>AND(TrafficData[[#This Row],[pendingAmount]]&lt;=TrafficData[[#This Row],[totalAmount]],TrafficData[[#This Row],[disposedAmount]]&lt;=TrafficData[[#This Row],[totalAmount]])</f>
        <v>1</v>
      </c>
      <c r="P1731" s="8" t="b">
        <f>AND(TrafficData[[#This Row],[pendingCourt]]&lt;=TrafficData[[#This Row],[totalCourt]],TrafficData[[#This Row],[disposedCourt]]&lt;=TrafficData[[#This Row],[totalCourt]])</f>
        <v>1</v>
      </c>
    </row>
    <row r="1732" spans="1:16">
      <c r="A1732" s="1">
        <v>43736</v>
      </c>
      <c r="B1732">
        <v>52509</v>
      </c>
      <c r="C1732">
        <v>32739</v>
      </c>
      <c r="D1732">
        <v>19770</v>
      </c>
      <c r="E1732">
        <v>13156065</v>
      </c>
      <c r="F1732">
        <v>44874488</v>
      </c>
      <c r="G1732">
        <v>58030553</v>
      </c>
      <c r="H1732">
        <v>13525</v>
      </c>
      <c r="I1732">
        <v>8295</v>
      </c>
      <c r="J1732">
        <v>21820</v>
      </c>
      <c r="K1732" t="b">
        <f>TrafficData[[#This Row],[disposedChallan]]+TrafficData[[#This Row],[pendingChallan]]=TrafficData[[#This Row],[totalChallan]]</f>
        <v>1</v>
      </c>
      <c r="L1732" t="b">
        <f>TrafficData[[#This Row],[pendingAmount]]+TrafficData[[#This Row],[disposedAmount]]=TrafficData[[#This Row],[totalAmount]]</f>
        <v>1</v>
      </c>
      <c r="M1732" t="b">
        <f>TrafficData[[#This Row],[pendingCourt]]+TrafficData[[#This Row],[disposedCourt]]=TrafficData[[#This Row],[totalCourt]]</f>
        <v>1</v>
      </c>
      <c r="N1732" s="8" t="b">
        <f>AND(TrafficData[[#This Row],[disposedChallan]]&lt;=TrafficData[[#This Row],[totalChallan]],TrafficData[[#This Row],[pendingChallan]]&lt;=TrafficData[[#This Row],[totalChallan]])</f>
        <v>1</v>
      </c>
      <c r="O1732" s="8" t="b">
        <f>AND(TrafficData[[#This Row],[pendingAmount]]&lt;=TrafficData[[#This Row],[totalAmount]],TrafficData[[#This Row],[disposedAmount]]&lt;=TrafficData[[#This Row],[totalAmount]])</f>
        <v>1</v>
      </c>
      <c r="P1732" s="8" t="b">
        <f>AND(TrafficData[[#This Row],[pendingCourt]]&lt;=TrafficData[[#This Row],[totalCourt]],TrafficData[[#This Row],[disposedCourt]]&lt;=TrafficData[[#This Row],[totalCourt]])</f>
        <v>1</v>
      </c>
    </row>
    <row r="1733" spans="1:16">
      <c r="A1733" s="1">
        <v>43737</v>
      </c>
      <c r="B1733">
        <v>43907</v>
      </c>
      <c r="C1733">
        <v>26574</v>
      </c>
      <c r="D1733">
        <v>17333</v>
      </c>
      <c r="E1733">
        <v>7558826</v>
      </c>
      <c r="F1733">
        <v>33411408</v>
      </c>
      <c r="G1733">
        <v>40970234</v>
      </c>
      <c r="H1733">
        <v>11699</v>
      </c>
      <c r="I1733">
        <v>6861</v>
      </c>
      <c r="J1733">
        <v>18560</v>
      </c>
      <c r="K1733" t="b">
        <f>TrafficData[[#This Row],[disposedChallan]]+TrafficData[[#This Row],[pendingChallan]]=TrafficData[[#This Row],[totalChallan]]</f>
        <v>1</v>
      </c>
      <c r="L1733" t="b">
        <f>TrafficData[[#This Row],[pendingAmount]]+TrafficData[[#This Row],[disposedAmount]]=TrafficData[[#This Row],[totalAmount]]</f>
        <v>1</v>
      </c>
      <c r="M1733" t="b">
        <f>TrafficData[[#This Row],[pendingCourt]]+TrafficData[[#This Row],[disposedCourt]]=TrafficData[[#This Row],[totalCourt]]</f>
        <v>1</v>
      </c>
      <c r="N1733" s="8" t="b">
        <f>AND(TrafficData[[#This Row],[disposedChallan]]&lt;=TrafficData[[#This Row],[totalChallan]],TrafficData[[#This Row],[pendingChallan]]&lt;=TrafficData[[#This Row],[totalChallan]])</f>
        <v>1</v>
      </c>
      <c r="O1733" s="8" t="b">
        <f>AND(TrafficData[[#This Row],[pendingAmount]]&lt;=TrafficData[[#This Row],[totalAmount]],TrafficData[[#This Row],[disposedAmount]]&lt;=TrafficData[[#This Row],[totalAmount]])</f>
        <v>1</v>
      </c>
      <c r="P1733" s="8" t="b">
        <f>AND(TrafficData[[#This Row],[pendingCourt]]&lt;=TrafficData[[#This Row],[totalCourt]],TrafficData[[#This Row],[disposedCourt]]&lt;=TrafficData[[#This Row],[totalCourt]])</f>
        <v>1</v>
      </c>
    </row>
    <row r="1734" spans="1:16">
      <c r="A1734" s="1">
        <v>43738</v>
      </c>
      <c r="B1734">
        <v>46016</v>
      </c>
      <c r="C1734">
        <v>31505</v>
      </c>
      <c r="D1734">
        <v>14511</v>
      </c>
      <c r="E1734">
        <v>8597585</v>
      </c>
      <c r="F1734">
        <v>42585196</v>
      </c>
      <c r="G1734">
        <v>51182781</v>
      </c>
      <c r="H1734">
        <v>9031</v>
      </c>
      <c r="I1734">
        <v>8445</v>
      </c>
      <c r="J1734">
        <v>17476</v>
      </c>
      <c r="K1734" t="b">
        <f>TrafficData[[#This Row],[disposedChallan]]+TrafficData[[#This Row],[pendingChallan]]=TrafficData[[#This Row],[totalChallan]]</f>
        <v>1</v>
      </c>
      <c r="L1734" t="b">
        <f>TrafficData[[#This Row],[pendingAmount]]+TrafficData[[#This Row],[disposedAmount]]=TrafficData[[#This Row],[totalAmount]]</f>
        <v>1</v>
      </c>
      <c r="M1734" t="b">
        <f>TrafficData[[#This Row],[pendingCourt]]+TrafficData[[#This Row],[disposedCourt]]=TrafficData[[#This Row],[totalCourt]]</f>
        <v>1</v>
      </c>
      <c r="N1734" s="8" t="b">
        <f>AND(TrafficData[[#This Row],[disposedChallan]]&lt;=TrafficData[[#This Row],[totalChallan]],TrafficData[[#This Row],[pendingChallan]]&lt;=TrafficData[[#This Row],[totalChallan]])</f>
        <v>1</v>
      </c>
      <c r="O1734" s="8" t="b">
        <f>AND(TrafficData[[#This Row],[pendingAmount]]&lt;=TrafficData[[#This Row],[totalAmount]],TrafficData[[#This Row],[disposedAmount]]&lt;=TrafficData[[#This Row],[totalAmount]])</f>
        <v>1</v>
      </c>
      <c r="P1734" s="8" t="b">
        <f>AND(TrafficData[[#This Row],[pendingCourt]]&lt;=TrafficData[[#This Row],[totalCourt]],TrafficData[[#This Row],[disposedCourt]]&lt;=TrafficData[[#This Row],[totalCourt]])</f>
        <v>1</v>
      </c>
    </row>
    <row r="1735" spans="1:16">
      <c r="A1735" s="1">
        <v>43739</v>
      </c>
      <c r="B1735">
        <v>55464</v>
      </c>
      <c r="C1735">
        <v>37958</v>
      </c>
      <c r="D1735">
        <v>17506</v>
      </c>
      <c r="E1735">
        <v>13963680</v>
      </c>
      <c r="F1735">
        <v>363229210</v>
      </c>
      <c r="G1735">
        <v>377192890</v>
      </c>
      <c r="H1735">
        <v>11160</v>
      </c>
      <c r="I1735">
        <v>8966</v>
      </c>
      <c r="J1735">
        <v>20126</v>
      </c>
      <c r="K1735" t="b">
        <f>TrafficData[[#This Row],[disposedChallan]]+TrafficData[[#This Row],[pendingChallan]]=TrafficData[[#This Row],[totalChallan]]</f>
        <v>1</v>
      </c>
      <c r="L1735" t="b">
        <f>TrafficData[[#This Row],[pendingAmount]]+TrafficData[[#This Row],[disposedAmount]]=TrafficData[[#This Row],[totalAmount]]</f>
        <v>1</v>
      </c>
      <c r="M1735" t="b">
        <f>TrafficData[[#This Row],[pendingCourt]]+TrafficData[[#This Row],[disposedCourt]]=TrafficData[[#This Row],[totalCourt]]</f>
        <v>1</v>
      </c>
      <c r="N1735" s="8" t="b">
        <f>AND(TrafficData[[#This Row],[disposedChallan]]&lt;=TrafficData[[#This Row],[totalChallan]],TrafficData[[#This Row],[pendingChallan]]&lt;=TrafficData[[#This Row],[totalChallan]])</f>
        <v>1</v>
      </c>
      <c r="O1735" s="8" t="b">
        <f>AND(TrafficData[[#This Row],[pendingAmount]]&lt;=TrafficData[[#This Row],[totalAmount]],TrafficData[[#This Row],[disposedAmount]]&lt;=TrafficData[[#This Row],[totalAmount]])</f>
        <v>1</v>
      </c>
      <c r="P1735" s="8" t="b">
        <f>AND(TrafficData[[#This Row],[pendingCourt]]&lt;=TrafficData[[#This Row],[totalCourt]],TrafficData[[#This Row],[disposedCourt]]&lt;=TrafficData[[#This Row],[totalCourt]])</f>
        <v>1</v>
      </c>
    </row>
    <row r="1736" spans="1:16">
      <c r="A1736" s="1">
        <v>43740</v>
      </c>
      <c r="B1736">
        <v>44148</v>
      </c>
      <c r="C1736">
        <v>32078</v>
      </c>
      <c r="D1736">
        <v>12070</v>
      </c>
      <c r="E1736">
        <v>8412305</v>
      </c>
      <c r="F1736">
        <v>45854178</v>
      </c>
      <c r="G1736">
        <v>54266483</v>
      </c>
      <c r="H1736">
        <v>6263</v>
      </c>
      <c r="I1736">
        <v>7109</v>
      </c>
      <c r="J1736">
        <v>13372</v>
      </c>
      <c r="K1736" t="b">
        <f>TrafficData[[#This Row],[disposedChallan]]+TrafficData[[#This Row],[pendingChallan]]=TrafficData[[#This Row],[totalChallan]]</f>
        <v>1</v>
      </c>
      <c r="L1736" t="b">
        <f>TrafficData[[#This Row],[pendingAmount]]+TrafficData[[#This Row],[disposedAmount]]=TrafficData[[#This Row],[totalAmount]]</f>
        <v>1</v>
      </c>
      <c r="M1736" t="b">
        <f>TrafficData[[#This Row],[pendingCourt]]+TrafficData[[#This Row],[disposedCourt]]=TrafficData[[#This Row],[totalCourt]]</f>
        <v>1</v>
      </c>
      <c r="N1736" s="8" t="b">
        <f>AND(TrafficData[[#This Row],[disposedChallan]]&lt;=TrafficData[[#This Row],[totalChallan]],TrafficData[[#This Row],[pendingChallan]]&lt;=TrafficData[[#This Row],[totalChallan]])</f>
        <v>1</v>
      </c>
      <c r="O1736" s="8" t="b">
        <f>AND(TrafficData[[#This Row],[pendingAmount]]&lt;=TrafficData[[#This Row],[totalAmount]],TrafficData[[#This Row],[disposedAmount]]&lt;=TrafficData[[#This Row],[totalAmount]])</f>
        <v>1</v>
      </c>
      <c r="P1736" s="8" t="b">
        <f>AND(TrafficData[[#This Row],[pendingCourt]]&lt;=TrafficData[[#This Row],[totalCourt]],TrafficData[[#This Row],[disposedCourt]]&lt;=TrafficData[[#This Row],[totalCourt]])</f>
        <v>1</v>
      </c>
    </row>
    <row r="1737" spans="1:16">
      <c r="A1737" s="1">
        <v>43741</v>
      </c>
      <c r="B1737">
        <v>57347</v>
      </c>
      <c r="C1737">
        <v>39693</v>
      </c>
      <c r="D1737">
        <v>17654</v>
      </c>
      <c r="E1737">
        <v>15431141</v>
      </c>
      <c r="F1737">
        <v>60823495</v>
      </c>
      <c r="G1737">
        <v>76254636</v>
      </c>
      <c r="H1737">
        <v>11207</v>
      </c>
      <c r="I1737">
        <v>9584</v>
      </c>
      <c r="J1737">
        <v>20791</v>
      </c>
      <c r="K1737" t="b">
        <f>TrafficData[[#This Row],[disposedChallan]]+TrafficData[[#This Row],[pendingChallan]]=TrafficData[[#This Row],[totalChallan]]</f>
        <v>1</v>
      </c>
      <c r="L1737" t="b">
        <f>TrafficData[[#This Row],[pendingAmount]]+TrafficData[[#This Row],[disposedAmount]]=TrafficData[[#This Row],[totalAmount]]</f>
        <v>1</v>
      </c>
      <c r="M1737" t="b">
        <f>TrafficData[[#This Row],[pendingCourt]]+TrafficData[[#This Row],[disposedCourt]]=TrafficData[[#This Row],[totalCourt]]</f>
        <v>1</v>
      </c>
      <c r="N1737" s="8" t="b">
        <f>AND(TrafficData[[#This Row],[disposedChallan]]&lt;=TrafficData[[#This Row],[totalChallan]],TrafficData[[#This Row],[pendingChallan]]&lt;=TrafficData[[#This Row],[totalChallan]])</f>
        <v>1</v>
      </c>
      <c r="O1737" s="8" t="b">
        <f>AND(TrafficData[[#This Row],[pendingAmount]]&lt;=TrafficData[[#This Row],[totalAmount]],TrafficData[[#This Row],[disposedAmount]]&lt;=TrafficData[[#This Row],[totalAmount]])</f>
        <v>1</v>
      </c>
      <c r="P1737" s="8" t="b">
        <f>AND(TrafficData[[#This Row],[pendingCourt]]&lt;=TrafficData[[#This Row],[totalCourt]],TrafficData[[#This Row],[disposedCourt]]&lt;=TrafficData[[#This Row],[totalCourt]])</f>
        <v>1</v>
      </c>
    </row>
    <row r="1738" spans="1:16">
      <c r="A1738" s="1">
        <v>43742</v>
      </c>
      <c r="B1738">
        <v>50839</v>
      </c>
      <c r="C1738">
        <v>36093</v>
      </c>
      <c r="D1738">
        <v>14746</v>
      </c>
      <c r="E1738">
        <v>11470327</v>
      </c>
      <c r="F1738">
        <v>56741417</v>
      </c>
      <c r="G1738">
        <v>68211744</v>
      </c>
      <c r="H1738">
        <v>8330</v>
      </c>
      <c r="I1738">
        <v>8546</v>
      </c>
      <c r="J1738">
        <v>16876</v>
      </c>
      <c r="K1738" t="b">
        <f>TrafficData[[#This Row],[disposedChallan]]+TrafficData[[#This Row],[pendingChallan]]=TrafficData[[#This Row],[totalChallan]]</f>
        <v>1</v>
      </c>
      <c r="L1738" t="b">
        <f>TrafficData[[#This Row],[pendingAmount]]+TrafficData[[#This Row],[disposedAmount]]=TrafficData[[#This Row],[totalAmount]]</f>
        <v>1</v>
      </c>
      <c r="M1738" t="b">
        <f>TrafficData[[#This Row],[pendingCourt]]+TrafficData[[#This Row],[disposedCourt]]=TrafficData[[#This Row],[totalCourt]]</f>
        <v>1</v>
      </c>
      <c r="N1738" s="8" t="b">
        <f>AND(TrafficData[[#This Row],[disposedChallan]]&lt;=TrafficData[[#This Row],[totalChallan]],TrafficData[[#This Row],[pendingChallan]]&lt;=TrafficData[[#This Row],[totalChallan]])</f>
        <v>1</v>
      </c>
      <c r="O1738" s="8" t="b">
        <f>AND(TrafficData[[#This Row],[pendingAmount]]&lt;=TrafficData[[#This Row],[totalAmount]],TrafficData[[#This Row],[disposedAmount]]&lt;=TrafficData[[#This Row],[totalAmount]])</f>
        <v>1</v>
      </c>
      <c r="P1738" s="8" t="b">
        <f>AND(TrafficData[[#This Row],[pendingCourt]]&lt;=TrafficData[[#This Row],[totalCourt]],TrafficData[[#This Row],[disposedCourt]]&lt;=TrafficData[[#This Row],[totalCourt]])</f>
        <v>1</v>
      </c>
    </row>
    <row r="1739" spans="1:16">
      <c r="A1739" s="1">
        <v>43743</v>
      </c>
      <c r="B1739">
        <v>52614</v>
      </c>
      <c r="C1739">
        <v>35094</v>
      </c>
      <c r="D1739">
        <v>17520</v>
      </c>
      <c r="E1739">
        <v>11811611</v>
      </c>
      <c r="F1739">
        <v>51884367</v>
      </c>
      <c r="G1739">
        <v>63695978</v>
      </c>
      <c r="H1739">
        <v>10750</v>
      </c>
      <c r="I1739">
        <v>8514</v>
      </c>
      <c r="J1739">
        <v>19264</v>
      </c>
      <c r="K1739" t="b">
        <f>TrafficData[[#This Row],[disposedChallan]]+TrafficData[[#This Row],[pendingChallan]]=TrafficData[[#This Row],[totalChallan]]</f>
        <v>1</v>
      </c>
      <c r="L1739" t="b">
        <f>TrafficData[[#This Row],[pendingAmount]]+TrafficData[[#This Row],[disposedAmount]]=TrafficData[[#This Row],[totalAmount]]</f>
        <v>1</v>
      </c>
      <c r="M1739" t="b">
        <f>TrafficData[[#This Row],[pendingCourt]]+TrafficData[[#This Row],[disposedCourt]]=TrafficData[[#This Row],[totalCourt]]</f>
        <v>1</v>
      </c>
      <c r="N1739" s="8" t="b">
        <f>AND(TrafficData[[#This Row],[disposedChallan]]&lt;=TrafficData[[#This Row],[totalChallan]],TrafficData[[#This Row],[pendingChallan]]&lt;=TrafficData[[#This Row],[totalChallan]])</f>
        <v>1</v>
      </c>
      <c r="O1739" s="8" t="b">
        <f>AND(TrafficData[[#This Row],[pendingAmount]]&lt;=TrafficData[[#This Row],[totalAmount]],TrafficData[[#This Row],[disposedAmount]]&lt;=TrafficData[[#This Row],[totalAmount]])</f>
        <v>1</v>
      </c>
      <c r="P1739" s="8" t="b">
        <f>AND(TrafficData[[#This Row],[pendingCourt]]&lt;=TrafficData[[#This Row],[totalCourt]],TrafficData[[#This Row],[disposedCourt]]&lt;=TrafficData[[#This Row],[totalCourt]])</f>
        <v>1</v>
      </c>
    </row>
    <row r="1740" spans="1:16">
      <c r="A1740" s="1">
        <v>43744</v>
      </c>
      <c r="B1740">
        <v>45479</v>
      </c>
      <c r="C1740">
        <v>30830</v>
      </c>
      <c r="D1740">
        <v>14649</v>
      </c>
      <c r="E1740">
        <v>6946089</v>
      </c>
      <c r="F1740">
        <v>37107283</v>
      </c>
      <c r="G1740">
        <v>44053372</v>
      </c>
      <c r="H1740">
        <v>7401</v>
      </c>
      <c r="I1740">
        <v>7724</v>
      </c>
      <c r="J1740">
        <v>15125</v>
      </c>
      <c r="K1740" t="b">
        <f>TrafficData[[#This Row],[disposedChallan]]+TrafficData[[#This Row],[pendingChallan]]=TrafficData[[#This Row],[totalChallan]]</f>
        <v>1</v>
      </c>
      <c r="L1740" t="b">
        <f>TrafficData[[#This Row],[pendingAmount]]+TrafficData[[#This Row],[disposedAmount]]=TrafficData[[#This Row],[totalAmount]]</f>
        <v>1</v>
      </c>
      <c r="M1740" t="b">
        <f>TrafficData[[#This Row],[pendingCourt]]+TrafficData[[#This Row],[disposedCourt]]=TrafficData[[#This Row],[totalCourt]]</f>
        <v>1</v>
      </c>
      <c r="N1740" s="8" t="b">
        <f>AND(TrafficData[[#This Row],[disposedChallan]]&lt;=TrafficData[[#This Row],[totalChallan]],TrafficData[[#This Row],[pendingChallan]]&lt;=TrafficData[[#This Row],[totalChallan]])</f>
        <v>1</v>
      </c>
      <c r="O1740" s="8" t="b">
        <f>AND(TrafficData[[#This Row],[pendingAmount]]&lt;=TrafficData[[#This Row],[totalAmount]],TrafficData[[#This Row],[disposedAmount]]&lt;=TrafficData[[#This Row],[totalAmount]])</f>
        <v>1</v>
      </c>
      <c r="P1740" s="8" t="b">
        <f>AND(TrafficData[[#This Row],[pendingCourt]]&lt;=TrafficData[[#This Row],[totalCourt]],TrafficData[[#This Row],[disposedCourt]]&lt;=TrafficData[[#This Row],[totalCourt]])</f>
        <v>1</v>
      </c>
    </row>
    <row r="1741" spans="1:16">
      <c r="A1741" s="1">
        <v>43745</v>
      </c>
      <c r="B1741">
        <v>43069</v>
      </c>
      <c r="C1741">
        <v>28854</v>
      </c>
      <c r="D1741">
        <v>14215</v>
      </c>
      <c r="E1741">
        <v>7272763</v>
      </c>
      <c r="F1741">
        <v>40043555</v>
      </c>
      <c r="G1741">
        <v>47316318</v>
      </c>
      <c r="H1741">
        <v>8303</v>
      </c>
      <c r="I1741">
        <v>8566</v>
      </c>
      <c r="J1741">
        <v>16869</v>
      </c>
      <c r="K1741" t="b">
        <f>TrafficData[[#This Row],[disposedChallan]]+TrafficData[[#This Row],[pendingChallan]]=TrafficData[[#This Row],[totalChallan]]</f>
        <v>1</v>
      </c>
      <c r="L1741" t="b">
        <f>TrafficData[[#This Row],[pendingAmount]]+TrafficData[[#This Row],[disposedAmount]]=TrafficData[[#This Row],[totalAmount]]</f>
        <v>1</v>
      </c>
      <c r="M1741" t="b">
        <f>TrafficData[[#This Row],[pendingCourt]]+TrafficData[[#This Row],[disposedCourt]]=TrafficData[[#This Row],[totalCourt]]</f>
        <v>1</v>
      </c>
      <c r="N1741" s="8" t="b">
        <f>AND(TrafficData[[#This Row],[disposedChallan]]&lt;=TrafficData[[#This Row],[totalChallan]],TrafficData[[#This Row],[pendingChallan]]&lt;=TrafficData[[#This Row],[totalChallan]])</f>
        <v>1</v>
      </c>
      <c r="O1741" s="8" t="b">
        <f>AND(TrafficData[[#This Row],[pendingAmount]]&lt;=TrafficData[[#This Row],[totalAmount]],TrafficData[[#This Row],[disposedAmount]]&lt;=TrafficData[[#This Row],[totalAmount]])</f>
        <v>1</v>
      </c>
      <c r="P1741" s="8" t="b">
        <f>AND(TrafficData[[#This Row],[pendingCourt]]&lt;=TrafficData[[#This Row],[totalCourt]],TrafficData[[#This Row],[disposedCourt]]&lt;=TrafficData[[#This Row],[totalCourt]])</f>
        <v>1</v>
      </c>
    </row>
    <row r="1742" spans="1:16">
      <c r="A1742" s="1">
        <v>43746</v>
      </c>
      <c r="B1742">
        <v>40428</v>
      </c>
      <c r="C1742">
        <v>27150</v>
      </c>
      <c r="D1742">
        <v>13278</v>
      </c>
      <c r="E1742">
        <v>5804695</v>
      </c>
      <c r="F1742">
        <v>30846084</v>
      </c>
      <c r="G1742">
        <v>36650779</v>
      </c>
      <c r="H1742">
        <v>7062</v>
      </c>
      <c r="I1742">
        <v>6807</v>
      </c>
      <c r="J1742">
        <v>13869</v>
      </c>
      <c r="K1742" t="b">
        <f>TrafficData[[#This Row],[disposedChallan]]+TrafficData[[#This Row],[pendingChallan]]=TrafficData[[#This Row],[totalChallan]]</f>
        <v>1</v>
      </c>
      <c r="L1742" t="b">
        <f>TrafficData[[#This Row],[pendingAmount]]+TrafficData[[#This Row],[disposedAmount]]=TrafficData[[#This Row],[totalAmount]]</f>
        <v>1</v>
      </c>
      <c r="M1742" t="b">
        <f>TrafficData[[#This Row],[pendingCourt]]+TrafficData[[#This Row],[disposedCourt]]=TrafficData[[#This Row],[totalCourt]]</f>
        <v>1</v>
      </c>
      <c r="N1742" s="8" t="b">
        <f>AND(TrafficData[[#This Row],[disposedChallan]]&lt;=TrafficData[[#This Row],[totalChallan]],TrafficData[[#This Row],[pendingChallan]]&lt;=TrafficData[[#This Row],[totalChallan]])</f>
        <v>1</v>
      </c>
      <c r="O1742" s="8" t="b">
        <f>AND(TrafficData[[#This Row],[pendingAmount]]&lt;=TrafficData[[#This Row],[totalAmount]],TrafficData[[#This Row],[disposedAmount]]&lt;=TrafficData[[#This Row],[totalAmount]])</f>
        <v>1</v>
      </c>
      <c r="P1742" s="8" t="b">
        <f>AND(TrafficData[[#This Row],[pendingCourt]]&lt;=TrafficData[[#This Row],[totalCourt]],TrafficData[[#This Row],[disposedCourt]]&lt;=TrafficData[[#This Row],[totalCourt]])</f>
        <v>1</v>
      </c>
    </row>
    <row r="1743" spans="1:16">
      <c r="A1743" s="1">
        <v>43747</v>
      </c>
      <c r="B1743">
        <v>47460</v>
      </c>
      <c r="C1743">
        <v>32152</v>
      </c>
      <c r="D1743">
        <v>15308</v>
      </c>
      <c r="E1743">
        <v>9452980</v>
      </c>
      <c r="F1743">
        <v>44706945</v>
      </c>
      <c r="G1743">
        <v>54159925</v>
      </c>
      <c r="H1743">
        <v>9175</v>
      </c>
      <c r="I1743">
        <v>8769</v>
      </c>
      <c r="J1743">
        <v>17944</v>
      </c>
      <c r="K1743" t="b">
        <f>TrafficData[[#This Row],[disposedChallan]]+TrafficData[[#This Row],[pendingChallan]]=TrafficData[[#This Row],[totalChallan]]</f>
        <v>1</v>
      </c>
      <c r="L1743" t="b">
        <f>TrafficData[[#This Row],[pendingAmount]]+TrafficData[[#This Row],[disposedAmount]]=TrafficData[[#This Row],[totalAmount]]</f>
        <v>1</v>
      </c>
      <c r="M1743" t="b">
        <f>TrafficData[[#This Row],[pendingCourt]]+TrafficData[[#This Row],[disposedCourt]]=TrafficData[[#This Row],[totalCourt]]</f>
        <v>1</v>
      </c>
      <c r="N1743" s="8" t="b">
        <f>AND(TrafficData[[#This Row],[disposedChallan]]&lt;=TrafficData[[#This Row],[totalChallan]],TrafficData[[#This Row],[pendingChallan]]&lt;=TrafficData[[#This Row],[totalChallan]])</f>
        <v>1</v>
      </c>
      <c r="O1743" s="8" t="b">
        <f>AND(TrafficData[[#This Row],[pendingAmount]]&lt;=TrafficData[[#This Row],[totalAmount]],TrafficData[[#This Row],[disposedAmount]]&lt;=TrafficData[[#This Row],[totalAmount]])</f>
        <v>1</v>
      </c>
      <c r="P1743" s="8" t="b">
        <f>AND(TrafficData[[#This Row],[pendingCourt]]&lt;=TrafficData[[#This Row],[totalCourt]],TrafficData[[#This Row],[disposedCourt]]&lt;=TrafficData[[#This Row],[totalCourt]])</f>
        <v>1</v>
      </c>
    </row>
    <row r="1744" spans="1:16">
      <c r="A1744" s="1">
        <v>43748</v>
      </c>
      <c r="B1744">
        <v>51656</v>
      </c>
      <c r="C1744">
        <v>34002</v>
      </c>
      <c r="D1744">
        <v>17654</v>
      </c>
      <c r="E1744">
        <v>14089726</v>
      </c>
      <c r="F1744">
        <v>55858794</v>
      </c>
      <c r="G1744">
        <v>69948520</v>
      </c>
      <c r="H1744">
        <v>12248</v>
      </c>
      <c r="I1744">
        <v>9675</v>
      </c>
      <c r="J1744">
        <v>21923</v>
      </c>
      <c r="K1744" t="b">
        <f>TrafficData[[#This Row],[disposedChallan]]+TrafficData[[#This Row],[pendingChallan]]=TrafficData[[#This Row],[totalChallan]]</f>
        <v>1</v>
      </c>
      <c r="L1744" t="b">
        <f>TrafficData[[#This Row],[pendingAmount]]+TrafficData[[#This Row],[disposedAmount]]=TrafficData[[#This Row],[totalAmount]]</f>
        <v>1</v>
      </c>
      <c r="M1744" t="b">
        <f>TrafficData[[#This Row],[pendingCourt]]+TrafficData[[#This Row],[disposedCourt]]=TrafficData[[#This Row],[totalCourt]]</f>
        <v>1</v>
      </c>
      <c r="N1744" s="8" t="b">
        <f>AND(TrafficData[[#This Row],[disposedChallan]]&lt;=TrafficData[[#This Row],[totalChallan]],TrafficData[[#This Row],[pendingChallan]]&lt;=TrafficData[[#This Row],[totalChallan]])</f>
        <v>1</v>
      </c>
      <c r="O1744" s="8" t="b">
        <f>AND(TrafficData[[#This Row],[pendingAmount]]&lt;=TrafficData[[#This Row],[totalAmount]],TrafficData[[#This Row],[disposedAmount]]&lt;=TrafficData[[#This Row],[totalAmount]])</f>
        <v>1</v>
      </c>
      <c r="P1744" s="8" t="b">
        <f>AND(TrafficData[[#This Row],[pendingCourt]]&lt;=TrafficData[[#This Row],[totalCourt]],TrafficData[[#This Row],[disposedCourt]]&lt;=TrafficData[[#This Row],[totalCourt]])</f>
        <v>1</v>
      </c>
    </row>
    <row r="1745" spans="1:16">
      <c r="A1745" s="1">
        <v>43749</v>
      </c>
      <c r="B1745">
        <v>48772</v>
      </c>
      <c r="C1745">
        <v>32606</v>
      </c>
      <c r="D1745">
        <v>16166</v>
      </c>
      <c r="E1745">
        <v>12795217</v>
      </c>
      <c r="F1745">
        <v>58268756</v>
      </c>
      <c r="G1745">
        <v>71063973</v>
      </c>
      <c r="H1745">
        <v>10971</v>
      </c>
      <c r="I1745">
        <v>9000</v>
      </c>
      <c r="J1745">
        <v>19971</v>
      </c>
      <c r="K1745" t="b">
        <f>TrafficData[[#This Row],[disposedChallan]]+TrafficData[[#This Row],[pendingChallan]]=TrafficData[[#This Row],[totalChallan]]</f>
        <v>1</v>
      </c>
      <c r="L1745" t="b">
        <f>TrafficData[[#This Row],[pendingAmount]]+TrafficData[[#This Row],[disposedAmount]]=TrafficData[[#This Row],[totalAmount]]</f>
        <v>1</v>
      </c>
      <c r="M1745" t="b">
        <f>TrafficData[[#This Row],[pendingCourt]]+TrafficData[[#This Row],[disposedCourt]]=TrafficData[[#This Row],[totalCourt]]</f>
        <v>1</v>
      </c>
      <c r="N1745" s="8" t="b">
        <f>AND(TrafficData[[#This Row],[disposedChallan]]&lt;=TrafficData[[#This Row],[totalChallan]],TrafficData[[#This Row],[pendingChallan]]&lt;=TrafficData[[#This Row],[totalChallan]])</f>
        <v>1</v>
      </c>
      <c r="O1745" s="8" t="b">
        <f>AND(TrafficData[[#This Row],[pendingAmount]]&lt;=TrafficData[[#This Row],[totalAmount]],TrafficData[[#This Row],[disposedAmount]]&lt;=TrafficData[[#This Row],[totalAmount]])</f>
        <v>1</v>
      </c>
      <c r="P1745" s="8" t="b">
        <f>AND(TrafficData[[#This Row],[pendingCourt]]&lt;=TrafficData[[#This Row],[totalCourt]],TrafficData[[#This Row],[disposedCourt]]&lt;=TrafficData[[#This Row],[totalCourt]])</f>
        <v>1</v>
      </c>
    </row>
    <row r="1746" spans="1:16">
      <c r="A1746" s="1">
        <v>43750</v>
      </c>
      <c r="B1746">
        <v>42151</v>
      </c>
      <c r="C1746">
        <v>29881</v>
      </c>
      <c r="D1746">
        <v>12270</v>
      </c>
      <c r="E1746">
        <v>8827645</v>
      </c>
      <c r="F1746">
        <v>49559102</v>
      </c>
      <c r="G1746">
        <v>58386747</v>
      </c>
      <c r="H1746">
        <v>7585</v>
      </c>
      <c r="I1746">
        <v>7869</v>
      </c>
      <c r="J1746">
        <v>15454</v>
      </c>
      <c r="K1746" t="b">
        <f>TrafficData[[#This Row],[disposedChallan]]+TrafficData[[#This Row],[pendingChallan]]=TrafficData[[#This Row],[totalChallan]]</f>
        <v>1</v>
      </c>
      <c r="L1746" t="b">
        <f>TrafficData[[#This Row],[pendingAmount]]+TrafficData[[#This Row],[disposedAmount]]=TrafficData[[#This Row],[totalAmount]]</f>
        <v>1</v>
      </c>
      <c r="M1746" t="b">
        <f>TrafficData[[#This Row],[pendingCourt]]+TrafficData[[#This Row],[disposedCourt]]=TrafficData[[#This Row],[totalCourt]]</f>
        <v>1</v>
      </c>
      <c r="N1746" s="8" t="b">
        <f>AND(TrafficData[[#This Row],[disposedChallan]]&lt;=TrafficData[[#This Row],[totalChallan]],TrafficData[[#This Row],[pendingChallan]]&lt;=TrafficData[[#This Row],[totalChallan]])</f>
        <v>1</v>
      </c>
      <c r="O1746" s="8" t="b">
        <f>AND(TrafficData[[#This Row],[pendingAmount]]&lt;=TrafficData[[#This Row],[totalAmount]],TrafficData[[#This Row],[disposedAmount]]&lt;=TrafficData[[#This Row],[totalAmount]])</f>
        <v>1</v>
      </c>
      <c r="P1746" s="8" t="b">
        <f>AND(TrafficData[[#This Row],[pendingCourt]]&lt;=TrafficData[[#This Row],[totalCourt]],TrafficData[[#This Row],[disposedCourt]]&lt;=TrafficData[[#This Row],[totalCourt]])</f>
        <v>1</v>
      </c>
    </row>
    <row r="1747" spans="1:16">
      <c r="A1747" s="1">
        <v>43751</v>
      </c>
      <c r="B1747">
        <v>42632</v>
      </c>
      <c r="C1747">
        <v>29395</v>
      </c>
      <c r="D1747">
        <v>13237</v>
      </c>
      <c r="E1747">
        <v>6529475</v>
      </c>
      <c r="F1747">
        <v>38497993</v>
      </c>
      <c r="G1747">
        <v>45027468</v>
      </c>
      <c r="H1747">
        <v>7346</v>
      </c>
      <c r="I1747">
        <v>7063</v>
      </c>
      <c r="J1747">
        <v>14409</v>
      </c>
      <c r="K1747" t="b">
        <f>TrafficData[[#This Row],[disposedChallan]]+TrafficData[[#This Row],[pendingChallan]]=TrafficData[[#This Row],[totalChallan]]</f>
        <v>1</v>
      </c>
      <c r="L1747" t="b">
        <f>TrafficData[[#This Row],[pendingAmount]]+TrafficData[[#This Row],[disposedAmount]]=TrafficData[[#This Row],[totalAmount]]</f>
        <v>1</v>
      </c>
      <c r="M1747" t="b">
        <f>TrafficData[[#This Row],[pendingCourt]]+TrafficData[[#This Row],[disposedCourt]]=TrafficData[[#This Row],[totalCourt]]</f>
        <v>1</v>
      </c>
      <c r="N1747" s="8" t="b">
        <f>AND(TrafficData[[#This Row],[disposedChallan]]&lt;=TrafficData[[#This Row],[totalChallan]],TrafficData[[#This Row],[pendingChallan]]&lt;=TrafficData[[#This Row],[totalChallan]])</f>
        <v>1</v>
      </c>
      <c r="O1747" s="8" t="b">
        <f>AND(TrafficData[[#This Row],[pendingAmount]]&lt;=TrafficData[[#This Row],[totalAmount]],TrafficData[[#This Row],[disposedAmount]]&lt;=TrafficData[[#This Row],[totalAmount]])</f>
        <v>1</v>
      </c>
      <c r="P1747" s="8" t="b">
        <f>AND(TrafficData[[#This Row],[pendingCourt]]&lt;=TrafficData[[#This Row],[totalCourt]],TrafficData[[#This Row],[disposedCourt]]&lt;=TrafficData[[#This Row],[totalCourt]])</f>
        <v>1</v>
      </c>
    </row>
    <row r="1748" spans="1:16">
      <c r="A1748" s="1">
        <v>43752</v>
      </c>
      <c r="B1748">
        <v>53087</v>
      </c>
      <c r="C1748">
        <v>36355</v>
      </c>
      <c r="D1748">
        <v>16732</v>
      </c>
      <c r="E1748">
        <v>9992006</v>
      </c>
      <c r="F1748">
        <v>49272772</v>
      </c>
      <c r="G1748">
        <v>59264778</v>
      </c>
      <c r="H1748">
        <v>9395</v>
      </c>
      <c r="I1748">
        <v>8219</v>
      </c>
      <c r="J1748">
        <v>17614</v>
      </c>
      <c r="K1748" t="b">
        <f>TrafficData[[#This Row],[disposedChallan]]+TrafficData[[#This Row],[pendingChallan]]=TrafficData[[#This Row],[totalChallan]]</f>
        <v>1</v>
      </c>
      <c r="L1748" t="b">
        <f>TrafficData[[#This Row],[pendingAmount]]+TrafficData[[#This Row],[disposedAmount]]=TrafficData[[#This Row],[totalAmount]]</f>
        <v>1</v>
      </c>
      <c r="M1748" t="b">
        <f>TrafficData[[#This Row],[pendingCourt]]+TrafficData[[#This Row],[disposedCourt]]=TrafficData[[#This Row],[totalCourt]]</f>
        <v>1</v>
      </c>
      <c r="N1748" s="8" t="b">
        <f>AND(TrafficData[[#This Row],[disposedChallan]]&lt;=TrafficData[[#This Row],[totalChallan]],TrafficData[[#This Row],[pendingChallan]]&lt;=TrafficData[[#This Row],[totalChallan]])</f>
        <v>1</v>
      </c>
      <c r="O1748" s="8" t="b">
        <f>AND(TrafficData[[#This Row],[pendingAmount]]&lt;=TrafficData[[#This Row],[totalAmount]],TrafficData[[#This Row],[disposedAmount]]&lt;=TrafficData[[#This Row],[totalAmount]])</f>
        <v>1</v>
      </c>
      <c r="P1748" s="8" t="b">
        <f>AND(TrafficData[[#This Row],[pendingCourt]]&lt;=TrafficData[[#This Row],[totalCourt]],TrafficData[[#This Row],[disposedCourt]]&lt;=TrafficData[[#This Row],[totalCourt]])</f>
        <v>1</v>
      </c>
    </row>
    <row r="1749" spans="1:16">
      <c r="A1749" s="1">
        <v>43753</v>
      </c>
      <c r="B1749">
        <v>53986</v>
      </c>
      <c r="C1749">
        <v>36358</v>
      </c>
      <c r="D1749">
        <v>17628</v>
      </c>
      <c r="E1749">
        <v>11455990</v>
      </c>
      <c r="F1749">
        <v>53411051</v>
      </c>
      <c r="G1749">
        <v>64867041</v>
      </c>
      <c r="H1749">
        <v>10125</v>
      </c>
      <c r="I1749">
        <v>8247</v>
      </c>
      <c r="J1749">
        <v>18372</v>
      </c>
      <c r="K1749" t="b">
        <f>TrafficData[[#This Row],[disposedChallan]]+TrafficData[[#This Row],[pendingChallan]]=TrafficData[[#This Row],[totalChallan]]</f>
        <v>1</v>
      </c>
      <c r="L1749" t="b">
        <f>TrafficData[[#This Row],[pendingAmount]]+TrafficData[[#This Row],[disposedAmount]]=TrafficData[[#This Row],[totalAmount]]</f>
        <v>1</v>
      </c>
      <c r="M1749" t="b">
        <f>TrafficData[[#This Row],[pendingCourt]]+TrafficData[[#This Row],[disposedCourt]]=TrafficData[[#This Row],[totalCourt]]</f>
        <v>1</v>
      </c>
      <c r="N1749" s="8" t="b">
        <f>AND(TrafficData[[#This Row],[disposedChallan]]&lt;=TrafficData[[#This Row],[totalChallan]],TrafficData[[#This Row],[pendingChallan]]&lt;=TrafficData[[#This Row],[totalChallan]])</f>
        <v>1</v>
      </c>
      <c r="O1749" s="8" t="b">
        <f>AND(TrafficData[[#This Row],[pendingAmount]]&lt;=TrafficData[[#This Row],[totalAmount]],TrafficData[[#This Row],[disposedAmount]]&lt;=TrafficData[[#This Row],[totalAmount]])</f>
        <v>1</v>
      </c>
      <c r="P1749" s="8" t="b">
        <f>AND(TrafficData[[#This Row],[pendingCourt]]&lt;=TrafficData[[#This Row],[totalCourt]],TrafficData[[#This Row],[disposedCourt]]&lt;=TrafficData[[#This Row],[totalCourt]])</f>
        <v>1</v>
      </c>
    </row>
    <row r="1750" spans="1:16">
      <c r="A1750" s="1">
        <v>43754</v>
      </c>
      <c r="B1750">
        <v>54877</v>
      </c>
      <c r="C1750">
        <v>36490</v>
      </c>
      <c r="D1750">
        <v>18387</v>
      </c>
      <c r="E1750">
        <v>13703941</v>
      </c>
      <c r="F1750">
        <v>57900760</v>
      </c>
      <c r="G1750">
        <v>71604701</v>
      </c>
      <c r="H1750">
        <v>11834</v>
      </c>
      <c r="I1750">
        <v>9354</v>
      </c>
      <c r="J1750">
        <v>21188</v>
      </c>
      <c r="K1750" t="b">
        <f>TrafficData[[#This Row],[disposedChallan]]+TrafficData[[#This Row],[pendingChallan]]=TrafficData[[#This Row],[totalChallan]]</f>
        <v>1</v>
      </c>
      <c r="L1750" t="b">
        <f>TrafficData[[#This Row],[pendingAmount]]+TrafficData[[#This Row],[disposedAmount]]=TrafficData[[#This Row],[totalAmount]]</f>
        <v>1</v>
      </c>
      <c r="M1750" t="b">
        <f>TrafficData[[#This Row],[pendingCourt]]+TrafficData[[#This Row],[disposedCourt]]=TrafficData[[#This Row],[totalCourt]]</f>
        <v>1</v>
      </c>
      <c r="N1750" s="8" t="b">
        <f>AND(TrafficData[[#This Row],[disposedChallan]]&lt;=TrafficData[[#This Row],[totalChallan]],TrafficData[[#This Row],[pendingChallan]]&lt;=TrafficData[[#This Row],[totalChallan]])</f>
        <v>1</v>
      </c>
      <c r="O1750" s="8" t="b">
        <f>AND(TrafficData[[#This Row],[pendingAmount]]&lt;=TrafficData[[#This Row],[totalAmount]],TrafficData[[#This Row],[disposedAmount]]&lt;=TrafficData[[#This Row],[totalAmount]])</f>
        <v>1</v>
      </c>
      <c r="P1750" s="8" t="b">
        <f>AND(TrafficData[[#This Row],[pendingCourt]]&lt;=TrafficData[[#This Row],[totalCourt]],TrafficData[[#This Row],[disposedCourt]]&lt;=TrafficData[[#This Row],[totalCourt]])</f>
        <v>1</v>
      </c>
    </row>
    <row r="1751" spans="1:16">
      <c r="A1751" s="1">
        <v>43755</v>
      </c>
      <c r="B1751">
        <v>48225</v>
      </c>
      <c r="C1751">
        <v>33691</v>
      </c>
      <c r="D1751">
        <v>14534</v>
      </c>
      <c r="E1751">
        <v>10479771</v>
      </c>
      <c r="F1751">
        <v>54578410</v>
      </c>
      <c r="G1751">
        <v>65058181</v>
      </c>
      <c r="H1751">
        <v>8439</v>
      </c>
      <c r="I1751">
        <v>8877</v>
      </c>
      <c r="J1751">
        <v>17316</v>
      </c>
      <c r="K1751" t="b">
        <f>TrafficData[[#This Row],[disposedChallan]]+TrafficData[[#This Row],[pendingChallan]]=TrafficData[[#This Row],[totalChallan]]</f>
        <v>1</v>
      </c>
      <c r="L1751" t="b">
        <f>TrafficData[[#This Row],[pendingAmount]]+TrafficData[[#This Row],[disposedAmount]]=TrafficData[[#This Row],[totalAmount]]</f>
        <v>1</v>
      </c>
      <c r="M1751" t="b">
        <f>TrafficData[[#This Row],[pendingCourt]]+TrafficData[[#This Row],[disposedCourt]]=TrafficData[[#This Row],[totalCourt]]</f>
        <v>1</v>
      </c>
      <c r="N1751" s="8" t="b">
        <f>AND(TrafficData[[#This Row],[disposedChallan]]&lt;=TrafficData[[#This Row],[totalChallan]],TrafficData[[#This Row],[pendingChallan]]&lt;=TrafficData[[#This Row],[totalChallan]])</f>
        <v>1</v>
      </c>
      <c r="O1751" s="8" t="b">
        <f>AND(TrafficData[[#This Row],[pendingAmount]]&lt;=TrafficData[[#This Row],[totalAmount]],TrafficData[[#This Row],[disposedAmount]]&lt;=TrafficData[[#This Row],[totalAmount]])</f>
        <v>1</v>
      </c>
      <c r="P1751" s="8" t="b">
        <f>AND(TrafficData[[#This Row],[pendingCourt]]&lt;=TrafficData[[#This Row],[totalCourt]],TrafficData[[#This Row],[disposedCourt]]&lt;=TrafficData[[#This Row],[totalCourt]])</f>
        <v>1</v>
      </c>
    </row>
    <row r="1752" spans="1:16">
      <c r="A1752" s="1">
        <v>43756</v>
      </c>
      <c r="B1752">
        <v>56735</v>
      </c>
      <c r="C1752">
        <v>38670</v>
      </c>
      <c r="D1752">
        <v>18065</v>
      </c>
      <c r="E1752">
        <v>11744350</v>
      </c>
      <c r="F1752">
        <v>55660344</v>
      </c>
      <c r="G1752">
        <v>67404694</v>
      </c>
      <c r="H1752">
        <v>10412</v>
      </c>
      <c r="I1752">
        <v>9634</v>
      </c>
      <c r="J1752">
        <v>20046</v>
      </c>
      <c r="K1752" t="b">
        <f>TrafficData[[#This Row],[disposedChallan]]+TrafficData[[#This Row],[pendingChallan]]=TrafficData[[#This Row],[totalChallan]]</f>
        <v>1</v>
      </c>
      <c r="L1752" t="b">
        <f>TrafficData[[#This Row],[pendingAmount]]+TrafficData[[#This Row],[disposedAmount]]=TrafficData[[#This Row],[totalAmount]]</f>
        <v>1</v>
      </c>
      <c r="M1752" t="b">
        <f>TrafficData[[#This Row],[pendingCourt]]+TrafficData[[#This Row],[disposedCourt]]=TrafficData[[#This Row],[totalCourt]]</f>
        <v>1</v>
      </c>
      <c r="N1752" s="8" t="b">
        <f>AND(TrafficData[[#This Row],[disposedChallan]]&lt;=TrafficData[[#This Row],[totalChallan]],TrafficData[[#This Row],[pendingChallan]]&lt;=TrafficData[[#This Row],[totalChallan]])</f>
        <v>1</v>
      </c>
      <c r="O1752" s="8" t="b">
        <f>AND(TrafficData[[#This Row],[pendingAmount]]&lt;=TrafficData[[#This Row],[totalAmount]],TrafficData[[#This Row],[disposedAmount]]&lt;=TrafficData[[#This Row],[totalAmount]])</f>
        <v>1</v>
      </c>
      <c r="P1752" s="8" t="b">
        <f>AND(TrafficData[[#This Row],[pendingCourt]]&lt;=TrafficData[[#This Row],[totalCourt]],TrafficData[[#This Row],[disposedCourt]]&lt;=TrafficData[[#This Row],[totalCourt]])</f>
        <v>1</v>
      </c>
    </row>
    <row r="1753" spans="1:16">
      <c r="A1753" s="1">
        <v>43757</v>
      </c>
      <c r="B1753">
        <v>53495</v>
      </c>
      <c r="C1753">
        <v>37637</v>
      </c>
      <c r="D1753">
        <v>15858</v>
      </c>
      <c r="E1753">
        <v>9831200</v>
      </c>
      <c r="F1753">
        <v>57626246</v>
      </c>
      <c r="G1753">
        <v>67457446</v>
      </c>
      <c r="H1753">
        <v>8990</v>
      </c>
      <c r="I1753">
        <v>9565</v>
      </c>
      <c r="J1753">
        <v>18555</v>
      </c>
      <c r="K1753" t="b">
        <f>TrafficData[[#This Row],[disposedChallan]]+TrafficData[[#This Row],[pendingChallan]]=TrafficData[[#This Row],[totalChallan]]</f>
        <v>1</v>
      </c>
      <c r="L1753" t="b">
        <f>TrafficData[[#This Row],[pendingAmount]]+TrafficData[[#This Row],[disposedAmount]]=TrafficData[[#This Row],[totalAmount]]</f>
        <v>1</v>
      </c>
      <c r="M1753" t="b">
        <f>TrafficData[[#This Row],[pendingCourt]]+TrafficData[[#This Row],[disposedCourt]]=TrafficData[[#This Row],[totalCourt]]</f>
        <v>1</v>
      </c>
      <c r="N1753" s="8" t="b">
        <f>AND(TrafficData[[#This Row],[disposedChallan]]&lt;=TrafficData[[#This Row],[totalChallan]],TrafficData[[#This Row],[pendingChallan]]&lt;=TrafficData[[#This Row],[totalChallan]])</f>
        <v>1</v>
      </c>
      <c r="O1753" s="8" t="b">
        <f>AND(TrafficData[[#This Row],[pendingAmount]]&lt;=TrafficData[[#This Row],[totalAmount]],TrafficData[[#This Row],[disposedAmount]]&lt;=TrafficData[[#This Row],[totalAmount]])</f>
        <v>1</v>
      </c>
      <c r="P1753" s="8" t="b">
        <f>AND(TrafficData[[#This Row],[pendingCourt]]&lt;=TrafficData[[#This Row],[totalCourt]],TrafficData[[#This Row],[disposedCourt]]&lt;=TrafficData[[#This Row],[totalCourt]])</f>
        <v>1</v>
      </c>
    </row>
    <row r="1754" spans="1:16">
      <c r="A1754" s="1">
        <v>43758</v>
      </c>
      <c r="B1754">
        <v>43779</v>
      </c>
      <c r="C1754">
        <v>29814</v>
      </c>
      <c r="D1754">
        <v>13965</v>
      </c>
      <c r="E1754">
        <v>7104282</v>
      </c>
      <c r="F1754">
        <v>44254892</v>
      </c>
      <c r="G1754">
        <v>51359174</v>
      </c>
      <c r="H1754">
        <v>8330</v>
      </c>
      <c r="I1754">
        <v>8588</v>
      </c>
      <c r="J1754">
        <v>16918</v>
      </c>
      <c r="K1754" t="b">
        <f>TrafficData[[#This Row],[disposedChallan]]+TrafficData[[#This Row],[pendingChallan]]=TrafficData[[#This Row],[totalChallan]]</f>
        <v>1</v>
      </c>
      <c r="L1754" t="b">
        <f>TrafficData[[#This Row],[pendingAmount]]+TrafficData[[#This Row],[disposedAmount]]=TrafficData[[#This Row],[totalAmount]]</f>
        <v>1</v>
      </c>
      <c r="M1754" t="b">
        <f>TrafficData[[#This Row],[pendingCourt]]+TrafficData[[#This Row],[disposedCourt]]=TrafficData[[#This Row],[totalCourt]]</f>
        <v>1</v>
      </c>
      <c r="N1754" s="8" t="b">
        <f>AND(TrafficData[[#This Row],[disposedChallan]]&lt;=TrafficData[[#This Row],[totalChallan]],TrafficData[[#This Row],[pendingChallan]]&lt;=TrafficData[[#This Row],[totalChallan]])</f>
        <v>1</v>
      </c>
      <c r="O1754" s="8" t="b">
        <f>AND(TrafficData[[#This Row],[pendingAmount]]&lt;=TrafficData[[#This Row],[totalAmount]],TrafficData[[#This Row],[disposedAmount]]&lt;=TrafficData[[#This Row],[totalAmount]])</f>
        <v>1</v>
      </c>
      <c r="P1754" s="8" t="b">
        <f>AND(TrafficData[[#This Row],[pendingCourt]]&lt;=TrafficData[[#This Row],[totalCourt]],TrafficData[[#This Row],[disposedCourt]]&lt;=TrafficData[[#This Row],[totalCourt]])</f>
        <v>1</v>
      </c>
    </row>
    <row r="1755" spans="1:16">
      <c r="A1755" s="1">
        <v>43759</v>
      </c>
      <c r="B1755">
        <v>50434</v>
      </c>
      <c r="C1755">
        <v>34266</v>
      </c>
      <c r="D1755">
        <v>16168</v>
      </c>
      <c r="E1755">
        <v>11707603</v>
      </c>
      <c r="F1755">
        <v>52586760</v>
      </c>
      <c r="G1755">
        <v>64294363</v>
      </c>
      <c r="H1755">
        <v>9704</v>
      </c>
      <c r="I1755">
        <v>9322</v>
      </c>
      <c r="J1755">
        <v>19026</v>
      </c>
      <c r="K1755" t="b">
        <f>TrafficData[[#This Row],[disposedChallan]]+TrafficData[[#This Row],[pendingChallan]]=TrafficData[[#This Row],[totalChallan]]</f>
        <v>1</v>
      </c>
      <c r="L1755" t="b">
        <f>TrafficData[[#This Row],[pendingAmount]]+TrafficData[[#This Row],[disposedAmount]]=TrafficData[[#This Row],[totalAmount]]</f>
        <v>1</v>
      </c>
      <c r="M1755" t="b">
        <f>TrafficData[[#This Row],[pendingCourt]]+TrafficData[[#This Row],[disposedCourt]]=TrafficData[[#This Row],[totalCourt]]</f>
        <v>1</v>
      </c>
      <c r="N1755" s="8" t="b">
        <f>AND(TrafficData[[#This Row],[disposedChallan]]&lt;=TrafficData[[#This Row],[totalChallan]],TrafficData[[#This Row],[pendingChallan]]&lt;=TrafficData[[#This Row],[totalChallan]])</f>
        <v>1</v>
      </c>
      <c r="O1755" s="8" t="b">
        <f>AND(TrafficData[[#This Row],[pendingAmount]]&lt;=TrafficData[[#This Row],[totalAmount]],TrafficData[[#This Row],[disposedAmount]]&lt;=TrafficData[[#This Row],[totalAmount]])</f>
        <v>1</v>
      </c>
      <c r="P1755" s="8" t="b">
        <f>AND(TrafficData[[#This Row],[pendingCourt]]&lt;=TrafficData[[#This Row],[totalCourt]],TrafficData[[#This Row],[disposedCourt]]&lt;=TrafficData[[#This Row],[totalCourt]])</f>
        <v>1</v>
      </c>
    </row>
    <row r="1756" spans="1:16">
      <c r="A1756" s="1">
        <v>43760</v>
      </c>
      <c r="B1756">
        <v>52395</v>
      </c>
      <c r="C1756">
        <v>35970</v>
      </c>
      <c r="D1756">
        <v>16425</v>
      </c>
      <c r="E1756">
        <v>11625457</v>
      </c>
      <c r="F1756">
        <v>59826618</v>
      </c>
      <c r="G1756">
        <v>71452075</v>
      </c>
      <c r="H1756">
        <v>10033</v>
      </c>
      <c r="I1756">
        <v>9946</v>
      </c>
      <c r="J1756">
        <v>19979</v>
      </c>
      <c r="K1756" t="b">
        <f>TrafficData[[#This Row],[disposedChallan]]+TrafficData[[#This Row],[pendingChallan]]=TrafficData[[#This Row],[totalChallan]]</f>
        <v>1</v>
      </c>
      <c r="L1756" t="b">
        <f>TrafficData[[#This Row],[pendingAmount]]+TrafficData[[#This Row],[disposedAmount]]=TrafficData[[#This Row],[totalAmount]]</f>
        <v>1</v>
      </c>
      <c r="M1756" t="b">
        <f>TrafficData[[#This Row],[pendingCourt]]+TrafficData[[#This Row],[disposedCourt]]=TrafficData[[#This Row],[totalCourt]]</f>
        <v>1</v>
      </c>
      <c r="N1756" s="8" t="b">
        <f>AND(TrafficData[[#This Row],[disposedChallan]]&lt;=TrafficData[[#This Row],[totalChallan]],TrafficData[[#This Row],[pendingChallan]]&lt;=TrafficData[[#This Row],[totalChallan]])</f>
        <v>1</v>
      </c>
      <c r="O1756" s="8" t="b">
        <f>AND(TrafficData[[#This Row],[pendingAmount]]&lt;=TrafficData[[#This Row],[totalAmount]],TrafficData[[#This Row],[disposedAmount]]&lt;=TrafficData[[#This Row],[totalAmount]])</f>
        <v>1</v>
      </c>
      <c r="P1756" s="8" t="b">
        <f>AND(TrafficData[[#This Row],[pendingCourt]]&lt;=TrafficData[[#This Row],[totalCourt]],TrafficData[[#This Row],[disposedCourt]]&lt;=TrafficData[[#This Row],[totalCourt]])</f>
        <v>1</v>
      </c>
    </row>
    <row r="1757" spans="1:16">
      <c r="A1757" s="1">
        <v>43761</v>
      </c>
      <c r="B1757">
        <v>56389</v>
      </c>
      <c r="C1757">
        <v>37865</v>
      </c>
      <c r="D1757">
        <v>18524</v>
      </c>
      <c r="E1757">
        <v>15395149</v>
      </c>
      <c r="F1757">
        <v>60125218</v>
      </c>
      <c r="G1757">
        <v>75520367</v>
      </c>
      <c r="H1757">
        <v>11742</v>
      </c>
      <c r="I1757">
        <v>10615</v>
      </c>
      <c r="J1757">
        <v>22357</v>
      </c>
      <c r="K1757" t="b">
        <f>TrafficData[[#This Row],[disposedChallan]]+TrafficData[[#This Row],[pendingChallan]]=TrafficData[[#This Row],[totalChallan]]</f>
        <v>1</v>
      </c>
      <c r="L1757" t="b">
        <f>TrafficData[[#This Row],[pendingAmount]]+TrafficData[[#This Row],[disposedAmount]]=TrafficData[[#This Row],[totalAmount]]</f>
        <v>1</v>
      </c>
      <c r="M1757" t="b">
        <f>TrafficData[[#This Row],[pendingCourt]]+TrafficData[[#This Row],[disposedCourt]]=TrafficData[[#This Row],[totalCourt]]</f>
        <v>1</v>
      </c>
      <c r="N1757" s="8" t="b">
        <f>AND(TrafficData[[#This Row],[disposedChallan]]&lt;=TrafficData[[#This Row],[totalChallan]],TrafficData[[#This Row],[pendingChallan]]&lt;=TrafficData[[#This Row],[totalChallan]])</f>
        <v>1</v>
      </c>
      <c r="O1757" s="8" t="b">
        <f>AND(TrafficData[[#This Row],[pendingAmount]]&lt;=TrafficData[[#This Row],[totalAmount]],TrafficData[[#This Row],[disposedAmount]]&lt;=TrafficData[[#This Row],[totalAmount]])</f>
        <v>1</v>
      </c>
      <c r="P1757" s="8" t="b">
        <f>AND(TrafficData[[#This Row],[pendingCourt]]&lt;=TrafficData[[#This Row],[totalCourt]],TrafficData[[#This Row],[disposedCourt]]&lt;=TrafficData[[#This Row],[totalCourt]])</f>
        <v>1</v>
      </c>
    </row>
    <row r="1758" spans="1:16">
      <c r="A1758" s="1">
        <v>43762</v>
      </c>
      <c r="B1758">
        <v>47505</v>
      </c>
      <c r="C1758">
        <v>31326</v>
      </c>
      <c r="D1758">
        <v>16179</v>
      </c>
      <c r="E1758">
        <v>12001375</v>
      </c>
      <c r="F1758">
        <v>53766475</v>
      </c>
      <c r="G1758">
        <v>65767850</v>
      </c>
      <c r="H1758">
        <v>10118</v>
      </c>
      <c r="I1758">
        <v>8699</v>
      </c>
      <c r="J1758">
        <v>18817</v>
      </c>
      <c r="K1758" t="b">
        <f>TrafficData[[#This Row],[disposedChallan]]+TrafficData[[#This Row],[pendingChallan]]=TrafficData[[#This Row],[totalChallan]]</f>
        <v>1</v>
      </c>
      <c r="L1758" t="b">
        <f>TrafficData[[#This Row],[pendingAmount]]+TrafficData[[#This Row],[disposedAmount]]=TrafficData[[#This Row],[totalAmount]]</f>
        <v>1</v>
      </c>
      <c r="M1758" t="b">
        <f>TrafficData[[#This Row],[pendingCourt]]+TrafficData[[#This Row],[disposedCourt]]=TrafficData[[#This Row],[totalCourt]]</f>
        <v>1</v>
      </c>
      <c r="N1758" s="8" t="b">
        <f>AND(TrafficData[[#This Row],[disposedChallan]]&lt;=TrafficData[[#This Row],[totalChallan]],TrafficData[[#This Row],[pendingChallan]]&lt;=TrafficData[[#This Row],[totalChallan]])</f>
        <v>1</v>
      </c>
      <c r="O1758" s="8" t="b">
        <f>AND(TrafficData[[#This Row],[pendingAmount]]&lt;=TrafficData[[#This Row],[totalAmount]],TrafficData[[#This Row],[disposedAmount]]&lt;=TrafficData[[#This Row],[totalAmount]])</f>
        <v>1</v>
      </c>
      <c r="P1758" s="8" t="b">
        <f>AND(TrafficData[[#This Row],[pendingCourt]]&lt;=TrafficData[[#This Row],[totalCourt]],TrafficData[[#This Row],[disposedCourt]]&lt;=TrafficData[[#This Row],[totalCourt]])</f>
        <v>1</v>
      </c>
    </row>
    <row r="1759" spans="1:16">
      <c r="A1759" s="1">
        <v>43763</v>
      </c>
      <c r="B1759">
        <v>51100</v>
      </c>
      <c r="C1759">
        <v>30021</v>
      </c>
      <c r="D1759">
        <v>21079</v>
      </c>
      <c r="E1759">
        <v>12189525</v>
      </c>
      <c r="F1759">
        <v>44876084</v>
      </c>
      <c r="G1759">
        <v>57065609</v>
      </c>
      <c r="H1759">
        <v>15289</v>
      </c>
      <c r="I1759">
        <v>8562</v>
      </c>
      <c r="J1759">
        <v>23851</v>
      </c>
      <c r="K1759" t="b">
        <f>TrafficData[[#This Row],[disposedChallan]]+TrafficData[[#This Row],[pendingChallan]]=TrafficData[[#This Row],[totalChallan]]</f>
        <v>1</v>
      </c>
      <c r="L1759" t="b">
        <f>TrafficData[[#This Row],[pendingAmount]]+TrafficData[[#This Row],[disposedAmount]]=TrafficData[[#This Row],[totalAmount]]</f>
        <v>1</v>
      </c>
      <c r="M1759" t="b">
        <f>TrafficData[[#This Row],[pendingCourt]]+TrafficData[[#This Row],[disposedCourt]]=TrafficData[[#This Row],[totalCourt]]</f>
        <v>1</v>
      </c>
      <c r="N1759" s="8" t="b">
        <f>AND(TrafficData[[#This Row],[disposedChallan]]&lt;=TrafficData[[#This Row],[totalChallan]],TrafficData[[#This Row],[pendingChallan]]&lt;=TrafficData[[#This Row],[totalChallan]])</f>
        <v>1</v>
      </c>
      <c r="O1759" s="8" t="b">
        <f>AND(TrafficData[[#This Row],[pendingAmount]]&lt;=TrafficData[[#This Row],[totalAmount]],TrafficData[[#This Row],[disposedAmount]]&lt;=TrafficData[[#This Row],[totalAmount]])</f>
        <v>1</v>
      </c>
      <c r="P1759" s="8" t="b">
        <f>AND(TrafficData[[#This Row],[pendingCourt]]&lt;=TrafficData[[#This Row],[totalCourt]],TrafficData[[#This Row],[disposedCourt]]&lt;=TrafficData[[#This Row],[totalCourt]])</f>
        <v>1</v>
      </c>
    </row>
    <row r="1760" spans="1:16">
      <c r="A1760" s="1">
        <v>43764</v>
      </c>
      <c r="B1760">
        <v>39200</v>
      </c>
      <c r="C1760">
        <v>20947</v>
      </c>
      <c r="D1760">
        <v>18253</v>
      </c>
      <c r="E1760">
        <v>5559980</v>
      </c>
      <c r="F1760">
        <v>29046494</v>
      </c>
      <c r="G1760">
        <v>34606474</v>
      </c>
      <c r="H1760">
        <v>14291</v>
      </c>
      <c r="I1760">
        <v>6333</v>
      </c>
      <c r="J1760">
        <v>20624</v>
      </c>
      <c r="K1760" t="b">
        <f>TrafficData[[#This Row],[disposedChallan]]+TrafficData[[#This Row],[pendingChallan]]=TrafficData[[#This Row],[totalChallan]]</f>
        <v>1</v>
      </c>
      <c r="L1760" t="b">
        <f>TrafficData[[#This Row],[pendingAmount]]+TrafficData[[#This Row],[disposedAmount]]=TrafficData[[#This Row],[totalAmount]]</f>
        <v>1</v>
      </c>
      <c r="M1760" t="b">
        <f>TrafficData[[#This Row],[pendingCourt]]+TrafficData[[#This Row],[disposedCourt]]=TrafficData[[#This Row],[totalCourt]]</f>
        <v>1</v>
      </c>
      <c r="N1760" s="8" t="b">
        <f>AND(TrafficData[[#This Row],[disposedChallan]]&lt;=TrafficData[[#This Row],[totalChallan]],TrafficData[[#This Row],[pendingChallan]]&lt;=TrafficData[[#This Row],[totalChallan]])</f>
        <v>1</v>
      </c>
      <c r="O1760" s="8" t="b">
        <f>AND(TrafficData[[#This Row],[pendingAmount]]&lt;=TrafficData[[#This Row],[totalAmount]],TrafficData[[#This Row],[disposedAmount]]&lt;=TrafficData[[#This Row],[totalAmount]])</f>
        <v>1</v>
      </c>
      <c r="P1760" s="8" t="b">
        <f>AND(TrafficData[[#This Row],[pendingCourt]]&lt;=TrafficData[[#This Row],[totalCourt]],TrafficData[[#This Row],[disposedCourt]]&lt;=TrafficData[[#This Row],[totalCourt]])</f>
        <v>1</v>
      </c>
    </row>
    <row r="1761" spans="1:16">
      <c r="A1761" s="1">
        <v>43765</v>
      </c>
      <c r="B1761">
        <v>21401</v>
      </c>
      <c r="C1761">
        <v>7885</v>
      </c>
      <c r="D1761">
        <v>13516</v>
      </c>
      <c r="E1761">
        <v>2706210</v>
      </c>
      <c r="F1761">
        <v>12424670</v>
      </c>
      <c r="G1761">
        <v>15130880</v>
      </c>
      <c r="H1761">
        <v>12403</v>
      </c>
      <c r="I1761">
        <v>2754</v>
      </c>
      <c r="J1761">
        <v>15157</v>
      </c>
      <c r="K1761" t="b">
        <f>TrafficData[[#This Row],[disposedChallan]]+TrafficData[[#This Row],[pendingChallan]]=TrafficData[[#This Row],[totalChallan]]</f>
        <v>1</v>
      </c>
      <c r="L1761" t="b">
        <f>TrafficData[[#This Row],[pendingAmount]]+TrafficData[[#This Row],[disposedAmount]]=TrafficData[[#This Row],[totalAmount]]</f>
        <v>1</v>
      </c>
      <c r="M1761" t="b">
        <f>TrafficData[[#This Row],[pendingCourt]]+TrafficData[[#This Row],[disposedCourt]]=TrafficData[[#This Row],[totalCourt]]</f>
        <v>1</v>
      </c>
      <c r="N1761" s="8" t="b">
        <f>AND(TrafficData[[#This Row],[disposedChallan]]&lt;=TrafficData[[#This Row],[totalChallan]],TrafficData[[#This Row],[pendingChallan]]&lt;=TrafficData[[#This Row],[totalChallan]])</f>
        <v>1</v>
      </c>
      <c r="O1761" s="8" t="b">
        <f>AND(TrafficData[[#This Row],[pendingAmount]]&lt;=TrafficData[[#This Row],[totalAmount]],TrafficData[[#This Row],[disposedAmount]]&lt;=TrafficData[[#This Row],[totalAmount]])</f>
        <v>1</v>
      </c>
      <c r="P1761" s="8" t="b">
        <f>AND(TrafficData[[#This Row],[pendingCourt]]&lt;=TrafficData[[#This Row],[totalCourt]],TrafficData[[#This Row],[disposedCourt]]&lt;=TrafficData[[#This Row],[totalCourt]])</f>
        <v>1</v>
      </c>
    </row>
    <row r="1762" spans="1:16">
      <c r="A1762" s="1">
        <v>43766</v>
      </c>
      <c r="B1762">
        <v>43071</v>
      </c>
      <c r="C1762">
        <v>19776</v>
      </c>
      <c r="D1762">
        <v>23295</v>
      </c>
      <c r="E1762">
        <v>3773560</v>
      </c>
      <c r="F1762">
        <v>18399261</v>
      </c>
      <c r="G1762">
        <v>22172821</v>
      </c>
      <c r="H1762">
        <v>17860</v>
      </c>
      <c r="I1762">
        <v>4865</v>
      </c>
      <c r="J1762">
        <v>22725</v>
      </c>
      <c r="K1762" t="b">
        <f>TrafficData[[#This Row],[disposedChallan]]+TrafficData[[#This Row],[pendingChallan]]=TrafficData[[#This Row],[totalChallan]]</f>
        <v>1</v>
      </c>
      <c r="L1762" t="b">
        <f>TrafficData[[#This Row],[pendingAmount]]+TrafficData[[#This Row],[disposedAmount]]=TrafficData[[#This Row],[totalAmount]]</f>
        <v>1</v>
      </c>
      <c r="M1762" t="b">
        <f>TrafficData[[#This Row],[pendingCourt]]+TrafficData[[#This Row],[disposedCourt]]=TrafficData[[#This Row],[totalCourt]]</f>
        <v>1</v>
      </c>
      <c r="N1762" s="8" t="b">
        <f>AND(TrafficData[[#This Row],[disposedChallan]]&lt;=TrafficData[[#This Row],[totalChallan]],TrafficData[[#This Row],[pendingChallan]]&lt;=TrafficData[[#This Row],[totalChallan]])</f>
        <v>1</v>
      </c>
      <c r="O1762" s="8" t="b">
        <f>AND(TrafficData[[#This Row],[pendingAmount]]&lt;=TrafficData[[#This Row],[totalAmount]],TrafficData[[#This Row],[disposedAmount]]&lt;=TrafficData[[#This Row],[totalAmount]])</f>
        <v>1</v>
      </c>
      <c r="P1762" s="8" t="b">
        <f>AND(TrafficData[[#This Row],[pendingCourt]]&lt;=TrafficData[[#This Row],[totalCourt]],TrafficData[[#This Row],[disposedCourt]]&lt;=TrafficData[[#This Row],[totalCourt]])</f>
        <v>1</v>
      </c>
    </row>
    <row r="1763" spans="1:16">
      <c r="A1763" s="1">
        <v>43767</v>
      </c>
      <c r="B1763">
        <v>48847</v>
      </c>
      <c r="C1763">
        <v>25112</v>
      </c>
      <c r="D1763">
        <v>23735</v>
      </c>
      <c r="E1763">
        <v>5376689</v>
      </c>
      <c r="F1763">
        <v>27738388</v>
      </c>
      <c r="G1763">
        <v>33115077</v>
      </c>
      <c r="H1763">
        <v>18775</v>
      </c>
      <c r="I1763">
        <v>7425</v>
      </c>
      <c r="J1763">
        <v>26200</v>
      </c>
      <c r="K1763" t="b">
        <f>TrafficData[[#This Row],[disposedChallan]]+TrafficData[[#This Row],[pendingChallan]]=TrafficData[[#This Row],[totalChallan]]</f>
        <v>1</v>
      </c>
      <c r="L1763" t="b">
        <f>TrafficData[[#This Row],[pendingAmount]]+TrafficData[[#This Row],[disposedAmount]]=TrafficData[[#This Row],[totalAmount]]</f>
        <v>1</v>
      </c>
      <c r="M1763" t="b">
        <f>TrafficData[[#This Row],[pendingCourt]]+TrafficData[[#This Row],[disposedCourt]]=TrafficData[[#This Row],[totalCourt]]</f>
        <v>1</v>
      </c>
      <c r="N1763" s="8" t="b">
        <f>AND(TrafficData[[#This Row],[disposedChallan]]&lt;=TrafficData[[#This Row],[totalChallan]],TrafficData[[#This Row],[pendingChallan]]&lt;=TrafficData[[#This Row],[totalChallan]])</f>
        <v>1</v>
      </c>
      <c r="O1763" s="8" t="b">
        <f>AND(TrafficData[[#This Row],[pendingAmount]]&lt;=TrafficData[[#This Row],[totalAmount]],TrafficData[[#This Row],[disposedAmount]]&lt;=TrafficData[[#This Row],[totalAmount]])</f>
        <v>1</v>
      </c>
      <c r="P1763" s="8" t="b">
        <f>AND(TrafficData[[#This Row],[pendingCourt]]&lt;=TrafficData[[#This Row],[totalCourt]],TrafficData[[#This Row],[disposedCourt]]&lt;=TrafficData[[#This Row],[totalCourt]])</f>
        <v>1</v>
      </c>
    </row>
    <row r="1764" spans="1:16">
      <c r="A1764" s="1">
        <v>43768</v>
      </c>
      <c r="B1764">
        <v>47874</v>
      </c>
      <c r="C1764">
        <v>25488</v>
      </c>
      <c r="D1764">
        <v>22386</v>
      </c>
      <c r="E1764">
        <v>8653955</v>
      </c>
      <c r="F1764">
        <v>40298689</v>
      </c>
      <c r="G1764">
        <v>48952644</v>
      </c>
      <c r="H1764">
        <v>18294</v>
      </c>
      <c r="I1764">
        <v>8286</v>
      </c>
      <c r="J1764">
        <v>26580</v>
      </c>
      <c r="K1764" t="b">
        <f>TrafficData[[#This Row],[disposedChallan]]+TrafficData[[#This Row],[pendingChallan]]=TrafficData[[#This Row],[totalChallan]]</f>
        <v>1</v>
      </c>
      <c r="L1764" t="b">
        <f>TrafficData[[#This Row],[pendingAmount]]+TrafficData[[#This Row],[disposedAmount]]=TrafficData[[#This Row],[totalAmount]]</f>
        <v>1</v>
      </c>
      <c r="M1764" t="b">
        <f>TrafficData[[#This Row],[pendingCourt]]+TrafficData[[#This Row],[disposedCourt]]=TrafficData[[#This Row],[totalCourt]]</f>
        <v>1</v>
      </c>
      <c r="N1764" s="8" t="b">
        <f>AND(TrafficData[[#This Row],[disposedChallan]]&lt;=TrafficData[[#This Row],[totalChallan]],TrafficData[[#This Row],[pendingChallan]]&lt;=TrafficData[[#This Row],[totalChallan]])</f>
        <v>1</v>
      </c>
      <c r="O1764" s="8" t="b">
        <f>AND(TrafficData[[#This Row],[pendingAmount]]&lt;=TrafficData[[#This Row],[totalAmount]],TrafficData[[#This Row],[disposedAmount]]&lt;=TrafficData[[#This Row],[totalAmount]])</f>
        <v>1</v>
      </c>
      <c r="P1764" s="8" t="b">
        <f>AND(TrafficData[[#This Row],[pendingCourt]]&lt;=TrafficData[[#This Row],[totalCourt]],TrafficData[[#This Row],[disposedCourt]]&lt;=TrafficData[[#This Row],[totalCourt]])</f>
        <v>1</v>
      </c>
    </row>
    <row r="1765" spans="1:16">
      <c r="A1765" s="1">
        <v>43769</v>
      </c>
      <c r="B1765">
        <v>50724</v>
      </c>
      <c r="C1765">
        <v>29678</v>
      </c>
      <c r="D1765">
        <v>21046</v>
      </c>
      <c r="E1765">
        <v>10874020</v>
      </c>
      <c r="F1765">
        <v>47757908</v>
      </c>
      <c r="G1765">
        <v>58631928</v>
      </c>
      <c r="H1765">
        <v>15524</v>
      </c>
      <c r="I1765">
        <v>7817</v>
      </c>
      <c r="J1765">
        <v>23341</v>
      </c>
      <c r="K1765" t="b">
        <f>TrafficData[[#This Row],[disposedChallan]]+TrafficData[[#This Row],[pendingChallan]]=TrafficData[[#This Row],[totalChallan]]</f>
        <v>1</v>
      </c>
      <c r="L1765" t="b">
        <f>TrafficData[[#This Row],[pendingAmount]]+TrafficData[[#This Row],[disposedAmount]]=TrafficData[[#This Row],[totalAmount]]</f>
        <v>1</v>
      </c>
      <c r="M1765" t="b">
        <f>TrafficData[[#This Row],[pendingCourt]]+TrafficData[[#This Row],[disposedCourt]]=TrafficData[[#This Row],[totalCourt]]</f>
        <v>1</v>
      </c>
      <c r="N1765" s="8" t="b">
        <f>AND(TrafficData[[#This Row],[disposedChallan]]&lt;=TrafficData[[#This Row],[totalChallan]],TrafficData[[#This Row],[pendingChallan]]&lt;=TrafficData[[#This Row],[totalChallan]])</f>
        <v>1</v>
      </c>
      <c r="O1765" s="8" t="b">
        <f>AND(TrafficData[[#This Row],[pendingAmount]]&lt;=TrafficData[[#This Row],[totalAmount]],TrafficData[[#This Row],[disposedAmount]]&lt;=TrafficData[[#This Row],[totalAmount]])</f>
        <v>1</v>
      </c>
      <c r="P1765" s="8" t="b">
        <f>AND(TrafficData[[#This Row],[pendingCourt]]&lt;=TrafficData[[#This Row],[totalCourt]],TrafficData[[#This Row],[disposedCourt]]&lt;=TrafficData[[#This Row],[totalCourt]])</f>
        <v>1</v>
      </c>
    </row>
    <row r="1766" spans="1:16">
      <c r="A1766" s="1">
        <v>43770</v>
      </c>
      <c r="B1766">
        <v>64005</v>
      </c>
      <c r="C1766">
        <v>38220</v>
      </c>
      <c r="D1766">
        <v>25785</v>
      </c>
      <c r="E1766">
        <v>14887686</v>
      </c>
      <c r="F1766">
        <v>57309757</v>
      </c>
      <c r="G1766">
        <v>72197443</v>
      </c>
      <c r="H1766">
        <v>18650</v>
      </c>
      <c r="I1766">
        <v>8806</v>
      </c>
      <c r="J1766">
        <v>27456</v>
      </c>
      <c r="K1766" t="b">
        <f>TrafficData[[#This Row],[disposedChallan]]+TrafficData[[#This Row],[pendingChallan]]=TrafficData[[#This Row],[totalChallan]]</f>
        <v>1</v>
      </c>
      <c r="L1766" t="b">
        <f>TrafficData[[#This Row],[pendingAmount]]+TrafficData[[#This Row],[disposedAmount]]=TrafficData[[#This Row],[totalAmount]]</f>
        <v>1</v>
      </c>
      <c r="M1766" t="b">
        <f>TrafficData[[#This Row],[pendingCourt]]+TrafficData[[#This Row],[disposedCourt]]=TrafficData[[#This Row],[totalCourt]]</f>
        <v>1</v>
      </c>
      <c r="N1766" s="8" t="b">
        <f>AND(TrafficData[[#This Row],[disposedChallan]]&lt;=TrafficData[[#This Row],[totalChallan]],TrafficData[[#This Row],[pendingChallan]]&lt;=TrafficData[[#This Row],[totalChallan]])</f>
        <v>1</v>
      </c>
      <c r="O1766" s="8" t="b">
        <f>AND(TrafficData[[#This Row],[pendingAmount]]&lt;=TrafficData[[#This Row],[totalAmount]],TrafficData[[#This Row],[disposedAmount]]&lt;=TrafficData[[#This Row],[totalAmount]])</f>
        <v>1</v>
      </c>
      <c r="P1766" s="8" t="b">
        <f>AND(TrafficData[[#This Row],[pendingCourt]]&lt;=TrafficData[[#This Row],[totalCourt]],TrafficData[[#This Row],[disposedCourt]]&lt;=TrafficData[[#This Row],[totalCourt]])</f>
        <v>1</v>
      </c>
    </row>
    <row r="1767" spans="1:16">
      <c r="A1767" s="1">
        <v>43771</v>
      </c>
      <c r="B1767">
        <v>65956</v>
      </c>
      <c r="C1767">
        <v>38843</v>
      </c>
      <c r="D1767">
        <v>27113</v>
      </c>
      <c r="E1767">
        <v>17934067</v>
      </c>
      <c r="F1767">
        <v>56045561</v>
      </c>
      <c r="G1767">
        <v>73979628</v>
      </c>
      <c r="H1767">
        <v>19945</v>
      </c>
      <c r="I1767">
        <v>9017</v>
      </c>
      <c r="J1767">
        <v>28962</v>
      </c>
      <c r="K1767" t="b">
        <f>TrafficData[[#This Row],[disposedChallan]]+TrafficData[[#This Row],[pendingChallan]]=TrafficData[[#This Row],[totalChallan]]</f>
        <v>1</v>
      </c>
      <c r="L1767" t="b">
        <f>TrafficData[[#This Row],[pendingAmount]]+TrafficData[[#This Row],[disposedAmount]]=TrafficData[[#This Row],[totalAmount]]</f>
        <v>1</v>
      </c>
      <c r="M1767" t="b">
        <f>TrafficData[[#This Row],[pendingCourt]]+TrafficData[[#This Row],[disposedCourt]]=TrafficData[[#This Row],[totalCourt]]</f>
        <v>1</v>
      </c>
      <c r="N1767" s="8" t="b">
        <f>AND(TrafficData[[#This Row],[disposedChallan]]&lt;=TrafficData[[#This Row],[totalChallan]],TrafficData[[#This Row],[pendingChallan]]&lt;=TrafficData[[#This Row],[totalChallan]])</f>
        <v>1</v>
      </c>
      <c r="O1767" s="8" t="b">
        <f>AND(TrafficData[[#This Row],[pendingAmount]]&lt;=TrafficData[[#This Row],[totalAmount]],TrafficData[[#This Row],[disposedAmount]]&lt;=TrafficData[[#This Row],[totalAmount]])</f>
        <v>1</v>
      </c>
      <c r="P1767" s="8" t="b">
        <f>AND(TrafficData[[#This Row],[pendingCourt]]&lt;=TrafficData[[#This Row],[totalCourt]],TrafficData[[#This Row],[disposedCourt]]&lt;=TrafficData[[#This Row],[totalCourt]])</f>
        <v>1</v>
      </c>
    </row>
    <row r="1768" spans="1:16">
      <c r="A1768" s="1">
        <v>43772</v>
      </c>
      <c r="B1768">
        <v>55726</v>
      </c>
      <c r="C1768">
        <v>32957</v>
      </c>
      <c r="D1768">
        <v>22769</v>
      </c>
      <c r="E1768">
        <v>11686665</v>
      </c>
      <c r="F1768">
        <v>42520550</v>
      </c>
      <c r="G1768">
        <v>54207215</v>
      </c>
      <c r="H1768">
        <v>15881</v>
      </c>
      <c r="I1768">
        <v>7692</v>
      </c>
      <c r="J1768">
        <v>23573</v>
      </c>
      <c r="K1768" t="b">
        <f>TrafficData[[#This Row],[disposedChallan]]+TrafficData[[#This Row],[pendingChallan]]=TrafficData[[#This Row],[totalChallan]]</f>
        <v>1</v>
      </c>
      <c r="L1768" t="b">
        <f>TrafficData[[#This Row],[pendingAmount]]+TrafficData[[#This Row],[disposedAmount]]=TrafficData[[#This Row],[totalAmount]]</f>
        <v>1</v>
      </c>
      <c r="M1768" t="b">
        <f>TrafficData[[#This Row],[pendingCourt]]+TrafficData[[#This Row],[disposedCourt]]=TrafficData[[#This Row],[totalCourt]]</f>
        <v>1</v>
      </c>
      <c r="N1768" s="8" t="b">
        <f>AND(TrafficData[[#This Row],[disposedChallan]]&lt;=TrafficData[[#This Row],[totalChallan]],TrafficData[[#This Row],[pendingChallan]]&lt;=TrafficData[[#This Row],[totalChallan]])</f>
        <v>1</v>
      </c>
      <c r="O1768" s="8" t="b">
        <f>AND(TrafficData[[#This Row],[pendingAmount]]&lt;=TrafficData[[#This Row],[totalAmount]],TrafficData[[#This Row],[disposedAmount]]&lt;=TrafficData[[#This Row],[totalAmount]])</f>
        <v>1</v>
      </c>
      <c r="P1768" s="8" t="b">
        <f>AND(TrafficData[[#This Row],[pendingCourt]]&lt;=TrafficData[[#This Row],[totalCourt]],TrafficData[[#This Row],[disposedCourt]]&lt;=TrafficData[[#This Row],[totalCourt]])</f>
        <v>1</v>
      </c>
    </row>
    <row r="1769" spans="1:16">
      <c r="A1769" s="1">
        <v>43773</v>
      </c>
      <c r="B1769">
        <v>64444</v>
      </c>
      <c r="C1769">
        <v>40202</v>
      </c>
      <c r="D1769">
        <v>24242</v>
      </c>
      <c r="E1769">
        <v>15790308</v>
      </c>
      <c r="F1769">
        <v>55190757</v>
      </c>
      <c r="G1769">
        <v>70981065</v>
      </c>
      <c r="H1769">
        <v>16606</v>
      </c>
      <c r="I1769">
        <v>9555</v>
      </c>
      <c r="J1769">
        <v>26161</v>
      </c>
      <c r="K1769" t="b">
        <f>TrafficData[[#This Row],[disposedChallan]]+TrafficData[[#This Row],[pendingChallan]]=TrafficData[[#This Row],[totalChallan]]</f>
        <v>1</v>
      </c>
      <c r="L1769" t="b">
        <f>TrafficData[[#This Row],[pendingAmount]]+TrafficData[[#This Row],[disposedAmount]]=TrafficData[[#This Row],[totalAmount]]</f>
        <v>1</v>
      </c>
      <c r="M1769" t="b">
        <f>TrafficData[[#This Row],[pendingCourt]]+TrafficData[[#This Row],[disposedCourt]]=TrafficData[[#This Row],[totalCourt]]</f>
        <v>1</v>
      </c>
      <c r="N1769" s="8" t="b">
        <f>AND(TrafficData[[#This Row],[disposedChallan]]&lt;=TrafficData[[#This Row],[totalChallan]],TrafficData[[#This Row],[pendingChallan]]&lt;=TrafficData[[#This Row],[totalChallan]])</f>
        <v>1</v>
      </c>
      <c r="O1769" s="8" t="b">
        <f>AND(TrafficData[[#This Row],[pendingAmount]]&lt;=TrafficData[[#This Row],[totalAmount]],TrafficData[[#This Row],[disposedAmount]]&lt;=TrafficData[[#This Row],[totalAmount]])</f>
        <v>1</v>
      </c>
      <c r="P1769" s="8" t="b">
        <f>AND(TrafficData[[#This Row],[pendingCourt]]&lt;=TrafficData[[#This Row],[totalCourt]],TrafficData[[#This Row],[disposedCourt]]&lt;=TrafficData[[#This Row],[totalCourt]])</f>
        <v>1</v>
      </c>
    </row>
    <row r="1770" spans="1:16">
      <c r="A1770" s="1">
        <v>43774</v>
      </c>
      <c r="B1770">
        <v>62089</v>
      </c>
      <c r="C1770">
        <v>39074</v>
      </c>
      <c r="D1770">
        <v>23015</v>
      </c>
      <c r="E1770">
        <v>16398906</v>
      </c>
      <c r="F1770">
        <v>63154025</v>
      </c>
      <c r="G1770">
        <v>79552931</v>
      </c>
      <c r="H1770">
        <v>15650</v>
      </c>
      <c r="I1770">
        <v>8613</v>
      </c>
      <c r="J1770">
        <v>24263</v>
      </c>
      <c r="K1770" t="b">
        <f>TrafficData[[#This Row],[disposedChallan]]+TrafficData[[#This Row],[pendingChallan]]=TrafficData[[#This Row],[totalChallan]]</f>
        <v>1</v>
      </c>
      <c r="L1770" t="b">
        <f>TrafficData[[#This Row],[pendingAmount]]+TrafficData[[#This Row],[disposedAmount]]=TrafficData[[#This Row],[totalAmount]]</f>
        <v>1</v>
      </c>
      <c r="M1770" t="b">
        <f>TrafficData[[#This Row],[pendingCourt]]+TrafficData[[#This Row],[disposedCourt]]=TrafficData[[#This Row],[totalCourt]]</f>
        <v>1</v>
      </c>
      <c r="N1770" s="8" t="b">
        <f>AND(TrafficData[[#This Row],[disposedChallan]]&lt;=TrafficData[[#This Row],[totalChallan]],TrafficData[[#This Row],[pendingChallan]]&lt;=TrafficData[[#This Row],[totalChallan]])</f>
        <v>1</v>
      </c>
      <c r="O1770" s="8" t="b">
        <f>AND(TrafficData[[#This Row],[pendingAmount]]&lt;=TrafficData[[#This Row],[totalAmount]],TrafficData[[#This Row],[disposedAmount]]&lt;=TrafficData[[#This Row],[totalAmount]])</f>
        <v>1</v>
      </c>
      <c r="P1770" s="8" t="b">
        <f>AND(TrafficData[[#This Row],[pendingCourt]]&lt;=TrafficData[[#This Row],[totalCourt]],TrafficData[[#This Row],[disposedCourt]]&lt;=TrafficData[[#This Row],[totalCourt]])</f>
        <v>1</v>
      </c>
    </row>
    <row r="1771" spans="1:16">
      <c r="A1771" s="1">
        <v>43775</v>
      </c>
      <c r="B1771">
        <v>71176</v>
      </c>
      <c r="C1771">
        <v>44037</v>
      </c>
      <c r="D1771">
        <v>27139</v>
      </c>
      <c r="E1771">
        <v>19383900</v>
      </c>
      <c r="F1771">
        <v>61818569</v>
      </c>
      <c r="G1771">
        <v>81202469</v>
      </c>
      <c r="H1771">
        <v>19497</v>
      </c>
      <c r="I1771">
        <v>11232</v>
      </c>
      <c r="J1771">
        <v>30729</v>
      </c>
      <c r="K1771" t="b">
        <f>TrafficData[[#This Row],[disposedChallan]]+TrafficData[[#This Row],[pendingChallan]]=TrafficData[[#This Row],[totalChallan]]</f>
        <v>1</v>
      </c>
      <c r="L1771" t="b">
        <f>TrafficData[[#This Row],[pendingAmount]]+TrafficData[[#This Row],[disposedAmount]]=TrafficData[[#This Row],[totalAmount]]</f>
        <v>1</v>
      </c>
      <c r="M1771" t="b">
        <f>TrafficData[[#This Row],[pendingCourt]]+TrafficData[[#This Row],[disposedCourt]]=TrafficData[[#This Row],[totalCourt]]</f>
        <v>1</v>
      </c>
      <c r="N1771" s="8" t="b">
        <f>AND(TrafficData[[#This Row],[disposedChallan]]&lt;=TrafficData[[#This Row],[totalChallan]],TrafficData[[#This Row],[pendingChallan]]&lt;=TrafficData[[#This Row],[totalChallan]])</f>
        <v>1</v>
      </c>
      <c r="O1771" s="8" t="b">
        <f>AND(TrafficData[[#This Row],[pendingAmount]]&lt;=TrafficData[[#This Row],[totalAmount]],TrafficData[[#This Row],[disposedAmount]]&lt;=TrafficData[[#This Row],[totalAmount]])</f>
        <v>1</v>
      </c>
      <c r="P1771" s="8" t="b">
        <f>AND(TrafficData[[#This Row],[pendingCourt]]&lt;=TrafficData[[#This Row],[totalCourt]],TrafficData[[#This Row],[disposedCourt]]&lt;=TrafficData[[#This Row],[totalCourt]])</f>
        <v>1</v>
      </c>
    </row>
    <row r="1772" spans="1:16">
      <c r="A1772" s="1">
        <v>43776</v>
      </c>
      <c r="B1772">
        <v>68947</v>
      </c>
      <c r="C1772">
        <v>41670</v>
      </c>
      <c r="D1772">
        <v>27277</v>
      </c>
      <c r="E1772">
        <v>19553428</v>
      </c>
      <c r="F1772">
        <v>58828888</v>
      </c>
      <c r="G1772">
        <v>78382316</v>
      </c>
      <c r="H1772">
        <v>19865</v>
      </c>
      <c r="I1772">
        <v>10056</v>
      </c>
      <c r="J1772">
        <v>29921</v>
      </c>
      <c r="K1772" t="b">
        <f>TrafficData[[#This Row],[disposedChallan]]+TrafficData[[#This Row],[pendingChallan]]=TrafficData[[#This Row],[totalChallan]]</f>
        <v>1</v>
      </c>
      <c r="L1772" t="b">
        <f>TrafficData[[#This Row],[pendingAmount]]+TrafficData[[#This Row],[disposedAmount]]=TrafficData[[#This Row],[totalAmount]]</f>
        <v>1</v>
      </c>
      <c r="M1772" t="b">
        <f>TrafficData[[#This Row],[pendingCourt]]+TrafficData[[#This Row],[disposedCourt]]=TrafficData[[#This Row],[totalCourt]]</f>
        <v>1</v>
      </c>
      <c r="N1772" s="8" t="b">
        <f>AND(TrafficData[[#This Row],[disposedChallan]]&lt;=TrafficData[[#This Row],[totalChallan]],TrafficData[[#This Row],[pendingChallan]]&lt;=TrafficData[[#This Row],[totalChallan]])</f>
        <v>1</v>
      </c>
      <c r="O1772" s="8" t="b">
        <f>AND(TrafficData[[#This Row],[pendingAmount]]&lt;=TrafficData[[#This Row],[totalAmount]],TrafficData[[#This Row],[disposedAmount]]&lt;=TrafficData[[#This Row],[totalAmount]])</f>
        <v>1</v>
      </c>
      <c r="P1772" s="8" t="b">
        <f>AND(TrafficData[[#This Row],[pendingCourt]]&lt;=TrafficData[[#This Row],[totalCourt]],TrafficData[[#This Row],[disposedCourt]]&lt;=TrafficData[[#This Row],[totalCourt]])</f>
        <v>1</v>
      </c>
    </row>
    <row r="1773" spans="1:16">
      <c r="A1773" s="1">
        <v>43777</v>
      </c>
      <c r="B1773">
        <v>62713</v>
      </c>
      <c r="C1773">
        <v>39346</v>
      </c>
      <c r="D1773">
        <v>23367</v>
      </c>
      <c r="E1773">
        <v>13953700</v>
      </c>
      <c r="F1773">
        <v>60192749</v>
      </c>
      <c r="G1773">
        <v>74146449</v>
      </c>
      <c r="H1773">
        <v>16623</v>
      </c>
      <c r="I1773">
        <v>10427</v>
      </c>
      <c r="J1773">
        <v>27050</v>
      </c>
      <c r="K1773" t="b">
        <f>TrafficData[[#This Row],[disposedChallan]]+TrafficData[[#This Row],[pendingChallan]]=TrafficData[[#This Row],[totalChallan]]</f>
        <v>1</v>
      </c>
      <c r="L1773" t="b">
        <f>TrafficData[[#This Row],[pendingAmount]]+TrafficData[[#This Row],[disposedAmount]]=TrafficData[[#This Row],[totalAmount]]</f>
        <v>1</v>
      </c>
      <c r="M1773" t="b">
        <f>TrafficData[[#This Row],[pendingCourt]]+TrafficData[[#This Row],[disposedCourt]]=TrafficData[[#This Row],[totalCourt]]</f>
        <v>1</v>
      </c>
      <c r="N1773" s="8" t="b">
        <f>AND(TrafficData[[#This Row],[disposedChallan]]&lt;=TrafficData[[#This Row],[totalChallan]],TrafficData[[#This Row],[pendingChallan]]&lt;=TrafficData[[#This Row],[totalChallan]])</f>
        <v>1</v>
      </c>
      <c r="O1773" s="8" t="b">
        <f>AND(TrafficData[[#This Row],[pendingAmount]]&lt;=TrafficData[[#This Row],[totalAmount]],TrafficData[[#This Row],[disposedAmount]]&lt;=TrafficData[[#This Row],[totalAmount]])</f>
        <v>1</v>
      </c>
      <c r="P1773" s="8" t="b">
        <f>AND(TrafficData[[#This Row],[pendingCourt]]&lt;=TrafficData[[#This Row],[totalCourt]],TrafficData[[#This Row],[disposedCourt]]&lt;=TrafficData[[#This Row],[totalCourt]])</f>
        <v>1</v>
      </c>
    </row>
    <row r="1774" spans="1:16">
      <c r="A1774" s="1">
        <v>43778</v>
      </c>
      <c r="B1774">
        <v>55980</v>
      </c>
      <c r="C1774">
        <v>27584</v>
      </c>
      <c r="D1774">
        <v>28396</v>
      </c>
      <c r="E1774">
        <v>8028195</v>
      </c>
      <c r="F1774">
        <v>46563676</v>
      </c>
      <c r="G1774">
        <v>54591871</v>
      </c>
      <c r="H1774">
        <v>24160</v>
      </c>
      <c r="I1774">
        <v>6762</v>
      </c>
      <c r="J1774">
        <v>30922</v>
      </c>
      <c r="K1774" t="b">
        <f>TrafficData[[#This Row],[disposedChallan]]+TrafficData[[#This Row],[pendingChallan]]=TrafficData[[#This Row],[totalChallan]]</f>
        <v>1</v>
      </c>
      <c r="L1774" t="b">
        <f>TrafficData[[#This Row],[pendingAmount]]+TrafficData[[#This Row],[disposedAmount]]=TrafficData[[#This Row],[totalAmount]]</f>
        <v>1</v>
      </c>
      <c r="M1774" t="b">
        <f>TrafficData[[#This Row],[pendingCourt]]+TrafficData[[#This Row],[disposedCourt]]=TrafficData[[#This Row],[totalCourt]]</f>
        <v>1</v>
      </c>
      <c r="N1774" s="8" t="b">
        <f>AND(TrafficData[[#This Row],[disposedChallan]]&lt;=TrafficData[[#This Row],[totalChallan]],TrafficData[[#This Row],[pendingChallan]]&lt;=TrafficData[[#This Row],[totalChallan]])</f>
        <v>1</v>
      </c>
      <c r="O1774" s="8" t="b">
        <f>AND(TrafficData[[#This Row],[pendingAmount]]&lt;=TrafficData[[#This Row],[totalAmount]],TrafficData[[#This Row],[disposedAmount]]&lt;=TrafficData[[#This Row],[totalAmount]])</f>
        <v>1</v>
      </c>
      <c r="P1774" s="8" t="b">
        <f>AND(TrafficData[[#This Row],[pendingCourt]]&lt;=TrafficData[[#This Row],[totalCourt]],TrafficData[[#This Row],[disposedCourt]]&lt;=TrafficData[[#This Row],[totalCourt]])</f>
        <v>1</v>
      </c>
    </row>
    <row r="1775" spans="1:16">
      <c r="A1775" s="1">
        <v>43779</v>
      </c>
      <c r="B1775">
        <v>60509</v>
      </c>
      <c r="C1775">
        <v>27577</v>
      </c>
      <c r="D1775">
        <v>32932</v>
      </c>
      <c r="E1775">
        <v>7475107</v>
      </c>
      <c r="F1775">
        <v>36589754</v>
      </c>
      <c r="G1775">
        <v>44064861</v>
      </c>
      <c r="H1775">
        <v>28120</v>
      </c>
      <c r="I1775">
        <v>7022</v>
      </c>
      <c r="J1775">
        <v>35142</v>
      </c>
      <c r="K1775" t="b">
        <f>TrafficData[[#This Row],[disposedChallan]]+TrafficData[[#This Row],[pendingChallan]]=TrafficData[[#This Row],[totalChallan]]</f>
        <v>1</v>
      </c>
      <c r="L1775" t="b">
        <f>TrafficData[[#This Row],[pendingAmount]]+TrafficData[[#This Row],[disposedAmount]]=TrafficData[[#This Row],[totalAmount]]</f>
        <v>1</v>
      </c>
      <c r="M1775" t="b">
        <f>TrafficData[[#This Row],[pendingCourt]]+TrafficData[[#This Row],[disposedCourt]]=TrafficData[[#This Row],[totalCourt]]</f>
        <v>1</v>
      </c>
      <c r="N1775" s="8" t="b">
        <f>AND(TrafficData[[#This Row],[disposedChallan]]&lt;=TrafficData[[#This Row],[totalChallan]],TrafficData[[#This Row],[pendingChallan]]&lt;=TrafficData[[#This Row],[totalChallan]])</f>
        <v>1</v>
      </c>
      <c r="O1775" s="8" t="b">
        <f>AND(TrafficData[[#This Row],[pendingAmount]]&lt;=TrafficData[[#This Row],[totalAmount]],TrafficData[[#This Row],[disposedAmount]]&lt;=TrafficData[[#This Row],[totalAmount]])</f>
        <v>1</v>
      </c>
      <c r="P1775" s="8" t="b">
        <f>AND(TrafficData[[#This Row],[pendingCourt]]&lt;=TrafficData[[#This Row],[totalCourt]],TrafficData[[#This Row],[disposedCourt]]&lt;=TrafficData[[#This Row],[totalCourt]])</f>
        <v>1</v>
      </c>
    </row>
    <row r="1776" spans="1:16">
      <c r="A1776" s="1">
        <v>43780</v>
      </c>
      <c r="B1776">
        <v>67393</v>
      </c>
      <c r="C1776">
        <v>35455</v>
      </c>
      <c r="D1776">
        <v>31938</v>
      </c>
      <c r="E1776">
        <v>13248506</v>
      </c>
      <c r="F1776">
        <v>59459752</v>
      </c>
      <c r="G1776">
        <v>72708258</v>
      </c>
      <c r="H1776">
        <v>25998</v>
      </c>
      <c r="I1776">
        <v>9220</v>
      </c>
      <c r="J1776">
        <v>35218</v>
      </c>
      <c r="K1776" t="b">
        <f>TrafficData[[#This Row],[disposedChallan]]+TrafficData[[#This Row],[pendingChallan]]=TrafficData[[#This Row],[totalChallan]]</f>
        <v>1</v>
      </c>
      <c r="L1776" t="b">
        <f>TrafficData[[#This Row],[pendingAmount]]+TrafficData[[#This Row],[disposedAmount]]=TrafficData[[#This Row],[totalAmount]]</f>
        <v>1</v>
      </c>
      <c r="M1776" t="b">
        <f>TrafficData[[#This Row],[pendingCourt]]+TrafficData[[#This Row],[disposedCourt]]=TrafficData[[#This Row],[totalCourt]]</f>
        <v>1</v>
      </c>
      <c r="N1776" s="8" t="b">
        <f>AND(TrafficData[[#This Row],[disposedChallan]]&lt;=TrafficData[[#This Row],[totalChallan]],TrafficData[[#This Row],[pendingChallan]]&lt;=TrafficData[[#This Row],[totalChallan]])</f>
        <v>1</v>
      </c>
      <c r="O1776" s="8" t="b">
        <f>AND(TrafficData[[#This Row],[pendingAmount]]&lt;=TrafficData[[#This Row],[totalAmount]],TrafficData[[#This Row],[disposedAmount]]&lt;=TrafficData[[#This Row],[totalAmount]])</f>
        <v>1</v>
      </c>
      <c r="P1776" s="8" t="b">
        <f>AND(TrafficData[[#This Row],[pendingCourt]]&lt;=TrafficData[[#This Row],[totalCourt]],TrafficData[[#This Row],[disposedCourt]]&lt;=TrafficData[[#This Row],[totalCourt]])</f>
        <v>1</v>
      </c>
    </row>
    <row r="1777" spans="1:16">
      <c r="A1777" s="1">
        <v>43781</v>
      </c>
      <c r="B1777">
        <v>69561</v>
      </c>
      <c r="C1777">
        <v>35364</v>
      </c>
      <c r="D1777">
        <v>34197</v>
      </c>
      <c r="E1777">
        <v>12116870</v>
      </c>
      <c r="F1777">
        <v>46650200</v>
      </c>
      <c r="G1777">
        <v>58767070</v>
      </c>
      <c r="H1777">
        <v>28004</v>
      </c>
      <c r="I1777">
        <v>8528</v>
      </c>
      <c r="J1777">
        <v>36532</v>
      </c>
      <c r="K1777" t="b">
        <f>TrafficData[[#This Row],[disposedChallan]]+TrafficData[[#This Row],[pendingChallan]]=TrafficData[[#This Row],[totalChallan]]</f>
        <v>1</v>
      </c>
      <c r="L1777" t="b">
        <f>TrafficData[[#This Row],[pendingAmount]]+TrafficData[[#This Row],[disposedAmount]]=TrafficData[[#This Row],[totalAmount]]</f>
        <v>1</v>
      </c>
      <c r="M1777" t="b">
        <f>TrafficData[[#This Row],[pendingCourt]]+TrafficData[[#This Row],[disposedCourt]]=TrafficData[[#This Row],[totalCourt]]</f>
        <v>1</v>
      </c>
      <c r="N1777" s="8" t="b">
        <f>AND(TrafficData[[#This Row],[disposedChallan]]&lt;=TrafficData[[#This Row],[totalChallan]],TrafficData[[#This Row],[pendingChallan]]&lt;=TrafficData[[#This Row],[totalChallan]])</f>
        <v>1</v>
      </c>
      <c r="O1777" s="8" t="b">
        <f>AND(TrafficData[[#This Row],[pendingAmount]]&lt;=TrafficData[[#This Row],[totalAmount]],TrafficData[[#This Row],[disposedAmount]]&lt;=TrafficData[[#This Row],[totalAmount]])</f>
        <v>1</v>
      </c>
      <c r="P1777" s="8" t="b">
        <f>AND(TrafficData[[#This Row],[pendingCourt]]&lt;=TrafficData[[#This Row],[totalCourt]],TrafficData[[#This Row],[disposedCourt]]&lt;=TrafficData[[#This Row],[totalCourt]])</f>
        <v>1</v>
      </c>
    </row>
    <row r="1778" spans="1:16">
      <c r="A1778" s="1">
        <v>43782</v>
      </c>
      <c r="B1778">
        <v>80566</v>
      </c>
      <c r="C1778">
        <v>42925</v>
      </c>
      <c r="D1778">
        <v>37641</v>
      </c>
      <c r="E1778">
        <v>20639280</v>
      </c>
      <c r="F1778">
        <v>61008115</v>
      </c>
      <c r="G1778">
        <v>81647395</v>
      </c>
      <c r="H1778">
        <v>30596</v>
      </c>
      <c r="I1778">
        <v>10950</v>
      </c>
      <c r="J1778">
        <v>41546</v>
      </c>
      <c r="K1778" t="b">
        <f>TrafficData[[#This Row],[disposedChallan]]+TrafficData[[#This Row],[pendingChallan]]=TrafficData[[#This Row],[totalChallan]]</f>
        <v>1</v>
      </c>
      <c r="L1778" t="b">
        <f>TrafficData[[#This Row],[pendingAmount]]+TrafficData[[#This Row],[disposedAmount]]=TrafficData[[#This Row],[totalAmount]]</f>
        <v>1</v>
      </c>
      <c r="M1778" t="b">
        <f>TrafficData[[#This Row],[pendingCourt]]+TrafficData[[#This Row],[disposedCourt]]=TrafficData[[#This Row],[totalCourt]]</f>
        <v>1</v>
      </c>
      <c r="N1778" s="8" t="b">
        <f>AND(TrafficData[[#This Row],[disposedChallan]]&lt;=TrafficData[[#This Row],[totalChallan]],TrafficData[[#This Row],[pendingChallan]]&lt;=TrafficData[[#This Row],[totalChallan]])</f>
        <v>1</v>
      </c>
      <c r="O1778" s="8" t="b">
        <f>AND(TrafficData[[#This Row],[pendingAmount]]&lt;=TrafficData[[#This Row],[totalAmount]],TrafficData[[#This Row],[disposedAmount]]&lt;=TrafficData[[#This Row],[totalAmount]])</f>
        <v>1</v>
      </c>
      <c r="P1778" s="8" t="b">
        <f>AND(TrafficData[[#This Row],[pendingCourt]]&lt;=TrafficData[[#This Row],[totalCourt]],TrafficData[[#This Row],[disposedCourt]]&lt;=TrafficData[[#This Row],[totalCourt]])</f>
        <v>1</v>
      </c>
    </row>
    <row r="1779" spans="1:16">
      <c r="A1779" s="1">
        <v>43783</v>
      </c>
      <c r="B1779">
        <v>73270</v>
      </c>
      <c r="C1779">
        <v>41462</v>
      </c>
      <c r="D1779">
        <v>31808</v>
      </c>
      <c r="E1779">
        <v>17087899</v>
      </c>
      <c r="F1779">
        <v>68884832</v>
      </c>
      <c r="G1779">
        <v>85972731</v>
      </c>
      <c r="H1779">
        <v>25323</v>
      </c>
      <c r="I1779">
        <v>10477</v>
      </c>
      <c r="J1779">
        <v>35800</v>
      </c>
      <c r="K1779" t="b">
        <f>TrafficData[[#This Row],[disposedChallan]]+TrafficData[[#This Row],[pendingChallan]]=TrafficData[[#This Row],[totalChallan]]</f>
        <v>1</v>
      </c>
      <c r="L1779" t="b">
        <f>TrafficData[[#This Row],[pendingAmount]]+TrafficData[[#This Row],[disposedAmount]]=TrafficData[[#This Row],[totalAmount]]</f>
        <v>1</v>
      </c>
      <c r="M1779" t="b">
        <f>TrafficData[[#This Row],[pendingCourt]]+TrafficData[[#This Row],[disposedCourt]]=TrafficData[[#This Row],[totalCourt]]</f>
        <v>1</v>
      </c>
      <c r="N1779" s="8" t="b">
        <f>AND(TrafficData[[#This Row],[disposedChallan]]&lt;=TrafficData[[#This Row],[totalChallan]],TrafficData[[#This Row],[pendingChallan]]&lt;=TrafficData[[#This Row],[totalChallan]])</f>
        <v>1</v>
      </c>
      <c r="O1779" s="8" t="b">
        <f>AND(TrafficData[[#This Row],[pendingAmount]]&lt;=TrafficData[[#This Row],[totalAmount]],TrafficData[[#This Row],[disposedAmount]]&lt;=TrafficData[[#This Row],[totalAmount]])</f>
        <v>1</v>
      </c>
      <c r="P1779" s="8" t="b">
        <f>AND(TrafficData[[#This Row],[pendingCourt]]&lt;=TrafficData[[#This Row],[totalCourt]],TrafficData[[#This Row],[disposedCourt]]&lt;=TrafficData[[#This Row],[totalCourt]])</f>
        <v>1</v>
      </c>
    </row>
    <row r="1780" spans="1:16">
      <c r="A1780" s="1">
        <v>43784</v>
      </c>
      <c r="B1780">
        <v>78828</v>
      </c>
      <c r="C1780">
        <v>43382</v>
      </c>
      <c r="D1780">
        <v>35446</v>
      </c>
      <c r="E1780">
        <v>19532160</v>
      </c>
      <c r="F1780">
        <v>66115717</v>
      </c>
      <c r="G1780">
        <v>85647877</v>
      </c>
      <c r="H1780">
        <v>28916</v>
      </c>
      <c r="I1780">
        <v>11437</v>
      </c>
      <c r="J1780">
        <v>40353</v>
      </c>
      <c r="K1780" t="b">
        <f>TrafficData[[#This Row],[disposedChallan]]+TrafficData[[#This Row],[pendingChallan]]=TrafficData[[#This Row],[totalChallan]]</f>
        <v>1</v>
      </c>
      <c r="L1780" t="b">
        <f>TrafficData[[#This Row],[pendingAmount]]+TrafficData[[#This Row],[disposedAmount]]=TrafficData[[#This Row],[totalAmount]]</f>
        <v>1</v>
      </c>
      <c r="M1780" t="b">
        <f>TrafficData[[#This Row],[pendingCourt]]+TrafficData[[#This Row],[disposedCourt]]=TrafficData[[#This Row],[totalCourt]]</f>
        <v>1</v>
      </c>
      <c r="N1780" s="8" t="b">
        <f>AND(TrafficData[[#This Row],[disposedChallan]]&lt;=TrafficData[[#This Row],[totalChallan]],TrafficData[[#This Row],[pendingChallan]]&lt;=TrafficData[[#This Row],[totalChallan]])</f>
        <v>1</v>
      </c>
      <c r="O1780" s="8" t="b">
        <f>AND(TrafficData[[#This Row],[pendingAmount]]&lt;=TrafficData[[#This Row],[totalAmount]],TrafficData[[#This Row],[disposedAmount]]&lt;=TrafficData[[#This Row],[totalAmount]])</f>
        <v>1</v>
      </c>
      <c r="P1780" s="8" t="b">
        <f>AND(TrafficData[[#This Row],[pendingCourt]]&lt;=TrafficData[[#This Row],[totalCourt]],TrafficData[[#This Row],[disposedCourt]]&lt;=TrafficData[[#This Row],[totalCourt]])</f>
        <v>1</v>
      </c>
    </row>
    <row r="1781" spans="1:16">
      <c r="A1781" s="1">
        <v>43785</v>
      </c>
      <c r="B1781">
        <v>78837</v>
      </c>
      <c r="C1781">
        <v>43370</v>
      </c>
      <c r="D1781">
        <v>35467</v>
      </c>
      <c r="E1781">
        <v>17738112</v>
      </c>
      <c r="F1781">
        <v>66695399</v>
      </c>
      <c r="G1781">
        <v>84433511</v>
      </c>
      <c r="H1781">
        <v>28128</v>
      </c>
      <c r="I1781">
        <v>11797</v>
      </c>
      <c r="J1781">
        <v>39925</v>
      </c>
      <c r="K1781" t="b">
        <f>TrafficData[[#This Row],[disposedChallan]]+TrafficData[[#This Row],[pendingChallan]]=TrafficData[[#This Row],[totalChallan]]</f>
        <v>1</v>
      </c>
      <c r="L1781" t="b">
        <f>TrafficData[[#This Row],[pendingAmount]]+TrafficData[[#This Row],[disposedAmount]]=TrafficData[[#This Row],[totalAmount]]</f>
        <v>1</v>
      </c>
      <c r="M1781" t="b">
        <f>TrafficData[[#This Row],[pendingCourt]]+TrafficData[[#This Row],[disposedCourt]]=TrafficData[[#This Row],[totalCourt]]</f>
        <v>1</v>
      </c>
      <c r="N1781" s="8" t="b">
        <f>AND(TrafficData[[#This Row],[disposedChallan]]&lt;=TrafficData[[#This Row],[totalChallan]],TrafficData[[#This Row],[pendingChallan]]&lt;=TrafficData[[#This Row],[totalChallan]])</f>
        <v>1</v>
      </c>
      <c r="O1781" s="8" t="b">
        <f>AND(TrafficData[[#This Row],[pendingAmount]]&lt;=TrafficData[[#This Row],[totalAmount]],TrafficData[[#This Row],[disposedAmount]]&lt;=TrafficData[[#This Row],[totalAmount]])</f>
        <v>1</v>
      </c>
      <c r="P1781" s="8" t="b">
        <f>AND(TrafficData[[#This Row],[pendingCourt]]&lt;=TrafficData[[#This Row],[totalCourt]],TrafficData[[#This Row],[disposedCourt]]&lt;=TrafficData[[#This Row],[totalCourt]])</f>
        <v>1</v>
      </c>
    </row>
    <row r="1782" spans="1:16">
      <c r="A1782" s="1">
        <v>43786</v>
      </c>
      <c r="B1782">
        <v>73218</v>
      </c>
      <c r="C1782">
        <v>37863</v>
      </c>
      <c r="D1782">
        <v>35355</v>
      </c>
      <c r="E1782">
        <v>12800480</v>
      </c>
      <c r="F1782">
        <v>46919063</v>
      </c>
      <c r="G1782">
        <v>59719543</v>
      </c>
      <c r="H1782">
        <v>28648</v>
      </c>
      <c r="I1782">
        <v>10494</v>
      </c>
      <c r="J1782">
        <v>39142</v>
      </c>
      <c r="K1782" t="b">
        <f>TrafficData[[#This Row],[disposedChallan]]+TrafficData[[#This Row],[pendingChallan]]=TrafficData[[#This Row],[totalChallan]]</f>
        <v>1</v>
      </c>
      <c r="L1782" t="b">
        <f>TrafficData[[#This Row],[pendingAmount]]+TrafficData[[#This Row],[disposedAmount]]=TrafficData[[#This Row],[totalAmount]]</f>
        <v>1</v>
      </c>
      <c r="M1782" t="b">
        <f>TrafficData[[#This Row],[pendingCourt]]+TrafficData[[#This Row],[disposedCourt]]=TrafficData[[#This Row],[totalCourt]]</f>
        <v>1</v>
      </c>
      <c r="N1782" s="8" t="b">
        <f>AND(TrafficData[[#This Row],[disposedChallan]]&lt;=TrafficData[[#This Row],[totalChallan]],TrafficData[[#This Row],[pendingChallan]]&lt;=TrafficData[[#This Row],[totalChallan]])</f>
        <v>1</v>
      </c>
      <c r="O1782" s="8" t="b">
        <f>AND(TrafficData[[#This Row],[pendingAmount]]&lt;=TrafficData[[#This Row],[totalAmount]],TrafficData[[#This Row],[disposedAmount]]&lt;=TrafficData[[#This Row],[totalAmount]])</f>
        <v>1</v>
      </c>
      <c r="P1782" s="8" t="b">
        <f>AND(TrafficData[[#This Row],[pendingCourt]]&lt;=TrafficData[[#This Row],[totalCourt]],TrafficData[[#This Row],[disposedCourt]]&lt;=TrafficData[[#This Row],[totalCourt]])</f>
        <v>1</v>
      </c>
    </row>
    <row r="1783" spans="1:16">
      <c r="A1783" s="1">
        <v>43787</v>
      </c>
      <c r="B1783">
        <v>81759</v>
      </c>
      <c r="C1783">
        <v>44124</v>
      </c>
      <c r="D1783">
        <v>37635</v>
      </c>
      <c r="E1783">
        <v>18826120</v>
      </c>
      <c r="F1783">
        <v>57327067</v>
      </c>
      <c r="G1783">
        <v>76153187</v>
      </c>
      <c r="H1783">
        <v>30292</v>
      </c>
      <c r="I1783">
        <v>11695</v>
      </c>
      <c r="J1783">
        <v>41987</v>
      </c>
      <c r="K1783" t="b">
        <f>TrafficData[[#This Row],[disposedChallan]]+TrafficData[[#This Row],[pendingChallan]]=TrafficData[[#This Row],[totalChallan]]</f>
        <v>1</v>
      </c>
      <c r="L1783" t="b">
        <f>TrafficData[[#This Row],[pendingAmount]]+TrafficData[[#This Row],[disposedAmount]]=TrafficData[[#This Row],[totalAmount]]</f>
        <v>1</v>
      </c>
      <c r="M1783" t="b">
        <f>TrafficData[[#This Row],[pendingCourt]]+TrafficData[[#This Row],[disposedCourt]]=TrafficData[[#This Row],[totalCourt]]</f>
        <v>1</v>
      </c>
      <c r="N1783" s="8" t="b">
        <f>AND(TrafficData[[#This Row],[disposedChallan]]&lt;=TrafficData[[#This Row],[totalChallan]],TrafficData[[#This Row],[pendingChallan]]&lt;=TrafficData[[#This Row],[totalChallan]])</f>
        <v>1</v>
      </c>
      <c r="O1783" s="8" t="b">
        <f>AND(TrafficData[[#This Row],[pendingAmount]]&lt;=TrafficData[[#This Row],[totalAmount]],TrafficData[[#This Row],[disposedAmount]]&lt;=TrafficData[[#This Row],[totalAmount]])</f>
        <v>1</v>
      </c>
      <c r="P1783" s="8" t="b">
        <f>AND(TrafficData[[#This Row],[pendingCourt]]&lt;=TrafficData[[#This Row],[totalCourt]],TrafficData[[#This Row],[disposedCourt]]&lt;=TrafficData[[#This Row],[totalCourt]])</f>
        <v>1</v>
      </c>
    </row>
    <row r="1784" spans="1:16">
      <c r="A1784" s="1">
        <v>43788</v>
      </c>
      <c r="B1784">
        <v>81659</v>
      </c>
      <c r="C1784">
        <v>45379</v>
      </c>
      <c r="D1784">
        <v>36280</v>
      </c>
      <c r="E1784">
        <v>18411931</v>
      </c>
      <c r="F1784">
        <v>66357231</v>
      </c>
      <c r="G1784">
        <v>84769162</v>
      </c>
      <c r="H1784">
        <v>28719</v>
      </c>
      <c r="I1784">
        <v>11616</v>
      </c>
      <c r="J1784">
        <v>40335</v>
      </c>
      <c r="K1784" t="b">
        <f>TrafficData[[#This Row],[disposedChallan]]+TrafficData[[#This Row],[pendingChallan]]=TrafficData[[#This Row],[totalChallan]]</f>
        <v>1</v>
      </c>
      <c r="L1784" t="b">
        <f>TrafficData[[#This Row],[pendingAmount]]+TrafficData[[#This Row],[disposedAmount]]=TrafficData[[#This Row],[totalAmount]]</f>
        <v>1</v>
      </c>
      <c r="M1784" t="b">
        <f>TrafficData[[#This Row],[pendingCourt]]+TrafficData[[#This Row],[disposedCourt]]=TrafficData[[#This Row],[totalCourt]]</f>
        <v>1</v>
      </c>
      <c r="N1784" s="8" t="b">
        <f>AND(TrafficData[[#This Row],[disposedChallan]]&lt;=TrafficData[[#This Row],[totalChallan]],TrafficData[[#This Row],[pendingChallan]]&lt;=TrafficData[[#This Row],[totalChallan]])</f>
        <v>1</v>
      </c>
      <c r="O1784" s="8" t="b">
        <f>AND(TrafficData[[#This Row],[pendingAmount]]&lt;=TrafficData[[#This Row],[totalAmount]],TrafficData[[#This Row],[disposedAmount]]&lt;=TrafficData[[#This Row],[totalAmount]])</f>
        <v>1</v>
      </c>
      <c r="P1784" s="8" t="b">
        <f>AND(TrafficData[[#This Row],[pendingCourt]]&lt;=TrafficData[[#This Row],[totalCourt]],TrafficData[[#This Row],[disposedCourt]]&lt;=TrafficData[[#This Row],[totalCourt]])</f>
        <v>1</v>
      </c>
    </row>
    <row r="1785" spans="1:16">
      <c r="A1785" s="1">
        <v>43789</v>
      </c>
      <c r="B1785">
        <v>82314</v>
      </c>
      <c r="C1785">
        <v>44334</v>
      </c>
      <c r="D1785">
        <v>37980</v>
      </c>
      <c r="E1785">
        <v>18299243</v>
      </c>
      <c r="F1785">
        <v>60628149</v>
      </c>
      <c r="G1785">
        <v>78927392</v>
      </c>
      <c r="H1785">
        <v>29828</v>
      </c>
      <c r="I1785">
        <v>11758</v>
      </c>
      <c r="J1785">
        <v>41586</v>
      </c>
      <c r="K1785" t="b">
        <f>TrafficData[[#This Row],[disposedChallan]]+TrafficData[[#This Row],[pendingChallan]]=TrafficData[[#This Row],[totalChallan]]</f>
        <v>1</v>
      </c>
      <c r="L1785" t="b">
        <f>TrafficData[[#This Row],[pendingAmount]]+TrafficData[[#This Row],[disposedAmount]]=TrafficData[[#This Row],[totalAmount]]</f>
        <v>1</v>
      </c>
      <c r="M1785" t="b">
        <f>TrafficData[[#This Row],[pendingCourt]]+TrafficData[[#This Row],[disposedCourt]]=TrafficData[[#This Row],[totalCourt]]</f>
        <v>1</v>
      </c>
      <c r="N1785" s="8" t="b">
        <f>AND(TrafficData[[#This Row],[disposedChallan]]&lt;=TrafficData[[#This Row],[totalChallan]],TrafficData[[#This Row],[pendingChallan]]&lt;=TrafficData[[#This Row],[totalChallan]])</f>
        <v>1</v>
      </c>
      <c r="O1785" s="8" t="b">
        <f>AND(TrafficData[[#This Row],[pendingAmount]]&lt;=TrafficData[[#This Row],[totalAmount]],TrafficData[[#This Row],[disposedAmount]]&lt;=TrafficData[[#This Row],[totalAmount]])</f>
        <v>1</v>
      </c>
      <c r="P1785" s="8" t="b">
        <f>AND(TrafficData[[#This Row],[pendingCourt]]&lt;=TrafficData[[#This Row],[totalCourt]],TrafficData[[#This Row],[disposedCourt]]&lt;=TrafficData[[#This Row],[totalCourt]])</f>
        <v>1</v>
      </c>
    </row>
    <row r="1786" spans="1:16">
      <c r="A1786" s="1">
        <v>43790</v>
      </c>
      <c r="B1786">
        <v>86041</v>
      </c>
      <c r="C1786">
        <v>45738</v>
      </c>
      <c r="D1786">
        <v>40303</v>
      </c>
      <c r="E1786">
        <v>20202785</v>
      </c>
      <c r="F1786">
        <v>57960523</v>
      </c>
      <c r="G1786">
        <v>78163308</v>
      </c>
      <c r="H1786">
        <v>32084</v>
      </c>
      <c r="I1786">
        <v>12153</v>
      </c>
      <c r="J1786">
        <v>44237</v>
      </c>
      <c r="K1786" t="b">
        <f>TrafficData[[#This Row],[disposedChallan]]+TrafficData[[#This Row],[pendingChallan]]=TrafficData[[#This Row],[totalChallan]]</f>
        <v>1</v>
      </c>
      <c r="L1786" t="b">
        <f>TrafficData[[#This Row],[pendingAmount]]+TrafficData[[#This Row],[disposedAmount]]=TrafficData[[#This Row],[totalAmount]]</f>
        <v>1</v>
      </c>
      <c r="M1786" t="b">
        <f>TrafficData[[#This Row],[pendingCourt]]+TrafficData[[#This Row],[disposedCourt]]=TrafficData[[#This Row],[totalCourt]]</f>
        <v>1</v>
      </c>
      <c r="N1786" s="8" t="b">
        <f>AND(TrafficData[[#This Row],[disposedChallan]]&lt;=TrafficData[[#This Row],[totalChallan]],TrafficData[[#This Row],[pendingChallan]]&lt;=TrafficData[[#This Row],[totalChallan]])</f>
        <v>1</v>
      </c>
      <c r="O1786" s="8" t="b">
        <f>AND(TrafficData[[#This Row],[pendingAmount]]&lt;=TrafficData[[#This Row],[totalAmount]],TrafficData[[#This Row],[disposedAmount]]&lt;=TrafficData[[#This Row],[totalAmount]])</f>
        <v>1</v>
      </c>
      <c r="P1786" s="8" t="b">
        <f>AND(TrafficData[[#This Row],[pendingCourt]]&lt;=TrafficData[[#This Row],[totalCourt]],TrafficData[[#This Row],[disposedCourt]]&lt;=TrafficData[[#This Row],[totalCourt]])</f>
        <v>1</v>
      </c>
    </row>
    <row r="1787" spans="1:16">
      <c r="A1787" s="1">
        <v>43791</v>
      </c>
      <c r="B1787">
        <v>82941</v>
      </c>
      <c r="C1787">
        <v>46638</v>
      </c>
      <c r="D1787">
        <v>36303</v>
      </c>
      <c r="E1787">
        <v>17659233</v>
      </c>
      <c r="F1787">
        <v>58185207</v>
      </c>
      <c r="G1787">
        <v>75844440</v>
      </c>
      <c r="H1787">
        <v>28107</v>
      </c>
      <c r="I1787">
        <v>13137</v>
      </c>
      <c r="J1787">
        <v>41244</v>
      </c>
      <c r="K1787" t="b">
        <f>TrafficData[[#This Row],[disposedChallan]]+TrafficData[[#This Row],[pendingChallan]]=TrafficData[[#This Row],[totalChallan]]</f>
        <v>1</v>
      </c>
      <c r="L1787" t="b">
        <f>TrafficData[[#This Row],[pendingAmount]]+TrafficData[[#This Row],[disposedAmount]]=TrafficData[[#This Row],[totalAmount]]</f>
        <v>1</v>
      </c>
      <c r="M1787" t="b">
        <f>TrafficData[[#This Row],[pendingCourt]]+TrafficData[[#This Row],[disposedCourt]]=TrafficData[[#This Row],[totalCourt]]</f>
        <v>1</v>
      </c>
      <c r="N1787" s="8" t="b">
        <f>AND(TrafficData[[#This Row],[disposedChallan]]&lt;=TrafficData[[#This Row],[totalChallan]],TrafficData[[#This Row],[pendingChallan]]&lt;=TrafficData[[#This Row],[totalChallan]])</f>
        <v>1</v>
      </c>
      <c r="O1787" s="8" t="b">
        <f>AND(TrafficData[[#This Row],[pendingAmount]]&lt;=TrafficData[[#This Row],[totalAmount]],TrafficData[[#This Row],[disposedAmount]]&lt;=TrafficData[[#This Row],[totalAmount]])</f>
        <v>1</v>
      </c>
      <c r="P1787" s="8" t="b">
        <f>AND(TrafficData[[#This Row],[pendingCourt]]&lt;=TrafficData[[#This Row],[totalCourt]],TrafficData[[#This Row],[disposedCourt]]&lt;=TrafficData[[#This Row],[totalCourt]])</f>
        <v>1</v>
      </c>
    </row>
    <row r="1788" spans="1:16">
      <c r="A1788" s="1">
        <v>43792</v>
      </c>
      <c r="B1788">
        <v>84609</v>
      </c>
      <c r="C1788">
        <v>46961</v>
      </c>
      <c r="D1788">
        <v>37648</v>
      </c>
      <c r="E1788">
        <v>18282165</v>
      </c>
      <c r="F1788">
        <v>55663647</v>
      </c>
      <c r="G1788">
        <v>73945812</v>
      </c>
      <c r="H1788">
        <v>29212</v>
      </c>
      <c r="I1788">
        <v>13220</v>
      </c>
      <c r="J1788">
        <v>42432</v>
      </c>
      <c r="K1788" t="b">
        <f>TrafficData[[#This Row],[disposedChallan]]+TrafficData[[#This Row],[pendingChallan]]=TrafficData[[#This Row],[totalChallan]]</f>
        <v>1</v>
      </c>
      <c r="L1788" t="b">
        <f>TrafficData[[#This Row],[pendingAmount]]+TrafficData[[#This Row],[disposedAmount]]=TrafficData[[#This Row],[totalAmount]]</f>
        <v>1</v>
      </c>
      <c r="M1788" t="b">
        <f>TrafficData[[#This Row],[pendingCourt]]+TrafficData[[#This Row],[disposedCourt]]=TrafficData[[#This Row],[totalCourt]]</f>
        <v>1</v>
      </c>
      <c r="N1788" s="8" t="b">
        <f>AND(TrafficData[[#This Row],[disposedChallan]]&lt;=TrafficData[[#This Row],[totalChallan]],TrafficData[[#This Row],[pendingChallan]]&lt;=TrafficData[[#This Row],[totalChallan]])</f>
        <v>1</v>
      </c>
      <c r="O1788" s="8" t="b">
        <f>AND(TrafficData[[#This Row],[pendingAmount]]&lt;=TrafficData[[#This Row],[totalAmount]],TrafficData[[#This Row],[disposedAmount]]&lt;=TrafficData[[#This Row],[totalAmount]])</f>
        <v>1</v>
      </c>
      <c r="P1788" s="8" t="b">
        <f>AND(TrafficData[[#This Row],[pendingCourt]]&lt;=TrafficData[[#This Row],[totalCourt]],TrafficData[[#This Row],[disposedCourt]]&lt;=TrafficData[[#This Row],[totalCourt]])</f>
        <v>1</v>
      </c>
    </row>
    <row r="1789" spans="1:16">
      <c r="A1789" s="1">
        <v>43793</v>
      </c>
      <c r="B1789">
        <v>76712</v>
      </c>
      <c r="C1789">
        <v>41690</v>
      </c>
      <c r="D1789">
        <v>35022</v>
      </c>
      <c r="E1789">
        <v>14653148</v>
      </c>
      <c r="F1789">
        <v>45487206</v>
      </c>
      <c r="G1789">
        <v>60140354</v>
      </c>
      <c r="H1789">
        <v>28569</v>
      </c>
      <c r="I1789">
        <v>12958</v>
      </c>
      <c r="J1789">
        <v>41527</v>
      </c>
      <c r="K1789" t="b">
        <f>TrafficData[[#This Row],[disposedChallan]]+TrafficData[[#This Row],[pendingChallan]]=TrafficData[[#This Row],[totalChallan]]</f>
        <v>1</v>
      </c>
      <c r="L1789" t="b">
        <f>TrafficData[[#This Row],[pendingAmount]]+TrafficData[[#This Row],[disposedAmount]]=TrafficData[[#This Row],[totalAmount]]</f>
        <v>1</v>
      </c>
      <c r="M1789" t="b">
        <f>TrafficData[[#This Row],[pendingCourt]]+TrafficData[[#This Row],[disposedCourt]]=TrafficData[[#This Row],[totalCourt]]</f>
        <v>1</v>
      </c>
      <c r="N1789" s="8" t="b">
        <f>AND(TrafficData[[#This Row],[disposedChallan]]&lt;=TrafficData[[#This Row],[totalChallan]],TrafficData[[#This Row],[pendingChallan]]&lt;=TrafficData[[#This Row],[totalChallan]])</f>
        <v>1</v>
      </c>
      <c r="O1789" s="8" t="b">
        <f>AND(TrafficData[[#This Row],[pendingAmount]]&lt;=TrafficData[[#This Row],[totalAmount]],TrafficData[[#This Row],[disposedAmount]]&lt;=TrafficData[[#This Row],[totalAmount]])</f>
        <v>1</v>
      </c>
      <c r="P1789" s="8" t="b">
        <f>AND(TrafficData[[#This Row],[pendingCourt]]&lt;=TrafficData[[#This Row],[totalCourt]],TrafficData[[#This Row],[disposedCourt]]&lt;=TrafficData[[#This Row],[totalCourt]])</f>
        <v>1</v>
      </c>
    </row>
    <row r="1790" spans="1:16">
      <c r="A1790" s="1">
        <v>43794</v>
      </c>
      <c r="B1790">
        <v>84728</v>
      </c>
      <c r="C1790">
        <v>49416</v>
      </c>
      <c r="D1790">
        <v>35312</v>
      </c>
      <c r="E1790">
        <v>20687932</v>
      </c>
      <c r="F1790">
        <v>57511369</v>
      </c>
      <c r="G1790">
        <v>78199301</v>
      </c>
      <c r="H1790">
        <v>27809</v>
      </c>
      <c r="I1790">
        <v>14001</v>
      </c>
      <c r="J1790">
        <v>41810</v>
      </c>
      <c r="K1790" t="b">
        <f>TrafficData[[#This Row],[disposedChallan]]+TrafficData[[#This Row],[pendingChallan]]=TrafficData[[#This Row],[totalChallan]]</f>
        <v>1</v>
      </c>
      <c r="L1790" t="b">
        <f>TrafficData[[#This Row],[pendingAmount]]+TrafficData[[#This Row],[disposedAmount]]=TrafficData[[#This Row],[totalAmount]]</f>
        <v>1</v>
      </c>
      <c r="M1790" t="b">
        <f>TrafficData[[#This Row],[pendingCourt]]+TrafficData[[#This Row],[disposedCourt]]=TrafficData[[#This Row],[totalCourt]]</f>
        <v>1</v>
      </c>
      <c r="N1790" s="8" t="b">
        <f>AND(TrafficData[[#This Row],[disposedChallan]]&lt;=TrafficData[[#This Row],[totalChallan]],TrafficData[[#This Row],[pendingChallan]]&lt;=TrafficData[[#This Row],[totalChallan]])</f>
        <v>1</v>
      </c>
      <c r="O1790" s="8" t="b">
        <f>AND(TrafficData[[#This Row],[pendingAmount]]&lt;=TrafficData[[#This Row],[totalAmount]],TrafficData[[#This Row],[disposedAmount]]&lt;=TrafficData[[#This Row],[totalAmount]])</f>
        <v>1</v>
      </c>
      <c r="P1790" s="8" t="b">
        <f>AND(TrafficData[[#This Row],[pendingCourt]]&lt;=TrafficData[[#This Row],[totalCourt]],TrafficData[[#This Row],[disposedCourt]]&lt;=TrafficData[[#This Row],[totalCourt]])</f>
        <v>1</v>
      </c>
    </row>
    <row r="1791" spans="1:16">
      <c r="A1791" s="1">
        <v>43795</v>
      </c>
      <c r="B1791">
        <v>94377</v>
      </c>
      <c r="C1791">
        <v>48408</v>
      </c>
      <c r="D1791">
        <v>45969</v>
      </c>
      <c r="E1791">
        <v>21187245</v>
      </c>
      <c r="F1791">
        <v>69294672</v>
      </c>
      <c r="G1791">
        <v>90481917</v>
      </c>
      <c r="H1791">
        <v>37982</v>
      </c>
      <c r="I1791">
        <v>13405</v>
      </c>
      <c r="J1791">
        <v>51387</v>
      </c>
      <c r="K1791" t="b">
        <f>TrafficData[[#This Row],[disposedChallan]]+TrafficData[[#This Row],[pendingChallan]]=TrafficData[[#This Row],[totalChallan]]</f>
        <v>1</v>
      </c>
      <c r="L1791" t="b">
        <f>TrafficData[[#This Row],[pendingAmount]]+TrafficData[[#This Row],[disposedAmount]]=TrafficData[[#This Row],[totalAmount]]</f>
        <v>1</v>
      </c>
      <c r="M1791" t="b">
        <f>TrafficData[[#This Row],[pendingCourt]]+TrafficData[[#This Row],[disposedCourt]]=TrafficData[[#This Row],[totalCourt]]</f>
        <v>1</v>
      </c>
      <c r="N1791" s="8" t="b">
        <f>AND(TrafficData[[#This Row],[disposedChallan]]&lt;=TrafficData[[#This Row],[totalChallan]],TrafficData[[#This Row],[pendingChallan]]&lt;=TrafficData[[#This Row],[totalChallan]])</f>
        <v>1</v>
      </c>
      <c r="O1791" s="8" t="b">
        <f>AND(TrafficData[[#This Row],[pendingAmount]]&lt;=TrafficData[[#This Row],[totalAmount]],TrafficData[[#This Row],[disposedAmount]]&lt;=TrafficData[[#This Row],[totalAmount]])</f>
        <v>1</v>
      </c>
      <c r="P1791" s="8" t="b">
        <f>AND(TrafficData[[#This Row],[pendingCourt]]&lt;=TrafficData[[#This Row],[totalCourt]],TrafficData[[#This Row],[disposedCourt]]&lt;=TrafficData[[#This Row],[totalCourt]])</f>
        <v>1</v>
      </c>
    </row>
    <row r="1792" spans="1:16">
      <c r="A1792" s="1">
        <v>43796</v>
      </c>
      <c r="B1792">
        <v>94593</v>
      </c>
      <c r="C1792">
        <v>47989</v>
      </c>
      <c r="D1792">
        <v>46604</v>
      </c>
      <c r="E1792">
        <v>19639448</v>
      </c>
      <c r="F1792">
        <v>62252851</v>
      </c>
      <c r="G1792">
        <v>81892299</v>
      </c>
      <c r="H1792">
        <v>38301</v>
      </c>
      <c r="I1792">
        <v>13104</v>
      </c>
      <c r="J1792">
        <v>51405</v>
      </c>
      <c r="K1792" t="b">
        <f>TrafficData[[#This Row],[disposedChallan]]+TrafficData[[#This Row],[pendingChallan]]=TrafficData[[#This Row],[totalChallan]]</f>
        <v>1</v>
      </c>
      <c r="L1792" t="b">
        <f>TrafficData[[#This Row],[pendingAmount]]+TrafficData[[#This Row],[disposedAmount]]=TrafficData[[#This Row],[totalAmount]]</f>
        <v>1</v>
      </c>
      <c r="M1792" t="b">
        <f>TrafficData[[#This Row],[pendingCourt]]+TrafficData[[#This Row],[disposedCourt]]=TrafficData[[#This Row],[totalCourt]]</f>
        <v>1</v>
      </c>
      <c r="N1792" s="8" t="b">
        <f>AND(TrafficData[[#This Row],[disposedChallan]]&lt;=TrafficData[[#This Row],[totalChallan]],TrafficData[[#This Row],[pendingChallan]]&lt;=TrafficData[[#This Row],[totalChallan]])</f>
        <v>1</v>
      </c>
      <c r="O1792" s="8" t="b">
        <f>AND(TrafficData[[#This Row],[pendingAmount]]&lt;=TrafficData[[#This Row],[totalAmount]],TrafficData[[#This Row],[disposedAmount]]&lt;=TrafficData[[#This Row],[totalAmount]])</f>
        <v>1</v>
      </c>
      <c r="P1792" s="8" t="b">
        <f>AND(TrafficData[[#This Row],[pendingCourt]]&lt;=TrafficData[[#This Row],[totalCourt]],TrafficData[[#This Row],[disposedCourt]]&lt;=TrafficData[[#This Row],[totalCourt]])</f>
        <v>1</v>
      </c>
    </row>
    <row r="1793" spans="1:16">
      <c r="A1793" s="1">
        <v>43797</v>
      </c>
      <c r="B1793">
        <v>95516</v>
      </c>
      <c r="C1793">
        <v>45118</v>
      </c>
      <c r="D1793">
        <v>50398</v>
      </c>
      <c r="E1793">
        <v>21128704</v>
      </c>
      <c r="F1793">
        <v>58233937</v>
      </c>
      <c r="G1793">
        <v>79362641</v>
      </c>
      <c r="H1793">
        <v>42158</v>
      </c>
      <c r="I1793">
        <v>12801</v>
      </c>
      <c r="J1793">
        <v>54959</v>
      </c>
      <c r="K1793" t="b">
        <f>TrafficData[[#This Row],[disposedChallan]]+TrafficData[[#This Row],[pendingChallan]]=TrafficData[[#This Row],[totalChallan]]</f>
        <v>1</v>
      </c>
      <c r="L1793" t="b">
        <f>TrafficData[[#This Row],[pendingAmount]]+TrafficData[[#This Row],[disposedAmount]]=TrafficData[[#This Row],[totalAmount]]</f>
        <v>1</v>
      </c>
      <c r="M1793" t="b">
        <f>TrafficData[[#This Row],[pendingCourt]]+TrafficData[[#This Row],[disposedCourt]]=TrafficData[[#This Row],[totalCourt]]</f>
        <v>1</v>
      </c>
      <c r="N1793" s="8" t="b">
        <f>AND(TrafficData[[#This Row],[disposedChallan]]&lt;=TrafficData[[#This Row],[totalChallan]],TrafficData[[#This Row],[pendingChallan]]&lt;=TrafficData[[#This Row],[totalChallan]])</f>
        <v>1</v>
      </c>
      <c r="O1793" s="8" t="b">
        <f>AND(TrafficData[[#This Row],[pendingAmount]]&lt;=TrafficData[[#This Row],[totalAmount]],TrafficData[[#This Row],[disposedAmount]]&lt;=TrafficData[[#This Row],[totalAmount]])</f>
        <v>1</v>
      </c>
      <c r="P1793" s="8" t="b">
        <f>AND(TrafficData[[#This Row],[pendingCourt]]&lt;=TrafficData[[#This Row],[totalCourt]],TrafficData[[#This Row],[disposedCourt]]&lt;=TrafficData[[#This Row],[totalCourt]])</f>
        <v>1</v>
      </c>
    </row>
    <row r="1794" spans="1:16">
      <c r="A1794" s="1">
        <v>43798</v>
      </c>
      <c r="B1794">
        <v>96888</v>
      </c>
      <c r="C1794">
        <v>46997</v>
      </c>
      <c r="D1794">
        <v>49891</v>
      </c>
      <c r="E1794">
        <v>18987241</v>
      </c>
      <c r="F1794">
        <v>60720409</v>
      </c>
      <c r="G1794">
        <v>79707650</v>
      </c>
      <c r="H1794">
        <v>42902</v>
      </c>
      <c r="I1794">
        <v>14194</v>
      </c>
      <c r="J1794">
        <v>57096</v>
      </c>
      <c r="K1794" t="b">
        <f>TrafficData[[#This Row],[disposedChallan]]+TrafficData[[#This Row],[pendingChallan]]=TrafficData[[#This Row],[totalChallan]]</f>
        <v>1</v>
      </c>
      <c r="L1794" t="b">
        <f>TrafficData[[#This Row],[pendingAmount]]+TrafficData[[#This Row],[disposedAmount]]=TrafficData[[#This Row],[totalAmount]]</f>
        <v>1</v>
      </c>
      <c r="M1794" t="b">
        <f>TrafficData[[#This Row],[pendingCourt]]+TrafficData[[#This Row],[disposedCourt]]=TrafficData[[#This Row],[totalCourt]]</f>
        <v>1</v>
      </c>
      <c r="N1794" s="8" t="b">
        <f>AND(TrafficData[[#This Row],[disposedChallan]]&lt;=TrafficData[[#This Row],[totalChallan]],TrafficData[[#This Row],[pendingChallan]]&lt;=TrafficData[[#This Row],[totalChallan]])</f>
        <v>1</v>
      </c>
      <c r="O1794" s="8" t="b">
        <f>AND(TrafficData[[#This Row],[pendingAmount]]&lt;=TrafficData[[#This Row],[totalAmount]],TrafficData[[#This Row],[disposedAmount]]&lt;=TrafficData[[#This Row],[totalAmount]])</f>
        <v>1</v>
      </c>
      <c r="P1794" s="8" t="b">
        <f>AND(TrafficData[[#This Row],[pendingCourt]]&lt;=TrafficData[[#This Row],[totalCourt]],TrafficData[[#This Row],[disposedCourt]]&lt;=TrafficData[[#This Row],[totalCourt]])</f>
        <v>1</v>
      </c>
    </row>
    <row r="1795" spans="1:16">
      <c r="A1795" s="1">
        <v>43799</v>
      </c>
      <c r="B1795">
        <v>88768</v>
      </c>
      <c r="C1795">
        <v>40005</v>
      </c>
      <c r="D1795">
        <v>48763</v>
      </c>
      <c r="E1795">
        <v>17622780</v>
      </c>
      <c r="F1795">
        <v>47774017</v>
      </c>
      <c r="G1795">
        <v>65396797</v>
      </c>
      <c r="H1795">
        <v>42942</v>
      </c>
      <c r="I1795">
        <v>11276</v>
      </c>
      <c r="J1795">
        <v>54218</v>
      </c>
      <c r="K1795" t="b">
        <f>TrafficData[[#This Row],[disposedChallan]]+TrafficData[[#This Row],[pendingChallan]]=TrafficData[[#This Row],[totalChallan]]</f>
        <v>1</v>
      </c>
      <c r="L1795" t="b">
        <f>TrafficData[[#This Row],[pendingAmount]]+TrafficData[[#This Row],[disposedAmount]]=TrafficData[[#This Row],[totalAmount]]</f>
        <v>1</v>
      </c>
      <c r="M1795" t="b">
        <f>TrafficData[[#This Row],[pendingCourt]]+TrafficData[[#This Row],[disposedCourt]]=TrafficData[[#This Row],[totalCourt]]</f>
        <v>1</v>
      </c>
      <c r="N1795" s="8" t="b">
        <f>AND(TrafficData[[#This Row],[disposedChallan]]&lt;=TrafficData[[#This Row],[totalChallan]],TrafficData[[#This Row],[pendingChallan]]&lt;=TrafficData[[#This Row],[totalChallan]])</f>
        <v>1</v>
      </c>
      <c r="O1795" s="8" t="b">
        <f>AND(TrafficData[[#This Row],[pendingAmount]]&lt;=TrafficData[[#This Row],[totalAmount]],TrafficData[[#This Row],[disposedAmount]]&lt;=TrafficData[[#This Row],[totalAmount]])</f>
        <v>1</v>
      </c>
      <c r="P1795" s="8" t="b">
        <f>AND(TrafficData[[#This Row],[pendingCourt]]&lt;=TrafficData[[#This Row],[totalCourt]],TrafficData[[#This Row],[disposedCourt]]&lt;=TrafficData[[#This Row],[totalCourt]])</f>
        <v>1</v>
      </c>
    </row>
    <row r="1796" spans="1:16">
      <c r="A1796" s="1">
        <v>43800</v>
      </c>
      <c r="B1796">
        <v>76940</v>
      </c>
      <c r="C1796">
        <v>30379</v>
      </c>
      <c r="D1796">
        <v>46561</v>
      </c>
      <c r="E1796">
        <v>8944264</v>
      </c>
      <c r="F1796">
        <v>39688376</v>
      </c>
      <c r="G1796">
        <v>48632640</v>
      </c>
      <c r="H1796">
        <v>41227</v>
      </c>
      <c r="I1796">
        <v>8109</v>
      </c>
      <c r="J1796">
        <v>49336</v>
      </c>
      <c r="K1796" t="b">
        <f>TrafficData[[#This Row],[disposedChallan]]+TrafficData[[#This Row],[pendingChallan]]=TrafficData[[#This Row],[totalChallan]]</f>
        <v>1</v>
      </c>
      <c r="L1796" t="b">
        <f>TrafficData[[#This Row],[pendingAmount]]+TrafficData[[#This Row],[disposedAmount]]=TrafficData[[#This Row],[totalAmount]]</f>
        <v>1</v>
      </c>
      <c r="M1796" t="b">
        <f>TrafficData[[#This Row],[pendingCourt]]+TrafficData[[#This Row],[disposedCourt]]=TrafficData[[#This Row],[totalCourt]]</f>
        <v>1</v>
      </c>
      <c r="N1796" s="8" t="b">
        <f>AND(TrafficData[[#This Row],[disposedChallan]]&lt;=TrafficData[[#This Row],[totalChallan]],TrafficData[[#This Row],[pendingChallan]]&lt;=TrafficData[[#This Row],[totalChallan]])</f>
        <v>1</v>
      </c>
      <c r="O1796" s="8" t="b">
        <f>AND(TrafficData[[#This Row],[pendingAmount]]&lt;=TrafficData[[#This Row],[totalAmount]],TrafficData[[#This Row],[disposedAmount]]&lt;=TrafficData[[#This Row],[totalAmount]])</f>
        <v>1</v>
      </c>
      <c r="P1796" s="8" t="b">
        <f>AND(TrafficData[[#This Row],[pendingCourt]]&lt;=TrafficData[[#This Row],[totalCourt]],TrafficData[[#This Row],[disposedCourt]]&lt;=TrafficData[[#This Row],[totalCourt]])</f>
        <v>1</v>
      </c>
    </row>
    <row r="1797" spans="1:16">
      <c r="A1797" s="1">
        <v>43801</v>
      </c>
      <c r="B1797">
        <v>92572</v>
      </c>
      <c r="C1797">
        <v>41696</v>
      </c>
      <c r="D1797">
        <v>50876</v>
      </c>
      <c r="E1797">
        <v>12937015</v>
      </c>
      <c r="F1797">
        <v>52190870</v>
      </c>
      <c r="G1797">
        <v>65127885</v>
      </c>
      <c r="H1797">
        <v>42982</v>
      </c>
      <c r="I1797">
        <v>10437</v>
      </c>
      <c r="J1797">
        <v>53419</v>
      </c>
      <c r="K1797" t="b">
        <f>TrafficData[[#This Row],[disposedChallan]]+TrafficData[[#This Row],[pendingChallan]]=TrafficData[[#This Row],[totalChallan]]</f>
        <v>1</v>
      </c>
      <c r="L1797" t="b">
        <f>TrafficData[[#This Row],[pendingAmount]]+TrafficData[[#This Row],[disposedAmount]]=TrafficData[[#This Row],[totalAmount]]</f>
        <v>1</v>
      </c>
      <c r="M1797" t="b">
        <f>TrafficData[[#This Row],[pendingCourt]]+TrafficData[[#This Row],[disposedCourt]]=TrafficData[[#This Row],[totalCourt]]</f>
        <v>1</v>
      </c>
      <c r="N1797" s="8" t="b">
        <f>AND(TrafficData[[#This Row],[disposedChallan]]&lt;=TrafficData[[#This Row],[totalChallan]],TrafficData[[#This Row],[pendingChallan]]&lt;=TrafficData[[#This Row],[totalChallan]])</f>
        <v>1</v>
      </c>
      <c r="O1797" s="8" t="b">
        <f>AND(TrafficData[[#This Row],[pendingAmount]]&lt;=TrafficData[[#This Row],[totalAmount]],TrafficData[[#This Row],[disposedAmount]]&lt;=TrafficData[[#This Row],[totalAmount]])</f>
        <v>1</v>
      </c>
      <c r="P1797" s="8" t="b">
        <f>AND(TrafficData[[#This Row],[pendingCourt]]&lt;=TrafficData[[#This Row],[totalCourt]],TrafficData[[#This Row],[disposedCourt]]&lt;=TrafficData[[#This Row],[totalCourt]])</f>
        <v>1</v>
      </c>
    </row>
    <row r="1798" spans="1:16">
      <c r="A1798" s="1">
        <v>43802</v>
      </c>
      <c r="B1798">
        <v>98351</v>
      </c>
      <c r="C1798">
        <v>43384</v>
      </c>
      <c r="D1798">
        <v>54967</v>
      </c>
      <c r="E1798">
        <v>17794086</v>
      </c>
      <c r="F1798">
        <v>57248949</v>
      </c>
      <c r="G1798">
        <v>75043035</v>
      </c>
      <c r="H1798">
        <v>46667</v>
      </c>
      <c r="I1798">
        <v>10885</v>
      </c>
      <c r="J1798">
        <v>57552</v>
      </c>
      <c r="K1798" t="b">
        <f>TrafficData[[#This Row],[disposedChallan]]+TrafficData[[#This Row],[pendingChallan]]=TrafficData[[#This Row],[totalChallan]]</f>
        <v>1</v>
      </c>
      <c r="L1798" t="b">
        <f>TrafficData[[#This Row],[pendingAmount]]+TrafficData[[#This Row],[disposedAmount]]=TrafficData[[#This Row],[totalAmount]]</f>
        <v>1</v>
      </c>
      <c r="M1798" t="b">
        <f>TrafficData[[#This Row],[pendingCourt]]+TrafficData[[#This Row],[disposedCourt]]=TrafficData[[#This Row],[totalCourt]]</f>
        <v>1</v>
      </c>
      <c r="N1798" s="8" t="b">
        <f>AND(TrafficData[[#This Row],[disposedChallan]]&lt;=TrafficData[[#This Row],[totalChallan]],TrafficData[[#This Row],[pendingChallan]]&lt;=TrafficData[[#This Row],[totalChallan]])</f>
        <v>1</v>
      </c>
      <c r="O1798" s="8" t="b">
        <f>AND(TrafficData[[#This Row],[pendingAmount]]&lt;=TrafficData[[#This Row],[totalAmount]],TrafficData[[#This Row],[disposedAmount]]&lt;=TrafficData[[#This Row],[totalAmount]])</f>
        <v>1</v>
      </c>
      <c r="P1798" s="8" t="b">
        <f>AND(TrafficData[[#This Row],[pendingCourt]]&lt;=TrafficData[[#This Row],[totalCourt]],TrafficData[[#This Row],[disposedCourt]]&lt;=TrafficData[[#This Row],[totalCourt]])</f>
        <v>1</v>
      </c>
    </row>
    <row r="1799" spans="1:16">
      <c r="A1799" s="1">
        <v>43803</v>
      </c>
      <c r="B1799">
        <v>95855</v>
      </c>
      <c r="C1799">
        <v>43120</v>
      </c>
      <c r="D1799">
        <v>52735</v>
      </c>
      <c r="E1799">
        <v>15817121</v>
      </c>
      <c r="F1799">
        <v>60407293</v>
      </c>
      <c r="G1799">
        <v>76224414</v>
      </c>
      <c r="H1799">
        <v>43872</v>
      </c>
      <c r="I1799">
        <v>10749</v>
      </c>
      <c r="J1799">
        <v>54621</v>
      </c>
      <c r="K1799" t="b">
        <f>TrafficData[[#This Row],[disposedChallan]]+TrafficData[[#This Row],[pendingChallan]]=TrafficData[[#This Row],[totalChallan]]</f>
        <v>1</v>
      </c>
      <c r="L1799" t="b">
        <f>TrafficData[[#This Row],[pendingAmount]]+TrafficData[[#This Row],[disposedAmount]]=TrafficData[[#This Row],[totalAmount]]</f>
        <v>1</v>
      </c>
      <c r="M1799" t="b">
        <f>TrafficData[[#This Row],[pendingCourt]]+TrafficData[[#This Row],[disposedCourt]]=TrafficData[[#This Row],[totalCourt]]</f>
        <v>1</v>
      </c>
      <c r="N1799" s="8" t="b">
        <f>AND(TrafficData[[#This Row],[disposedChallan]]&lt;=TrafficData[[#This Row],[totalChallan]],TrafficData[[#This Row],[pendingChallan]]&lt;=TrafficData[[#This Row],[totalChallan]])</f>
        <v>1</v>
      </c>
      <c r="O1799" s="8" t="b">
        <f>AND(TrafficData[[#This Row],[pendingAmount]]&lt;=TrafficData[[#This Row],[totalAmount]],TrafficData[[#This Row],[disposedAmount]]&lt;=TrafficData[[#This Row],[totalAmount]])</f>
        <v>1</v>
      </c>
      <c r="P1799" s="8" t="b">
        <f>AND(TrafficData[[#This Row],[pendingCourt]]&lt;=TrafficData[[#This Row],[totalCourt]],TrafficData[[#This Row],[disposedCourt]]&lt;=TrafficData[[#This Row],[totalCourt]])</f>
        <v>1</v>
      </c>
    </row>
    <row r="1800" spans="1:16">
      <c r="A1800" s="1">
        <v>43804</v>
      </c>
      <c r="B1800">
        <v>102041</v>
      </c>
      <c r="C1800">
        <v>42157</v>
      </c>
      <c r="D1800">
        <v>59884</v>
      </c>
      <c r="E1800">
        <v>14745864</v>
      </c>
      <c r="F1800">
        <v>58516011</v>
      </c>
      <c r="G1800">
        <v>73261875</v>
      </c>
      <c r="H1800">
        <v>52083</v>
      </c>
      <c r="I1800">
        <v>11086</v>
      </c>
      <c r="J1800">
        <v>63169</v>
      </c>
      <c r="K1800" t="b">
        <f>TrafficData[[#This Row],[disposedChallan]]+TrafficData[[#This Row],[pendingChallan]]=TrafficData[[#This Row],[totalChallan]]</f>
        <v>1</v>
      </c>
      <c r="L1800" t="b">
        <f>TrafficData[[#This Row],[pendingAmount]]+TrafficData[[#This Row],[disposedAmount]]=TrafficData[[#This Row],[totalAmount]]</f>
        <v>1</v>
      </c>
      <c r="M1800" t="b">
        <f>TrafficData[[#This Row],[pendingCourt]]+TrafficData[[#This Row],[disposedCourt]]=TrafficData[[#This Row],[totalCourt]]</f>
        <v>1</v>
      </c>
      <c r="N1800" s="8" t="b">
        <f>AND(TrafficData[[#This Row],[disposedChallan]]&lt;=TrafficData[[#This Row],[totalChallan]],TrafficData[[#This Row],[pendingChallan]]&lt;=TrafficData[[#This Row],[totalChallan]])</f>
        <v>1</v>
      </c>
      <c r="O1800" s="8" t="b">
        <f>AND(TrafficData[[#This Row],[pendingAmount]]&lt;=TrafficData[[#This Row],[totalAmount]],TrafficData[[#This Row],[disposedAmount]]&lt;=TrafficData[[#This Row],[totalAmount]])</f>
        <v>1</v>
      </c>
      <c r="P1800" s="8" t="b">
        <f>AND(TrafficData[[#This Row],[pendingCourt]]&lt;=TrafficData[[#This Row],[totalCourt]],TrafficData[[#This Row],[disposedCourt]]&lt;=TrafficData[[#This Row],[totalCourt]])</f>
        <v>1</v>
      </c>
    </row>
    <row r="1801" spans="1:16">
      <c r="A1801" s="1">
        <v>43805</v>
      </c>
      <c r="B1801">
        <v>106815</v>
      </c>
      <c r="C1801">
        <v>43008</v>
      </c>
      <c r="D1801">
        <v>63807</v>
      </c>
      <c r="E1801">
        <v>18811635</v>
      </c>
      <c r="F1801">
        <v>58867587</v>
      </c>
      <c r="G1801">
        <v>77679222</v>
      </c>
      <c r="H1801">
        <v>55606</v>
      </c>
      <c r="I1801">
        <v>10994</v>
      </c>
      <c r="J1801">
        <v>66600</v>
      </c>
      <c r="K1801" t="b">
        <f>TrafficData[[#This Row],[disposedChallan]]+TrafficData[[#This Row],[pendingChallan]]=TrafficData[[#This Row],[totalChallan]]</f>
        <v>1</v>
      </c>
      <c r="L1801" t="b">
        <f>TrafficData[[#This Row],[pendingAmount]]+TrafficData[[#This Row],[disposedAmount]]=TrafficData[[#This Row],[totalAmount]]</f>
        <v>1</v>
      </c>
      <c r="M1801" t="b">
        <f>TrafficData[[#This Row],[pendingCourt]]+TrafficData[[#This Row],[disposedCourt]]=TrafficData[[#This Row],[totalCourt]]</f>
        <v>1</v>
      </c>
      <c r="N1801" s="8" t="b">
        <f>AND(TrafficData[[#This Row],[disposedChallan]]&lt;=TrafficData[[#This Row],[totalChallan]],TrafficData[[#This Row],[pendingChallan]]&lt;=TrafficData[[#This Row],[totalChallan]])</f>
        <v>1</v>
      </c>
      <c r="O1801" s="8" t="b">
        <f>AND(TrafficData[[#This Row],[pendingAmount]]&lt;=TrafficData[[#This Row],[totalAmount]],TrafficData[[#This Row],[disposedAmount]]&lt;=TrafficData[[#This Row],[totalAmount]])</f>
        <v>1</v>
      </c>
      <c r="P1801" s="8" t="b">
        <f>AND(TrafficData[[#This Row],[pendingCourt]]&lt;=TrafficData[[#This Row],[totalCourt]],TrafficData[[#This Row],[disposedCourt]]&lt;=TrafficData[[#This Row],[totalCourt]])</f>
        <v>1</v>
      </c>
    </row>
    <row r="1802" spans="1:16">
      <c r="A1802" s="1">
        <v>43806</v>
      </c>
      <c r="B1802">
        <v>99036</v>
      </c>
      <c r="C1802">
        <v>41599</v>
      </c>
      <c r="D1802">
        <v>57437</v>
      </c>
      <c r="E1802">
        <v>15071165</v>
      </c>
      <c r="F1802">
        <v>54417884</v>
      </c>
      <c r="G1802">
        <v>69489049</v>
      </c>
      <c r="H1802">
        <v>49109</v>
      </c>
      <c r="I1802">
        <v>10368</v>
      </c>
      <c r="J1802">
        <v>59477</v>
      </c>
      <c r="K1802" t="b">
        <f>TrafficData[[#This Row],[disposedChallan]]+TrafficData[[#This Row],[pendingChallan]]=TrafficData[[#This Row],[totalChallan]]</f>
        <v>1</v>
      </c>
      <c r="L1802" t="b">
        <f>TrafficData[[#This Row],[pendingAmount]]+TrafficData[[#This Row],[disposedAmount]]=TrafficData[[#This Row],[totalAmount]]</f>
        <v>1</v>
      </c>
      <c r="M1802" t="b">
        <f>TrafficData[[#This Row],[pendingCourt]]+TrafficData[[#This Row],[disposedCourt]]=TrafficData[[#This Row],[totalCourt]]</f>
        <v>1</v>
      </c>
      <c r="N1802" s="8" t="b">
        <f>AND(TrafficData[[#This Row],[disposedChallan]]&lt;=TrafficData[[#This Row],[totalChallan]],TrafficData[[#This Row],[pendingChallan]]&lt;=TrafficData[[#This Row],[totalChallan]])</f>
        <v>1</v>
      </c>
      <c r="O1802" s="8" t="b">
        <f>AND(TrafficData[[#This Row],[pendingAmount]]&lt;=TrafficData[[#This Row],[totalAmount]],TrafficData[[#This Row],[disposedAmount]]&lt;=TrafficData[[#This Row],[totalAmount]])</f>
        <v>1</v>
      </c>
      <c r="P1802" s="8" t="b">
        <f>AND(TrafficData[[#This Row],[pendingCourt]]&lt;=TrafficData[[#This Row],[totalCourt]],TrafficData[[#This Row],[disposedCourt]]&lt;=TrafficData[[#This Row],[totalCourt]])</f>
        <v>1</v>
      </c>
    </row>
    <row r="1803" spans="1:16">
      <c r="A1803" s="1">
        <v>43807</v>
      </c>
      <c r="B1803">
        <v>88764</v>
      </c>
      <c r="C1803">
        <v>33523</v>
      </c>
      <c r="D1803">
        <v>55241</v>
      </c>
      <c r="E1803">
        <v>9863340</v>
      </c>
      <c r="F1803">
        <v>38542005</v>
      </c>
      <c r="G1803">
        <v>48405345</v>
      </c>
      <c r="H1803">
        <v>48932</v>
      </c>
      <c r="I1803">
        <v>8349</v>
      </c>
      <c r="J1803">
        <v>57281</v>
      </c>
      <c r="K1803" t="b">
        <f>TrafficData[[#This Row],[disposedChallan]]+TrafficData[[#This Row],[pendingChallan]]=TrafficData[[#This Row],[totalChallan]]</f>
        <v>1</v>
      </c>
      <c r="L1803" t="b">
        <f>TrafficData[[#This Row],[pendingAmount]]+TrafficData[[#This Row],[disposedAmount]]=TrafficData[[#This Row],[totalAmount]]</f>
        <v>1</v>
      </c>
      <c r="M1803" t="b">
        <f>TrafficData[[#This Row],[pendingCourt]]+TrafficData[[#This Row],[disposedCourt]]=TrafficData[[#This Row],[totalCourt]]</f>
        <v>1</v>
      </c>
      <c r="N1803" s="8" t="b">
        <f>AND(TrafficData[[#This Row],[disposedChallan]]&lt;=TrafficData[[#This Row],[totalChallan]],TrafficData[[#This Row],[pendingChallan]]&lt;=TrafficData[[#This Row],[totalChallan]])</f>
        <v>1</v>
      </c>
      <c r="O1803" s="8" t="b">
        <f>AND(TrafficData[[#This Row],[pendingAmount]]&lt;=TrafficData[[#This Row],[totalAmount]],TrafficData[[#This Row],[disposedAmount]]&lt;=TrafficData[[#This Row],[totalAmount]])</f>
        <v>1</v>
      </c>
      <c r="P1803" s="8" t="b">
        <f>AND(TrafficData[[#This Row],[pendingCourt]]&lt;=TrafficData[[#This Row],[totalCourt]],TrafficData[[#This Row],[disposedCourt]]&lt;=TrafficData[[#This Row],[totalCourt]])</f>
        <v>1</v>
      </c>
    </row>
    <row r="1804" spans="1:16">
      <c r="A1804" s="1">
        <v>43808</v>
      </c>
      <c r="B1804">
        <v>92374</v>
      </c>
      <c r="C1804">
        <v>40372</v>
      </c>
      <c r="D1804">
        <v>52002</v>
      </c>
      <c r="E1804">
        <v>15609184</v>
      </c>
      <c r="F1804">
        <v>51326034</v>
      </c>
      <c r="G1804">
        <v>66935218</v>
      </c>
      <c r="H1804">
        <v>44453</v>
      </c>
      <c r="I1804">
        <v>10172</v>
      </c>
      <c r="J1804">
        <v>54625</v>
      </c>
      <c r="K1804" t="b">
        <f>TrafficData[[#This Row],[disposedChallan]]+TrafficData[[#This Row],[pendingChallan]]=TrafficData[[#This Row],[totalChallan]]</f>
        <v>1</v>
      </c>
      <c r="L1804" t="b">
        <f>TrafficData[[#This Row],[pendingAmount]]+TrafficData[[#This Row],[disposedAmount]]=TrafficData[[#This Row],[totalAmount]]</f>
        <v>1</v>
      </c>
      <c r="M1804" t="b">
        <f>TrafficData[[#This Row],[pendingCourt]]+TrafficData[[#This Row],[disposedCourt]]=TrafficData[[#This Row],[totalCourt]]</f>
        <v>1</v>
      </c>
      <c r="N1804" s="8" t="b">
        <f>AND(TrafficData[[#This Row],[disposedChallan]]&lt;=TrafficData[[#This Row],[totalChallan]],TrafficData[[#This Row],[pendingChallan]]&lt;=TrafficData[[#This Row],[totalChallan]])</f>
        <v>1</v>
      </c>
      <c r="O1804" s="8" t="b">
        <f>AND(TrafficData[[#This Row],[pendingAmount]]&lt;=TrafficData[[#This Row],[totalAmount]],TrafficData[[#This Row],[disposedAmount]]&lt;=TrafficData[[#This Row],[totalAmount]])</f>
        <v>1</v>
      </c>
      <c r="P1804" s="8" t="b">
        <f>AND(TrafficData[[#This Row],[pendingCourt]]&lt;=TrafficData[[#This Row],[totalCourt]],TrafficData[[#This Row],[disposedCourt]]&lt;=TrafficData[[#This Row],[totalCourt]])</f>
        <v>1</v>
      </c>
    </row>
    <row r="1805" spans="1:16">
      <c r="A1805" s="1">
        <v>43809</v>
      </c>
      <c r="B1805">
        <v>95241</v>
      </c>
      <c r="C1805">
        <v>42020</v>
      </c>
      <c r="D1805">
        <v>53221</v>
      </c>
      <c r="E1805">
        <v>16870532</v>
      </c>
      <c r="F1805">
        <v>58755332</v>
      </c>
      <c r="G1805">
        <v>75625864</v>
      </c>
      <c r="H1805">
        <v>45232</v>
      </c>
      <c r="I1805">
        <v>10775</v>
      </c>
      <c r="J1805">
        <v>56007</v>
      </c>
      <c r="K1805" t="b">
        <f>TrafficData[[#This Row],[disposedChallan]]+TrafficData[[#This Row],[pendingChallan]]=TrafficData[[#This Row],[totalChallan]]</f>
        <v>1</v>
      </c>
      <c r="L1805" t="b">
        <f>TrafficData[[#This Row],[pendingAmount]]+TrafficData[[#This Row],[disposedAmount]]=TrafficData[[#This Row],[totalAmount]]</f>
        <v>1</v>
      </c>
      <c r="M1805" t="b">
        <f>TrafficData[[#This Row],[pendingCourt]]+TrafficData[[#This Row],[disposedCourt]]=TrafficData[[#This Row],[totalCourt]]</f>
        <v>1</v>
      </c>
      <c r="N1805" s="8" t="b">
        <f>AND(TrafficData[[#This Row],[disposedChallan]]&lt;=TrafficData[[#This Row],[totalChallan]],TrafficData[[#This Row],[pendingChallan]]&lt;=TrafficData[[#This Row],[totalChallan]])</f>
        <v>1</v>
      </c>
      <c r="O1805" s="8" t="b">
        <f>AND(TrafficData[[#This Row],[pendingAmount]]&lt;=TrafficData[[#This Row],[totalAmount]],TrafficData[[#This Row],[disposedAmount]]&lt;=TrafficData[[#This Row],[totalAmount]])</f>
        <v>1</v>
      </c>
      <c r="P1805" s="8" t="b">
        <f>AND(TrafficData[[#This Row],[pendingCourt]]&lt;=TrafficData[[#This Row],[totalCourt]],TrafficData[[#This Row],[disposedCourt]]&lt;=TrafficData[[#This Row],[totalCourt]])</f>
        <v>1</v>
      </c>
    </row>
    <row r="1806" spans="1:16">
      <c r="A1806" s="1">
        <v>43810</v>
      </c>
      <c r="B1806">
        <v>99930</v>
      </c>
      <c r="C1806">
        <v>43828</v>
      </c>
      <c r="D1806">
        <v>56102</v>
      </c>
      <c r="E1806">
        <v>18539352</v>
      </c>
      <c r="F1806">
        <v>57638324</v>
      </c>
      <c r="G1806">
        <v>76177676</v>
      </c>
      <c r="H1806">
        <v>47512</v>
      </c>
      <c r="I1806">
        <v>11368</v>
      </c>
      <c r="J1806">
        <v>58880</v>
      </c>
      <c r="K1806" t="b">
        <f>TrafficData[[#This Row],[disposedChallan]]+TrafficData[[#This Row],[pendingChallan]]=TrafficData[[#This Row],[totalChallan]]</f>
        <v>1</v>
      </c>
      <c r="L1806" t="b">
        <f>TrafficData[[#This Row],[pendingAmount]]+TrafficData[[#This Row],[disposedAmount]]=TrafficData[[#This Row],[totalAmount]]</f>
        <v>1</v>
      </c>
      <c r="M1806" t="b">
        <f>TrafficData[[#This Row],[pendingCourt]]+TrafficData[[#This Row],[disposedCourt]]=TrafficData[[#This Row],[totalCourt]]</f>
        <v>1</v>
      </c>
      <c r="N1806" s="8" t="b">
        <f>AND(TrafficData[[#This Row],[disposedChallan]]&lt;=TrafficData[[#This Row],[totalChallan]],TrafficData[[#This Row],[pendingChallan]]&lt;=TrafficData[[#This Row],[totalChallan]])</f>
        <v>1</v>
      </c>
      <c r="O1806" s="8" t="b">
        <f>AND(TrafficData[[#This Row],[pendingAmount]]&lt;=TrafficData[[#This Row],[totalAmount]],TrafficData[[#This Row],[disposedAmount]]&lt;=TrafficData[[#This Row],[totalAmount]])</f>
        <v>1</v>
      </c>
      <c r="P1806" s="8" t="b">
        <f>AND(TrafficData[[#This Row],[pendingCourt]]&lt;=TrafficData[[#This Row],[totalCourt]],TrafficData[[#This Row],[disposedCourt]]&lt;=TrafficData[[#This Row],[totalCourt]])</f>
        <v>1</v>
      </c>
    </row>
    <row r="1807" spans="1:16">
      <c r="A1807" s="1">
        <v>43811</v>
      </c>
      <c r="B1807">
        <v>99962</v>
      </c>
      <c r="C1807">
        <v>42015</v>
      </c>
      <c r="D1807">
        <v>57947</v>
      </c>
      <c r="E1807">
        <v>17717918</v>
      </c>
      <c r="F1807">
        <v>54340528</v>
      </c>
      <c r="G1807">
        <v>72058446</v>
      </c>
      <c r="H1807">
        <v>48523</v>
      </c>
      <c r="I1807">
        <v>10517</v>
      </c>
      <c r="J1807">
        <v>59040</v>
      </c>
      <c r="K1807" t="b">
        <f>TrafficData[[#This Row],[disposedChallan]]+TrafficData[[#This Row],[pendingChallan]]=TrafficData[[#This Row],[totalChallan]]</f>
        <v>1</v>
      </c>
      <c r="L1807" t="b">
        <f>TrafficData[[#This Row],[pendingAmount]]+TrafficData[[#This Row],[disposedAmount]]=TrafficData[[#This Row],[totalAmount]]</f>
        <v>1</v>
      </c>
      <c r="M1807" t="b">
        <f>TrafficData[[#This Row],[pendingCourt]]+TrafficData[[#This Row],[disposedCourt]]=TrafficData[[#This Row],[totalCourt]]</f>
        <v>1</v>
      </c>
      <c r="N1807" s="8" t="b">
        <f>AND(TrafficData[[#This Row],[disposedChallan]]&lt;=TrafficData[[#This Row],[totalChallan]],TrafficData[[#This Row],[pendingChallan]]&lt;=TrafficData[[#This Row],[totalChallan]])</f>
        <v>1</v>
      </c>
      <c r="O1807" s="8" t="b">
        <f>AND(TrafficData[[#This Row],[pendingAmount]]&lt;=TrafficData[[#This Row],[totalAmount]],TrafficData[[#This Row],[disposedAmount]]&lt;=TrafficData[[#This Row],[totalAmount]])</f>
        <v>1</v>
      </c>
      <c r="P1807" s="8" t="b">
        <f>AND(TrafficData[[#This Row],[pendingCourt]]&lt;=TrafficData[[#This Row],[totalCourt]],TrafficData[[#This Row],[disposedCourt]]&lt;=TrafficData[[#This Row],[totalCourt]])</f>
        <v>1</v>
      </c>
    </row>
    <row r="1808" spans="1:16">
      <c r="A1808" s="1">
        <v>43812</v>
      </c>
      <c r="B1808">
        <v>90039</v>
      </c>
      <c r="C1808">
        <v>38265</v>
      </c>
      <c r="D1808">
        <v>51774</v>
      </c>
      <c r="E1808">
        <v>13172121</v>
      </c>
      <c r="F1808">
        <v>48274723</v>
      </c>
      <c r="G1808">
        <v>61446844</v>
      </c>
      <c r="H1808">
        <v>43156</v>
      </c>
      <c r="I1808">
        <v>9241</v>
      </c>
      <c r="J1808">
        <v>52397</v>
      </c>
      <c r="K1808" t="b">
        <f>TrafficData[[#This Row],[disposedChallan]]+TrafficData[[#This Row],[pendingChallan]]=TrafficData[[#This Row],[totalChallan]]</f>
        <v>1</v>
      </c>
      <c r="L1808" t="b">
        <f>TrafficData[[#This Row],[pendingAmount]]+TrafficData[[#This Row],[disposedAmount]]=TrafficData[[#This Row],[totalAmount]]</f>
        <v>1</v>
      </c>
      <c r="M1808" t="b">
        <f>TrafficData[[#This Row],[pendingCourt]]+TrafficData[[#This Row],[disposedCourt]]=TrafficData[[#This Row],[totalCourt]]</f>
        <v>1</v>
      </c>
      <c r="N1808" s="8" t="b">
        <f>AND(TrafficData[[#This Row],[disposedChallan]]&lt;=TrafficData[[#This Row],[totalChallan]],TrafficData[[#This Row],[pendingChallan]]&lt;=TrafficData[[#This Row],[totalChallan]])</f>
        <v>1</v>
      </c>
      <c r="O1808" s="8" t="b">
        <f>AND(TrafficData[[#This Row],[pendingAmount]]&lt;=TrafficData[[#This Row],[totalAmount]],TrafficData[[#This Row],[disposedAmount]]&lt;=TrafficData[[#This Row],[totalAmount]])</f>
        <v>1</v>
      </c>
      <c r="P1808" s="8" t="b">
        <f>AND(TrafficData[[#This Row],[pendingCourt]]&lt;=TrafficData[[#This Row],[totalCourt]],TrafficData[[#This Row],[disposedCourt]]&lt;=TrafficData[[#This Row],[totalCourt]])</f>
        <v>1</v>
      </c>
    </row>
    <row r="1809" spans="1:16">
      <c r="A1809" s="1">
        <v>43813</v>
      </c>
      <c r="B1809">
        <v>100972</v>
      </c>
      <c r="C1809">
        <v>41343</v>
      </c>
      <c r="D1809">
        <v>59629</v>
      </c>
      <c r="E1809">
        <v>14095495</v>
      </c>
      <c r="F1809">
        <v>53897877</v>
      </c>
      <c r="G1809">
        <v>67993372</v>
      </c>
      <c r="H1809">
        <v>50911</v>
      </c>
      <c r="I1809">
        <v>9528</v>
      </c>
      <c r="J1809">
        <v>60439</v>
      </c>
      <c r="K1809" t="b">
        <f>TrafficData[[#This Row],[disposedChallan]]+TrafficData[[#This Row],[pendingChallan]]=TrafficData[[#This Row],[totalChallan]]</f>
        <v>1</v>
      </c>
      <c r="L1809" t="b">
        <f>TrafficData[[#This Row],[pendingAmount]]+TrafficData[[#This Row],[disposedAmount]]=TrafficData[[#This Row],[totalAmount]]</f>
        <v>1</v>
      </c>
      <c r="M1809" t="b">
        <f>TrafficData[[#This Row],[pendingCourt]]+TrafficData[[#This Row],[disposedCourt]]=TrafficData[[#This Row],[totalCourt]]</f>
        <v>1</v>
      </c>
      <c r="N1809" s="8" t="b">
        <f>AND(TrafficData[[#This Row],[disposedChallan]]&lt;=TrafficData[[#This Row],[totalChallan]],TrafficData[[#This Row],[pendingChallan]]&lt;=TrafficData[[#This Row],[totalChallan]])</f>
        <v>1</v>
      </c>
      <c r="O1809" s="8" t="b">
        <f>AND(TrafficData[[#This Row],[pendingAmount]]&lt;=TrafficData[[#This Row],[totalAmount]],TrafficData[[#This Row],[disposedAmount]]&lt;=TrafficData[[#This Row],[totalAmount]])</f>
        <v>1</v>
      </c>
      <c r="P1809" s="8" t="b">
        <f>AND(TrafficData[[#This Row],[pendingCourt]]&lt;=TrafficData[[#This Row],[totalCourt]],TrafficData[[#This Row],[disposedCourt]]&lt;=TrafficData[[#This Row],[totalCourt]])</f>
        <v>1</v>
      </c>
    </row>
    <row r="1810" spans="1:16">
      <c r="A1810" s="1">
        <v>43814</v>
      </c>
      <c r="B1810">
        <v>99763</v>
      </c>
      <c r="C1810">
        <v>37039</v>
      </c>
      <c r="D1810">
        <v>62724</v>
      </c>
      <c r="E1810">
        <v>14357516</v>
      </c>
      <c r="F1810">
        <v>39185434</v>
      </c>
      <c r="G1810">
        <v>53542950</v>
      </c>
      <c r="H1810">
        <v>52719</v>
      </c>
      <c r="I1810">
        <v>9090</v>
      </c>
      <c r="J1810">
        <v>61809</v>
      </c>
      <c r="K1810" t="b">
        <f>TrafficData[[#This Row],[disposedChallan]]+TrafficData[[#This Row],[pendingChallan]]=TrafficData[[#This Row],[totalChallan]]</f>
        <v>1</v>
      </c>
      <c r="L1810" t="b">
        <f>TrafficData[[#This Row],[pendingAmount]]+TrafficData[[#This Row],[disposedAmount]]=TrafficData[[#This Row],[totalAmount]]</f>
        <v>1</v>
      </c>
      <c r="M1810" t="b">
        <f>TrafficData[[#This Row],[pendingCourt]]+TrafficData[[#This Row],[disposedCourt]]=TrafficData[[#This Row],[totalCourt]]</f>
        <v>1</v>
      </c>
      <c r="N1810" s="8" t="b">
        <f>AND(TrafficData[[#This Row],[disposedChallan]]&lt;=TrafficData[[#This Row],[totalChallan]],TrafficData[[#This Row],[pendingChallan]]&lt;=TrafficData[[#This Row],[totalChallan]])</f>
        <v>1</v>
      </c>
      <c r="O1810" s="8" t="b">
        <f>AND(TrafficData[[#This Row],[pendingAmount]]&lt;=TrafficData[[#This Row],[totalAmount]],TrafficData[[#This Row],[disposedAmount]]&lt;=TrafficData[[#This Row],[totalAmount]])</f>
        <v>1</v>
      </c>
      <c r="P1810" s="8" t="b">
        <f>AND(TrafficData[[#This Row],[pendingCourt]]&lt;=TrafficData[[#This Row],[totalCourt]],TrafficData[[#This Row],[disposedCourt]]&lt;=TrafficData[[#This Row],[totalCourt]])</f>
        <v>1</v>
      </c>
    </row>
    <row r="1811" spans="1:16">
      <c r="A1811" s="1">
        <v>43815</v>
      </c>
      <c r="B1811">
        <v>100018</v>
      </c>
      <c r="C1811">
        <v>41421</v>
      </c>
      <c r="D1811">
        <v>58597</v>
      </c>
      <c r="E1811">
        <v>15425311</v>
      </c>
      <c r="F1811">
        <v>50786337</v>
      </c>
      <c r="G1811">
        <v>66211648</v>
      </c>
      <c r="H1811">
        <v>48631</v>
      </c>
      <c r="I1811">
        <v>10425</v>
      </c>
      <c r="J1811">
        <v>59056</v>
      </c>
      <c r="K1811" t="b">
        <f>TrafficData[[#This Row],[disposedChallan]]+TrafficData[[#This Row],[pendingChallan]]=TrafficData[[#This Row],[totalChallan]]</f>
        <v>1</v>
      </c>
      <c r="L1811" t="b">
        <f>TrafficData[[#This Row],[pendingAmount]]+TrafficData[[#This Row],[disposedAmount]]=TrafficData[[#This Row],[totalAmount]]</f>
        <v>1</v>
      </c>
      <c r="M1811" t="b">
        <f>TrafficData[[#This Row],[pendingCourt]]+TrafficData[[#This Row],[disposedCourt]]=TrafficData[[#This Row],[totalCourt]]</f>
        <v>1</v>
      </c>
      <c r="N1811" s="8" t="b">
        <f>AND(TrafficData[[#This Row],[disposedChallan]]&lt;=TrafficData[[#This Row],[totalChallan]],TrafficData[[#This Row],[pendingChallan]]&lt;=TrafficData[[#This Row],[totalChallan]])</f>
        <v>1</v>
      </c>
      <c r="O1811" s="8" t="b">
        <f>AND(TrafficData[[#This Row],[pendingAmount]]&lt;=TrafficData[[#This Row],[totalAmount]],TrafficData[[#This Row],[disposedAmount]]&lt;=TrafficData[[#This Row],[totalAmount]])</f>
        <v>1</v>
      </c>
      <c r="P1811" s="8" t="b">
        <f>AND(TrafficData[[#This Row],[pendingCourt]]&lt;=TrafficData[[#This Row],[totalCourt]],TrafficData[[#This Row],[disposedCourt]]&lt;=TrafficData[[#This Row],[totalCourt]])</f>
        <v>1</v>
      </c>
    </row>
    <row r="1812" spans="1:16">
      <c r="A1812" s="1">
        <v>43816</v>
      </c>
      <c r="B1812">
        <v>101881</v>
      </c>
      <c r="C1812">
        <v>43357</v>
      </c>
      <c r="D1812">
        <v>58524</v>
      </c>
      <c r="E1812">
        <v>14111243</v>
      </c>
      <c r="F1812">
        <v>53778673</v>
      </c>
      <c r="G1812">
        <v>67889916</v>
      </c>
      <c r="H1812">
        <v>47913</v>
      </c>
      <c r="I1812">
        <v>10050</v>
      </c>
      <c r="J1812">
        <v>57963</v>
      </c>
      <c r="K1812" t="b">
        <f>TrafficData[[#This Row],[disposedChallan]]+TrafficData[[#This Row],[pendingChallan]]=TrafficData[[#This Row],[totalChallan]]</f>
        <v>1</v>
      </c>
      <c r="L1812" t="b">
        <f>TrafficData[[#This Row],[pendingAmount]]+TrafficData[[#This Row],[disposedAmount]]=TrafficData[[#This Row],[totalAmount]]</f>
        <v>1</v>
      </c>
      <c r="M1812" t="b">
        <f>TrafficData[[#This Row],[pendingCourt]]+TrafficData[[#This Row],[disposedCourt]]=TrafficData[[#This Row],[totalCourt]]</f>
        <v>1</v>
      </c>
      <c r="N1812" s="8" t="b">
        <f>AND(TrafficData[[#This Row],[disposedChallan]]&lt;=TrafficData[[#This Row],[totalChallan]],TrafficData[[#This Row],[pendingChallan]]&lt;=TrafficData[[#This Row],[totalChallan]])</f>
        <v>1</v>
      </c>
      <c r="O1812" s="8" t="b">
        <f>AND(TrafficData[[#This Row],[pendingAmount]]&lt;=TrafficData[[#This Row],[totalAmount]],TrafficData[[#This Row],[disposedAmount]]&lt;=TrafficData[[#This Row],[totalAmount]])</f>
        <v>1</v>
      </c>
      <c r="P1812" s="8" t="b">
        <f>AND(TrafficData[[#This Row],[pendingCourt]]&lt;=TrafficData[[#This Row],[totalCourt]],TrafficData[[#This Row],[disposedCourt]]&lt;=TrafficData[[#This Row],[totalCourt]])</f>
        <v>1</v>
      </c>
    </row>
    <row r="1813" spans="1:16">
      <c r="A1813" s="1">
        <v>43817</v>
      </c>
      <c r="B1813">
        <v>102916</v>
      </c>
      <c r="C1813">
        <v>43646</v>
      </c>
      <c r="D1813">
        <v>59270</v>
      </c>
      <c r="E1813">
        <v>15988061</v>
      </c>
      <c r="F1813">
        <v>56910717</v>
      </c>
      <c r="G1813">
        <v>72898778</v>
      </c>
      <c r="H1813">
        <v>49207</v>
      </c>
      <c r="I1813">
        <v>10799</v>
      </c>
      <c r="J1813">
        <v>60006</v>
      </c>
      <c r="K1813" t="b">
        <f>TrafficData[[#This Row],[disposedChallan]]+TrafficData[[#This Row],[pendingChallan]]=TrafficData[[#This Row],[totalChallan]]</f>
        <v>1</v>
      </c>
      <c r="L1813" t="b">
        <f>TrafficData[[#This Row],[pendingAmount]]+TrafficData[[#This Row],[disposedAmount]]=TrafficData[[#This Row],[totalAmount]]</f>
        <v>1</v>
      </c>
      <c r="M1813" t="b">
        <f>TrafficData[[#This Row],[pendingCourt]]+TrafficData[[#This Row],[disposedCourt]]=TrafficData[[#This Row],[totalCourt]]</f>
        <v>1</v>
      </c>
      <c r="N1813" s="8" t="b">
        <f>AND(TrafficData[[#This Row],[disposedChallan]]&lt;=TrafficData[[#This Row],[totalChallan]],TrafficData[[#This Row],[pendingChallan]]&lt;=TrafficData[[#This Row],[totalChallan]])</f>
        <v>1</v>
      </c>
      <c r="O1813" s="8" t="b">
        <f>AND(TrafficData[[#This Row],[pendingAmount]]&lt;=TrafficData[[#This Row],[totalAmount]],TrafficData[[#This Row],[disposedAmount]]&lt;=TrafficData[[#This Row],[totalAmount]])</f>
        <v>1</v>
      </c>
      <c r="P1813" s="8" t="b">
        <f>AND(TrafficData[[#This Row],[pendingCourt]]&lt;=TrafficData[[#This Row],[totalCourt]],TrafficData[[#This Row],[disposedCourt]]&lt;=TrafficData[[#This Row],[totalCourt]])</f>
        <v>1</v>
      </c>
    </row>
    <row r="1814" spans="1:16">
      <c r="A1814" s="1">
        <v>43818</v>
      </c>
      <c r="B1814">
        <v>100275</v>
      </c>
      <c r="C1814">
        <v>42052</v>
      </c>
      <c r="D1814">
        <v>58223</v>
      </c>
      <c r="E1814">
        <v>17866120</v>
      </c>
      <c r="F1814">
        <v>54891260</v>
      </c>
      <c r="G1814">
        <v>72757380</v>
      </c>
      <c r="H1814">
        <v>47634</v>
      </c>
      <c r="I1814">
        <v>9572</v>
      </c>
      <c r="J1814">
        <v>57206</v>
      </c>
      <c r="K1814" t="b">
        <f>TrafficData[[#This Row],[disposedChallan]]+TrafficData[[#This Row],[pendingChallan]]=TrafficData[[#This Row],[totalChallan]]</f>
        <v>1</v>
      </c>
      <c r="L1814" t="b">
        <f>TrafficData[[#This Row],[pendingAmount]]+TrafficData[[#This Row],[disposedAmount]]=TrafficData[[#This Row],[totalAmount]]</f>
        <v>1</v>
      </c>
      <c r="M1814" t="b">
        <f>TrafficData[[#This Row],[pendingCourt]]+TrafficData[[#This Row],[disposedCourt]]=TrafficData[[#This Row],[totalCourt]]</f>
        <v>1</v>
      </c>
      <c r="N1814" s="8" t="b">
        <f>AND(TrafficData[[#This Row],[disposedChallan]]&lt;=TrafficData[[#This Row],[totalChallan]],TrafficData[[#This Row],[pendingChallan]]&lt;=TrafficData[[#This Row],[totalChallan]])</f>
        <v>1</v>
      </c>
      <c r="O1814" s="8" t="b">
        <f>AND(TrafficData[[#This Row],[pendingAmount]]&lt;=TrafficData[[#This Row],[totalAmount]],TrafficData[[#This Row],[disposedAmount]]&lt;=TrafficData[[#This Row],[totalAmount]])</f>
        <v>1</v>
      </c>
      <c r="P1814" s="8" t="b">
        <f>AND(TrafficData[[#This Row],[pendingCourt]]&lt;=TrafficData[[#This Row],[totalCourt]],TrafficData[[#This Row],[disposedCourt]]&lt;=TrafficData[[#This Row],[totalCourt]])</f>
        <v>1</v>
      </c>
    </row>
    <row r="1815" spans="1:16">
      <c r="A1815" s="1">
        <v>43819</v>
      </c>
      <c r="B1815">
        <v>91479</v>
      </c>
      <c r="C1815">
        <v>37935</v>
      </c>
      <c r="D1815">
        <v>53544</v>
      </c>
      <c r="E1815">
        <v>12914989</v>
      </c>
      <c r="F1815">
        <v>51829483</v>
      </c>
      <c r="G1815">
        <v>64744472</v>
      </c>
      <c r="H1815">
        <v>43524</v>
      </c>
      <c r="I1815">
        <v>8114</v>
      </c>
      <c r="J1815">
        <v>51638</v>
      </c>
      <c r="K1815" t="b">
        <f>TrafficData[[#This Row],[disposedChallan]]+TrafficData[[#This Row],[pendingChallan]]=TrafficData[[#This Row],[totalChallan]]</f>
        <v>1</v>
      </c>
      <c r="L1815" t="b">
        <f>TrafficData[[#This Row],[pendingAmount]]+TrafficData[[#This Row],[disposedAmount]]=TrafficData[[#This Row],[totalAmount]]</f>
        <v>1</v>
      </c>
      <c r="M1815" t="b">
        <f>TrafficData[[#This Row],[pendingCourt]]+TrafficData[[#This Row],[disposedCourt]]=TrafficData[[#This Row],[totalCourt]]</f>
        <v>1</v>
      </c>
      <c r="N1815" s="8" t="b">
        <f>AND(TrafficData[[#This Row],[disposedChallan]]&lt;=TrafficData[[#This Row],[totalChallan]],TrafficData[[#This Row],[pendingChallan]]&lt;=TrafficData[[#This Row],[totalChallan]])</f>
        <v>1</v>
      </c>
      <c r="O1815" s="8" t="b">
        <f>AND(TrafficData[[#This Row],[pendingAmount]]&lt;=TrafficData[[#This Row],[totalAmount]],TrafficData[[#This Row],[disposedAmount]]&lt;=TrafficData[[#This Row],[totalAmount]])</f>
        <v>1</v>
      </c>
      <c r="P1815" s="8" t="b">
        <f>AND(TrafficData[[#This Row],[pendingCourt]]&lt;=TrafficData[[#This Row],[totalCourt]],TrafficData[[#This Row],[disposedCourt]]&lt;=TrafficData[[#This Row],[totalCourt]])</f>
        <v>1</v>
      </c>
    </row>
    <row r="1816" spans="1:16">
      <c r="A1816" s="1">
        <v>43820</v>
      </c>
      <c r="B1816">
        <v>100939</v>
      </c>
      <c r="C1816">
        <v>39109</v>
      </c>
      <c r="D1816">
        <v>61830</v>
      </c>
      <c r="E1816">
        <v>12257122</v>
      </c>
      <c r="F1816">
        <v>46317061</v>
      </c>
      <c r="G1816">
        <v>58574183</v>
      </c>
      <c r="H1816">
        <v>50373</v>
      </c>
      <c r="I1816">
        <v>7837</v>
      </c>
      <c r="J1816">
        <v>58210</v>
      </c>
      <c r="K1816" t="b">
        <f>TrafficData[[#This Row],[disposedChallan]]+TrafficData[[#This Row],[pendingChallan]]=TrafficData[[#This Row],[totalChallan]]</f>
        <v>1</v>
      </c>
      <c r="L1816" t="b">
        <f>TrafficData[[#This Row],[pendingAmount]]+TrafficData[[#This Row],[disposedAmount]]=TrafficData[[#This Row],[totalAmount]]</f>
        <v>1</v>
      </c>
      <c r="M1816" t="b">
        <f>TrafficData[[#This Row],[pendingCourt]]+TrafficData[[#This Row],[disposedCourt]]=TrafficData[[#This Row],[totalCourt]]</f>
        <v>1</v>
      </c>
      <c r="N1816" s="8" t="b">
        <f>AND(TrafficData[[#This Row],[disposedChallan]]&lt;=TrafficData[[#This Row],[totalChallan]],TrafficData[[#This Row],[pendingChallan]]&lt;=TrafficData[[#This Row],[totalChallan]])</f>
        <v>1</v>
      </c>
      <c r="O1816" s="8" t="b">
        <f>AND(TrafficData[[#This Row],[pendingAmount]]&lt;=TrafficData[[#This Row],[totalAmount]],TrafficData[[#This Row],[disposedAmount]]&lt;=TrafficData[[#This Row],[totalAmount]])</f>
        <v>1</v>
      </c>
      <c r="P1816" s="8" t="b">
        <f>AND(TrafficData[[#This Row],[pendingCourt]]&lt;=TrafficData[[#This Row],[totalCourt]],TrafficData[[#This Row],[disposedCourt]]&lt;=TrafficData[[#This Row],[totalCourt]])</f>
        <v>1</v>
      </c>
    </row>
    <row r="1817" spans="1:16">
      <c r="A1817" s="1">
        <v>43821</v>
      </c>
      <c r="B1817">
        <v>95760</v>
      </c>
      <c r="C1817">
        <v>32788</v>
      </c>
      <c r="D1817">
        <v>62972</v>
      </c>
      <c r="E1817">
        <v>8884144</v>
      </c>
      <c r="F1817">
        <v>33060598</v>
      </c>
      <c r="G1817">
        <v>41944742</v>
      </c>
      <c r="H1817">
        <v>53251</v>
      </c>
      <c r="I1817">
        <v>7062</v>
      </c>
      <c r="J1817">
        <v>60313</v>
      </c>
      <c r="K1817" t="b">
        <f>TrafficData[[#This Row],[disposedChallan]]+TrafficData[[#This Row],[pendingChallan]]=TrafficData[[#This Row],[totalChallan]]</f>
        <v>1</v>
      </c>
      <c r="L1817" t="b">
        <f>TrafficData[[#This Row],[pendingAmount]]+TrafficData[[#This Row],[disposedAmount]]=TrafficData[[#This Row],[totalAmount]]</f>
        <v>1</v>
      </c>
      <c r="M1817" t="b">
        <f>TrafficData[[#This Row],[pendingCourt]]+TrafficData[[#This Row],[disposedCourt]]=TrafficData[[#This Row],[totalCourt]]</f>
        <v>1</v>
      </c>
      <c r="N1817" s="8" t="b">
        <f>AND(TrafficData[[#This Row],[disposedChallan]]&lt;=TrafficData[[#This Row],[totalChallan]],TrafficData[[#This Row],[pendingChallan]]&lt;=TrafficData[[#This Row],[totalChallan]])</f>
        <v>1</v>
      </c>
      <c r="O1817" s="8" t="b">
        <f>AND(TrafficData[[#This Row],[pendingAmount]]&lt;=TrafficData[[#This Row],[totalAmount]],TrafficData[[#This Row],[disposedAmount]]&lt;=TrafficData[[#This Row],[totalAmount]])</f>
        <v>1</v>
      </c>
      <c r="P1817" s="8" t="b">
        <f>AND(TrafficData[[#This Row],[pendingCourt]]&lt;=TrafficData[[#This Row],[totalCourt]],TrafficData[[#This Row],[disposedCourt]]&lt;=TrafficData[[#This Row],[totalCourt]])</f>
        <v>1</v>
      </c>
    </row>
    <row r="1818" spans="1:16">
      <c r="A1818" s="1">
        <v>43822</v>
      </c>
      <c r="B1818">
        <v>103875</v>
      </c>
      <c r="C1818">
        <v>41495</v>
      </c>
      <c r="D1818">
        <v>62380</v>
      </c>
      <c r="E1818">
        <v>14899985</v>
      </c>
      <c r="F1818">
        <v>50776661</v>
      </c>
      <c r="G1818">
        <v>65676646</v>
      </c>
      <c r="H1818">
        <v>51707</v>
      </c>
      <c r="I1818">
        <v>10029</v>
      </c>
      <c r="J1818">
        <v>61736</v>
      </c>
      <c r="K1818" t="b">
        <f>TrafficData[[#This Row],[disposedChallan]]+TrafficData[[#This Row],[pendingChallan]]=TrafficData[[#This Row],[totalChallan]]</f>
        <v>1</v>
      </c>
      <c r="L1818" t="b">
        <f>TrafficData[[#This Row],[pendingAmount]]+TrafficData[[#This Row],[disposedAmount]]=TrafficData[[#This Row],[totalAmount]]</f>
        <v>1</v>
      </c>
      <c r="M1818" t="b">
        <f>TrafficData[[#This Row],[pendingCourt]]+TrafficData[[#This Row],[disposedCourt]]=TrafficData[[#This Row],[totalCourt]]</f>
        <v>1</v>
      </c>
      <c r="N1818" s="8" t="b">
        <f>AND(TrafficData[[#This Row],[disposedChallan]]&lt;=TrafficData[[#This Row],[totalChallan]],TrafficData[[#This Row],[pendingChallan]]&lt;=TrafficData[[#This Row],[totalChallan]])</f>
        <v>1</v>
      </c>
      <c r="O1818" s="8" t="b">
        <f>AND(TrafficData[[#This Row],[pendingAmount]]&lt;=TrafficData[[#This Row],[totalAmount]],TrafficData[[#This Row],[disposedAmount]]&lt;=TrafficData[[#This Row],[totalAmount]])</f>
        <v>1</v>
      </c>
      <c r="P1818" s="8" t="b">
        <f>AND(TrafficData[[#This Row],[pendingCourt]]&lt;=TrafficData[[#This Row],[totalCourt]],TrafficData[[#This Row],[disposedCourt]]&lt;=TrafficData[[#This Row],[totalCourt]])</f>
        <v>1</v>
      </c>
    </row>
    <row r="1819" spans="1:16">
      <c r="A1819" s="1">
        <v>43823</v>
      </c>
      <c r="B1819">
        <v>106629</v>
      </c>
      <c r="C1819">
        <v>40478</v>
      </c>
      <c r="D1819">
        <v>66151</v>
      </c>
      <c r="E1819">
        <v>17036592</v>
      </c>
      <c r="F1819">
        <v>54393301</v>
      </c>
      <c r="G1819">
        <v>71429893</v>
      </c>
      <c r="H1819">
        <v>56320</v>
      </c>
      <c r="I1819">
        <v>9877</v>
      </c>
      <c r="J1819">
        <v>66197</v>
      </c>
      <c r="K1819" t="b">
        <f>TrafficData[[#This Row],[disposedChallan]]+TrafficData[[#This Row],[pendingChallan]]=TrafficData[[#This Row],[totalChallan]]</f>
        <v>1</v>
      </c>
      <c r="L1819" t="b">
        <f>TrafficData[[#This Row],[pendingAmount]]+TrafficData[[#This Row],[disposedAmount]]=TrafficData[[#This Row],[totalAmount]]</f>
        <v>1</v>
      </c>
      <c r="M1819" t="b">
        <f>TrafficData[[#This Row],[pendingCourt]]+TrafficData[[#This Row],[disposedCourt]]=TrafficData[[#This Row],[totalCourt]]</f>
        <v>1</v>
      </c>
      <c r="N1819" s="8" t="b">
        <f>AND(TrafficData[[#This Row],[disposedChallan]]&lt;=TrafficData[[#This Row],[totalChallan]],TrafficData[[#This Row],[pendingChallan]]&lt;=TrafficData[[#This Row],[totalChallan]])</f>
        <v>1</v>
      </c>
      <c r="O1819" s="8" t="b">
        <f>AND(TrafficData[[#This Row],[pendingAmount]]&lt;=TrafficData[[#This Row],[totalAmount]],TrafficData[[#This Row],[disposedAmount]]&lt;=TrafficData[[#This Row],[totalAmount]])</f>
        <v>1</v>
      </c>
      <c r="P1819" s="8" t="b">
        <f>AND(TrafficData[[#This Row],[pendingCourt]]&lt;=TrafficData[[#This Row],[totalCourt]],TrafficData[[#This Row],[disposedCourt]]&lt;=TrafficData[[#This Row],[totalCourt]])</f>
        <v>1</v>
      </c>
    </row>
    <row r="1820" spans="1:16">
      <c r="A1820" s="1">
        <v>43824</v>
      </c>
      <c r="B1820">
        <v>98905</v>
      </c>
      <c r="C1820">
        <v>34319</v>
      </c>
      <c r="D1820">
        <v>64586</v>
      </c>
      <c r="E1820">
        <v>13346277</v>
      </c>
      <c r="F1820">
        <v>44165969</v>
      </c>
      <c r="G1820">
        <v>57512246</v>
      </c>
      <c r="H1820">
        <v>57831</v>
      </c>
      <c r="I1820">
        <v>8306</v>
      </c>
      <c r="J1820">
        <v>66137</v>
      </c>
      <c r="K1820" t="b">
        <f>TrafficData[[#This Row],[disposedChallan]]+TrafficData[[#This Row],[pendingChallan]]=TrafficData[[#This Row],[totalChallan]]</f>
        <v>1</v>
      </c>
      <c r="L1820" t="b">
        <f>TrafficData[[#This Row],[pendingAmount]]+TrafficData[[#This Row],[disposedAmount]]=TrafficData[[#This Row],[totalAmount]]</f>
        <v>1</v>
      </c>
      <c r="M1820" t="b">
        <f>TrafficData[[#This Row],[pendingCourt]]+TrafficData[[#This Row],[disposedCourt]]=TrafficData[[#This Row],[totalCourt]]</f>
        <v>1</v>
      </c>
      <c r="N1820" s="8" t="b">
        <f>AND(TrafficData[[#This Row],[disposedChallan]]&lt;=TrafficData[[#This Row],[totalChallan]],TrafficData[[#This Row],[pendingChallan]]&lt;=TrafficData[[#This Row],[totalChallan]])</f>
        <v>1</v>
      </c>
      <c r="O1820" s="8" t="b">
        <f>AND(TrafficData[[#This Row],[pendingAmount]]&lt;=TrafficData[[#This Row],[totalAmount]],TrafficData[[#This Row],[disposedAmount]]&lt;=TrafficData[[#This Row],[totalAmount]])</f>
        <v>1</v>
      </c>
      <c r="P1820" s="8" t="b">
        <f>AND(TrafficData[[#This Row],[pendingCourt]]&lt;=TrafficData[[#This Row],[totalCourt]],TrafficData[[#This Row],[disposedCourt]]&lt;=TrafficData[[#This Row],[totalCourt]])</f>
        <v>1</v>
      </c>
    </row>
    <row r="1821" spans="1:16">
      <c r="A1821" s="1">
        <v>43825</v>
      </c>
      <c r="B1821">
        <v>91994</v>
      </c>
      <c r="C1821">
        <v>33962</v>
      </c>
      <c r="D1821">
        <v>58032</v>
      </c>
      <c r="E1821">
        <v>12957480</v>
      </c>
      <c r="F1821">
        <v>47522127</v>
      </c>
      <c r="G1821">
        <v>60479607</v>
      </c>
      <c r="H1821">
        <v>52008</v>
      </c>
      <c r="I1821">
        <v>8849</v>
      </c>
      <c r="J1821">
        <v>60857</v>
      </c>
      <c r="K1821" t="b">
        <f>TrafficData[[#This Row],[disposedChallan]]+TrafficData[[#This Row],[pendingChallan]]=TrafficData[[#This Row],[totalChallan]]</f>
        <v>1</v>
      </c>
      <c r="L1821" t="b">
        <f>TrafficData[[#This Row],[pendingAmount]]+TrafficData[[#This Row],[disposedAmount]]=TrafficData[[#This Row],[totalAmount]]</f>
        <v>1</v>
      </c>
      <c r="M1821" t="b">
        <f>TrafficData[[#This Row],[pendingCourt]]+TrafficData[[#This Row],[disposedCourt]]=TrafficData[[#This Row],[totalCourt]]</f>
        <v>1</v>
      </c>
      <c r="N1821" s="8" t="b">
        <f>AND(TrafficData[[#This Row],[disposedChallan]]&lt;=TrafficData[[#This Row],[totalChallan]],TrafficData[[#This Row],[pendingChallan]]&lt;=TrafficData[[#This Row],[totalChallan]])</f>
        <v>1</v>
      </c>
      <c r="O1821" s="8" t="b">
        <f>AND(TrafficData[[#This Row],[pendingAmount]]&lt;=TrafficData[[#This Row],[totalAmount]],TrafficData[[#This Row],[disposedAmount]]&lt;=TrafficData[[#This Row],[totalAmount]])</f>
        <v>1</v>
      </c>
      <c r="P1821" s="8" t="b">
        <f>AND(TrafficData[[#This Row],[pendingCourt]]&lt;=TrafficData[[#This Row],[totalCourt]],TrafficData[[#This Row],[disposedCourt]]&lt;=TrafficData[[#This Row],[totalCourt]])</f>
        <v>1</v>
      </c>
    </row>
    <row r="1822" spans="1:16">
      <c r="A1822" s="1">
        <v>43826</v>
      </c>
      <c r="B1822">
        <v>93563</v>
      </c>
      <c r="C1822">
        <v>32960</v>
      </c>
      <c r="D1822">
        <v>60603</v>
      </c>
      <c r="E1822">
        <v>12012516</v>
      </c>
      <c r="F1822">
        <v>49948867</v>
      </c>
      <c r="G1822">
        <v>61961383</v>
      </c>
      <c r="H1822">
        <v>54531</v>
      </c>
      <c r="I1822">
        <v>7675</v>
      </c>
      <c r="J1822">
        <v>62206</v>
      </c>
      <c r="K1822" t="b">
        <f>TrafficData[[#This Row],[disposedChallan]]+TrafficData[[#This Row],[pendingChallan]]=TrafficData[[#This Row],[totalChallan]]</f>
        <v>1</v>
      </c>
      <c r="L1822" t="b">
        <f>TrafficData[[#This Row],[pendingAmount]]+TrafficData[[#This Row],[disposedAmount]]=TrafficData[[#This Row],[totalAmount]]</f>
        <v>1</v>
      </c>
      <c r="M1822" t="b">
        <f>TrafficData[[#This Row],[pendingCourt]]+TrafficData[[#This Row],[disposedCourt]]=TrafficData[[#This Row],[totalCourt]]</f>
        <v>1</v>
      </c>
      <c r="N1822" s="8" t="b">
        <f>AND(TrafficData[[#This Row],[disposedChallan]]&lt;=TrafficData[[#This Row],[totalChallan]],TrafficData[[#This Row],[pendingChallan]]&lt;=TrafficData[[#This Row],[totalChallan]])</f>
        <v>1</v>
      </c>
      <c r="O1822" s="8" t="b">
        <f>AND(TrafficData[[#This Row],[pendingAmount]]&lt;=TrafficData[[#This Row],[totalAmount]],TrafficData[[#This Row],[disposedAmount]]&lt;=TrafficData[[#This Row],[totalAmount]])</f>
        <v>1</v>
      </c>
      <c r="P1822" s="8" t="b">
        <f>AND(TrafficData[[#This Row],[pendingCourt]]&lt;=TrafficData[[#This Row],[totalCourt]],TrafficData[[#This Row],[disposedCourt]]&lt;=TrafficData[[#This Row],[totalCourt]])</f>
        <v>1</v>
      </c>
    </row>
    <row r="1823" spans="1:16">
      <c r="A1823" s="1">
        <v>43827</v>
      </c>
      <c r="B1823">
        <v>94077</v>
      </c>
      <c r="C1823">
        <v>32875</v>
      </c>
      <c r="D1823">
        <v>61202</v>
      </c>
      <c r="E1823">
        <v>14375602</v>
      </c>
      <c r="F1823">
        <v>48630822</v>
      </c>
      <c r="G1823">
        <v>63006424</v>
      </c>
      <c r="H1823">
        <v>55080</v>
      </c>
      <c r="I1823">
        <v>7948</v>
      </c>
      <c r="J1823">
        <v>63028</v>
      </c>
      <c r="K1823" t="b">
        <f>TrafficData[[#This Row],[disposedChallan]]+TrafficData[[#This Row],[pendingChallan]]=TrafficData[[#This Row],[totalChallan]]</f>
        <v>1</v>
      </c>
      <c r="L1823" t="b">
        <f>TrafficData[[#This Row],[pendingAmount]]+TrafficData[[#This Row],[disposedAmount]]=TrafficData[[#This Row],[totalAmount]]</f>
        <v>1</v>
      </c>
      <c r="M1823" t="b">
        <f>TrafficData[[#This Row],[pendingCourt]]+TrafficData[[#This Row],[disposedCourt]]=TrafficData[[#This Row],[totalCourt]]</f>
        <v>1</v>
      </c>
      <c r="N1823" s="8" t="b">
        <f>AND(TrafficData[[#This Row],[disposedChallan]]&lt;=TrafficData[[#This Row],[totalChallan]],TrafficData[[#This Row],[pendingChallan]]&lt;=TrafficData[[#This Row],[totalChallan]])</f>
        <v>1</v>
      </c>
      <c r="O1823" s="8" t="b">
        <f>AND(TrafficData[[#This Row],[pendingAmount]]&lt;=TrafficData[[#This Row],[totalAmount]],TrafficData[[#This Row],[disposedAmount]]&lt;=TrafficData[[#This Row],[totalAmount]])</f>
        <v>1</v>
      </c>
      <c r="P1823" s="8" t="b">
        <f>AND(TrafficData[[#This Row],[pendingCourt]]&lt;=TrafficData[[#This Row],[totalCourt]],TrafficData[[#This Row],[disposedCourt]]&lt;=TrafficData[[#This Row],[totalCourt]])</f>
        <v>1</v>
      </c>
    </row>
    <row r="1824" spans="1:16">
      <c r="A1824" s="1">
        <v>43828</v>
      </c>
      <c r="B1824">
        <v>74871</v>
      </c>
      <c r="C1824">
        <v>27454</v>
      </c>
      <c r="D1824">
        <v>47417</v>
      </c>
      <c r="E1824">
        <v>8883435</v>
      </c>
      <c r="F1824">
        <v>31665024</v>
      </c>
      <c r="G1824">
        <v>40548459</v>
      </c>
      <c r="H1824">
        <v>42660</v>
      </c>
      <c r="I1824">
        <v>7946</v>
      </c>
      <c r="J1824">
        <v>50606</v>
      </c>
      <c r="K1824" t="b">
        <f>TrafficData[[#This Row],[disposedChallan]]+TrafficData[[#This Row],[pendingChallan]]=TrafficData[[#This Row],[totalChallan]]</f>
        <v>1</v>
      </c>
      <c r="L1824" t="b">
        <f>TrafficData[[#This Row],[pendingAmount]]+TrafficData[[#This Row],[disposedAmount]]=TrafficData[[#This Row],[totalAmount]]</f>
        <v>1</v>
      </c>
      <c r="M1824" t="b">
        <f>TrafficData[[#This Row],[pendingCourt]]+TrafficData[[#This Row],[disposedCourt]]=TrafficData[[#This Row],[totalCourt]]</f>
        <v>1</v>
      </c>
      <c r="N1824" s="8" t="b">
        <f>AND(TrafficData[[#This Row],[disposedChallan]]&lt;=TrafficData[[#This Row],[totalChallan]],TrafficData[[#This Row],[pendingChallan]]&lt;=TrafficData[[#This Row],[totalChallan]])</f>
        <v>1</v>
      </c>
      <c r="O1824" s="8" t="b">
        <f>AND(TrafficData[[#This Row],[pendingAmount]]&lt;=TrafficData[[#This Row],[totalAmount]],TrafficData[[#This Row],[disposedAmount]]&lt;=TrafficData[[#This Row],[totalAmount]])</f>
        <v>1</v>
      </c>
      <c r="P1824" s="8" t="b">
        <f>AND(TrafficData[[#This Row],[pendingCourt]]&lt;=TrafficData[[#This Row],[totalCourt]],TrafficData[[#This Row],[disposedCourt]]&lt;=TrafficData[[#This Row],[totalCourt]])</f>
        <v>1</v>
      </c>
    </row>
    <row r="1825" spans="1:16">
      <c r="A1825" s="1">
        <v>43829</v>
      </c>
      <c r="B1825">
        <v>73888</v>
      </c>
      <c r="C1825">
        <v>30800</v>
      </c>
      <c r="D1825">
        <v>43088</v>
      </c>
      <c r="E1825">
        <v>9564740</v>
      </c>
      <c r="F1825">
        <v>38576102</v>
      </c>
      <c r="G1825">
        <v>48140842</v>
      </c>
      <c r="H1825">
        <v>37926</v>
      </c>
      <c r="I1825">
        <v>7939</v>
      </c>
      <c r="J1825">
        <v>45865</v>
      </c>
      <c r="K1825" t="b">
        <f>TrafficData[[#This Row],[disposedChallan]]+TrafficData[[#This Row],[pendingChallan]]=TrafficData[[#This Row],[totalChallan]]</f>
        <v>1</v>
      </c>
      <c r="L1825" t="b">
        <f>TrafficData[[#This Row],[pendingAmount]]+TrafficData[[#This Row],[disposedAmount]]=TrafficData[[#This Row],[totalAmount]]</f>
        <v>1</v>
      </c>
      <c r="M1825" t="b">
        <f>TrafficData[[#This Row],[pendingCourt]]+TrafficData[[#This Row],[disposedCourt]]=TrafficData[[#This Row],[totalCourt]]</f>
        <v>1</v>
      </c>
      <c r="N1825" s="8" t="b">
        <f>AND(TrafficData[[#This Row],[disposedChallan]]&lt;=TrafficData[[#This Row],[totalChallan]],TrafficData[[#This Row],[pendingChallan]]&lt;=TrafficData[[#This Row],[totalChallan]])</f>
        <v>1</v>
      </c>
      <c r="O1825" s="8" t="b">
        <f>AND(TrafficData[[#This Row],[pendingAmount]]&lt;=TrafficData[[#This Row],[totalAmount]],TrafficData[[#This Row],[disposedAmount]]&lt;=TrafficData[[#This Row],[totalAmount]])</f>
        <v>1</v>
      </c>
      <c r="P1825" s="8" t="b">
        <f>AND(TrafficData[[#This Row],[pendingCourt]]&lt;=TrafficData[[#This Row],[totalCourt]],TrafficData[[#This Row],[disposedCourt]]&lt;=TrafficData[[#This Row],[totalCourt]])</f>
        <v>1</v>
      </c>
    </row>
    <row r="1826" spans="1:16">
      <c r="A1826" s="1">
        <v>43830</v>
      </c>
      <c r="B1826">
        <v>80884</v>
      </c>
      <c r="C1826">
        <v>30996</v>
      </c>
      <c r="D1826">
        <v>49888</v>
      </c>
      <c r="E1826">
        <v>11576705</v>
      </c>
      <c r="F1826">
        <v>38143259</v>
      </c>
      <c r="G1826">
        <v>49719964</v>
      </c>
      <c r="H1826">
        <v>44142</v>
      </c>
      <c r="I1826">
        <v>7939</v>
      </c>
      <c r="J1826">
        <v>52081</v>
      </c>
      <c r="K1826" t="b">
        <f>TrafficData[[#This Row],[disposedChallan]]+TrafficData[[#This Row],[pendingChallan]]=TrafficData[[#This Row],[totalChallan]]</f>
        <v>1</v>
      </c>
      <c r="L1826" t="b">
        <f>TrafficData[[#This Row],[pendingAmount]]+TrafficData[[#This Row],[disposedAmount]]=TrafficData[[#This Row],[totalAmount]]</f>
        <v>1</v>
      </c>
      <c r="M1826" t="b">
        <f>TrafficData[[#This Row],[pendingCourt]]+TrafficData[[#This Row],[disposedCourt]]=TrafficData[[#This Row],[totalCourt]]</f>
        <v>1</v>
      </c>
      <c r="N1826" s="8" t="b">
        <f>AND(TrafficData[[#This Row],[disposedChallan]]&lt;=TrafficData[[#This Row],[totalChallan]],TrafficData[[#This Row],[pendingChallan]]&lt;=TrafficData[[#This Row],[totalChallan]])</f>
        <v>1</v>
      </c>
      <c r="O1826" s="8" t="b">
        <f>AND(TrafficData[[#This Row],[pendingAmount]]&lt;=TrafficData[[#This Row],[totalAmount]],TrafficData[[#This Row],[disposedAmount]]&lt;=TrafficData[[#This Row],[totalAmount]])</f>
        <v>1</v>
      </c>
      <c r="P1826" s="8" t="b">
        <f>AND(TrafficData[[#This Row],[pendingCourt]]&lt;=TrafficData[[#This Row],[totalCourt]],TrafficData[[#This Row],[disposedCourt]]&lt;=TrafficData[[#This Row],[totalCourt]])</f>
        <v>1</v>
      </c>
    </row>
    <row r="1827" spans="1:16">
      <c r="A1827" s="1">
        <v>43831</v>
      </c>
      <c r="B1827">
        <v>62373</v>
      </c>
      <c r="C1827">
        <v>19772</v>
      </c>
      <c r="D1827">
        <v>42601</v>
      </c>
      <c r="E1827">
        <v>9311310</v>
      </c>
      <c r="F1827">
        <v>27250967</v>
      </c>
      <c r="G1827">
        <v>36562277</v>
      </c>
      <c r="H1827">
        <v>40277</v>
      </c>
      <c r="I1827">
        <v>7000</v>
      </c>
      <c r="J1827">
        <v>47277</v>
      </c>
      <c r="K1827" t="b">
        <f>TrafficData[[#This Row],[disposedChallan]]+TrafficData[[#This Row],[pendingChallan]]=TrafficData[[#This Row],[totalChallan]]</f>
        <v>1</v>
      </c>
      <c r="L1827" t="b">
        <f>TrafficData[[#This Row],[pendingAmount]]+TrafficData[[#This Row],[disposedAmount]]=TrafficData[[#This Row],[totalAmount]]</f>
        <v>1</v>
      </c>
      <c r="M1827" t="b">
        <f>TrafficData[[#This Row],[pendingCourt]]+TrafficData[[#This Row],[disposedCourt]]=TrafficData[[#This Row],[totalCourt]]</f>
        <v>1</v>
      </c>
      <c r="N1827" s="8" t="b">
        <f>AND(TrafficData[[#This Row],[disposedChallan]]&lt;=TrafficData[[#This Row],[totalChallan]],TrafficData[[#This Row],[pendingChallan]]&lt;=TrafficData[[#This Row],[totalChallan]])</f>
        <v>1</v>
      </c>
      <c r="O1827" s="8" t="b">
        <f>AND(TrafficData[[#This Row],[pendingAmount]]&lt;=TrafficData[[#This Row],[totalAmount]],TrafficData[[#This Row],[disposedAmount]]&lt;=TrafficData[[#This Row],[totalAmount]])</f>
        <v>1</v>
      </c>
      <c r="P1827" s="8" t="b">
        <f>AND(TrafficData[[#This Row],[pendingCourt]]&lt;=TrafficData[[#This Row],[totalCourt]],TrafficData[[#This Row],[disposedCourt]]&lt;=TrafficData[[#This Row],[totalCourt]])</f>
        <v>1</v>
      </c>
    </row>
    <row r="1828" spans="1:16">
      <c r="A1828" s="1">
        <v>43832</v>
      </c>
      <c r="B1828">
        <v>95174</v>
      </c>
      <c r="C1828">
        <v>39497</v>
      </c>
      <c r="D1828">
        <v>55677</v>
      </c>
      <c r="E1828">
        <v>15241332</v>
      </c>
      <c r="F1828">
        <v>40006391</v>
      </c>
      <c r="G1828">
        <v>55247723</v>
      </c>
      <c r="H1828">
        <v>48978</v>
      </c>
      <c r="I1828">
        <v>10464</v>
      </c>
      <c r="J1828">
        <v>59442</v>
      </c>
      <c r="K1828" t="b">
        <f>TrafficData[[#This Row],[disposedChallan]]+TrafficData[[#This Row],[pendingChallan]]=TrafficData[[#This Row],[totalChallan]]</f>
        <v>1</v>
      </c>
      <c r="L1828" t="b">
        <f>TrafficData[[#This Row],[pendingAmount]]+TrafficData[[#This Row],[disposedAmount]]=TrafficData[[#This Row],[totalAmount]]</f>
        <v>1</v>
      </c>
      <c r="M1828" t="b">
        <f>TrafficData[[#This Row],[pendingCourt]]+TrafficData[[#This Row],[disposedCourt]]=TrafficData[[#This Row],[totalCourt]]</f>
        <v>1</v>
      </c>
      <c r="N1828" s="8" t="b">
        <f>AND(TrafficData[[#This Row],[disposedChallan]]&lt;=TrafficData[[#This Row],[totalChallan]],TrafficData[[#This Row],[pendingChallan]]&lt;=TrafficData[[#This Row],[totalChallan]])</f>
        <v>1</v>
      </c>
      <c r="O1828" s="8" t="b">
        <f>AND(TrafficData[[#This Row],[pendingAmount]]&lt;=TrafficData[[#This Row],[totalAmount]],TrafficData[[#This Row],[disposedAmount]]&lt;=TrafficData[[#This Row],[totalAmount]])</f>
        <v>1</v>
      </c>
      <c r="P1828" s="8" t="b">
        <f>AND(TrafficData[[#This Row],[pendingCourt]]&lt;=TrafficData[[#This Row],[totalCourt]],TrafficData[[#This Row],[disposedCourt]]&lt;=TrafficData[[#This Row],[totalCourt]])</f>
        <v>1</v>
      </c>
    </row>
    <row r="1829" spans="1:16">
      <c r="A1829" s="1">
        <v>43833</v>
      </c>
      <c r="B1829">
        <v>106365</v>
      </c>
      <c r="C1829">
        <v>41590</v>
      </c>
      <c r="D1829">
        <v>64775</v>
      </c>
      <c r="E1829">
        <v>17199010</v>
      </c>
      <c r="F1829">
        <v>49333653</v>
      </c>
      <c r="G1829">
        <v>66532663</v>
      </c>
      <c r="H1829">
        <v>56986</v>
      </c>
      <c r="I1829">
        <v>10921</v>
      </c>
      <c r="J1829">
        <v>67907</v>
      </c>
      <c r="K1829" t="b">
        <f>TrafficData[[#This Row],[disposedChallan]]+TrafficData[[#This Row],[pendingChallan]]=TrafficData[[#This Row],[totalChallan]]</f>
        <v>1</v>
      </c>
      <c r="L1829" t="b">
        <f>TrafficData[[#This Row],[pendingAmount]]+TrafficData[[#This Row],[disposedAmount]]=TrafficData[[#This Row],[totalAmount]]</f>
        <v>1</v>
      </c>
      <c r="M1829" t="b">
        <f>TrafficData[[#This Row],[pendingCourt]]+TrafficData[[#This Row],[disposedCourt]]=TrafficData[[#This Row],[totalCourt]]</f>
        <v>1</v>
      </c>
      <c r="N1829" s="8" t="b">
        <f>AND(TrafficData[[#This Row],[disposedChallan]]&lt;=TrafficData[[#This Row],[totalChallan]],TrafficData[[#This Row],[pendingChallan]]&lt;=TrafficData[[#This Row],[totalChallan]])</f>
        <v>1</v>
      </c>
      <c r="O1829" s="8" t="b">
        <f>AND(TrafficData[[#This Row],[pendingAmount]]&lt;=TrafficData[[#This Row],[totalAmount]],TrafficData[[#This Row],[disposedAmount]]&lt;=TrafficData[[#This Row],[totalAmount]])</f>
        <v>1</v>
      </c>
      <c r="P1829" s="8" t="b">
        <f>AND(TrafficData[[#This Row],[pendingCourt]]&lt;=TrafficData[[#This Row],[totalCourt]],TrafficData[[#This Row],[disposedCourt]]&lt;=TrafficData[[#This Row],[totalCourt]])</f>
        <v>1</v>
      </c>
    </row>
    <row r="1830" spans="1:16">
      <c r="A1830" s="1">
        <v>43834</v>
      </c>
      <c r="B1830">
        <v>102706</v>
      </c>
      <c r="C1830">
        <v>44796</v>
      </c>
      <c r="D1830">
        <v>57910</v>
      </c>
      <c r="E1830">
        <v>17485004</v>
      </c>
      <c r="F1830">
        <v>49748601</v>
      </c>
      <c r="G1830">
        <v>67233605</v>
      </c>
      <c r="H1830">
        <v>47532</v>
      </c>
      <c r="I1830">
        <v>10252</v>
      </c>
      <c r="J1830">
        <v>57784</v>
      </c>
      <c r="K1830" t="b">
        <f>TrafficData[[#This Row],[disposedChallan]]+TrafficData[[#This Row],[pendingChallan]]=TrafficData[[#This Row],[totalChallan]]</f>
        <v>1</v>
      </c>
      <c r="L1830" t="b">
        <f>TrafficData[[#This Row],[pendingAmount]]+TrafficData[[#This Row],[disposedAmount]]=TrafficData[[#This Row],[totalAmount]]</f>
        <v>1</v>
      </c>
      <c r="M1830" t="b">
        <f>TrafficData[[#This Row],[pendingCourt]]+TrafficData[[#This Row],[disposedCourt]]=TrafficData[[#This Row],[totalCourt]]</f>
        <v>1</v>
      </c>
      <c r="N1830" s="8" t="b">
        <f>AND(TrafficData[[#This Row],[disposedChallan]]&lt;=TrafficData[[#This Row],[totalChallan]],TrafficData[[#This Row],[pendingChallan]]&lt;=TrafficData[[#This Row],[totalChallan]])</f>
        <v>1</v>
      </c>
      <c r="O1830" s="8" t="b">
        <f>AND(TrafficData[[#This Row],[pendingAmount]]&lt;=TrafficData[[#This Row],[totalAmount]],TrafficData[[#This Row],[disposedAmount]]&lt;=TrafficData[[#This Row],[totalAmount]])</f>
        <v>1</v>
      </c>
      <c r="P1830" s="8" t="b">
        <f>AND(TrafficData[[#This Row],[pendingCourt]]&lt;=TrafficData[[#This Row],[totalCourt]],TrafficData[[#This Row],[disposedCourt]]&lt;=TrafficData[[#This Row],[totalCourt]])</f>
        <v>1</v>
      </c>
    </row>
    <row r="1831" spans="1:16">
      <c r="A1831" s="1">
        <v>43835</v>
      </c>
      <c r="B1831">
        <v>101030</v>
      </c>
      <c r="C1831">
        <v>36907</v>
      </c>
      <c r="D1831">
        <v>64123</v>
      </c>
      <c r="E1831">
        <v>11687372</v>
      </c>
      <c r="F1831">
        <v>38821745</v>
      </c>
      <c r="G1831">
        <v>50509117</v>
      </c>
      <c r="H1831">
        <v>54732</v>
      </c>
      <c r="I1831">
        <v>9115</v>
      </c>
      <c r="J1831">
        <v>63847</v>
      </c>
      <c r="K1831" t="b">
        <f>TrafficData[[#This Row],[disposedChallan]]+TrafficData[[#This Row],[pendingChallan]]=TrafficData[[#This Row],[totalChallan]]</f>
        <v>1</v>
      </c>
      <c r="L1831" t="b">
        <f>TrafficData[[#This Row],[pendingAmount]]+TrafficData[[#This Row],[disposedAmount]]=TrafficData[[#This Row],[totalAmount]]</f>
        <v>1</v>
      </c>
      <c r="M1831" t="b">
        <f>TrafficData[[#This Row],[pendingCourt]]+TrafficData[[#This Row],[disposedCourt]]=TrafficData[[#This Row],[totalCourt]]</f>
        <v>1</v>
      </c>
      <c r="N1831" s="8" t="b">
        <f>AND(TrafficData[[#This Row],[disposedChallan]]&lt;=TrafficData[[#This Row],[totalChallan]],TrafficData[[#This Row],[pendingChallan]]&lt;=TrafficData[[#This Row],[totalChallan]])</f>
        <v>1</v>
      </c>
      <c r="O1831" s="8" t="b">
        <f>AND(TrafficData[[#This Row],[pendingAmount]]&lt;=TrafficData[[#This Row],[totalAmount]],TrafficData[[#This Row],[disposedAmount]]&lt;=TrafficData[[#This Row],[totalAmount]])</f>
        <v>1</v>
      </c>
      <c r="P1831" s="8" t="b">
        <f>AND(TrafficData[[#This Row],[pendingCourt]]&lt;=TrafficData[[#This Row],[totalCourt]],TrafficData[[#This Row],[disposedCourt]]&lt;=TrafficData[[#This Row],[totalCourt]])</f>
        <v>1</v>
      </c>
    </row>
    <row r="1832" spans="1:16">
      <c r="A1832" s="1">
        <v>43836</v>
      </c>
      <c r="B1832">
        <v>109716</v>
      </c>
      <c r="C1832">
        <v>41515</v>
      </c>
      <c r="D1832">
        <v>68201</v>
      </c>
      <c r="E1832">
        <v>14988394</v>
      </c>
      <c r="F1832">
        <v>46639476</v>
      </c>
      <c r="G1832">
        <v>61627870</v>
      </c>
      <c r="H1832">
        <v>58189</v>
      </c>
      <c r="I1832">
        <v>10490</v>
      </c>
      <c r="J1832">
        <v>68679</v>
      </c>
      <c r="K1832" t="b">
        <f>TrafficData[[#This Row],[disposedChallan]]+TrafficData[[#This Row],[pendingChallan]]=TrafficData[[#This Row],[totalChallan]]</f>
        <v>1</v>
      </c>
      <c r="L1832" t="b">
        <f>TrafficData[[#This Row],[pendingAmount]]+TrafficData[[#This Row],[disposedAmount]]=TrafficData[[#This Row],[totalAmount]]</f>
        <v>1</v>
      </c>
      <c r="M1832" t="b">
        <f>TrafficData[[#This Row],[pendingCourt]]+TrafficData[[#This Row],[disposedCourt]]=TrafficData[[#This Row],[totalCourt]]</f>
        <v>1</v>
      </c>
      <c r="N1832" s="8" t="b">
        <f>AND(TrafficData[[#This Row],[disposedChallan]]&lt;=TrafficData[[#This Row],[totalChallan]],TrafficData[[#This Row],[pendingChallan]]&lt;=TrafficData[[#This Row],[totalChallan]])</f>
        <v>1</v>
      </c>
      <c r="O1832" s="8" t="b">
        <f>AND(TrafficData[[#This Row],[pendingAmount]]&lt;=TrafficData[[#This Row],[totalAmount]],TrafficData[[#This Row],[disposedAmount]]&lt;=TrafficData[[#This Row],[totalAmount]])</f>
        <v>1</v>
      </c>
      <c r="P1832" s="8" t="b">
        <f>AND(TrafficData[[#This Row],[pendingCourt]]&lt;=TrafficData[[#This Row],[totalCourt]],TrafficData[[#This Row],[disposedCourt]]&lt;=TrafficData[[#This Row],[totalCourt]])</f>
        <v>1</v>
      </c>
    </row>
    <row r="1833" spans="1:16">
      <c r="A1833" s="1">
        <v>43837</v>
      </c>
      <c r="B1833">
        <v>121703</v>
      </c>
      <c r="C1833">
        <v>47717</v>
      </c>
      <c r="D1833">
        <v>73986</v>
      </c>
      <c r="E1833">
        <v>21193168</v>
      </c>
      <c r="F1833">
        <v>55109653</v>
      </c>
      <c r="G1833">
        <v>76302821</v>
      </c>
      <c r="H1833">
        <v>61015</v>
      </c>
      <c r="I1833">
        <v>11603</v>
      </c>
      <c r="J1833">
        <v>72618</v>
      </c>
      <c r="K1833" t="b">
        <f>TrafficData[[#This Row],[disposedChallan]]+TrafficData[[#This Row],[pendingChallan]]=TrafficData[[#This Row],[totalChallan]]</f>
        <v>1</v>
      </c>
      <c r="L1833" t="b">
        <f>TrafficData[[#This Row],[pendingAmount]]+TrafficData[[#This Row],[disposedAmount]]=TrafficData[[#This Row],[totalAmount]]</f>
        <v>1</v>
      </c>
      <c r="M1833" t="b">
        <f>TrafficData[[#This Row],[pendingCourt]]+TrafficData[[#This Row],[disposedCourt]]=TrafficData[[#This Row],[totalCourt]]</f>
        <v>1</v>
      </c>
      <c r="N1833" s="8" t="b">
        <f>AND(TrafficData[[#This Row],[disposedChallan]]&lt;=TrafficData[[#This Row],[totalChallan]],TrafficData[[#This Row],[pendingChallan]]&lt;=TrafficData[[#This Row],[totalChallan]])</f>
        <v>1</v>
      </c>
      <c r="O1833" s="8" t="b">
        <f>AND(TrafficData[[#This Row],[pendingAmount]]&lt;=TrafficData[[#This Row],[totalAmount]],TrafficData[[#This Row],[disposedAmount]]&lt;=TrafficData[[#This Row],[totalAmount]])</f>
        <v>1</v>
      </c>
      <c r="P1833" s="8" t="b">
        <f>AND(TrafficData[[#This Row],[pendingCourt]]&lt;=TrafficData[[#This Row],[totalCourt]],TrafficData[[#This Row],[disposedCourt]]&lt;=TrafficData[[#This Row],[totalCourt]])</f>
        <v>1</v>
      </c>
    </row>
    <row r="1834" spans="1:16">
      <c r="A1834" s="1">
        <v>43838</v>
      </c>
      <c r="B1834">
        <v>92969</v>
      </c>
      <c r="C1834">
        <v>37998</v>
      </c>
      <c r="D1834">
        <v>54971</v>
      </c>
      <c r="E1834">
        <v>15826648</v>
      </c>
      <c r="F1834">
        <v>47923682</v>
      </c>
      <c r="G1834">
        <v>63750330</v>
      </c>
      <c r="H1834">
        <v>44358</v>
      </c>
      <c r="I1834">
        <v>8844</v>
      </c>
      <c r="J1834">
        <v>53202</v>
      </c>
      <c r="K1834" t="b">
        <f>TrafficData[[#This Row],[disposedChallan]]+TrafficData[[#This Row],[pendingChallan]]=TrafficData[[#This Row],[totalChallan]]</f>
        <v>1</v>
      </c>
      <c r="L1834" t="b">
        <f>TrafficData[[#This Row],[pendingAmount]]+TrafficData[[#This Row],[disposedAmount]]=TrafficData[[#This Row],[totalAmount]]</f>
        <v>1</v>
      </c>
      <c r="M1834" t="b">
        <f>TrafficData[[#This Row],[pendingCourt]]+TrafficData[[#This Row],[disposedCourt]]=TrafficData[[#This Row],[totalCourt]]</f>
        <v>1</v>
      </c>
      <c r="N1834" s="8" t="b">
        <f>AND(TrafficData[[#This Row],[disposedChallan]]&lt;=TrafficData[[#This Row],[totalChallan]],TrafficData[[#This Row],[pendingChallan]]&lt;=TrafficData[[#This Row],[totalChallan]])</f>
        <v>1</v>
      </c>
      <c r="O1834" s="8" t="b">
        <f>AND(TrafficData[[#This Row],[pendingAmount]]&lt;=TrafficData[[#This Row],[totalAmount]],TrafficData[[#This Row],[disposedAmount]]&lt;=TrafficData[[#This Row],[totalAmount]])</f>
        <v>1</v>
      </c>
      <c r="P1834" s="8" t="b">
        <f>AND(TrafficData[[#This Row],[pendingCourt]]&lt;=TrafficData[[#This Row],[totalCourt]],TrafficData[[#This Row],[disposedCourt]]&lt;=TrafficData[[#This Row],[totalCourt]])</f>
        <v>1</v>
      </c>
    </row>
    <row r="1835" spans="1:16">
      <c r="A1835" s="1">
        <v>43839</v>
      </c>
      <c r="B1835">
        <v>107883</v>
      </c>
      <c r="C1835">
        <v>45808</v>
      </c>
      <c r="D1835">
        <v>62075</v>
      </c>
      <c r="E1835">
        <v>16832970</v>
      </c>
      <c r="F1835">
        <v>51630202</v>
      </c>
      <c r="G1835">
        <v>68463172</v>
      </c>
      <c r="H1835">
        <v>50820</v>
      </c>
      <c r="I1835">
        <v>11246</v>
      </c>
      <c r="J1835">
        <v>62066</v>
      </c>
      <c r="K1835" t="b">
        <f>TrafficData[[#This Row],[disposedChallan]]+TrafficData[[#This Row],[pendingChallan]]=TrafficData[[#This Row],[totalChallan]]</f>
        <v>1</v>
      </c>
      <c r="L1835" t="b">
        <f>TrafficData[[#This Row],[pendingAmount]]+TrafficData[[#This Row],[disposedAmount]]=TrafficData[[#This Row],[totalAmount]]</f>
        <v>1</v>
      </c>
      <c r="M1835" t="b">
        <f>TrafficData[[#This Row],[pendingCourt]]+TrafficData[[#This Row],[disposedCourt]]=TrafficData[[#This Row],[totalCourt]]</f>
        <v>1</v>
      </c>
      <c r="N1835" s="8" t="b">
        <f>AND(TrafficData[[#This Row],[disposedChallan]]&lt;=TrafficData[[#This Row],[totalChallan]],TrafficData[[#This Row],[pendingChallan]]&lt;=TrafficData[[#This Row],[totalChallan]])</f>
        <v>1</v>
      </c>
      <c r="O1835" s="8" t="b">
        <f>AND(TrafficData[[#This Row],[pendingAmount]]&lt;=TrafficData[[#This Row],[totalAmount]],TrafficData[[#This Row],[disposedAmount]]&lt;=TrafficData[[#This Row],[totalAmount]])</f>
        <v>1</v>
      </c>
      <c r="P1835" s="8" t="b">
        <f>AND(TrafficData[[#This Row],[pendingCourt]]&lt;=TrafficData[[#This Row],[totalCourt]],TrafficData[[#This Row],[disposedCourt]]&lt;=TrafficData[[#This Row],[totalCourt]])</f>
        <v>1</v>
      </c>
    </row>
    <row r="1836" spans="1:16">
      <c r="A1836" s="1">
        <v>43840</v>
      </c>
      <c r="B1836">
        <v>109136</v>
      </c>
      <c r="C1836">
        <v>42862</v>
      </c>
      <c r="D1836">
        <v>66274</v>
      </c>
      <c r="E1836">
        <v>15506005</v>
      </c>
      <c r="F1836">
        <v>51650140</v>
      </c>
      <c r="G1836">
        <v>67156145</v>
      </c>
      <c r="H1836">
        <v>56568</v>
      </c>
      <c r="I1836">
        <v>11109</v>
      </c>
      <c r="J1836">
        <v>67677</v>
      </c>
      <c r="K1836" t="b">
        <f>TrafficData[[#This Row],[disposedChallan]]+TrafficData[[#This Row],[pendingChallan]]=TrafficData[[#This Row],[totalChallan]]</f>
        <v>1</v>
      </c>
      <c r="L1836" t="b">
        <f>TrafficData[[#This Row],[pendingAmount]]+TrafficData[[#This Row],[disposedAmount]]=TrafficData[[#This Row],[totalAmount]]</f>
        <v>1</v>
      </c>
      <c r="M1836" t="b">
        <f>TrafficData[[#This Row],[pendingCourt]]+TrafficData[[#This Row],[disposedCourt]]=TrafficData[[#This Row],[totalCourt]]</f>
        <v>1</v>
      </c>
      <c r="N1836" s="8" t="b">
        <f>AND(TrafficData[[#This Row],[disposedChallan]]&lt;=TrafficData[[#This Row],[totalChallan]],TrafficData[[#This Row],[pendingChallan]]&lt;=TrafficData[[#This Row],[totalChallan]])</f>
        <v>1</v>
      </c>
      <c r="O1836" s="8" t="b">
        <f>AND(TrafficData[[#This Row],[pendingAmount]]&lt;=TrafficData[[#This Row],[totalAmount]],TrafficData[[#This Row],[disposedAmount]]&lt;=TrafficData[[#This Row],[totalAmount]])</f>
        <v>1</v>
      </c>
      <c r="P1836" s="8" t="b">
        <f>AND(TrafficData[[#This Row],[pendingCourt]]&lt;=TrafficData[[#This Row],[totalCourt]],TrafficData[[#This Row],[disposedCourt]]&lt;=TrafficData[[#This Row],[totalCourt]])</f>
        <v>1</v>
      </c>
    </row>
    <row r="1837" spans="1:16">
      <c r="A1837" s="1">
        <v>43841</v>
      </c>
      <c r="B1837">
        <v>97526</v>
      </c>
      <c r="C1837">
        <v>39559</v>
      </c>
      <c r="D1837">
        <v>57967</v>
      </c>
      <c r="E1837">
        <v>13259800</v>
      </c>
      <c r="F1837">
        <v>41448084</v>
      </c>
      <c r="G1837">
        <v>54707884</v>
      </c>
      <c r="H1837">
        <v>50571</v>
      </c>
      <c r="I1837">
        <v>10835</v>
      </c>
      <c r="J1837">
        <v>61406</v>
      </c>
      <c r="K1837" t="b">
        <f>TrafficData[[#This Row],[disposedChallan]]+TrafficData[[#This Row],[pendingChallan]]=TrafficData[[#This Row],[totalChallan]]</f>
        <v>1</v>
      </c>
      <c r="L1837" t="b">
        <f>TrafficData[[#This Row],[pendingAmount]]+TrafficData[[#This Row],[disposedAmount]]=TrafficData[[#This Row],[totalAmount]]</f>
        <v>1</v>
      </c>
      <c r="M1837" t="b">
        <f>TrafficData[[#This Row],[pendingCourt]]+TrafficData[[#This Row],[disposedCourt]]=TrafficData[[#This Row],[totalCourt]]</f>
        <v>1</v>
      </c>
      <c r="N1837" s="8" t="b">
        <f>AND(TrafficData[[#This Row],[disposedChallan]]&lt;=TrafficData[[#This Row],[totalChallan]],TrafficData[[#This Row],[pendingChallan]]&lt;=TrafficData[[#This Row],[totalChallan]])</f>
        <v>1</v>
      </c>
      <c r="O1837" s="8" t="b">
        <f>AND(TrafficData[[#This Row],[pendingAmount]]&lt;=TrafficData[[#This Row],[totalAmount]],TrafficData[[#This Row],[disposedAmount]]&lt;=TrafficData[[#This Row],[totalAmount]])</f>
        <v>1</v>
      </c>
      <c r="P1837" s="8" t="b">
        <f>AND(TrafficData[[#This Row],[pendingCourt]]&lt;=TrafficData[[#This Row],[totalCourt]],TrafficData[[#This Row],[disposedCourt]]&lt;=TrafficData[[#This Row],[totalCourt]])</f>
        <v>1</v>
      </c>
    </row>
    <row r="1838" spans="1:16">
      <c r="A1838" s="1">
        <v>43842</v>
      </c>
      <c r="B1838">
        <v>84909</v>
      </c>
      <c r="C1838">
        <v>35694</v>
      </c>
      <c r="D1838">
        <v>49215</v>
      </c>
      <c r="E1838">
        <v>12416490</v>
      </c>
      <c r="F1838">
        <v>39903045</v>
      </c>
      <c r="G1838">
        <v>52319535</v>
      </c>
      <c r="H1838">
        <v>40909</v>
      </c>
      <c r="I1838">
        <v>9198</v>
      </c>
      <c r="J1838">
        <v>50107</v>
      </c>
      <c r="K1838" t="b">
        <f>TrafficData[[#This Row],[disposedChallan]]+TrafficData[[#This Row],[pendingChallan]]=TrafficData[[#This Row],[totalChallan]]</f>
        <v>1</v>
      </c>
      <c r="L1838" t="b">
        <f>TrafficData[[#This Row],[pendingAmount]]+TrafficData[[#This Row],[disposedAmount]]=TrafficData[[#This Row],[totalAmount]]</f>
        <v>1</v>
      </c>
      <c r="M1838" t="b">
        <f>TrafficData[[#This Row],[pendingCourt]]+TrafficData[[#This Row],[disposedCourt]]=TrafficData[[#This Row],[totalCourt]]</f>
        <v>1</v>
      </c>
      <c r="N1838" s="8" t="b">
        <f>AND(TrafficData[[#This Row],[disposedChallan]]&lt;=TrafficData[[#This Row],[totalChallan]],TrafficData[[#This Row],[pendingChallan]]&lt;=TrafficData[[#This Row],[totalChallan]])</f>
        <v>1</v>
      </c>
      <c r="O1838" s="8" t="b">
        <f>AND(TrafficData[[#This Row],[pendingAmount]]&lt;=TrafficData[[#This Row],[totalAmount]],TrafficData[[#This Row],[disposedAmount]]&lt;=TrafficData[[#This Row],[totalAmount]])</f>
        <v>1</v>
      </c>
      <c r="P1838" s="8" t="b">
        <f>AND(TrafficData[[#This Row],[pendingCourt]]&lt;=TrafficData[[#This Row],[totalCourt]],TrafficData[[#This Row],[disposedCourt]]&lt;=TrafficData[[#This Row],[totalCourt]])</f>
        <v>1</v>
      </c>
    </row>
    <row r="1839" spans="1:16">
      <c r="A1839" s="1">
        <v>43843</v>
      </c>
      <c r="B1839">
        <v>98706</v>
      </c>
      <c r="C1839">
        <v>45678</v>
      </c>
      <c r="D1839">
        <v>53028</v>
      </c>
      <c r="E1839">
        <v>16090963</v>
      </c>
      <c r="F1839">
        <v>46871263</v>
      </c>
      <c r="G1839">
        <v>62962226</v>
      </c>
      <c r="H1839">
        <v>40394</v>
      </c>
      <c r="I1839">
        <v>11017</v>
      </c>
      <c r="J1839">
        <v>51411</v>
      </c>
      <c r="K1839" t="b">
        <f>TrafficData[[#This Row],[disposedChallan]]+TrafficData[[#This Row],[pendingChallan]]=TrafficData[[#This Row],[totalChallan]]</f>
        <v>1</v>
      </c>
      <c r="L1839" t="b">
        <f>TrafficData[[#This Row],[pendingAmount]]+TrafficData[[#This Row],[disposedAmount]]=TrafficData[[#This Row],[totalAmount]]</f>
        <v>1</v>
      </c>
      <c r="M1839" t="b">
        <f>TrafficData[[#This Row],[pendingCourt]]+TrafficData[[#This Row],[disposedCourt]]=TrafficData[[#This Row],[totalCourt]]</f>
        <v>1</v>
      </c>
      <c r="N1839" s="8" t="b">
        <f>AND(TrafficData[[#This Row],[disposedChallan]]&lt;=TrafficData[[#This Row],[totalChallan]],TrafficData[[#This Row],[pendingChallan]]&lt;=TrafficData[[#This Row],[totalChallan]])</f>
        <v>1</v>
      </c>
      <c r="O1839" s="8" t="b">
        <f>AND(TrafficData[[#This Row],[pendingAmount]]&lt;=TrafficData[[#This Row],[totalAmount]],TrafficData[[#This Row],[disposedAmount]]&lt;=TrafficData[[#This Row],[totalAmount]])</f>
        <v>1</v>
      </c>
      <c r="P1839" s="8" t="b">
        <f>AND(TrafficData[[#This Row],[pendingCourt]]&lt;=TrafficData[[#This Row],[totalCourt]],TrafficData[[#This Row],[disposedCourt]]&lt;=TrafficData[[#This Row],[totalCourt]])</f>
        <v>1</v>
      </c>
    </row>
    <row r="1840" spans="1:16">
      <c r="A1840" s="1">
        <v>43844</v>
      </c>
      <c r="B1840">
        <v>119145</v>
      </c>
      <c r="C1840">
        <v>46820</v>
      </c>
      <c r="D1840">
        <v>72325</v>
      </c>
      <c r="E1840">
        <v>16260960</v>
      </c>
      <c r="F1840">
        <v>53408189</v>
      </c>
      <c r="G1840">
        <v>69669149</v>
      </c>
      <c r="H1840">
        <v>59090</v>
      </c>
      <c r="I1840">
        <v>12262</v>
      </c>
      <c r="J1840">
        <v>71352</v>
      </c>
      <c r="K1840" t="b">
        <f>TrafficData[[#This Row],[disposedChallan]]+TrafficData[[#This Row],[pendingChallan]]=TrafficData[[#This Row],[totalChallan]]</f>
        <v>1</v>
      </c>
      <c r="L1840" t="b">
        <f>TrafficData[[#This Row],[pendingAmount]]+TrafficData[[#This Row],[disposedAmount]]=TrafficData[[#This Row],[totalAmount]]</f>
        <v>1</v>
      </c>
      <c r="M1840" t="b">
        <f>TrafficData[[#This Row],[pendingCourt]]+TrafficData[[#This Row],[disposedCourt]]=TrafficData[[#This Row],[totalCourt]]</f>
        <v>1</v>
      </c>
      <c r="N1840" s="8" t="b">
        <f>AND(TrafficData[[#This Row],[disposedChallan]]&lt;=TrafficData[[#This Row],[totalChallan]],TrafficData[[#This Row],[pendingChallan]]&lt;=TrafficData[[#This Row],[totalChallan]])</f>
        <v>1</v>
      </c>
      <c r="O1840" s="8" t="b">
        <f>AND(TrafficData[[#This Row],[pendingAmount]]&lt;=TrafficData[[#This Row],[totalAmount]],TrafficData[[#This Row],[disposedAmount]]&lt;=TrafficData[[#This Row],[totalAmount]])</f>
        <v>1</v>
      </c>
      <c r="P1840" s="8" t="b">
        <f>AND(TrafficData[[#This Row],[pendingCourt]]&lt;=TrafficData[[#This Row],[totalCourt]],TrafficData[[#This Row],[disposedCourt]]&lt;=TrafficData[[#This Row],[totalCourt]])</f>
        <v>1</v>
      </c>
    </row>
    <row r="1841" spans="1:16">
      <c r="A1841" s="1">
        <v>43845</v>
      </c>
      <c r="B1841">
        <v>108952</v>
      </c>
      <c r="C1841">
        <v>34116</v>
      </c>
      <c r="D1841">
        <v>74836</v>
      </c>
      <c r="E1841">
        <v>14245209</v>
      </c>
      <c r="F1841">
        <v>48191812</v>
      </c>
      <c r="G1841">
        <v>62437021</v>
      </c>
      <c r="H1841">
        <v>67734</v>
      </c>
      <c r="I1841">
        <v>11445</v>
      </c>
      <c r="J1841">
        <v>79179</v>
      </c>
      <c r="K1841" t="b">
        <f>TrafficData[[#This Row],[disposedChallan]]+TrafficData[[#This Row],[pendingChallan]]=TrafficData[[#This Row],[totalChallan]]</f>
        <v>1</v>
      </c>
      <c r="L1841" t="b">
        <f>TrafficData[[#This Row],[pendingAmount]]+TrafficData[[#This Row],[disposedAmount]]=TrafficData[[#This Row],[totalAmount]]</f>
        <v>1</v>
      </c>
      <c r="M1841" t="b">
        <f>TrafficData[[#This Row],[pendingCourt]]+TrafficData[[#This Row],[disposedCourt]]=TrafficData[[#This Row],[totalCourt]]</f>
        <v>1</v>
      </c>
      <c r="N1841" s="8" t="b">
        <f>AND(TrafficData[[#This Row],[disposedChallan]]&lt;=TrafficData[[#This Row],[totalChallan]],TrafficData[[#This Row],[pendingChallan]]&lt;=TrafficData[[#This Row],[totalChallan]])</f>
        <v>1</v>
      </c>
      <c r="O1841" s="8" t="b">
        <f>AND(TrafficData[[#This Row],[pendingAmount]]&lt;=TrafficData[[#This Row],[totalAmount]],TrafficData[[#This Row],[disposedAmount]]&lt;=TrafficData[[#This Row],[totalAmount]])</f>
        <v>1</v>
      </c>
      <c r="P1841" s="8" t="b">
        <f>AND(TrafficData[[#This Row],[pendingCourt]]&lt;=TrafficData[[#This Row],[totalCourt]],TrafficData[[#This Row],[disposedCourt]]&lt;=TrafficData[[#This Row],[totalCourt]])</f>
        <v>1</v>
      </c>
    </row>
    <row r="1842" spans="1:16">
      <c r="A1842" s="1">
        <v>43846</v>
      </c>
      <c r="B1842">
        <v>92249</v>
      </c>
      <c r="C1842">
        <v>34708</v>
      </c>
      <c r="D1842">
        <v>57541</v>
      </c>
      <c r="E1842">
        <v>13162725</v>
      </c>
      <c r="F1842">
        <v>45711734</v>
      </c>
      <c r="G1842">
        <v>58874459</v>
      </c>
      <c r="H1842">
        <v>49429</v>
      </c>
      <c r="I1842">
        <v>10308</v>
      </c>
      <c r="J1842">
        <v>59737</v>
      </c>
      <c r="K1842" t="b">
        <f>TrafficData[[#This Row],[disposedChallan]]+TrafficData[[#This Row],[pendingChallan]]=TrafficData[[#This Row],[totalChallan]]</f>
        <v>1</v>
      </c>
      <c r="L1842" t="b">
        <f>TrafficData[[#This Row],[pendingAmount]]+TrafficData[[#This Row],[disposedAmount]]=TrafficData[[#This Row],[totalAmount]]</f>
        <v>1</v>
      </c>
      <c r="M1842" t="b">
        <f>TrafficData[[#This Row],[pendingCourt]]+TrafficData[[#This Row],[disposedCourt]]=TrafficData[[#This Row],[totalCourt]]</f>
        <v>1</v>
      </c>
      <c r="N1842" s="8" t="b">
        <f>AND(TrafficData[[#This Row],[disposedChallan]]&lt;=TrafficData[[#This Row],[totalChallan]],TrafficData[[#This Row],[pendingChallan]]&lt;=TrafficData[[#This Row],[totalChallan]])</f>
        <v>1</v>
      </c>
      <c r="O1842" s="8" t="b">
        <f>AND(TrafficData[[#This Row],[pendingAmount]]&lt;=TrafficData[[#This Row],[totalAmount]],TrafficData[[#This Row],[disposedAmount]]&lt;=TrafficData[[#This Row],[totalAmount]])</f>
        <v>1</v>
      </c>
      <c r="P1842" s="8" t="b">
        <f>AND(TrafficData[[#This Row],[pendingCourt]]&lt;=TrafficData[[#This Row],[totalCourt]],TrafficData[[#This Row],[disposedCourt]]&lt;=TrafficData[[#This Row],[totalCourt]])</f>
        <v>1</v>
      </c>
    </row>
    <row r="1843" spans="1:16">
      <c r="A1843" s="1">
        <v>43847</v>
      </c>
      <c r="B1843">
        <v>92202</v>
      </c>
      <c r="C1843">
        <v>38461</v>
      </c>
      <c r="D1843">
        <v>53741</v>
      </c>
      <c r="E1843">
        <v>13876294</v>
      </c>
      <c r="F1843">
        <v>45664738</v>
      </c>
      <c r="G1843">
        <v>59541032</v>
      </c>
      <c r="H1843">
        <v>43659</v>
      </c>
      <c r="I1843">
        <v>10868</v>
      </c>
      <c r="J1843">
        <v>54527</v>
      </c>
      <c r="K1843" t="b">
        <f>TrafficData[[#This Row],[disposedChallan]]+TrafficData[[#This Row],[pendingChallan]]=TrafficData[[#This Row],[totalChallan]]</f>
        <v>1</v>
      </c>
      <c r="L1843" t="b">
        <f>TrafficData[[#This Row],[pendingAmount]]+TrafficData[[#This Row],[disposedAmount]]=TrafficData[[#This Row],[totalAmount]]</f>
        <v>1</v>
      </c>
      <c r="M1843" t="b">
        <f>TrafficData[[#This Row],[pendingCourt]]+TrafficData[[#This Row],[disposedCourt]]=TrafficData[[#This Row],[totalCourt]]</f>
        <v>1</v>
      </c>
      <c r="N1843" s="8" t="b">
        <f>AND(TrafficData[[#This Row],[disposedChallan]]&lt;=TrafficData[[#This Row],[totalChallan]],TrafficData[[#This Row],[pendingChallan]]&lt;=TrafficData[[#This Row],[totalChallan]])</f>
        <v>1</v>
      </c>
      <c r="O1843" s="8" t="b">
        <f>AND(TrafficData[[#This Row],[pendingAmount]]&lt;=TrafficData[[#This Row],[totalAmount]],TrafficData[[#This Row],[disposedAmount]]&lt;=TrafficData[[#This Row],[totalAmount]])</f>
        <v>1</v>
      </c>
      <c r="P1843" s="8" t="b">
        <f>AND(TrafficData[[#This Row],[pendingCourt]]&lt;=TrafficData[[#This Row],[totalCourt]],TrafficData[[#This Row],[disposedCourt]]&lt;=TrafficData[[#This Row],[totalCourt]])</f>
        <v>1</v>
      </c>
    </row>
    <row r="1844" spans="1:16">
      <c r="A1844" s="1">
        <v>43848</v>
      </c>
      <c r="B1844">
        <v>108209</v>
      </c>
      <c r="C1844">
        <v>44843</v>
      </c>
      <c r="D1844">
        <v>63366</v>
      </c>
      <c r="E1844">
        <v>18925491</v>
      </c>
      <c r="F1844">
        <v>50122460</v>
      </c>
      <c r="G1844">
        <v>69047951</v>
      </c>
      <c r="H1844">
        <v>51535</v>
      </c>
      <c r="I1844">
        <v>9965</v>
      </c>
      <c r="J1844">
        <v>61500</v>
      </c>
      <c r="K1844" t="b">
        <f>TrafficData[[#This Row],[disposedChallan]]+TrafficData[[#This Row],[pendingChallan]]=TrafficData[[#This Row],[totalChallan]]</f>
        <v>1</v>
      </c>
      <c r="L1844" t="b">
        <f>TrafficData[[#This Row],[pendingAmount]]+TrafficData[[#This Row],[disposedAmount]]=TrafficData[[#This Row],[totalAmount]]</f>
        <v>1</v>
      </c>
      <c r="M1844" t="b">
        <f>TrafficData[[#This Row],[pendingCourt]]+TrafficData[[#This Row],[disposedCourt]]=TrafficData[[#This Row],[totalCourt]]</f>
        <v>1</v>
      </c>
      <c r="N1844" s="8" t="b">
        <f>AND(TrafficData[[#This Row],[disposedChallan]]&lt;=TrafficData[[#This Row],[totalChallan]],TrafficData[[#This Row],[pendingChallan]]&lt;=TrafficData[[#This Row],[totalChallan]])</f>
        <v>1</v>
      </c>
      <c r="O1844" s="8" t="b">
        <f>AND(TrafficData[[#This Row],[pendingAmount]]&lt;=TrafficData[[#This Row],[totalAmount]],TrafficData[[#This Row],[disposedAmount]]&lt;=TrafficData[[#This Row],[totalAmount]])</f>
        <v>1</v>
      </c>
      <c r="P1844" s="8" t="b">
        <f>AND(TrafficData[[#This Row],[pendingCourt]]&lt;=TrafficData[[#This Row],[totalCourt]],TrafficData[[#This Row],[disposedCourt]]&lt;=TrafficData[[#This Row],[totalCourt]])</f>
        <v>1</v>
      </c>
    </row>
    <row r="1845" spans="1:16">
      <c r="A1845" s="1">
        <v>43849</v>
      </c>
      <c r="B1845">
        <v>97095</v>
      </c>
      <c r="C1845">
        <v>38647</v>
      </c>
      <c r="D1845">
        <v>58448</v>
      </c>
      <c r="E1845">
        <v>11906331</v>
      </c>
      <c r="F1845">
        <v>38466716</v>
      </c>
      <c r="G1845">
        <v>50373047</v>
      </c>
      <c r="H1845">
        <v>47546</v>
      </c>
      <c r="I1845">
        <v>9388</v>
      </c>
      <c r="J1845">
        <v>56934</v>
      </c>
      <c r="K1845" t="b">
        <f>TrafficData[[#This Row],[disposedChallan]]+TrafficData[[#This Row],[pendingChallan]]=TrafficData[[#This Row],[totalChallan]]</f>
        <v>1</v>
      </c>
      <c r="L1845" t="b">
        <f>TrafficData[[#This Row],[pendingAmount]]+TrafficData[[#This Row],[disposedAmount]]=TrafficData[[#This Row],[totalAmount]]</f>
        <v>1</v>
      </c>
      <c r="M1845" t="b">
        <f>TrafficData[[#This Row],[pendingCourt]]+TrafficData[[#This Row],[disposedCourt]]=TrafficData[[#This Row],[totalCourt]]</f>
        <v>1</v>
      </c>
      <c r="N1845" s="8" t="b">
        <f>AND(TrafficData[[#This Row],[disposedChallan]]&lt;=TrafficData[[#This Row],[totalChallan]],TrafficData[[#This Row],[pendingChallan]]&lt;=TrafficData[[#This Row],[totalChallan]])</f>
        <v>1</v>
      </c>
      <c r="O1845" s="8" t="b">
        <f>AND(TrafficData[[#This Row],[pendingAmount]]&lt;=TrafficData[[#This Row],[totalAmount]],TrafficData[[#This Row],[disposedAmount]]&lt;=TrafficData[[#This Row],[totalAmount]])</f>
        <v>1</v>
      </c>
      <c r="P1845" s="8" t="b">
        <f>AND(TrafficData[[#This Row],[pendingCourt]]&lt;=TrafficData[[#This Row],[totalCourt]],TrafficData[[#This Row],[disposedCourt]]&lt;=TrafficData[[#This Row],[totalCourt]])</f>
        <v>1</v>
      </c>
    </row>
    <row r="1846" spans="1:16">
      <c r="A1846" s="1">
        <v>43850</v>
      </c>
      <c r="B1846">
        <v>105669</v>
      </c>
      <c r="C1846">
        <v>44607</v>
      </c>
      <c r="D1846">
        <v>61062</v>
      </c>
      <c r="E1846">
        <v>16046092</v>
      </c>
      <c r="F1846">
        <v>49669293</v>
      </c>
      <c r="G1846">
        <v>65715385</v>
      </c>
      <c r="H1846">
        <v>49210</v>
      </c>
      <c r="I1846">
        <v>9052</v>
      </c>
      <c r="J1846">
        <v>58262</v>
      </c>
      <c r="K1846" t="b">
        <f>TrafficData[[#This Row],[disposedChallan]]+TrafficData[[#This Row],[pendingChallan]]=TrafficData[[#This Row],[totalChallan]]</f>
        <v>1</v>
      </c>
      <c r="L1846" t="b">
        <f>TrafficData[[#This Row],[pendingAmount]]+TrafficData[[#This Row],[disposedAmount]]=TrafficData[[#This Row],[totalAmount]]</f>
        <v>1</v>
      </c>
      <c r="M1846" t="b">
        <f>TrafficData[[#This Row],[pendingCourt]]+TrafficData[[#This Row],[disposedCourt]]=TrafficData[[#This Row],[totalCourt]]</f>
        <v>1</v>
      </c>
      <c r="N1846" s="8" t="b">
        <f>AND(TrafficData[[#This Row],[disposedChallan]]&lt;=TrafficData[[#This Row],[totalChallan]],TrafficData[[#This Row],[pendingChallan]]&lt;=TrafficData[[#This Row],[totalChallan]])</f>
        <v>1</v>
      </c>
      <c r="O1846" s="8" t="b">
        <f>AND(TrafficData[[#This Row],[pendingAmount]]&lt;=TrafficData[[#This Row],[totalAmount]],TrafficData[[#This Row],[disposedAmount]]&lt;=TrafficData[[#This Row],[totalAmount]])</f>
        <v>1</v>
      </c>
      <c r="P1846" s="8" t="b">
        <f>AND(TrafficData[[#This Row],[pendingCourt]]&lt;=TrafficData[[#This Row],[totalCourt]],TrafficData[[#This Row],[disposedCourt]]&lt;=TrafficData[[#This Row],[totalCourt]])</f>
        <v>1</v>
      </c>
    </row>
    <row r="1847" spans="1:16">
      <c r="A1847" s="1">
        <v>43851</v>
      </c>
      <c r="B1847">
        <v>96906</v>
      </c>
      <c r="C1847">
        <v>48489</v>
      </c>
      <c r="D1847">
        <v>48417</v>
      </c>
      <c r="E1847">
        <v>20522682</v>
      </c>
      <c r="F1847">
        <v>56670384</v>
      </c>
      <c r="G1847">
        <v>77193066</v>
      </c>
      <c r="H1847">
        <v>34445</v>
      </c>
      <c r="I1847">
        <v>10089</v>
      </c>
      <c r="J1847">
        <v>44534</v>
      </c>
      <c r="K1847" t="b">
        <f>TrafficData[[#This Row],[disposedChallan]]+TrafficData[[#This Row],[pendingChallan]]=TrafficData[[#This Row],[totalChallan]]</f>
        <v>1</v>
      </c>
      <c r="L1847" t="b">
        <f>TrafficData[[#This Row],[pendingAmount]]+TrafficData[[#This Row],[disposedAmount]]=TrafficData[[#This Row],[totalAmount]]</f>
        <v>1</v>
      </c>
      <c r="M1847" t="b">
        <f>TrafficData[[#This Row],[pendingCourt]]+TrafficData[[#This Row],[disposedCourt]]=TrafficData[[#This Row],[totalCourt]]</f>
        <v>1</v>
      </c>
      <c r="N1847" s="8" t="b">
        <f>AND(TrafficData[[#This Row],[disposedChallan]]&lt;=TrafficData[[#This Row],[totalChallan]],TrafficData[[#This Row],[pendingChallan]]&lt;=TrafficData[[#This Row],[totalChallan]])</f>
        <v>1</v>
      </c>
      <c r="O1847" s="8" t="b">
        <f>AND(TrafficData[[#This Row],[pendingAmount]]&lt;=TrafficData[[#This Row],[totalAmount]],TrafficData[[#This Row],[disposedAmount]]&lt;=TrafficData[[#This Row],[totalAmount]])</f>
        <v>1</v>
      </c>
      <c r="P1847" s="8" t="b">
        <f>AND(TrafficData[[#This Row],[pendingCourt]]&lt;=TrafficData[[#This Row],[totalCourt]],TrafficData[[#This Row],[disposedCourt]]&lt;=TrafficData[[#This Row],[totalCourt]])</f>
        <v>1</v>
      </c>
    </row>
    <row r="1848" spans="1:16">
      <c r="A1848" s="1">
        <v>43852</v>
      </c>
      <c r="B1848">
        <v>94759</v>
      </c>
      <c r="C1848">
        <v>51543</v>
      </c>
      <c r="D1848">
        <v>43216</v>
      </c>
      <c r="E1848">
        <v>19796617</v>
      </c>
      <c r="F1848">
        <v>58692021</v>
      </c>
      <c r="G1848">
        <v>78488638</v>
      </c>
      <c r="H1848">
        <v>26243</v>
      </c>
      <c r="I1848">
        <v>9433</v>
      </c>
      <c r="J1848">
        <v>35676</v>
      </c>
      <c r="K1848" t="b">
        <f>TrafficData[[#This Row],[disposedChallan]]+TrafficData[[#This Row],[pendingChallan]]=TrafficData[[#This Row],[totalChallan]]</f>
        <v>1</v>
      </c>
      <c r="L1848" t="b">
        <f>TrafficData[[#This Row],[pendingAmount]]+TrafficData[[#This Row],[disposedAmount]]=TrafficData[[#This Row],[totalAmount]]</f>
        <v>1</v>
      </c>
      <c r="M1848" t="b">
        <f>TrafficData[[#This Row],[pendingCourt]]+TrafficData[[#This Row],[disposedCourt]]=TrafficData[[#This Row],[totalCourt]]</f>
        <v>1</v>
      </c>
      <c r="N1848" s="8" t="b">
        <f>AND(TrafficData[[#This Row],[disposedChallan]]&lt;=TrafficData[[#This Row],[totalChallan]],TrafficData[[#This Row],[pendingChallan]]&lt;=TrafficData[[#This Row],[totalChallan]])</f>
        <v>1</v>
      </c>
      <c r="O1848" s="8" t="b">
        <f>AND(TrafficData[[#This Row],[pendingAmount]]&lt;=TrafficData[[#This Row],[totalAmount]],TrafficData[[#This Row],[disposedAmount]]&lt;=TrafficData[[#This Row],[totalAmount]])</f>
        <v>1</v>
      </c>
      <c r="P1848" s="8" t="b">
        <f>AND(TrafficData[[#This Row],[pendingCourt]]&lt;=TrafficData[[#This Row],[totalCourt]],TrafficData[[#This Row],[disposedCourt]]&lt;=TrafficData[[#This Row],[totalCourt]])</f>
        <v>1</v>
      </c>
    </row>
    <row r="1849" spans="1:16">
      <c r="A1849" s="1">
        <v>43853</v>
      </c>
      <c r="B1849">
        <v>87995</v>
      </c>
      <c r="C1849">
        <v>50975</v>
      </c>
      <c r="D1849">
        <v>37020</v>
      </c>
      <c r="E1849">
        <v>19076022</v>
      </c>
      <c r="F1849">
        <v>59264328</v>
      </c>
      <c r="G1849">
        <v>78340350</v>
      </c>
      <c r="H1849">
        <v>19426</v>
      </c>
      <c r="I1849">
        <v>8362</v>
      </c>
      <c r="J1849">
        <v>27788</v>
      </c>
      <c r="K1849" t="b">
        <f>TrafficData[[#This Row],[disposedChallan]]+TrafficData[[#This Row],[pendingChallan]]=TrafficData[[#This Row],[totalChallan]]</f>
        <v>1</v>
      </c>
      <c r="L1849" t="b">
        <f>TrafficData[[#This Row],[pendingAmount]]+TrafficData[[#This Row],[disposedAmount]]=TrafficData[[#This Row],[totalAmount]]</f>
        <v>1</v>
      </c>
      <c r="M1849" t="b">
        <f>TrafficData[[#This Row],[pendingCourt]]+TrafficData[[#This Row],[disposedCourt]]=TrafficData[[#This Row],[totalCourt]]</f>
        <v>1</v>
      </c>
      <c r="N1849" s="8" t="b">
        <f>AND(TrafficData[[#This Row],[disposedChallan]]&lt;=TrafficData[[#This Row],[totalChallan]],TrafficData[[#This Row],[pendingChallan]]&lt;=TrafficData[[#This Row],[totalChallan]])</f>
        <v>1</v>
      </c>
      <c r="O1849" s="8" t="b">
        <f>AND(TrafficData[[#This Row],[pendingAmount]]&lt;=TrafficData[[#This Row],[totalAmount]],TrafficData[[#This Row],[disposedAmount]]&lt;=TrafficData[[#This Row],[totalAmount]])</f>
        <v>1</v>
      </c>
      <c r="P1849" s="8" t="b">
        <f>AND(TrafficData[[#This Row],[pendingCourt]]&lt;=TrafficData[[#This Row],[totalCourt]],TrafficData[[#This Row],[disposedCourt]]&lt;=TrafficData[[#This Row],[totalCourt]])</f>
        <v>1</v>
      </c>
    </row>
    <row r="1850" spans="1:16">
      <c r="A1850" s="1">
        <v>43854</v>
      </c>
      <c r="B1850">
        <v>90257</v>
      </c>
      <c r="C1850">
        <v>51985</v>
      </c>
      <c r="D1850">
        <v>38272</v>
      </c>
      <c r="E1850">
        <v>21517524</v>
      </c>
      <c r="F1850">
        <v>60177090</v>
      </c>
      <c r="G1850">
        <v>81694614</v>
      </c>
      <c r="H1850">
        <v>21509</v>
      </c>
      <c r="I1850">
        <v>10682</v>
      </c>
      <c r="J1850">
        <v>32191</v>
      </c>
      <c r="K1850" t="b">
        <f>TrafficData[[#This Row],[disposedChallan]]+TrafficData[[#This Row],[pendingChallan]]=TrafficData[[#This Row],[totalChallan]]</f>
        <v>1</v>
      </c>
      <c r="L1850" t="b">
        <f>TrafficData[[#This Row],[pendingAmount]]+TrafficData[[#This Row],[disposedAmount]]=TrafficData[[#This Row],[totalAmount]]</f>
        <v>1</v>
      </c>
      <c r="M1850" t="b">
        <f>TrafficData[[#This Row],[pendingCourt]]+TrafficData[[#This Row],[disposedCourt]]=TrafficData[[#This Row],[totalCourt]]</f>
        <v>1</v>
      </c>
      <c r="N1850" s="8" t="b">
        <f>AND(TrafficData[[#This Row],[disposedChallan]]&lt;=TrafficData[[#This Row],[totalChallan]],TrafficData[[#This Row],[pendingChallan]]&lt;=TrafficData[[#This Row],[totalChallan]])</f>
        <v>1</v>
      </c>
      <c r="O1850" s="8" t="b">
        <f>AND(TrafficData[[#This Row],[pendingAmount]]&lt;=TrafficData[[#This Row],[totalAmount]],TrafficData[[#This Row],[disposedAmount]]&lt;=TrafficData[[#This Row],[totalAmount]])</f>
        <v>1</v>
      </c>
      <c r="P1850" s="8" t="b">
        <f>AND(TrafficData[[#This Row],[pendingCourt]]&lt;=TrafficData[[#This Row],[totalCourt]],TrafficData[[#This Row],[disposedCourt]]&lt;=TrafficData[[#This Row],[totalCourt]])</f>
        <v>1</v>
      </c>
    </row>
    <row r="1851" spans="1:16">
      <c r="A1851" s="1">
        <v>43855</v>
      </c>
      <c r="B1851">
        <v>89725</v>
      </c>
      <c r="C1851">
        <v>49876</v>
      </c>
      <c r="D1851">
        <v>39849</v>
      </c>
      <c r="E1851">
        <v>15849123</v>
      </c>
      <c r="F1851">
        <v>50948342</v>
      </c>
      <c r="G1851">
        <v>66797465</v>
      </c>
      <c r="H1851">
        <v>24267</v>
      </c>
      <c r="I1851">
        <v>10613</v>
      </c>
      <c r="J1851">
        <v>34880</v>
      </c>
      <c r="K1851" t="b">
        <f>TrafficData[[#This Row],[disposedChallan]]+TrafficData[[#This Row],[pendingChallan]]=TrafficData[[#This Row],[totalChallan]]</f>
        <v>1</v>
      </c>
      <c r="L1851" t="b">
        <f>TrafficData[[#This Row],[pendingAmount]]+TrafficData[[#This Row],[disposedAmount]]=TrafficData[[#This Row],[totalAmount]]</f>
        <v>1</v>
      </c>
      <c r="M1851" t="b">
        <f>TrafficData[[#This Row],[pendingCourt]]+TrafficData[[#This Row],[disposedCourt]]=TrafficData[[#This Row],[totalCourt]]</f>
        <v>1</v>
      </c>
      <c r="N1851" s="8" t="b">
        <f>AND(TrafficData[[#This Row],[disposedChallan]]&lt;=TrafficData[[#This Row],[totalChallan]],TrafficData[[#This Row],[pendingChallan]]&lt;=TrafficData[[#This Row],[totalChallan]])</f>
        <v>1</v>
      </c>
      <c r="O1851" s="8" t="b">
        <f>AND(TrafficData[[#This Row],[pendingAmount]]&lt;=TrafficData[[#This Row],[totalAmount]],TrafficData[[#This Row],[disposedAmount]]&lt;=TrafficData[[#This Row],[totalAmount]])</f>
        <v>1</v>
      </c>
      <c r="P1851" s="8" t="b">
        <f>AND(TrafficData[[#This Row],[pendingCourt]]&lt;=TrafficData[[#This Row],[totalCourt]],TrafficData[[#This Row],[disposedCourt]]&lt;=TrafficData[[#This Row],[totalCourt]])</f>
        <v>1</v>
      </c>
    </row>
    <row r="1852" spans="1:16">
      <c r="A1852" s="1">
        <v>43856</v>
      </c>
      <c r="B1852">
        <v>96617</v>
      </c>
      <c r="C1852">
        <v>30605</v>
      </c>
      <c r="D1852">
        <v>66012</v>
      </c>
      <c r="E1852">
        <v>8827777</v>
      </c>
      <c r="F1852">
        <v>23402213</v>
      </c>
      <c r="G1852">
        <v>32229990</v>
      </c>
      <c r="H1852">
        <v>50713</v>
      </c>
      <c r="I1852">
        <v>3319</v>
      </c>
      <c r="J1852">
        <v>54032</v>
      </c>
      <c r="K1852" t="b">
        <f>TrafficData[[#This Row],[disposedChallan]]+TrafficData[[#This Row],[pendingChallan]]=TrafficData[[#This Row],[totalChallan]]</f>
        <v>1</v>
      </c>
      <c r="L1852" t="b">
        <f>TrafficData[[#This Row],[pendingAmount]]+TrafficData[[#This Row],[disposedAmount]]=TrafficData[[#This Row],[totalAmount]]</f>
        <v>1</v>
      </c>
      <c r="M1852" t="b">
        <f>TrafficData[[#This Row],[pendingCourt]]+TrafficData[[#This Row],[disposedCourt]]=TrafficData[[#This Row],[totalCourt]]</f>
        <v>1</v>
      </c>
      <c r="N1852" s="8" t="b">
        <f>AND(TrafficData[[#This Row],[disposedChallan]]&lt;=TrafficData[[#This Row],[totalChallan]],TrafficData[[#This Row],[pendingChallan]]&lt;=TrafficData[[#This Row],[totalChallan]])</f>
        <v>1</v>
      </c>
      <c r="O1852" s="8" t="b">
        <f>AND(TrafficData[[#This Row],[pendingAmount]]&lt;=TrafficData[[#This Row],[totalAmount]],TrafficData[[#This Row],[disposedAmount]]&lt;=TrafficData[[#This Row],[totalAmount]])</f>
        <v>1</v>
      </c>
      <c r="P1852" s="8" t="b">
        <f>AND(TrafficData[[#This Row],[pendingCourt]]&lt;=TrafficData[[#This Row],[totalCourt]],TrafficData[[#This Row],[disposedCourt]]&lt;=TrafficData[[#This Row],[totalCourt]])</f>
        <v>1</v>
      </c>
    </row>
    <row r="1853" spans="1:16">
      <c r="A1853" s="1">
        <v>43857</v>
      </c>
      <c r="B1853">
        <v>116877</v>
      </c>
      <c r="C1853">
        <v>51515</v>
      </c>
      <c r="D1853">
        <v>65362</v>
      </c>
      <c r="E1853">
        <v>18100229</v>
      </c>
      <c r="F1853">
        <v>49547145</v>
      </c>
      <c r="G1853">
        <v>67647374</v>
      </c>
      <c r="H1853">
        <v>47803</v>
      </c>
      <c r="I1853">
        <v>11181</v>
      </c>
      <c r="J1853">
        <v>58984</v>
      </c>
      <c r="K1853" t="b">
        <f>TrafficData[[#This Row],[disposedChallan]]+TrafficData[[#This Row],[pendingChallan]]=TrafficData[[#This Row],[totalChallan]]</f>
        <v>1</v>
      </c>
      <c r="L1853" t="b">
        <f>TrafficData[[#This Row],[pendingAmount]]+TrafficData[[#This Row],[disposedAmount]]=TrafficData[[#This Row],[totalAmount]]</f>
        <v>1</v>
      </c>
      <c r="M1853" t="b">
        <f>TrafficData[[#This Row],[pendingCourt]]+TrafficData[[#This Row],[disposedCourt]]=TrafficData[[#This Row],[totalCourt]]</f>
        <v>1</v>
      </c>
      <c r="N1853" s="8" t="b">
        <f>AND(TrafficData[[#This Row],[disposedChallan]]&lt;=TrafficData[[#This Row],[totalChallan]],TrafficData[[#This Row],[pendingChallan]]&lt;=TrafficData[[#This Row],[totalChallan]])</f>
        <v>1</v>
      </c>
      <c r="O1853" s="8" t="b">
        <f>AND(TrafficData[[#This Row],[pendingAmount]]&lt;=TrafficData[[#This Row],[totalAmount]],TrafficData[[#This Row],[disposedAmount]]&lt;=TrafficData[[#This Row],[totalAmount]])</f>
        <v>1</v>
      </c>
      <c r="P1853" s="8" t="b">
        <f>AND(TrafficData[[#This Row],[pendingCourt]]&lt;=TrafficData[[#This Row],[totalCourt]],TrafficData[[#This Row],[disposedCourt]]&lt;=TrafficData[[#This Row],[totalCourt]])</f>
        <v>1</v>
      </c>
    </row>
    <row r="1854" spans="1:16">
      <c r="A1854" s="1">
        <v>43858</v>
      </c>
      <c r="B1854">
        <v>119409</v>
      </c>
      <c r="C1854">
        <v>53113</v>
      </c>
      <c r="D1854">
        <v>66296</v>
      </c>
      <c r="E1854">
        <v>21219204</v>
      </c>
      <c r="F1854">
        <v>55032382</v>
      </c>
      <c r="G1854">
        <v>76251586</v>
      </c>
      <c r="H1854">
        <v>47425</v>
      </c>
      <c r="I1854">
        <v>10354</v>
      </c>
      <c r="J1854">
        <v>57779</v>
      </c>
      <c r="K1854" t="b">
        <f>TrafficData[[#This Row],[disposedChallan]]+TrafficData[[#This Row],[pendingChallan]]=TrafficData[[#This Row],[totalChallan]]</f>
        <v>1</v>
      </c>
      <c r="L1854" t="b">
        <f>TrafficData[[#This Row],[pendingAmount]]+TrafficData[[#This Row],[disposedAmount]]=TrafficData[[#This Row],[totalAmount]]</f>
        <v>1</v>
      </c>
      <c r="M1854" t="b">
        <f>TrafficData[[#This Row],[pendingCourt]]+TrafficData[[#This Row],[disposedCourt]]=TrafficData[[#This Row],[totalCourt]]</f>
        <v>1</v>
      </c>
      <c r="N1854" s="8" t="b">
        <f>AND(TrafficData[[#This Row],[disposedChallan]]&lt;=TrafficData[[#This Row],[totalChallan]],TrafficData[[#This Row],[pendingChallan]]&lt;=TrafficData[[#This Row],[totalChallan]])</f>
        <v>1</v>
      </c>
      <c r="O1854" s="8" t="b">
        <f>AND(TrafficData[[#This Row],[pendingAmount]]&lt;=TrafficData[[#This Row],[totalAmount]],TrafficData[[#This Row],[disposedAmount]]&lt;=TrafficData[[#This Row],[totalAmount]])</f>
        <v>1</v>
      </c>
      <c r="P1854" s="8" t="b">
        <f>AND(TrafficData[[#This Row],[pendingCourt]]&lt;=TrafficData[[#This Row],[totalCourt]],TrafficData[[#This Row],[disposedCourt]]&lt;=TrafficData[[#This Row],[totalCourt]])</f>
        <v>1</v>
      </c>
    </row>
    <row r="1855" spans="1:16">
      <c r="A1855" s="1">
        <v>43859</v>
      </c>
      <c r="B1855">
        <v>132953</v>
      </c>
      <c r="C1855">
        <v>54157</v>
      </c>
      <c r="D1855">
        <v>78796</v>
      </c>
      <c r="E1855">
        <v>18877250</v>
      </c>
      <c r="F1855">
        <v>52780433</v>
      </c>
      <c r="G1855">
        <v>71657683</v>
      </c>
      <c r="H1855">
        <v>59405</v>
      </c>
      <c r="I1855">
        <v>10629</v>
      </c>
      <c r="J1855">
        <v>70034</v>
      </c>
      <c r="K1855" t="b">
        <f>TrafficData[[#This Row],[disposedChallan]]+TrafficData[[#This Row],[pendingChallan]]=TrafficData[[#This Row],[totalChallan]]</f>
        <v>1</v>
      </c>
      <c r="L1855" t="b">
        <f>TrafficData[[#This Row],[pendingAmount]]+TrafficData[[#This Row],[disposedAmount]]=TrafficData[[#This Row],[totalAmount]]</f>
        <v>1</v>
      </c>
      <c r="M1855" t="b">
        <f>TrafficData[[#This Row],[pendingCourt]]+TrafficData[[#This Row],[disposedCourt]]=TrafficData[[#This Row],[totalCourt]]</f>
        <v>1</v>
      </c>
      <c r="N1855" s="8" t="b">
        <f>AND(TrafficData[[#This Row],[disposedChallan]]&lt;=TrafficData[[#This Row],[totalChallan]],TrafficData[[#This Row],[pendingChallan]]&lt;=TrafficData[[#This Row],[totalChallan]])</f>
        <v>1</v>
      </c>
      <c r="O1855" s="8" t="b">
        <f>AND(TrafficData[[#This Row],[pendingAmount]]&lt;=TrafficData[[#This Row],[totalAmount]],TrafficData[[#This Row],[disposedAmount]]&lt;=TrafficData[[#This Row],[totalAmount]])</f>
        <v>1</v>
      </c>
      <c r="P1855" s="8" t="b">
        <f>AND(TrafficData[[#This Row],[pendingCourt]]&lt;=TrafficData[[#This Row],[totalCourt]],TrafficData[[#This Row],[disposedCourt]]&lt;=TrafficData[[#This Row],[totalCourt]])</f>
        <v>1</v>
      </c>
    </row>
    <row r="1856" spans="1:16">
      <c r="A1856" s="1">
        <v>43860</v>
      </c>
      <c r="B1856">
        <v>131829</v>
      </c>
      <c r="C1856">
        <v>49856</v>
      </c>
      <c r="D1856">
        <v>81973</v>
      </c>
      <c r="E1856">
        <v>19731924</v>
      </c>
      <c r="F1856">
        <v>48487112</v>
      </c>
      <c r="G1856">
        <v>68219036</v>
      </c>
      <c r="H1856">
        <v>66397</v>
      </c>
      <c r="I1856">
        <v>10696</v>
      </c>
      <c r="J1856">
        <v>77093</v>
      </c>
      <c r="K1856" t="b">
        <f>TrafficData[[#This Row],[disposedChallan]]+TrafficData[[#This Row],[pendingChallan]]=TrafficData[[#This Row],[totalChallan]]</f>
        <v>1</v>
      </c>
      <c r="L1856" t="b">
        <f>TrafficData[[#This Row],[pendingAmount]]+TrafficData[[#This Row],[disposedAmount]]=TrafficData[[#This Row],[totalAmount]]</f>
        <v>1</v>
      </c>
      <c r="M1856" t="b">
        <f>TrafficData[[#This Row],[pendingCourt]]+TrafficData[[#This Row],[disposedCourt]]=TrafficData[[#This Row],[totalCourt]]</f>
        <v>1</v>
      </c>
      <c r="N1856" s="8" t="b">
        <f>AND(TrafficData[[#This Row],[disposedChallan]]&lt;=TrafficData[[#This Row],[totalChallan]],TrafficData[[#This Row],[pendingChallan]]&lt;=TrafficData[[#This Row],[totalChallan]])</f>
        <v>1</v>
      </c>
      <c r="O1856" s="8" t="b">
        <f>AND(TrafficData[[#This Row],[pendingAmount]]&lt;=TrafficData[[#This Row],[totalAmount]],TrafficData[[#This Row],[disposedAmount]]&lt;=TrafficData[[#This Row],[totalAmount]])</f>
        <v>1</v>
      </c>
      <c r="P1856" s="8" t="b">
        <f>AND(TrafficData[[#This Row],[pendingCourt]]&lt;=TrafficData[[#This Row],[totalCourt]],TrafficData[[#This Row],[disposedCourt]]&lt;=TrafficData[[#This Row],[totalCourt]])</f>
        <v>1</v>
      </c>
    </row>
    <row r="1857" spans="1:16">
      <c r="A1857" s="1">
        <v>43861</v>
      </c>
      <c r="B1857">
        <v>122876</v>
      </c>
      <c r="C1857">
        <v>50994</v>
      </c>
      <c r="D1857">
        <v>71882</v>
      </c>
      <c r="E1857">
        <v>17558302</v>
      </c>
      <c r="F1857">
        <v>49819631</v>
      </c>
      <c r="G1857">
        <v>67377933</v>
      </c>
      <c r="H1857">
        <v>54636</v>
      </c>
      <c r="I1857">
        <v>10625</v>
      </c>
      <c r="J1857">
        <v>65261</v>
      </c>
      <c r="K1857" t="b">
        <f>TrafficData[[#This Row],[disposedChallan]]+TrafficData[[#This Row],[pendingChallan]]=TrafficData[[#This Row],[totalChallan]]</f>
        <v>1</v>
      </c>
      <c r="L1857" t="b">
        <f>TrafficData[[#This Row],[pendingAmount]]+TrafficData[[#This Row],[disposedAmount]]=TrafficData[[#This Row],[totalAmount]]</f>
        <v>1</v>
      </c>
      <c r="M1857" t="b">
        <f>TrafficData[[#This Row],[pendingCourt]]+TrafficData[[#This Row],[disposedCourt]]=TrafficData[[#This Row],[totalCourt]]</f>
        <v>1</v>
      </c>
      <c r="N1857" s="8" t="b">
        <f>AND(TrafficData[[#This Row],[disposedChallan]]&lt;=TrafficData[[#This Row],[totalChallan]],TrafficData[[#This Row],[pendingChallan]]&lt;=TrafficData[[#This Row],[totalChallan]])</f>
        <v>1</v>
      </c>
      <c r="O1857" s="8" t="b">
        <f>AND(TrafficData[[#This Row],[pendingAmount]]&lt;=TrafficData[[#This Row],[totalAmount]],TrafficData[[#This Row],[disposedAmount]]&lt;=TrafficData[[#This Row],[totalAmount]])</f>
        <v>1</v>
      </c>
      <c r="P1857" s="8" t="b">
        <f>AND(TrafficData[[#This Row],[pendingCourt]]&lt;=TrafficData[[#This Row],[totalCourt]],TrafficData[[#This Row],[disposedCourt]]&lt;=TrafficData[[#This Row],[totalCourt]])</f>
        <v>1</v>
      </c>
    </row>
    <row r="1858" spans="1:16">
      <c r="A1858" s="1">
        <v>43862</v>
      </c>
      <c r="B1858">
        <v>139364</v>
      </c>
      <c r="C1858">
        <v>53520</v>
      </c>
      <c r="D1858">
        <v>85844</v>
      </c>
      <c r="E1858">
        <v>15531301</v>
      </c>
      <c r="F1858">
        <v>57596369</v>
      </c>
      <c r="G1858">
        <v>73127670</v>
      </c>
      <c r="H1858">
        <v>69992</v>
      </c>
      <c r="I1858">
        <v>9836</v>
      </c>
      <c r="J1858">
        <v>79828</v>
      </c>
      <c r="K1858" t="b">
        <f>TrafficData[[#This Row],[disposedChallan]]+TrafficData[[#This Row],[pendingChallan]]=TrafficData[[#This Row],[totalChallan]]</f>
        <v>1</v>
      </c>
      <c r="L1858" t="b">
        <f>TrafficData[[#This Row],[pendingAmount]]+TrafficData[[#This Row],[disposedAmount]]=TrafficData[[#This Row],[totalAmount]]</f>
        <v>1</v>
      </c>
      <c r="M1858" t="b">
        <f>TrafficData[[#This Row],[pendingCourt]]+TrafficData[[#This Row],[disposedCourt]]=TrafficData[[#This Row],[totalCourt]]</f>
        <v>1</v>
      </c>
      <c r="N1858" s="8" t="b">
        <f>AND(TrafficData[[#This Row],[disposedChallan]]&lt;=TrafficData[[#This Row],[totalChallan]],TrafficData[[#This Row],[pendingChallan]]&lt;=TrafficData[[#This Row],[totalChallan]])</f>
        <v>1</v>
      </c>
      <c r="O1858" s="8" t="b">
        <f>AND(TrafficData[[#This Row],[pendingAmount]]&lt;=TrafficData[[#This Row],[totalAmount]],TrafficData[[#This Row],[disposedAmount]]&lt;=TrafficData[[#This Row],[totalAmount]])</f>
        <v>1</v>
      </c>
      <c r="P1858" s="8" t="b">
        <f>AND(TrafficData[[#This Row],[pendingCourt]]&lt;=TrafficData[[#This Row],[totalCourt]],TrafficData[[#This Row],[disposedCourt]]&lt;=TrafficData[[#This Row],[totalCourt]])</f>
        <v>1</v>
      </c>
    </row>
    <row r="1859" spans="1:16">
      <c r="A1859" s="1">
        <v>43863</v>
      </c>
      <c r="B1859">
        <v>137774</v>
      </c>
      <c r="C1859">
        <v>45525</v>
      </c>
      <c r="D1859">
        <v>92249</v>
      </c>
      <c r="E1859">
        <v>13094355</v>
      </c>
      <c r="F1859">
        <v>42600197</v>
      </c>
      <c r="G1859">
        <v>55694552</v>
      </c>
      <c r="H1859">
        <v>77489</v>
      </c>
      <c r="I1859">
        <v>8528</v>
      </c>
      <c r="J1859">
        <v>86017</v>
      </c>
      <c r="K1859" t="b">
        <f>TrafficData[[#This Row],[disposedChallan]]+TrafficData[[#This Row],[pendingChallan]]=TrafficData[[#This Row],[totalChallan]]</f>
        <v>1</v>
      </c>
      <c r="L1859" t="b">
        <f>TrafficData[[#This Row],[pendingAmount]]+TrafficData[[#This Row],[disposedAmount]]=TrafficData[[#This Row],[totalAmount]]</f>
        <v>1</v>
      </c>
      <c r="M1859" t="b">
        <f>TrafficData[[#This Row],[pendingCourt]]+TrafficData[[#This Row],[disposedCourt]]=TrafficData[[#This Row],[totalCourt]]</f>
        <v>1</v>
      </c>
      <c r="N1859" s="8" t="b">
        <f>AND(TrafficData[[#This Row],[disposedChallan]]&lt;=TrafficData[[#This Row],[totalChallan]],TrafficData[[#This Row],[pendingChallan]]&lt;=TrafficData[[#This Row],[totalChallan]])</f>
        <v>1</v>
      </c>
      <c r="O1859" s="8" t="b">
        <f>AND(TrafficData[[#This Row],[pendingAmount]]&lt;=TrafficData[[#This Row],[totalAmount]],TrafficData[[#This Row],[disposedAmount]]&lt;=TrafficData[[#This Row],[totalAmount]])</f>
        <v>1</v>
      </c>
      <c r="P1859" s="8" t="b">
        <f>AND(TrafficData[[#This Row],[pendingCourt]]&lt;=TrafficData[[#This Row],[totalCourt]],TrafficData[[#This Row],[disposedCourt]]&lt;=TrafficData[[#This Row],[totalCourt]])</f>
        <v>1</v>
      </c>
    </row>
    <row r="1860" spans="1:16">
      <c r="A1860" s="1">
        <v>43864</v>
      </c>
      <c r="B1860">
        <v>142692</v>
      </c>
      <c r="C1860">
        <v>54862</v>
      </c>
      <c r="D1860">
        <v>87830</v>
      </c>
      <c r="E1860">
        <v>17588065</v>
      </c>
      <c r="F1860">
        <v>57992900</v>
      </c>
      <c r="G1860">
        <v>75580965</v>
      </c>
      <c r="H1860">
        <v>70442</v>
      </c>
      <c r="I1860">
        <v>11050</v>
      </c>
      <c r="J1860">
        <v>81492</v>
      </c>
      <c r="K1860" t="b">
        <f>TrafficData[[#This Row],[disposedChallan]]+TrafficData[[#This Row],[pendingChallan]]=TrafficData[[#This Row],[totalChallan]]</f>
        <v>1</v>
      </c>
      <c r="L1860" t="b">
        <f>TrafficData[[#This Row],[pendingAmount]]+TrafficData[[#This Row],[disposedAmount]]=TrafficData[[#This Row],[totalAmount]]</f>
        <v>1</v>
      </c>
      <c r="M1860" t="b">
        <f>TrafficData[[#This Row],[pendingCourt]]+TrafficData[[#This Row],[disposedCourt]]=TrafficData[[#This Row],[totalCourt]]</f>
        <v>1</v>
      </c>
      <c r="N1860" s="8" t="b">
        <f>AND(TrafficData[[#This Row],[disposedChallan]]&lt;=TrafficData[[#This Row],[totalChallan]],TrafficData[[#This Row],[pendingChallan]]&lt;=TrafficData[[#This Row],[totalChallan]])</f>
        <v>1</v>
      </c>
      <c r="O1860" s="8" t="b">
        <f>AND(TrafficData[[#This Row],[pendingAmount]]&lt;=TrafficData[[#This Row],[totalAmount]],TrafficData[[#This Row],[disposedAmount]]&lt;=TrafficData[[#This Row],[totalAmount]])</f>
        <v>1</v>
      </c>
      <c r="P1860" s="8" t="b">
        <f>AND(TrafficData[[#This Row],[pendingCourt]]&lt;=TrafficData[[#This Row],[totalCourt]],TrafficData[[#This Row],[disposedCourt]]&lt;=TrafficData[[#This Row],[totalCourt]])</f>
        <v>1</v>
      </c>
    </row>
    <row r="1861" spans="1:16">
      <c r="A1861" s="1">
        <v>43865</v>
      </c>
      <c r="B1861">
        <v>138725</v>
      </c>
      <c r="C1861">
        <v>56374</v>
      </c>
      <c r="D1861">
        <v>82351</v>
      </c>
      <c r="E1861">
        <v>21105031</v>
      </c>
      <c r="F1861">
        <v>66906468</v>
      </c>
      <c r="G1861">
        <v>88011499</v>
      </c>
      <c r="H1861">
        <v>65122</v>
      </c>
      <c r="I1861">
        <v>11284</v>
      </c>
      <c r="J1861">
        <v>76406</v>
      </c>
      <c r="K1861" t="b">
        <f>TrafficData[[#This Row],[disposedChallan]]+TrafficData[[#This Row],[pendingChallan]]=TrafficData[[#This Row],[totalChallan]]</f>
        <v>1</v>
      </c>
      <c r="L1861" t="b">
        <f>TrafficData[[#This Row],[pendingAmount]]+TrafficData[[#This Row],[disposedAmount]]=TrafficData[[#This Row],[totalAmount]]</f>
        <v>1</v>
      </c>
      <c r="M1861" t="b">
        <f>TrafficData[[#This Row],[pendingCourt]]+TrafficData[[#This Row],[disposedCourt]]=TrafficData[[#This Row],[totalCourt]]</f>
        <v>1</v>
      </c>
      <c r="N1861" s="8" t="b">
        <f>AND(TrafficData[[#This Row],[disposedChallan]]&lt;=TrafficData[[#This Row],[totalChallan]],TrafficData[[#This Row],[pendingChallan]]&lt;=TrafficData[[#This Row],[totalChallan]])</f>
        <v>1</v>
      </c>
      <c r="O1861" s="8" t="b">
        <f>AND(TrafficData[[#This Row],[pendingAmount]]&lt;=TrafficData[[#This Row],[totalAmount]],TrafficData[[#This Row],[disposedAmount]]&lt;=TrafficData[[#This Row],[totalAmount]])</f>
        <v>1</v>
      </c>
      <c r="P1861" s="8" t="b">
        <f>AND(TrafficData[[#This Row],[pendingCourt]]&lt;=TrafficData[[#This Row],[totalCourt]],TrafficData[[#This Row],[disposedCourt]]&lt;=TrafficData[[#This Row],[totalCourt]])</f>
        <v>1</v>
      </c>
    </row>
    <row r="1862" spans="1:16">
      <c r="A1862" s="1">
        <v>43866</v>
      </c>
      <c r="B1862">
        <v>129256</v>
      </c>
      <c r="C1862">
        <v>49281</v>
      </c>
      <c r="D1862">
        <v>79975</v>
      </c>
      <c r="E1862">
        <v>18327370</v>
      </c>
      <c r="F1862">
        <v>54905960</v>
      </c>
      <c r="G1862">
        <v>73233330</v>
      </c>
      <c r="H1862">
        <v>7467</v>
      </c>
      <c r="I1862">
        <v>7954</v>
      </c>
      <c r="J1862">
        <v>15421</v>
      </c>
      <c r="K1862" t="b">
        <f>TrafficData[[#This Row],[disposedChallan]]+TrafficData[[#This Row],[pendingChallan]]=TrafficData[[#This Row],[totalChallan]]</f>
        <v>1</v>
      </c>
      <c r="L1862" t="b">
        <f>TrafficData[[#This Row],[pendingAmount]]+TrafficData[[#This Row],[disposedAmount]]=TrafficData[[#This Row],[totalAmount]]</f>
        <v>1</v>
      </c>
      <c r="M1862" t="b">
        <f>TrafficData[[#This Row],[pendingCourt]]+TrafficData[[#This Row],[disposedCourt]]=TrafficData[[#This Row],[totalCourt]]</f>
        <v>1</v>
      </c>
      <c r="N1862" s="8" t="b">
        <f>AND(TrafficData[[#This Row],[disposedChallan]]&lt;=TrafficData[[#This Row],[totalChallan]],TrafficData[[#This Row],[pendingChallan]]&lt;=TrafficData[[#This Row],[totalChallan]])</f>
        <v>1</v>
      </c>
      <c r="O1862" s="8" t="b">
        <f>AND(TrafficData[[#This Row],[pendingAmount]]&lt;=TrafficData[[#This Row],[totalAmount]],TrafficData[[#This Row],[disposedAmount]]&lt;=TrafficData[[#This Row],[totalAmount]])</f>
        <v>1</v>
      </c>
      <c r="P1862" s="8" t="b">
        <f>AND(TrafficData[[#This Row],[pendingCourt]]&lt;=TrafficData[[#This Row],[totalCourt]],TrafficData[[#This Row],[disposedCourt]]&lt;=TrafficData[[#This Row],[totalCourt]])</f>
        <v>1</v>
      </c>
    </row>
    <row r="1863" spans="1:16">
      <c r="A1863" s="1">
        <v>43867</v>
      </c>
      <c r="B1863">
        <v>132567</v>
      </c>
      <c r="C1863">
        <v>51471</v>
      </c>
      <c r="D1863">
        <v>81096</v>
      </c>
      <c r="E1863">
        <v>20296936</v>
      </c>
      <c r="F1863">
        <v>63940355</v>
      </c>
      <c r="G1863">
        <v>84237291</v>
      </c>
      <c r="H1863">
        <v>64543</v>
      </c>
      <c r="I1863">
        <v>7649</v>
      </c>
      <c r="J1863">
        <v>72192</v>
      </c>
      <c r="K1863" t="b">
        <f>TrafficData[[#This Row],[disposedChallan]]+TrafficData[[#This Row],[pendingChallan]]=TrafficData[[#This Row],[totalChallan]]</f>
        <v>1</v>
      </c>
      <c r="L1863" t="b">
        <f>TrafficData[[#This Row],[pendingAmount]]+TrafficData[[#This Row],[disposedAmount]]=TrafficData[[#This Row],[totalAmount]]</f>
        <v>1</v>
      </c>
      <c r="M1863" t="b">
        <f>TrafficData[[#This Row],[pendingCourt]]+TrafficData[[#This Row],[disposedCourt]]=TrafficData[[#This Row],[totalCourt]]</f>
        <v>1</v>
      </c>
      <c r="N1863" s="8" t="b">
        <f>AND(TrafficData[[#This Row],[disposedChallan]]&lt;=TrafficData[[#This Row],[totalChallan]],TrafficData[[#This Row],[pendingChallan]]&lt;=TrafficData[[#This Row],[totalChallan]])</f>
        <v>1</v>
      </c>
      <c r="O1863" s="8" t="b">
        <f>AND(TrafficData[[#This Row],[pendingAmount]]&lt;=TrafficData[[#This Row],[totalAmount]],TrafficData[[#This Row],[disposedAmount]]&lt;=TrafficData[[#This Row],[totalAmount]])</f>
        <v>1</v>
      </c>
      <c r="P1863" s="8" t="b">
        <f>AND(TrafficData[[#This Row],[pendingCourt]]&lt;=TrafficData[[#This Row],[totalCourt]],TrafficData[[#This Row],[disposedCourt]]&lt;=TrafficData[[#This Row],[totalCourt]])</f>
        <v>1</v>
      </c>
    </row>
    <row r="1864" spans="1:16">
      <c r="A1864" s="1">
        <v>43868</v>
      </c>
      <c r="B1864">
        <v>152391</v>
      </c>
      <c r="C1864">
        <v>56010</v>
      </c>
      <c r="D1864">
        <v>96381</v>
      </c>
      <c r="E1864">
        <v>22818452</v>
      </c>
      <c r="F1864">
        <v>61247111</v>
      </c>
      <c r="G1864">
        <v>84065563</v>
      </c>
      <c r="H1864">
        <v>75037</v>
      </c>
      <c r="I1864">
        <v>6846</v>
      </c>
      <c r="J1864">
        <v>81883</v>
      </c>
      <c r="K1864" t="b">
        <f>TrafficData[[#This Row],[disposedChallan]]+TrafficData[[#This Row],[pendingChallan]]=TrafficData[[#This Row],[totalChallan]]</f>
        <v>1</v>
      </c>
      <c r="L1864" t="b">
        <f>TrafficData[[#This Row],[pendingAmount]]+TrafficData[[#This Row],[disposedAmount]]=TrafficData[[#This Row],[totalAmount]]</f>
        <v>1</v>
      </c>
      <c r="M1864" t="b">
        <f>TrafficData[[#This Row],[pendingCourt]]+TrafficData[[#This Row],[disposedCourt]]=TrafficData[[#This Row],[totalCourt]]</f>
        <v>1</v>
      </c>
      <c r="N1864" s="8" t="b">
        <f>AND(TrafficData[[#This Row],[disposedChallan]]&lt;=TrafficData[[#This Row],[totalChallan]],TrafficData[[#This Row],[pendingChallan]]&lt;=TrafficData[[#This Row],[totalChallan]])</f>
        <v>1</v>
      </c>
      <c r="O1864" s="8" t="b">
        <f>AND(TrafficData[[#This Row],[pendingAmount]]&lt;=TrafficData[[#This Row],[totalAmount]],TrafficData[[#This Row],[disposedAmount]]&lt;=TrafficData[[#This Row],[totalAmount]])</f>
        <v>1</v>
      </c>
      <c r="P1864" s="8" t="b">
        <f>AND(TrafficData[[#This Row],[pendingCourt]]&lt;=TrafficData[[#This Row],[totalCourt]],TrafficData[[#This Row],[disposedCourt]]&lt;=TrafficData[[#This Row],[totalCourt]])</f>
        <v>1</v>
      </c>
    </row>
    <row r="1865" spans="1:16">
      <c r="A1865" s="1">
        <v>43869</v>
      </c>
      <c r="B1865">
        <v>149517</v>
      </c>
      <c r="C1865">
        <v>48067</v>
      </c>
      <c r="D1865">
        <v>101450</v>
      </c>
      <c r="E1865">
        <v>18329615</v>
      </c>
      <c r="F1865">
        <v>50918407</v>
      </c>
      <c r="G1865">
        <v>69248022</v>
      </c>
      <c r="H1865">
        <v>85669</v>
      </c>
      <c r="I1865">
        <v>6120</v>
      </c>
      <c r="J1865">
        <v>91789</v>
      </c>
      <c r="K1865" t="b">
        <f>TrafficData[[#This Row],[disposedChallan]]+TrafficData[[#This Row],[pendingChallan]]=TrafficData[[#This Row],[totalChallan]]</f>
        <v>1</v>
      </c>
      <c r="L1865" t="b">
        <f>TrafficData[[#This Row],[pendingAmount]]+TrafficData[[#This Row],[disposedAmount]]=TrafficData[[#This Row],[totalAmount]]</f>
        <v>1</v>
      </c>
      <c r="M1865" t="b">
        <f>TrafficData[[#This Row],[pendingCourt]]+TrafficData[[#This Row],[disposedCourt]]=TrafficData[[#This Row],[totalCourt]]</f>
        <v>1</v>
      </c>
      <c r="N1865" s="8" t="b">
        <f>AND(TrafficData[[#This Row],[disposedChallan]]&lt;=TrafficData[[#This Row],[totalChallan]],TrafficData[[#This Row],[pendingChallan]]&lt;=TrafficData[[#This Row],[totalChallan]])</f>
        <v>1</v>
      </c>
      <c r="O1865" s="8" t="b">
        <f>AND(TrafficData[[#This Row],[pendingAmount]]&lt;=TrafficData[[#This Row],[totalAmount]],TrafficData[[#This Row],[disposedAmount]]&lt;=TrafficData[[#This Row],[totalAmount]])</f>
        <v>1</v>
      </c>
      <c r="P1865" s="8" t="b">
        <f>AND(TrafficData[[#This Row],[pendingCourt]]&lt;=TrafficData[[#This Row],[totalCourt]],TrafficData[[#This Row],[disposedCourt]]&lt;=TrafficData[[#This Row],[totalCourt]])</f>
        <v>1</v>
      </c>
    </row>
    <row r="1866" spans="1:16">
      <c r="A1866" s="1">
        <v>43870</v>
      </c>
      <c r="B1866">
        <v>133030</v>
      </c>
      <c r="C1866">
        <v>41995</v>
      </c>
      <c r="D1866">
        <v>91035</v>
      </c>
      <c r="E1866">
        <v>12185780</v>
      </c>
      <c r="F1866">
        <v>37351911</v>
      </c>
      <c r="G1866">
        <v>49537691</v>
      </c>
      <c r="H1866">
        <v>75574</v>
      </c>
      <c r="I1866">
        <v>5971</v>
      </c>
      <c r="J1866">
        <v>81545</v>
      </c>
      <c r="K1866" t="b">
        <f>TrafficData[[#This Row],[disposedChallan]]+TrafficData[[#This Row],[pendingChallan]]=TrafficData[[#This Row],[totalChallan]]</f>
        <v>1</v>
      </c>
      <c r="L1866" t="b">
        <f>TrafficData[[#This Row],[pendingAmount]]+TrafficData[[#This Row],[disposedAmount]]=TrafficData[[#This Row],[totalAmount]]</f>
        <v>1</v>
      </c>
      <c r="M1866" t="b">
        <f>TrafficData[[#This Row],[pendingCourt]]+TrafficData[[#This Row],[disposedCourt]]=TrafficData[[#This Row],[totalCourt]]</f>
        <v>1</v>
      </c>
      <c r="N1866" s="8" t="b">
        <f>AND(TrafficData[[#This Row],[disposedChallan]]&lt;=TrafficData[[#This Row],[totalChallan]],TrafficData[[#This Row],[pendingChallan]]&lt;=TrafficData[[#This Row],[totalChallan]])</f>
        <v>1</v>
      </c>
      <c r="O1866" s="8" t="b">
        <f>AND(TrafficData[[#This Row],[pendingAmount]]&lt;=TrafficData[[#This Row],[totalAmount]],TrafficData[[#This Row],[disposedAmount]]&lt;=TrafficData[[#This Row],[totalAmount]])</f>
        <v>1</v>
      </c>
      <c r="P1866" s="8" t="b">
        <f>AND(TrafficData[[#This Row],[pendingCourt]]&lt;=TrafficData[[#This Row],[totalCourt]],TrafficData[[#This Row],[disposedCourt]]&lt;=TrafficData[[#This Row],[totalCourt]])</f>
        <v>1</v>
      </c>
    </row>
    <row r="1867" spans="1:16">
      <c r="A1867" s="1">
        <v>43871</v>
      </c>
      <c r="B1867">
        <v>154233</v>
      </c>
      <c r="C1867">
        <v>59679</v>
      </c>
      <c r="D1867">
        <v>94554</v>
      </c>
      <c r="E1867">
        <v>20434818</v>
      </c>
      <c r="F1867">
        <v>62177232</v>
      </c>
      <c r="G1867">
        <v>82612050</v>
      </c>
      <c r="H1867">
        <v>72927</v>
      </c>
      <c r="I1867">
        <v>11025</v>
      </c>
      <c r="J1867">
        <v>83952</v>
      </c>
      <c r="K1867" t="b">
        <f>TrafficData[[#This Row],[disposedChallan]]+TrafficData[[#This Row],[pendingChallan]]=TrafficData[[#This Row],[totalChallan]]</f>
        <v>1</v>
      </c>
      <c r="L1867" t="b">
        <f>TrafficData[[#This Row],[pendingAmount]]+TrafficData[[#This Row],[disposedAmount]]=TrafficData[[#This Row],[totalAmount]]</f>
        <v>1</v>
      </c>
      <c r="M1867" t="b">
        <f>TrafficData[[#This Row],[pendingCourt]]+TrafficData[[#This Row],[disposedCourt]]=TrafficData[[#This Row],[totalCourt]]</f>
        <v>1</v>
      </c>
      <c r="N1867" s="8" t="b">
        <f>AND(TrafficData[[#This Row],[disposedChallan]]&lt;=TrafficData[[#This Row],[totalChallan]],TrafficData[[#This Row],[pendingChallan]]&lt;=TrafficData[[#This Row],[totalChallan]])</f>
        <v>1</v>
      </c>
      <c r="O1867" s="8" t="b">
        <f>AND(TrafficData[[#This Row],[pendingAmount]]&lt;=TrafficData[[#This Row],[totalAmount]],TrafficData[[#This Row],[disposedAmount]]&lt;=TrafficData[[#This Row],[totalAmount]])</f>
        <v>1</v>
      </c>
      <c r="P1867" s="8" t="b">
        <f>AND(TrafficData[[#This Row],[pendingCourt]]&lt;=TrafficData[[#This Row],[totalCourt]],TrafficData[[#This Row],[disposedCourt]]&lt;=TrafficData[[#This Row],[totalCourt]])</f>
        <v>1</v>
      </c>
    </row>
    <row r="1868" spans="1:16">
      <c r="A1868" s="1">
        <v>43872</v>
      </c>
      <c r="B1868">
        <v>140389</v>
      </c>
      <c r="C1868">
        <v>59760</v>
      </c>
      <c r="D1868">
        <v>80629</v>
      </c>
      <c r="E1868">
        <v>21939095</v>
      </c>
      <c r="F1868">
        <v>68853546</v>
      </c>
      <c r="G1868">
        <v>90792641</v>
      </c>
      <c r="H1868">
        <v>59640</v>
      </c>
      <c r="I1868">
        <v>10113</v>
      </c>
      <c r="J1868">
        <v>69753</v>
      </c>
      <c r="K1868" t="b">
        <f>TrafficData[[#This Row],[disposedChallan]]+TrafficData[[#This Row],[pendingChallan]]=TrafficData[[#This Row],[totalChallan]]</f>
        <v>1</v>
      </c>
      <c r="L1868" t="b">
        <f>TrafficData[[#This Row],[pendingAmount]]+TrafficData[[#This Row],[disposedAmount]]=TrafficData[[#This Row],[totalAmount]]</f>
        <v>1</v>
      </c>
      <c r="M1868" t="b">
        <f>TrafficData[[#This Row],[pendingCourt]]+TrafficData[[#This Row],[disposedCourt]]=TrafficData[[#This Row],[totalCourt]]</f>
        <v>1</v>
      </c>
      <c r="N1868" s="8" t="b">
        <f>AND(TrafficData[[#This Row],[disposedChallan]]&lt;=TrafficData[[#This Row],[totalChallan]],TrafficData[[#This Row],[pendingChallan]]&lt;=TrafficData[[#This Row],[totalChallan]])</f>
        <v>1</v>
      </c>
      <c r="O1868" s="8" t="b">
        <f>AND(TrafficData[[#This Row],[pendingAmount]]&lt;=TrafficData[[#This Row],[totalAmount]],TrafficData[[#This Row],[disposedAmount]]&lt;=TrafficData[[#This Row],[totalAmount]])</f>
        <v>1</v>
      </c>
      <c r="P1868" s="8" t="b">
        <f>AND(TrafficData[[#This Row],[pendingCourt]]&lt;=TrafficData[[#This Row],[totalCourt]],TrafficData[[#This Row],[disposedCourt]]&lt;=TrafficData[[#This Row],[totalCourt]])</f>
        <v>1</v>
      </c>
    </row>
    <row r="1869" spans="1:16">
      <c r="A1869" s="1">
        <v>43873</v>
      </c>
      <c r="B1869">
        <v>140912</v>
      </c>
      <c r="C1869">
        <v>59407</v>
      </c>
      <c r="D1869">
        <v>81505</v>
      </c>
      <c r="E1869">
        <v>23507385</v>
      </c>
      <c r="F1869">
        <v>66534896</v>
      </c>
      <c r="G1869">
        <v>90042281</v>
      </c>
      <c r="H1869">
        <v>60753</v>
      </c>
      <c r="I1869">
        <v>11719</v>
      </c>
      <c r="J1869">
        <v>72472</v>
      </c>
      <c r="K1869" t="b">
        <f>TrafficData[[#This Row],[disposedChallan]]+TrafficData[[#This Row],[pendingChallan]]=TrafficData[[#This Row],[totalChallan]]</f>
        <v>1</v>
      </c>
      <c r="L1869" t="b">
        <f>TrafficData[[#This Row],[pendingAmount]]+TrafficData[[#This Row],[disposedAmount]]=TrafficData[[#This Row],[totalAmount]]</f>
        <v>1</v>
      </c>
      <c r="M1869" t="b">
        <f>TrafficData[[#This Row],[pendingCourt]]+TrafficData[[#This Row],[disposedCourt]]=TrafficData[[#This Row],[totalCourt]]</f>
        <v>1</v>
      </c>
      <c r="N1869" s="8" t="b">
        <f>AND(TrafficData[[#This Row],[disposedChallan]]&lt;=TrafficData[[#This Row],[totalChallan]],TrafficData[[#This Row],[pendingChallan]]&lt;=TrafficData[[#This Row],[totalChallan]])</f>
        <v>1</v>
      </c>
      <c r="O1869" s="8" t="b">
        <f>AND(TrafficData[[#This Row],[pendingAmount]]&lt;=TrafficData[[#This Row],[totalAmount]],TrafficData[[#This Row],[disposedAmount]]&lt;=TrafficData[[#This Row],[totalAmount]])</f>
        <v>1</v>
      </c>
      <c r="P1869" s="8" t="b">
        <f>AND(TrafficData[[#This Row],[pendingCourt]]&lt;=TrafficData[[#This Row],[totalCourt]],TrafficData[[#This Row],[disposedCourt]]&lt;=TrafficData[[#This Row],[totalCourt]])</f>
        <v>1</v>
      </c>
    </row>
    <row r="1870" spans="1:16">
      <c r="A1870" s="1">
        <v>43874</v>
      </c>
      <c r="B1870">
        <v>157679</v>
      </c>
      <c r="C1870">
        <v>68898</v>
      </c>
      <c r="D1870">
        <v>88781</v>
      </c>
      <c r="E1870">
        <v>29628704</v>
      </c>
      <c r="F1870">
        <v>67923327</v>
      </c>
      <c r="G1870">
        <v>97552031</v>
      </c>
      <c r="H1870">
        <v>65677</v>
      </c>
      <c r="I1870">
        <v>14960</v>
      </c>
      <c r="J1870">
        <v>80637</v>
      </c>
      <c r="K1870" t="b">
        <f>TrafficData[[#This Row],[disposedChallan]]+TrafficData[[#This Row],[pendingChallan]]=TrafficData[[#This Row],[totalChallan]]</f>
        <v>1</v>
      </c>
      <c r="L1870" t="b">
        <f>TrafficData[[#This Row],[pendingAmount]]+TrafficData[[#This Row],[disposedAmount]]=TrafficData[[#This Row],[totalAmount]]</f>
        <v>1</v>
      </c>
      <c r="M1870" t="b">
        <f>TrafficData[[#This Row],[pendingCourt]]+TrafficData[[#This Row],[disposedCourt]]=TrafficData[[#This Row],[totalCourt]]</f>
        <v>1</v>
      </c>
      <c r="N1870" s="8" t="b">
        <f>AND(TrafficData[[#This Row],[disposedChallan]]&lt;=TrafficData[[#This Row],[totalChallan]],TrafficData[[#This Row],[pendingChallan]]&lt;=TrafficData[[#This Row],[totalChallan]])</f>
        <v>1</v>
      </c>
      <c r="O1870" s="8" t="b">
        <f>AND(TrafficData[[#This Row],[pendingAmount]]&lt;=TrafficData[[#This Row],[totalAmount]],TrafficData[[#This Row],[disposedAmount]]&lt;=TrafficData[[#This Row],[totalAmount]])</f>
        <v>1</v>
      </c>
      <c r="P1870" s="8" t="b">
        <f>AND(TrafficData[[#This Row],[pendingCourt]]&lt;=TrafficData[[#This Row],[totalCourt]],TrafficData[[#This Row],[disposedCourt]]&lt;=TrafficData[[#This Row],[totalCourt]])</f>
        <v>1</v>
      </c>
    </row>
    <row r="1871" spans="1:16">
      <c r="A1871" s="1">
        <v>43875</v>
      </c>
      <c r="B1871">
        <v>154824</v>
      </c>
      <c r="C1871">
        <v>62208</v>
      </c>
      <c r="D1871">
        <v>92616</v>
      </c>
      <c r="E1871">
        <v>24085150</v>
      </c>
      <c r="F1871">
        <v>70533277</v>
      </c>
      <c r="G1871">
        <v>94618427</v>
      </c>
      <c r="H1871">
        <v>71297</v>
      </c>
      <c r="I1871">
        <v>13002</v>
      </c>
      <c r="J1871">
        <v>84299</v>
      </c>
      <c r="K1871" t="b">
        <f>TrafficData[[#This Row],[disposedChallan]]+TrafficData[[#This Row],[pendingChallan]]=TrafficData[[#This Row],[totalChallan]]</f>
        <v>1</v>
      </c>
      <c r="L1871" t="b">
        <f>TrafficData[[#This Row],[pendingAmount]]+TrafficData[[#This Row],[disposedAmount]]=TrafficData[[#This Row],[totalAmount]]</f>
        <v>1</v>
      </c>
      <c r="M1871" t="b">
        <f>TrafficData[[#This Row],[pendingCourt]]+TrafficData[[#This Row],[disposedCourt]]=TrafficData[[#This Row],[totalCourt]]</f>
        <v>1</v>
      </c>
      <c r="N1871" s="8" t="b">
        <f>AND(TrafficData[[#This Row],[disposedChallan]]&lt;=TrafficData[[#This Row],[totalChallan]],TrafficData[[#This Row],[pendingChallan]]&lt;=TrafficData[[#This Row],[totalChallan]])</f>
        <v>1</v>
      </c>
      <c r="O1871" s="8" t="b">
        <f>AND(TrafficData[[#This Row],[pendingAmount]]&lt;=TrafficData[[#This Row],[totalAmount]],TrafficData[[#This Row],[disposedAmount]]&lt;=TrafficData[[#This Row],[totalAmount]])</f>
        <v>1</v>
      </c>
      <c r="P1871" s="8" t="b">
        <f>AND(TrafficData[[#This Row],[pendingCourt]]&lt;=TrafficData[[#This Row],[totalCourt]],TrafficData[[#This Row],[disposedCourt]]&lt;=TrafficData[[#This Row],[totalCourt]])</f>
        <v>1</v>
      </c>
    </row>
    <row r="1872" spans="1:16">
      <c r="A1872" s="1">
        <v>43876</v>
      </c>
      <c r="B1872">
        <v>147275</v>
      </c>
      <c r="C1872">
        <v>56576</v>
      </c>
      <c r="D1872">
        <v>90699</v>
      </c>
      <c r="E1872">
        <v>20730617</v>
      </c>
      <c r="F1872">
        <v>60611623</v>
      </c>
      <c r="G1872">
        <v>81342240</v>
      </c>
      <c r="H1872">
        <v>71209</v>
      </c>
      <c r="I1872">
        <v>10943</v>
      </c>
      <c r="J1872">
        <v>82152</v>
      </c>
      <c r="K1872" t="b">
        <f>TrafficData[[#This Row],[disposedChallan]]+TrafficData[[#This Row],[pendingChallan]]=TrafficData[[#This Row],[totalChallan]]</f>
        <v>1</v>
      </c>
      <c r="L1872" t="b">
        <f>TrafficData[[#This Row],[pendingAmount]]+TrafficData[[#This Row],[disposedAmount]]=TrafficData[[#This Row],[totalAmount]]</f>
        <v>1</v>
      </c>
      <c r="M1872" t="b">
        <f>TrafficData[[#This Row],[pendingCourt]]+TrafficData[[#This Row],[disposedCourt]]=TrafficData[[#This Row],[totalCourt]]</f>
        <v>1</v>
      </c>
      <c r="N1872" s="8" t="b">
        <f>AND(TrafficData[[#This Row],[disposedChallan]]&lt;=TrafficData[[#This Row],[totalChallan]],TrafficData[[#This Row],[pendingChallan]]&lt;=TrafficData[[#This Row],[totalChallan]])</f>
        <v>1</v>
      </c>
      <c r="O1872" s="8" t="b">
        <f>AND(TrafficData[[#This Row],[pendingAmount]]&lt;=TrafficData[[#This Row],[totalAmount]],TrafficData[[#This Row],[disposedAmount]]&lt;=TrafficData[[#This Row],[totalAmount]])</f>
        <v>1</v>
      </c>
      <c r="P1872" s="8" t="b">
        <f>AND(TrafficData[[#This Row],[pendingCourt]]&lt;=TrafficData[[#This Row],[totalCourt]],TrafficData[[#This Row],[disposedCourt]]&lt;=TrafficData[[#This Row],[totalCourt]])</f>
        <v>1</v>
      </c>
    </row>
    <row r="1873" spans="1:16">
      <c r="A1873" s="1">
        <v>43877</v>
      </c>
      <c r="B1873">
        <v>137378</v>
      </c>
      <c r="C1873">
        <v>48806</v>
      </c>
      <c r="D1873">
        <v>88572</v>
      </c>
      <c r="E1873">
        <v>15812650</v>
      </c>
      <c r="F1873">
        <v>46342731</v>
      </c>
      <c r="G1873">
        <v>62155381</v>
      </c>
      <c r="H1873">
        <v>68481</v>
      </c>
      <c r="I1873">
        <v>8487</v>
      </c>
      <c r="J1873">
        <v>76968</v>
      </c>
      <c r="K1873" t="b">
        <f>TrafficData[[#This Row],[disposedChallan]]+TrafficData[[#This Row],[pendingChallan]]=TrafficData[[#This Row],[totalChallan]]</f>
        <v>1</v>
      </c>
      <c r="L1873" t="b">
        <f>TrafficData[[#This Row],[pendingAmount]]+TrafficData[[#This Row],[disposedAmount]]=TrafficData[[#This Row],[totalAmount]]</f>
        <v>1</v>
      </c>
      <c r="M1873" t="b">
        <f>TrafficData[[#This Row],[pendingCourt]]+TrafficData[[#This Row],[disposedCourt]]=TrafficData[[#This Row],[totalCourt]]</f>
        <v>1</v>
      </c>
      <c r="N1873" s="8" t="b">
        <f>AND(TrafficData[[#This Row],[disposedChallan]]&lt;=TrafficData[[#This Row],[totalChallan]],TrafficData[[#This Row],[pendingChallan]]&lt;=TrafficData[[#This Row],[totalChallan]])</f>
        <v>1</v>
      </c>
      <c r="O1873" s="8" t="b">
        <f>AND(TrafficData[[#This Row],[pendingAmount]]&lt;=TrafficData[[#This Row],[totalAmount]],TrafficData[[#This Row],[disposedAmount]]&lt;=TrafficData[[#This Row],[totalAmount]])</f>
        <v>1</v>
      </c>
      <c r="P1873" s="8" t="b">
        <f>AND(TrafficData[[#This Row],[pendingCourt]]&lt;=TrafficData[[#This Row],[totalCourt]],TrafficData[[#This Row],[disposedCourt]]&lt;=TrafficData[[#This Row],[totalCourt]])</f>
        <v>1</v>
      </c>
    </row>
    <row r="1874" spans="1:16">
      <c r="A1874" s="1">
        <v>43878</v>
      </c>
      <c r="B1874">
        <v>150879</v>
      </c>
      <c r="C1874">
        <v>61000</v>
      </c>
      <c r="D1874">
        <v>89879</v>
      </c>
      <c r="E1874">
        <v>23354464</v>
      </c>
      <c r="F1874">
        <v>59839115</v>
      </c>
      <c r="G1874">
        <v>83193579</v>
      </c>
      <c r="H1874">
        <v>67660</v>
      </c>
      <c r="I1874">
        <v>11718</v>
      </c>
      <c r="J1874">
        <v>79378</v>
      </c>
      <c r="K1874" t="b">
        <f>TrafficData[[#This Row],[disposedChallan]]+TrafficData[[#This Row],[pendingChallan]]=TrafficData[[#This Row],[totalChallan]]</f>
        <v>1</v>
      </c>
      <c r="L1874" t="b">
        <f>TrafficData[[#This Row],[pendingAmount]]+TrafficData[[#This Row],[disposedAmount]]=TrafficData[[#This Row],[totalAmount]]</f>
        <v>1</v>
      </c>
      <c r="M1874" t="b">
        <f>TrafficData[[#This Row],[pendingCourt]]+TrafficData[[#This Row],[disposedCourt]]=TrafficData[[#This Row],[totalCourt]]</f>
        <v>1</v>
      </c>
      <c r="N1874" s="8" t="b">
        <f>AND(TrafficData[[#This Row],[disposedChallan]]&lt;=TrafficData[[#This Row],[totalChallan]],TrafficData[[#This Row],[pendingChallan]]&lt;=TrafficData[[#This Row],[totalChallan]])</f>
        <v>1</v>
      </c>
      <c r="O1874" s="8" t="b">
        <f>AND(TrafficData[[#This Row],[pendingAmount]]&lt;=TrafficData[[#This Row],[totalAmount]],TrafficData[[#This Row],[disposedAmount]]&lt;=TrafficData[[#This Row],[totalAmount]])</f>
        <v>1</v>
      </c>
      <c r="P1874" s="8" t="b">
        <f>AND(TrafficData[[#This Row],[pendingCourt]]&lt;=TrafficData[[#This Row],[totalCourt]],TrafficData[[#This Row],[disposedCourt]]&lt;=TrafficData[[#This Row],[totalCourt]])</f>
        <v>1</v>
      </c>
    </row>
    <row r="1875" spans="1:16">
      <c r="A1875" s="1">
        <v>43879</v>
      </c>
      <c r="B1875">
        <v>139178</v>
      </c>
      <c r="C1875">
        <v>59967</v>
      </c>
      <c r="D1875">
        <v>79211</v>
      </c>
      <c r="E1875">
        <v>23538199</v>
      </c>
      <c r="F1875">
        <v>61236853</v>
      </c>
      <c r="G1875">
        <v>84775052</v>
      </c>
      <c r="H1875">
        <v>58158</v>
      </c>
      <c r="I1875">
        <v>11274</v>
      </c>
      <c r="J1875">
        <v>69432</v>
      </c>
      <c r="K1875" t="b">
        <f>TrafficData[[#This Row],[disposedChallan]]+TrafficData[[#This Row],[pendingChallan]]=TrafficData[[#This Row],[totalChallan]]</f>
        <v>1</v>
      </c>
      <c r="L1875" t="b">
        <f>TrafficData[[#This Row],[pendingAmount]]+TrafficData[[#This Row],[disposedAmount]]=TrafficData[[#This Row],[totalAmount]]</f>
        <v>1</v>
      </c>
      <c r="M1875" t="b">
        <f>TrafficData[[#This Row],[pendingCourt]]+TrafficData[[#This Row],[disposedCourt]]=TrafficData[[#This Row],[totalCourt]]</f>
        <v>1</v>
      </c>
      <c r="N1875" s="8" t="b">
        <f>AND(TrafficData[[#This Row],[disposedChallan]]&lt;=TrafficData[[#This Row],[totalChallan]],TrafficData[[#This Row],[pendingChallan]]&lt;=TrafficData[[#This Row],[totalChallan]])</f>
        <v>1</v>
      </c>
      <c r="O1875" s="8" t="b">
        <f>AND(TrafficData[[#This Row],[pendingAmount]]&lt;=TrafficData[[#This Row],[totalAmount]],TrafficData[[#This Row],[disposedAmount]]&lt;=TrafficData[[#This Row],[totalAmount]])</f>
        <v>1</v>
      </c>
      <c r="P1875" s="8" t="b">
        <f>AND(TrafficData[[#This Row],[pendingCourt]]&lt;=TrafficData[[#This Row],[totalCourt]],TrafficData[[#This Row],[disposedCourt]]&lt;=TrafficData[[#This Row],[totalCourt]])</f>
        <v>1</v>
      </c>
    </row>
    <row r="1876" spans="1:16">
      <c r="A1876" s="1">
        <v>43880</v>
      </c>
      <c r="B1876">
        <v>136592</v>
      </c>
      <c r="C1876">
        <v>57177</v>
      </c>
      <c r="D1876">
        <v>79415</v>
      </c>
      <c r="E1876">
        <v>23643967</v>
      </c>
      <c r="F1876">
        <v>65219999</v>
      </c>
      <c r="G1876">
        <v>88863966</v>
      </c>
      <c r="H1876">
        <v>62431</v>
      </c>
      <c r="I1876">
        <v>12404</v>
      </c>
      <c r="J1876">
        <v>74835</v>
      </c>
      <c r="K1876" t="b">
        <f>TrafficData[[#This Row],[disposedChallan]]+TrafficData[[#This Row],[pendingChallan]]=TrafficData[[#This Row],[totalChallan]]</f>
        <v>1</v>
      </c>
      <c r="L1876" t="b">
        <f>TrafficData[[#This Row],[pendingAmount]]+TrafficData[[#This Row],[disposedAmount]]=TrafficData[[#This Row],[totalAmount]]</f>
        <v>1</v>
      </c>
      <c r="M1876" t="b">
        <f>TrafficData[[#This Row],[pendingCourt]]+TrafficData[[#This Row],[disposedCourt]]=TrafficData[[#This Row],[totalCourt]]</f>
        <v>1</v>
      </c>
      <c r="N1876" s="8" t="b">
        <f>AND(TrafficData[[#This Row],[disposedChallan]]&lt;=TrafficData[[#This Row],[totalChallan]],TrafficData[[#This Row],[pendingChallan]]&lt;=TrafficData[[#This Row],[totalChallan]])</f>
        <v>1</v>
      </c>
      <c r="O1876" s="8" t="b">
        <f>AND(TrafficData[[#This Row],[pendingAmount]]&lt;=TrafficData[[#This Row],[totalAmount]],TrafficData[[#This Row],[disposedAmount]]&lt;=TrafficData[[#This Row],[totalAmount]])</f>
        <v>1</v>
      </c>
      <c r="P1876" s="8" t="b">
        <f>AND(TrafficData[[#This Row],[pendingCourt]]&lt;=TrafficData[[#This Row],[totalCourt]],TrafficData[[#This Row],[disposedCourt]]&lt;=TrafficData[[#This Row],[totalCourt]])</f>
        <v>1</v>
      </c>
    </row>
    <row r="1877" spans="1:16">
      <c r="A1877" s="1">
        <v>43881</v>
      </c>
      <c r="B1877">
        <v>130094</v>
      </c>
      <c r="C1877">
        <v>58096</v>
      </c>
      <c r="D1877">
        <v>71998</v>
      </c>
      <c r="E1877">
        <v>19297825</v>
      </c>
      <c r="F1877">
        <v>63606703</v>
      </c>
      <c r="G1877">
        <v>82904528</v>
      </c>
      <c r="H1877">
        <v>53219</v>
      </c>
      <c r="I1877">
        <v>11873</v>
      </c>
      <c r="J1877">
        <v>65092</v>
      </c>
      <c r="K1877" t="b">
        <f>TrafficData[[#This Row],[disposedChallan]]+TrafficData[[#This Row],[pendingChallan]]=TrafficData[[#This Row],[totalChallan]]</f>
        <v>1</v>
      </c>
      <c r="L1877" t="b">
        <f>TrafficData[[#This Row],[pendingAmount]]+TrafficData[[#This Row],[disposedAmount]]=TrafficData[[#This Row],[totalAmount]]</f>
        <v>1</v>
      </c>
      <c r="M1877" t="b">
        <f>TrafficData[[#This Row],[pendingCourt]]+TrafficData[[#This Row],[disposedCourt]]=TrafficData[[#This Row],[totalCourt]]</f>
        <v>1</v>
      </c>
      <c r="N1877" s="8" t="b">
        <f>AND(TrafficData[[#This Row],[disposedChallan]]&lt;=TrafficData[[#This Row],[totalChallan]],TrafficData[[#This Row],[pendingChallan]]&lt;=TrafficData[[#This Row],[totalChallan]])</f>
        <v>1</v>
      </c>
      <c r="O1877" s="8" t="b">
        <f>AND(TrafficData[[#This Row],[pendingAmount]]&lt;=TrafficData[[#This Row],[totalAmount]],TrafficData[[#This Row],[disposedAmount]]&lt;=TrafficData[[#This Row],[totalAmount]])</f>
        <v>1</v>
      </c>
      <c r="P1877" s="8" t="b">
        <f>AND(TrafficData[[#This Row],[pendingCourt]]&lt;=TrafficData[[#This Row],[totalCourt]],TrafficData[[#This Row],[disposedCourt]]&lt;=TrafficData[[#This Row],[totalCourt]])</f>
        <v>1</v>
      </c>
    </row>
    <row r="1878" spans="1:16">
      <c r="A1878" s="1">
        <v>43882</v>
      </c>
      <c r="B1878">
        <v>133987</v>
      </c>
      <c r="C1878">
        <v>45906</v>
      </c>
      <c r="D1878">
        <v>88081</v>
      </c>
      <c r="E1878">
        <v>13028381</v>
      </c>
      <c r="F1878">
        <v>40859665</v>
      </c>
      <c r="G1878">
        <v>53888046</v>
      </c>
      <c r="H1878">
        <v>73324</v>
      </c>
      <c r="I1878">
        <v>8853</v>
      </c>
      <c r="J1878">
        <v>82177</v>
      </c>
      <c r="K1878" t="b">
        <f>TrafficData[[#This Row],[disposedChallan]]+TrafficData[[#This Row],[pendingChallan]]=TrafficData[[#This Row],[totalChallan]]</f>
        <v>1</v>
      </c>
      <c r="L1878" t="b">
        <f>TrafficData[[#This Row],[pendingAmount]]+TrafficData[[#This Row],[disposedAmount]]=TrafficData[[#This Row],[totalAmount]]</f>
        <v>1</v>
      </c>
      <c r="M1878" t="b">
        <f>TrafficData[[#This Row],[pendingCourt]]+TrafficData[[#This Row],[disposedCourt]]=TrafficData[[#This Row],[totalCourt]]</f>
        <v>1</v>
      </c>
      <c r="N1878" s="8" t="b">
        <f>AND(TrafficData[[#This Row],[disposedChallan]]&lt;=TrafficData[[#This Row],[totalChallan]],TrafficData[[#This Row],[pendingChallan]]&lt;=TrafficData[[#This Row],[totalChallan]])</f>
        <v>1</v>
      </c>
      <c r="O1878" s="8" t="b">
        <f>AND(TrafficData[[#This Row],[pendingAmount]]&lt;=TrafficData[[#This Row],[totalAmount]],TrafficData[[#This Row],[disposedAmount]]&lt;=TrafficData[[#This Row],[totalAmount]])</f>
        <v>1</v>
      </c>
      <c r="P1878" s="8" t="b">
        <f>AND(TrafficData[[#This Row],[pendingCourt]]&lt;=TrafficData[[#This Row],[totalCourt]],TrafficData[[#This Row],[disposedCourt]]&lt;=TrafficData[[#This Row],[totalCourt]])</f>
        <v>1</v>
      </c>
    </row>
    <row r="1879" spans="1:16">
      <c r="A1879" s="1">
        <v>43883</v>
      </c>
      <c r="B1879">
        <v>145145</v>
      </c>
      <c r="C1879">
        <v>55188</v>
      </c>
      <c r="D1879">
        <v>89957</v>
      </c>
      <c r="E1879">
        <v>19763649</v>
      </c>
      <c r="F1879">
        <v>55913784</v>
      </c>
      <c r="G1879">
        <v>75677433</v>
      </c>
      <c r="H1879">
        <v>72123</v>
      </c>
      <c r="I1879">
        <v>10851</v>
      </c>
      <c r="J1879">
        <v>82974</v>
      </c>
      <c r="K1879" t="b">
        <f>TrafficData[[#This Row],[disposedChallan]]+TrafficData[[#This Row],[pendingChallan]]=TrafficData[[#This Row],[totalChallan]]</f>
        <v>1</v>
      </c>
      <c r="L1879" t="b">
        <f>TrafficData[[#This Row],[pendingAmount]]+TrafficData[[#This Row],[disposedAmount]]=TrafficData[[#This Row],[totalAmount]]</f>
        <v>1</v>
      </c>
      <c r="M1879" t="b">
        <f>TrafficData[[#This Row],[pendingCourt]]+TrafficData[[#This Row],[disposedCourt]]=TrafficData[[#This Row],[totalCourt]]</f>
        <v>1</v>
      </c>
      <c r="N1879" s="8" t="b">
        <f>AND(TrafficData[[#This Row],[disposedChallan]]&lt;=TrafficData[[#This Row],[totalChallan]],TrafficData[[#This Row],[pendingChallan]]&lt;=TrafficData[[#This Row],[totalChallan]])</f>
        <v>1</v>
      </c>
      <c r="O1879" s="8" t="b">
        <f>AND(TrafficData[[#This Row],[pendingAmount]]&lt;=TrafficData[[#This Row],[totalAmount]],TrafficData[[#This Row],[disposedAmount]]&lt;=TrafficData[[#This Row],[totalAmount]])</f>
        <v>1</v>
      </c>
      <c r="P1879" s="8" t="b">
        <f>AND(TrafficData[[#This Row],[pendingCourt]]&lt;=TrafficData[[#This Row],[totalCourt]],TrafficData[[#This Row],[disposedCourt]]&lt;=TrafficData[[#This Row],[totalCourt]])</f>
        <v>1</v>
      </c>
    </row>
    <row r="1880" spans="1:16">
      <c r="A1880" s="1">
        <v>43884</v>
      </c>
      <c r="B1880">
        <v>125672</v>
      </c>
      <c r="C1880">
        <v>45010</v>
      </c>
      <c r="D1880">
        <v>80662</v>
      </c>
      <c r="E1880">
        <v>15548060</v>
      </c>
      <c r="F1880">
        <v>45442454</v>
      </c>
      <c r="G1880">
        <v>60990514</v>
      </c>
      <c r="H1880">
        <v>66083</v>
      </c>
      <c r="I1880">
        <v>9078</v>
      </c>
      <c r="J1880">
        <v>75161</v>
      </c>
      <c r="K1880" t="b">
        <f>TrafficData[[#This Row],[disposedChallan]]+TrafficData[[#This Row],[pendingChallan]]=TrafficData[[#This Row],[totalChallan]]</f>
        <v>1</v>
      </c>
      <c r="L1880" t="b">
        <f>TrafficData[[#This Row],[pendingAmount]]+TrafficData[[#This Row],[disposedAmount]]=TrafficData[[#This Row],[totalAmount]]</f>
        <v>1</v>
      </c>
      <c r="M1880" t="b">
        <f>TrafficData[[#This Row],[pendingCourt]]+TrafficData[[#This Row],[disposedCourt]]=TrafficData[[#This Row],[totalCourt]]</f>
        <v>1</v>
      </c>
      <c r="N1880" s="8" t="b">
        <f>AND(TrafficData[[#This Row],[disposedChallan]]&lt;=TrafficData[[#This Row],[totalChallan]],TrafficData[[#This Row],[pendingChallan]]&lt;=TrafficData[[#This Row],[totalChallan]])</f>
        <v>1</v>
      </c>
      <c r="O1880" s="8" t="b">
        <f>AND(TrafficData[[#This Row],[pendingAmount]]&lt;=TrafficData[[#This Row],[totalAmount]],TrafficData[[#This Row],[disposedAmount]]&lt;=TrafficData[[#This Row],[totalAmount]])</f>
        <v>1</v>
      </c>
      <c r="P1880" s="8" t="b">
        <f>AND(TrafficData[[#This Row],[pendingCourt]]&lt;=TrafficData[[#This Row],[totalCourt]],TrafficData[[#This Row],[disposedCourt]]&lt;=TrafficData[[#This Row],[totalCourt]])</f>
        <v>1</v>
      </c>
    </row>
    <row r="1881" spans="1:16">
      <c r="A1881" s="1">
        <v>43885</v>
      </c>
      <c r="B1881">
        <v>142419</v>
      </c>
      <c r="C1881">
        <v>55637</v>
      </c>
      <c r="D1881">
        <v>86782</v>
      </c>
      <c r="E1881">
        <v>22247010</v>
      </c>
      <c r="F1881">
        <v>53910672</v>
      </c>
      <c r="G1881">
        <v>76157682</v>
      </c>
      <c r="H1881">
        <v>66562</v>
      </c>
      <c r="I1881">
        <v>10506</v>
      </c>
      <c r="J1881">
        <v>77068</v>
      </c>
      <c r="K1881" t="b">
        <f>TrafficData[[#This Row],[disposedChallan]]+TrafficData[[#This Row],[pendingChallan]]=TrafficData[[#This Row],[totalChallan]]</f>
        <v>1</v>
      </c>
      <c r="L1881" t="b">
        <f>TrafficData[[#This Row],[pendingAmount]]+TrafficData[[#This Row],[disposedAmount]]=TrafficData[[#This Row],[totalAmount]]</f>
        <v>1</v>
      </c>
      <c r="M1881" t="b">
        <f>TrafficData[[#This Row],[pendingCourt]]+TrafficData[[#This Row],[disposedCourt]]=TrafficData[[#This Row],[totalCourt]]</f>
        <v>1</v>
      </c>
      <c r="N1881" s="8" t="b">
        <f>AND(TrafficData[[#This Row],[disposedChallan]]&lt;=TrafficData[[#This Row],[totalChallan]],TrafficData[[#This Row],[pendingChallan]]&lt;=TrafficData[[#This Row],[totalChallan]])</f>
        <v>1</v>
      </c>
      <c r="O1881" s="8" t="b">
        <f>AND(TrafficData[[#This Row],[pendingAmount]]&lt;=TrafficData[[#This Row],[totalAmount]],TrafficData[[#This Row],[disposedAmount]]&lt;=TrafficData[[#This Row],[totalAmount]])</f>
        <v>1</v>
      </c>
      <c r="P1881" s="8" t="b">
        <f>AND(TrafficData[[#This Row],[pendingCourt]]&lt;=TrafficData[[#This Row],[totalCourt]],TrafficData[[#This Row],[disposedCourt]]&lt;=TrafficData[[#This Row],[totalCourt]])</f>
        <v>1</v>
      </c>
    </row>
    <row r="1882" spans="1:16">
      <c r="A1882" s="1">
        <v>43886</v>
      </c>
      <c r="B1882">
        <v>139027</v>
      </c>
      <c r="C1882">
        <v>55687</v>
      </c>
      <c r="D1882">
        <v>83340</v>
      </c>
      <c r="E1882">
        <v>23547344</v>
      </c>
      <c r="F1882">
        <v>58144280</v>
      </c>
      <c r="G1882">
        <v>81691624</v>
      </c>
      <c r="H1882">
        <v>65212</v>
      </c>
      <c r="I1882">
        <v>9494</v>
      </c>
      <c r="J1882">
        <v>74706</v>
      </c>
      <c r="K1882" t="b">
        <f>TrafficData[[#This Row],[disposedChallan]]+TrafficData[[#This Row],[pendingChallan]]=TrafficData[[#This Row],[totalChallan]]</f>
        <v>1</v>
      </c>
      <c r="L1882" t="b">
        <f>TrafficData[[#This Row],[pendingAmount]]+TrafficData[[#This Row],[disposedAmount]]=TrafficData[[#This Row],[totalAmount]]</f>
        <v>1</v>
      </c>
      <c r="M1882" t="b">
        <f>TrafficData[[#This Row],[pendingCourt]]+TrafficData[[#This Row],[disposedCourt]]=TrafficData[[#This Row],[totalCourt]]</f>
        <v>1</v>
      </c>
      <c r="N1882" s="8" t="b">
        <f>AND(TrafficData[[#This Row],[disposedChallan]]&lt;=TrafficData[[#This Row],[totalChallan]],TrafficData[[#This Row],[pendingChallan]]&lt;=TrafficData[[#This Row],[totalChallan]])</f>
        <v>1</v>
      </c>
      <c r="O1882" s="8" t="b">
        <f>AND(TrafficData[[#This Row],[pendingAmount]]&lt;=TrafficData[[#This Row],[totalAmount]],TrafficData[[#This Row],[disposedAmount]]&lt;=TrafficData[[#This Row],[totalAmount]])</f>
        <v>1</v>
      </c>
      <c r="P1882" s="8" t="b">
        <f>AND(TrafficData[[#This Row],[pendingCourt]]&lt;=TrafficData[[#This Row],[totalCourt]],TrafficData[[#This Row],[disposedCourt]]&lt;=TrafficData[[#This Row],[totalCourt]])</f>
        <v>1</v>
      </c>
    </row>
    <row r="1883" spans="1:16">
      <c r="A1883" s="1">
        <v>43887</v>
      </c>
      <c r="B1883">
        <v>144293</v>
      </c>
      <c r="C1883">
        <v>55074</v>
      </c>
      <c r="D1883">
        <v>89219</v>
      </c>
      <c r="E1883">
        <v>21585605</v>
      </c>
      <c r="F1883">
        <v>54968223</v>
      </c>
      <c r="G1883">
        <v>76553828</v>
      </c>
      <c r="H1883">
        <v>71065</v>
      </c>
      <c r="I1883">
        <v>10803</v>
      </c>
      <c r="J1883">
        <v>81868</v>
      </c>
      <c r="K1883" t="b">
        <f>TrafficData[[#This Row],[disposedChallan]]+TrafficData[[#This Row],[pendingChallan]]=TrafficData[[#This Row],[totalChallan]]</f>
        <v>1</v>
      </c>
      <c r="L1883" t="b">
        <f>TrafficData[[#This Row],[pendingAmount]]+TrafficData[[#This Row],[disposedAmount]]=TrafficData[[#This Row],[totalAmount]]</f>
        <v>1</v>
      </c>
      <c r="M1883" t="b">
        <f>TrafficData[[#This Row],[pendingCourt]]+TrafficData[[#This Row],[disposedCourt]]=TrafficData[[#This Row],[totalCourt]]</f>
        <v>1</v>
      </c>
      <c r="N1883" s="8" t="b">
        <f>AND(TrafficData[[#This Row],[disposedChallan]]&lt;=TrafficData[[#This Row],[totalChallan]],TrafficData[[#This Row],[pendingChallan]]&lt;=TrafficData[[#This Row],[totalChallan]])</f>
        <v>1</v>
      </c>
      <c r="O1883" s="8" t="b">
        <f>AND(TrafficData[[#This Row],[pendingAmount]]&lt;=TrafficData[[#This Row],[totalAmount]],TrafficData[[#This Row],[disposedAmount]]&lt;=TrafficData[[#This Row],[totalAmount]])</f>
        <v>1</v>
      </c>
      <c r="P1883" s="8" t="b">
        <f>AND(TrafficData[[#This Row],[pendingCourt]]&lt;=TrafficData[[#This Row],[totalCourt]],TrafficData[[#This Row],[disposedCourt]]&lt;=TrafficData[[#This Row],[totalCourt]])</f>
        <v>1</v>
      </c>
    </row>
    <row r="1884" spans="1:16">
      <c r="A1884" s="1">
        <v>43888</v>
      </c>
      <c r="B1884">
        <v>159366</v>
      </c>
      <c r="C1884">
        <v>59746</v>
      </c>
      <c r="D1884">
        <v>99620</v>
      </c>
      <c r="E1884">
        <v>23509940</v>
      </c>
      <c r="F1884">
        <v>61736492</v>
      </c>
      <c r="G1884">
        <v>85246432</v>
      </c>
      <c r="H1884">
        <v>79432</v>
      </c>
      <c r="I1884">
        <v>11535</v>
      </c>
      <c r="J1884">
        <v>90967</v>
      </c>
      <c r="K1884" t="b">
        <f>TrafficData[[#This Row],[disposedChallan]]+TrafficData[[#This Row],[pendingChallan]]=TrafficData[[#This Row],[totalChallan]]</f>
        <v>1</v>
      </c>
      <c r="L1884" t="b">
        <f>TrafficData[[#This Row],[pendingAmount]]+TrafficData[[#This Row],[disposedAmount]]=TrafficData[[#This Row],[totalAmount]]</f>
        <v>1</v>
      </c>
      <c r="M1884" t="b">
        <f>TrafficData[[#This Row],[pendingCourt]]+TrafficData[[#This Row],[disposedCourt]]=TrafficData[[#This Row],[totalCourt]]</f>
        <v>1</v>
      </c>
      <c r="N1884" s="8" t="b">
        <f>AND(TrafficData[[#This Row],[disposedChallan]]&lt;=TrafficData[[#This Row],[totalChallan]],TrafficData[[#This Row],[pendingChallan]]&lt;=TrafficData[[#This Row],[totalChallan]])</f>
        <v>1</v>
      </c>
      <c r="O1884" s="8" t="b">
        <f>AND(TrafficData[[#This Row],[pendingAmount]]&lt;=TrafficData[[#This Row],[totalAmount]],TrafficData[[#This Row],[disposedAmount]]&lt;=TrafficData[[#This Row],[totalAmount]])</f>
        <v>1</v>
      </c>
      <c r="P1884" s="8" t="b">
        <f>AND(TrafficData[[#This Row],[pendingCourt]]&lt;=TrafficData[[#This Row],[totalCourt]],TrafficData[[#This Row],[disposedCourt]]&lt;=TrafficData[[#This Row],[totalCourt]])</f>
        <v>1</v>
      </c>
    </row>
    <row r="1885" spans="1:16">
      <c r="A1885" s="1">
        <v>43889</v>
      </c>
      <c r="B1885">
        <v>143278</v>
      </c>
      <c r="C1885">
        <v>54381</v>
      </c>
      <c r="D1885">
        <v>88897</v>
      </c>
      <c r="E1885">
        <v>21581820</v>
      </c>
      <c r="F1885">
        <v>60449292</v>
      </c>
      <c r="G1885">
        <v>82031112</v>
      </c>
      <c r="H1885">
        <v>72992</v>
      </c>
      <c r="I1885">
        <v>11729</v>
      </c>
      <c r="J1885">
        <v>84721</v>
      </c>
      <c r="K1885" t="b">
        <f>TrafficData[[#This Row],[disposedChallan]]+TrafficData[[#This Row],[pendingChallan]]=TrafficData[[#This Row],[totalChallan]]</f>
        <v>1</v>
      </c>
      <c r="L1885" t="b">
        <f>TrafficData[[#This Row],[pendingAmount]]+TrafficData[[#This Row],[disposedAmount]]=TrafficData[[#This Row],[totalAmount]]</f>
        <v>1</v>
      </c>
      <c r="M1885" t="b">
        <f>TrafficData[[#This Row],[pendingCourt]]+TrafficData[[#This Row],[disposedCourt]]=TrafficData[[#This Row],[totalCourt]]</f>
        <v>1</v>
      </c>
      <c r="N1885" s="8" t="b">
        <f>AND(TrafficData[[#This Row],[disposedChallan]]&lt;=TrafficData[[#This Row],[totalChallan]],TrafficData[[#This Row],[pendingChallan]]&lt;=TrafficData[[#This Row],[totalChallan]])</f>
        <v>1</v>
      </c>
      <c r="O1885" s="8" t="b">
        <f>AND(TrafficData[[#This Row],[pendingAmount]]&lt;=TrafficData[[#This Row],[totalAmount]],TrafficData[[#This Row],[disposedAmount]]&lt;=TrafficData[[#This Row],[totalAmount]])</f>
        <v>1</v>
      </c>
      <c r="P1885" s="8" t="b">
        <f>AND(TrafficData[[#This Row],[pendingCourt]]&lt;=TrafficData[[#This Row],[totalCourt]],TrafficData[[#This Row],[disposedCourt]]&lt;=TrafficData[[#This Row],[totalCourt]])</f>
        <v>1</v>
      </c>
    </row>
    <row r="1886" spans="1:16">
      <c r="A1886" s="1">
        <v>43890</v>
      </c>
      <c r="B1886">
        <v>130668</v>
      </c>
      <c r="C1886">
        <v>49830</v>
      </c>
      <c r="D1886">
        <v>80838</v>
      </c>
      <c r="E1886">
        <v>17237660</v>
      </c>
      <c r="F1886">
        <v>51917074</v>
      </c>
      <c r="G1886">
        <v>69154734</v>
      </c>
      <c r="H1886">
        <v>64474</v>
      </c>
      <c r="I1886">
        <v>9888</v>
      </c>
      <c r="J1886">
        <v>74362</v>
      </c>
      <c r="K1886" t="b">
        <f>TrafficData[[#This Row],[disposedChallan]]+TrafficData[[#This Row],[pendingChallan]]=TrafficData[[#This Row],[totalChallan]]</f>
        <v>1</v>
      </c>
      <c r="L1886" t="b">
        <f>TrafficData[[#This Row],[pendingAmount]]+TrafficData[[#This Row],[disposedAmount]]=TrafficData[[#This Row],[totalAmount]]</f>
        <v>1</v>
      </c>
      <c r="M1886" t="b">
        <f>TrafficData[[#This Row],[pendingCourt]]+TrafficData[[#This Row],[disposedCourt]]=TrafficData[[#This Row],[totalCourt]]</f>
        <v>1</v>
      </c>
      <c r="N1886" s="8" t="b">
        <f>AND(TrafficData[[#This Row],[disposedChallan]]&lt;=TrafficData[[#This Row],[totalChallan]],TrafficData[[#This Row],[pendingChallan]]&lt;=TrafficData[[#This Row],[totalChallan]])</f>
        <v>1</v>
      </c>
      <c r="O1886" s="8" t="b">
        <f>AND(TrafficData[[#This Row],[pendingAmount]]&lt;=TrafficData[[#This Row],[totalAmount]],TrafficData[[#This Row],[disposedAmount]]&lt;=TrafficData[[#This Row],[totalAmount]])</f>
        <v>1</v>
      </c>
      <c r="P1886" s="8" t="b">
        <f>AND(TrafficData[[#This Row],[pendingCourt]]&lt;=TrafficData[[#This Row],[totalCourt]],TrafficData[[#This Row],[disposedCourt]]&lt;=TrafficData[[#This Row],[totalCourt]])</f>
        <v>1</v>
      </c>
    </row>
    <row r="1887" spans="1:16">
      <c r="A1887" s="1">
        <v>43891</v>
      </c>
      <c r="B1887">
        <v>133173</v>
      </c>
      <c r="C1887">
        <v>52943</v>
      </c>
      <c r="D1887">
        <v>80230</v>
      </c>
      <c r="E1887">
        <v>21128345</v>
      </c>
      <c r="F1887">
        <v>62104146</v>
      </c>
      <c r="G1887">
        <v>83232491</v>
      </c>
      <c r="H1887">
        <v>61594</v>
      </c>
      <c r="I1887">
        <v>10217</v>
      </c>
      <c r="J1887">
        <v>71811</v>
      </c>
      <c r="K1887" t="b">
        <f>TrafficData[[#This Row],[disposedChallan]]+TrafficData[[#This Row],[pendingChallan]]=TrafficData[[#This Row],[totalChallan]]</f>
        <v>1</v>
      </c>
      <c r="L1887" t="b">
        <f>TrafficData[[#This Row],[pendingAmount]]+TrafficData[[#This Row],[disposedAmount]]=TrafficData[[#This Row],[totalAmount]]</f>
        <v>1</v>
      </c>
      <c r="M1887" t="b">
        <f>TrafficData[[#This Row],[pendingCourt]]+TrafficData[[#This Row],[disposedCourt]]=TrafficData[[#This Row],[totalCourt]]</f>
        <v>1</v>
      </c>
      <c r="N1887" s="8" t="b">
        <f>AND(TrafficData[[#This Row],[disposedChallan]]&lt;=TrafficData[[#This Row],[totalChallan]],TrafficData[[#This Row],[pendingChallan]]&lt;=TrafficData[[#This Row],[totalChallan]])</f>
        <v>1</v>
      </c>
      <c r="O1887" s="8" t="b">
        <f>AND(TrafficData[[#This Row],[pendingAmount]]&lt;=TrafficData[[#This Row],[totalAmount]],TrafficData[[#This Row],[disposedAmount]]&lt;=TrafficData[[#This Row],[totalAmount]])</f>
        <v>1</v>
      </c>
      <c r="P1887" s="8" t="b">
        <f>AND(TrafficData[[#This Row],[pendingCourt]]&lt;=TrafficData[[#This Row],[totalCourt]],TrafficData[[#This Row],[disposedCourt]]&lt;=TrafficData[[#This Row],[totalCourt]])</f>
        <v>1</v>
      </c>
    </row>
    <row r="1888" spans="1:16">
      <c r="A1888" s="1">
        <v>43892</v>
      </c>
      <c r="B1888">
        <v>150994</v>
      </c>
      <c r="C1888">
        <v>63076</v>
      </c>
      <c r="D1888">
        <v>87918</v>
      </c>
      <c r="E1888">
        <v>25031352</v>
      </c>
      <c r="F1888">
        <v>76047949</v>
      </c>
      <c r="G1888">
        <v>101079301</v>
      </c>
      <c r="H1888">
        <v>67745</v>
      </c>
      <c r="I1888">
        <v>11808</v>
      </c>
      <c r="J1888">
        <v>79553</v>
      </c>
      <c r="K1888" t="b">
        <f>TrafficData[[#This Row],[disposedChallan]]+TrafficData[[#This Row],[pendingChallan]]=TrafficData[[#This Row],[totalChallan]]</f>
        <v>1</v>
      </c>
      <c r="L1888" t="b">
        <f>TrafficData[[#This Row],[pendingAmount]]+TrafficData[[#This Row],[disposedAmount]]=TrafficData[[#This Row],[totalAmount]]</f>
        <v>1</v>
      </c>
      <c r="M1888" t="b">
        <f>TrafficData[[#This Row],[pendingCourt]]+TrafficData[[#This Row],[disposedCourt]]=TrafficData[[#This Row],[totalCourt]]</f>
        <v>1</v>
      </c>
      <c r="N1888" s="8" t="b">
        <f>AND(TrafficData[[#This Row],[disposedChallan]]&lt;=TrafficData[[#This Row],[totalChallan]],TrafficData[[#This Row],[pendingChallan]]&lt;=TrafficData[[#This Row],[totalChallan]])</f>
        <v>1</v>
      </c>
      <c r="O1888" s="8" t="b">
        <f>AND(TrafficData[[#This Row],[pendingAmount]]&lt;=TrafficData[[#This Row],[totalAmount]],TrafficData[[#This Row],[disposedAmount]]&lt;=TrafficData[[#This Row],[totalAmount]])</f>
        <v>1</v>
      </c>
      <c r="P1888" s="8" t="b">
        <f>AND(TrafficData[[#This Row],[pendingCourt]]&lt;=TrafficData[[#This Row],[totalCourt]],TrafficData[[#This Row],[disposedCourt]]&lt;=TrafficData[[#This Row],[totalCourt]])</f>
        <v>1</v>
      </c>
    </row>
    <row r="1889" spans="1:16">
      <c r="A1889" s="1">
        <v>43893</v>
      </c>
      <c r="B1889">
        <v>164189</v>
      </c>
      <c r="C1889">
        <v>63203</v>
      </c>
      <c r="D1889">
        <v>100986</v>
      </c>
      <c r="E1889">
        <v>29181217</v>
      </c>
      <c r="F1889">
        <v>85924954</v>
      </c>
      <c r="G1889">
        <v>115106171</v>
      </c>
      <c r="H1889">
        <v>81247</v>
      </c>
      <c r="I1889">
        <v>11998</v>
      </c>
      <c r="J1889">
        <v>93245</v>
      </c>
      <c r="K1889" t="b">
        <f>TrafficData[[#This Row],[disposedChallan]]+TrafficData[[#This Row],[pendingChallan]]=TrafficData[[#This Row],[totalChallan]]</f>
        <v>1</v>
      </c>
      <c r="L1889" t="b">
        <f>TrafficData[[#This Row],[pendingAmount]]+TrafficData[[#This Row],[disposedAmount]]=TrafficData[[#This Row],[totalAmount]]</f>
        <v>1</v>
      </c>
      <c r="M1889" t="b">
        <f>TrafficData[[#This Row],[pendingCourt]]+TrafficData[[#This Row],[disposedCourt]]=TrafficData[[#This Row],[totalCourt]]</f>
        <v>1</v>
      </c>
      <c r="N1889" s="8" t="b">
        <f>AND(TrafficData[[#This Row],[disposedChallan]]&lt;=TrafficData[[#This Row],[totalChallan]],TrafficData[[#This Row],[pendingChallan]]&lt;=TrafficData[[#This Row],[totalChallan]])</f>
        <v>1</v>
      </c>
      <c r="O1889" s="8" t="b">
        <f>AND(TrafficData[[#This Row],[pendingAmount]]&lt;=TrafficData[[#This Row],[totalAmount]],TrafficData[[#This Row],[disposedAmount]]&lt;=TrafficData[[#This Row],[totalAmount]])</f>
        <v>1</v>
      </c>
      <c r="P1889" s="8" t="b">
        <f>AND(TrafficData[[#This Row],[pendingCourt]]&lt;=TrafficData[[#This Row],[totalCourt]],TrafficData[[#This Row],[disposedCourt]]&lt;=TrafficData[[#This Row],[totalCourt]])</f>
        <v>1</v>
      </c>
    </row>
    <row r="1890" spans="1:16">
      <c r="A1890" s="1">
        <v>43894</v>
      </c>
      <c r="B1890">
        <v>149204</v>
      </c>
      <c r="C1890">
        <v>63453</v>
      </c>
      <c r="D1890">
        <v>85751</v>
      </c>
      <c r="E1890">
        <v>27897812</v>
      </c>
      <c r="F1890">
        <v>92455789</v>
      </c>
      <c r="G1890">
        <v>120353601</v>
      </c>
      <c r="H1890">
        <v>67663</v>
      </c>
      <c r="I1890">
        <v>12539</v>
      </c>
      <c r="J1890">
        <v>80202</v>
      </c>
      <c r="K1890" t="b">
        <f>TrafficData[[#This Row],[disposedChallan]]+TrafficData[[#This Row],[pendingChallan]]=TrafficData[[#This Row],[totalChallan]]</f>
        <v>1</v>
      </c>
      <c r="L1890" t="b">
        <f>TrafficData[[#This Row],[pendingAmount]]+TrafficData[[#This Row],[disposedAmount]]=TrafficData[[#This Row],[totalAmount]]</f>
        <v>1</v>
      </c>
      <c r="M1890" t="b">
        <f>TrafficData[[#This Row],[pendingCourt]]+TrafficData[[#This Row],[disposedCourt]]=TrafficData[[#This Row],[totalCourt]]</f>
        <v>1</v>
      </c>
      <c r="N1890" s="8" t="b">
        <f>AND(TrafficData[[#This Row],[disposedChallan]]&lt;=TrafficData[[#This Row],[totalChallan]],TrafficData[[#This Row],[pendingChallan]]&lt;=TrafficData[[#This Row],[totalChallan]])</f>
        <v>1</v>
      </c>
      <c r="O1890" s="8" t="b">
        <f>AND(TrafficData[[#This Row],[pendingAmount]]&lt;=TrafficData[[#This Row],[totalAmount]],TrafficData[[#This Row],[disposedAmount]]&lt;=TrafficData[[#This Row],[totalAmount]])</f>
        <v>1</v>
      </c>
      <c r="P1890" s="8" t="b">
        <f>AND(TrafficData[[#This Row],[pendingCourt]]&lt;=TrafficData[[#This Row],[totalCourt]],TrafficData[[#This Row],[disposedCourt]]&lt;=TrafficData[[#This Row],[totalCourt]])</f>
        <v>1</v>
      </c>
    </row>
    <row r="1891" spans="1:16">
      <c r="A1891" s="1">
        <v>43895</v>
      </c>
      <c r="B1891">
        <v>127118</v>
      </c>
      <c r="C1891">
        <v>62519</v>
      </c>
      <c r="D1891">
        <v>64599</v>
      </c>
      <c r="E1891">
        <v>27264761</v>
      </c>
      <c r="F1891">
        <v>84676894</v>
      </c>
      <c r="G1891">
        <v>111941655</v>
      </c>
      <c r="H1891">
        <v>45299</v>
      </c>
      <c r="I1891">
        <v>12681</v>
      </c>
      <c r="J1891">
        <v>57980</v>
      </c>
      <c r="K1891" t="b">
        <f>TrafficData[[#This Row],[disposedChallan]]+TrafficData[[#This Row],[pendingChallan]]=TrafficData[[#This Row],[totalChallan]]</f>
        <v>1</v>
      </c>
      <c r="L1891" t="b">
        <f>TrafficData[[#This Row],[pendingAmount]]+TrafficData[[#This Row],[disposedAmount]]=TrafficData[[#This Row],[totalAmount]]</f>
        <v>1</v>
      </c>
      <c r="M1891" t="b">
        <f>TrafficData[[#This Row],[pendingCourt]]+TrafficData[[#This Row],[disposedCourt]]=TrafficData[[#This Row],[totalCourt]]</f>
        <v>1</v>
      </c>
      <c r="N1891" s="8" t="b">
        <f>AND(TrafficData[[#This Row],[disposedChallan]]&lt;=TrafficData[[#This Row],[totalChallan]],TrafficData[[#This Row],[pendingChallan]]&lt;=TrafficData[[#This Row],[totalChallan]])</f>
        <v>1</v>
      </c>
      <c r="O1891" s="8" t="b">
        <f>AND(TrafficData[[#This Row],[pendingAmount]]&lt;=TrafficData[[#This Row],[totalAmount]],TrafficData[[#This Row],[disposedAmount]]&lt;=TrafficData[[#This Row],[totalAmount]])</f>
        <v>1</v>
      </c>
      <c r="P1891" s="8" t="b">
        <f>AND(TrafficData[[#This Row],[pendingCourt]]&lt;=TrafficData[[#This Row],[totalCourt]],TrafficData[[#This Row],[disposedCourt]]&lt;=TrafficData[[#This Row],[totalCourt]])</f>
        <v>1</v>
      </c>
    </row>
    <row r="1892" spans="1:16">
      <c r="A1892" s="1">
        <v>43896</v>
      </c>
      <c r="B1892">
        <v>130909</v>
      </c>
      <c r="C1892">
        <v>54834</v>
      </c>
      <c r="D1892">
        <v>76075</v>
      </c>
      <c r="E1892">
        <v>24870359</v>
      </c>
      <c r="F1892">
        <v>72211935</v>
      </c>
      <c r="G1892">
        <v>97082294</v>
      </c>
      <c r="H1892">
        <v>58435</v>
      </c>
      <c r="I1892">
        <v>10243</v>
      </c>
      <c r="J1892">
        <v>68678</v>
      </c>
      <c r="K1892" t="b">
        <f>TrafficData[[#This Row],[disposedChallan]]+TrafficData[[#This Row],[pendingChallan]]=TrafficData[[#This Row],[totalChallan]]</f>
        <v>1</v>
      </c>
      <c r="L1892" t="b">
        <f>TrafficData[[#This Row],[pendingAmount]]+TrafficData[[#This Row],[disposedAmount]]=TrafficData[[#This Row],[totalAmount]]</f>
        <v>1</v>
      </c>
      <c r="M1892" t="b">
        <f>TrafficData[[#This Row],[pendingCourt]]+TrafficData[[#This Row],[disposedCourt]]=TrafficData[[#This Row],[totalCourt]]</f>
        <v>1</v>
      </c>
      <c r="N1892" s="8" t="b">
        <f>AND(TrafficData[[#This Row],[disposedChallan]]&lt;=TrafficData[[#This Row],[totalChallan]],TrafficData[[#This Row],[pendingChallan]]&lt;=TrafficData[[#This Row],[totalChallan]])</f>
        <v>1</v>
      </c>
      <c r="O1892" s="8" t="b">
        <f>AND(TrafficData[[#This Row],[pendingAmount]]&lt;=TrafficData[[#This Row],[totalAmount]],TrafficData[[#This Row],[disposedAmount]]&lt;=TrafficData[[#This Row],[totalAmount]])</f>
        <v>1</v>
      </c>
      <c r="P1892" s="8" t="b">
        <f>AND(TrafficData[[#This Row],[pendingCourt]]&lt;=TrafficData[[#This Row],[totalCourt]],TrafficData[[#This Row],[disposedCourt]]&lt;=TrafficData[[#This Row],[totalCourt]])</f>
        <v>1</v>
      </c>
    </row>
    <row r="1893" spans="1:16">
      <c r="A1893" s="1">
        <v>43897</v>
      </c>
      <c r="B1893">
        <v>152217</v>
      </c>
      <c r="C1893">
        <v>62123</v>
      </c>
      <c r="D1893">
        <v>90094</v>
      </c>
      <c r="E1893">
        <v>24066752</v>
      </c>
      <c r="F1893">
        <v>70865732</v>
      </c>
      <c r="G1893">
        <v>94932484</v>
      </c>
      <c r="H1893">
        <v>71018</v>
      </c>
      <c r="I1893">
        <v>12992</v>
      </c>
      <c r="J1893">
        <v>84010</v>
      </c>
      <c r="K1893" t="b">
        <f>TrafficData[[#This Row],[disposedChallan]]+TrafficData[[#This Row],[pendingChallan]]=TrafficData[[#This Row],[totalChallan]]</f>
        <v>1</v>
      </c>
      <c r="L1893" t="b">
        <f>TrafficData[[#This Row],[pendingAmount]]+TrafficData[[#This Row],[disposedAmount]]=TrafficData[[#This Row],[totalAmount]]</f>
        <v>1</v>
      </c>
      <c r="M1893" t="b">
        <f>TrafficData[[#This Row],[pendingCourt]]+TrafficData[[#This Row],[disposedCourt]]=TrafficData[[#This Row],[totalCourt]]</f>
        <v>1</v>
      </c>
      <c r="N1893" s="8" t="b">
        <f>AND(TrafficData[[#This Row],[disposedChallan]]&lt;=TrafficData[[#This Row],[totalChallan]],TrafficData[[#This Row],[pendingChallan]]&lt;=TrafficData[[#This Row],[totalChallan]])</f>
        <v>1</v>
      </c>
      <c r="O1893" s="8" t="b">
        <f>AND(TrafficData[[#This Row],[pendingAmount]]&lt;=TrafficData[[#This Row],[totalAmount]],TrafficData[[#This Row],[disposedAmount]]&lt;=TrafficData[[#This Row],[totalAmount]])</f>
        <v>1</v>
      </c>
      <c r="P1893" s="8" t="b">
        <f>AND(TrafficData[[#This Row],[pendingCourt]]&lt;=TrafficData[[#This Row],[totalCourt]],TrafficData[[#This Row],[disposedCourt]]&lt;=TrafficData[[#This Row],[totalCourt]])</f>
        <v>1</v>
      </c>
    </row>
    <row r="1894" spans="1:16">
      <c r="A1894" s="1">
        <v>43898</v>
      </c>
      <c r="B1894">
        <v>132866</v>
      </c>
      <c r="C1894">
        <v>51428</v>
      </c>
      <c r="D1894">
        <v>81438</v>
      </c>
      <c r="E1894">
        <v>17639105</v>
      </c>
      <c r="F1894">
        <v>54508482</v>
      </c>
      <c r="G1894">
        <v>72147587</v>
      </c>
      <c r="H1894">
        <v>65932</v>
      </c>
      <c r="I1894">
        <v>10441</v>
      </c>
      <c r="J1894">
        <v>76373</v>
      </c>
      <c r="K1894" t="b">
        <f>TrafficData[[#This Row],[disposedChallan]]+TrafficData[[#This Row],[pendingChallan]]=TrafficData[[#This Row],[totalChallan]]</f>
        <v>1</v>
      </c>
      <c r="L1894" t="b">
        <f>TrafficData[[#This Row],[pendingAmount]]+TrafficData[[#This Row],[disposedAmount]]=TrafficData[[#This Row],[totalAmount]]</f>
        <v>1</v>
      </c>
      <c r="M1894" t="b">
        <f>TrafficData[[#This Row],[pendingCourt]]+TrafficData[[#This Row],[disposedCourt]]=TrafficData[[#This Row],[totalCourt]]</f>
        <v>1</v>
      </c>
      <c r="N1894" s="8" t="b">
        <f>AND(TrafficData[[#This Row],[disposedChallan]]&lt;=TrafficData[[#This Row],[totalChallan]],TrafficData[[#This Row],[pendingChallan]]&lt;=TrafficData[[#This Row],[totalChallan]])</f>
        <v>1</v>
      </c>
      <c r="O1894" s="8" t="b">
        <f>AND(TrafficData[[#This Row],[pendingAmount]]&lt;=TrafficData[[#This Row],[totalAmount]],TrafficData[[#This Row],[disposedAmount]]&lt;=TrafficData[[#This Row],[totalAmount]])</f>
        <v>1</v>
      </c>
      <c r="P1894" s="8" t="b">
        <f>AND(TrafficData[[#This Row],[pendingCourt]]&lt;=TrafficData[[#This Row],[totalCourt]],TrafficData[[#This Row],[disposedCourt]]&lt;=TrafficData[[#This Row],[totalCourt]])</f>
        <v>1</v>
      </c>
    </row>
    <row r="1895" spans="1:16">
      <c r="A1895" s="1">
        <v>43899</v>
      </c>
      <c r="B1895">
        <v>117447</v>
      </c>
      <c r="C1895">
        <v>50859</v>
      </c>
      <c r="D1895">
        <v>66588</v>
      </c>
      <c r="E1895">
        <v>15370174</v>
      </c>
      <c r="F1895">
        <v>39187079</v>
      </c>
      <c r="G1895">
        <v>54557253</v>
      </c>
      <c r="H1895">
        <v>46663</v>
      </c>
      <c r="I1895">
        <v>8742</v>
      </c>
      <c r="J1895">
        <v>55405</v>
      </c>
      <c r="K1895" t="b">
        <f>TrafficData[[#This Row],[disposedChallan]]+TrafficData[[#This Row],[pendingChallan]]=TrafficData[[#This Row],[totalChallan]]</f>
        <v>1</v>
      </c>
      <c r="L1895" t="b">
        <f>TrafficData[[#This Row],[pendingAmount]]+TrafficData[[#This Row],[disposedAmount]]=TrafficData[[#This Row],[totalAmount]]</f>
        <v>1</v>
      </c>
      <c r="M1895" t="b">
        <f>TrafficData[[#This Row],[pendingCourt]]+TrafficData[[#This Row],[disposedCourt]]=TrafficData[[#This Row],[totalCourt]]</f>
        <v>1</v>
      </c>
      <c r="N1895" s="8" t="b">
        <f>AND(TrafficData[[#This Row],[disposedChallan]]&lt;=TrafficData[[#This Row],[totalChallan]],TrafficData[[#This Row],[pendingChallan]]&lt;=TrafficData[[#This Row],[totalChallan]])</f>
        <v>1</v>
      </c>
      <c r="O1895" s="8" t="b">
        <f>AND(TrafficData[[#This Row],[pendingAmount]]&lt;=TrafficData[[#This Row],[totalAmount]],TrafficData[[#This Row],[disposedAmount]]&lt;=TrafficData[[#This Row],[totalAmount]])</f>
        <v>1</v>
      </c>
      <c r="P1895" s="8" t="b">
        <f>AND(TrafficData[[#This Row],[pendingCourt]]&lt;=TrafficData[[#This Row],[totalCourt]],TrafficData[[#This Row],[disposedCourt]]&lt;=TrafficData[[#This Row],[totalCourt]])</f>
        <v>1</v>
      </c>
    </row>
    <row r="1896" spans="1:16">
      <c r="A1896" s="1">
        <v>43900</v>
      </c>
      <c r="B1896">
        <v>129411</v>
      </c>
      <c r="C1896">
        <v>39850</v>
      </c>
      <c r="D1896">
        <v>89561</v>
      </c>
      <c r="E1896">
        <v>10891090</v>
      </c>
      <c r="F1896">
        <v>23045022</v>
      </c>
      <c r="G1896">
        <v>33936112</v>
      </c>
      <c r="H1896">
        <v>69164</v>
      </c>
      <c r="I1896">
        <v>5793</v>
      </c>
      <c r="J1896">
        <v>74957</v>
      </c>
      <c r="K1896" t="b">
        <f>TrafficData[[#This Row],[disposedChallan]]+TrafficData[[#This Row],[pendingChallan]]=TrafficData[[#This Row],[totalChallan]]</f>
        <v>1</v>
      </c>
      <c r="L1896" t="b">
        <f>TrafficData[[#This Row],[pendingAmount]]+TrafficData[[#This Row],[disposedAmount]]=TrafficData[[#This Row],[totalAmount]]</f>
        <v>1</v>
      </c>
      <c r="M1896" t="b">
        <f>TrafficData[[#This Row],[pendingCourt]]+TrafficData[[#This Row],[disposedCourt]]=TrafficData[[#This Row],[totalCourt]]</f>
        <v>1</v>
      </c>
      <c r="N1896" s="8" t="b">
        <f>AND(TrafficData[[#This Row],[disposedChallan]]&lt;=TrafficData[[#This Row],[totalChallan]],TrafficData[[#This Row],[pendingChallan]]&lt;=TrafficData[[#This Row],[totalChallan]])</f>
        <v>1</v>
      </c>
      <c r="O1896" s="8" t="b">
        <f>AND(TrafficData[[#This Row],[pendingAmount]]&lt;=TrafficData[[#This Row],[totalAmount]],TrafficData[[#This Row],[disposedAmount]]&lt;=TrafficData[[#This Row],[totalAmount]])</f>
        <v>1</v>
      </c>
      <c r="P1896" s="8" t="b">
        <f>AND(TrafficData[[#This Row],[pendingCourt]]&lt;=TrafficData[[#This Row],[totalCourt]],TrafficData[[#This Row],[disposedCourt]]&lt;=TrafficData[[#This Row],[totalCourt]])</f>
        <v>1</v>
      </c>
    </row>
    <row r="1897" spans="1:16">
      <c r="A1897" s="1">
        <v>43901</v>
      </c>
      <c r="B1897">
        <v>150868</v>
      </c>
      <c r="C1897">
        <v>52968</v>
      </c>
      <c r="D1897">
        <v>97900</v>
      </c>
      <c r="E1897">
        <v>17762218</v>
      </c>
      <c r="F1897">
        <v>44456326</v>
      </c>
      <c r="G1897">
        <v>62218544</v>
      </c>
      <c r="H1897">
        <v>75186</v>
      </c>
      <c r="I1897">
        <v>8730</v>
      </c>
      <c r="J1897">
        <v>83916</v>
      </c>
      <c r="K1897" t="b">
        <f>TrafficData[[#This Row],[disposedChallan]]+TrafficData[[#This Row],[pendingChallan]]=TrafficData[[#This Row],[totalChallan]]</f>
        <v>1</v>
      </c>
      <c r="L1897" t="b">
        <f>TrafficData[[#This Row],[pendingAmount]]+TrafficData[[#This Row],[disposedAmount]]=TrafficData[[#This Row],[totalAmount]]</f>
        <v>1</v>
      </c>
      <c r="M1897" t="b">
        <f>TrafficData[[#This Row],[pendingCourt]]+TrafficData[[#This Row],[disposedCourt]]=TrafficData[[#This Row],[totalCourt]]</f>
        <v>1</v>
      </c>
      <c r="N1897" s="8" t="b">
        <f>AND(TrafficData[[#This Row],[disposedChallan]]&lt;=TrafficData[[#This Row],[totalChallan]],TrafficData[[#This Row],[pendingChallan]]&lt;=TrafficData[[#This Row],[totalChallan]])</f>
        <v>1</v>
      </c>
      <c r="O1897" s="8" t="b">
        <f>AND(TrafficData[[#This Row],[pendingAmount]]&lt;=TrafficData[[#This Row],[totalAmount]],TrafficData[[#This Row],[disposedAmount]]&lt;=TrafficData[[#This Row],[totalAmount]])</f>
        <v>1</v>
      </c>
      <c r="P1897" s="8" t="b">
        <f>AND(TrafficData[[#This Row],[pendingCourt]]&lt;=TrafficData[[#This Row],[totalCourt]],TrafficData[[#This Row],[disposedCourt]]&lt;=TrafficData[[#This Row],[totalCourt]])</f>
        <v>1</v>
      </c>
    </row>
    <row r="1898" spans="1:16">
      <c r="A1898" s="1">
        <v>43902</v>
      </c>
      <c r="B1898">
        <v>175687</v>
      </c>
      <c r="C1898">
        <v>61915</v>
      </c>
      <c r="D1898">
        <v>113772</v>
      </c>
      <c r="E1898">
        <v>27255979</v>
      </c>
      <c r="F1898">
        <v>61092378</v>
      </c>
      <c r="G1898">
        <v>88348357</v>
      </c>
      <c r="H1898">
        <v>91397</v>
      </c>
      <c r="I1898">
        <v>11704</v>
      </c>
      <c r="J1898">
        <v>103101</v>
      </c>
      <c r="K1898" t="b">
        <f>TrafficData[[#This Row],[disposedChallan]]+TrafficData[[#This Row],[pendingChallan]]=TrafficData[[#This Row],[totalChallan]]</f>
        <v>1</v>
      </c>
      <c r="L1898" t="b">
        <f>TrafficData[[#This Row],[pendingAmount]]+TrafficData[[#This Row],[disposedAmount]]=TrafficData[[#This Row],[totalAmount]]</f>
        <v>1</v>
      </c>
      <c r="M1898" t="b">
        <f>TrafficData[[#This Row],[pendingCourt]]+TrafficData[[#This Row],[disposedCourt]]=TrafficData[[#This Row],[totalCourt]]</f>
        <v>1</v>
      </c>
      <c r="N1898" s="8" t="b">
        <f>AND(TrafficData[[#This Row],[disposedChallan]]&lt;=TrafficData[[#This Row],[totalChallan]],TrafficData[[#This Row],[pendingChallan]]&lt;=TrafficData[[#This Row],[totalChallan]])</f>
        <v>1</v>
      </c>
      <c r="O1898" s="8" t="b">
        <f>AND(TrafficData[[#This Row],[pendingAmount]]&lt;=TrafficData[[#This Row],[totalAmount]],TrafficData[[#This Row],[disposedAmount]]&lt;=TrafficData[[#This Row],[totalAmount]])</f>
        <v>1</v>
      </c>
      <c r="P1898" s="8" t="b">
        <f>AND(TrafficData[[#This Row],[pendingCourt]]&lt;=TrafficData[[#This Row],[totalCourt]],TrafficData[[#This Row],[disposedCourt]]&lt;=TrafficData[[#This Row],[totalCourt]])</f>
        <v>1</v>
      </c>
    </row>
    <row r="1899" spans="1:16">
      <c r="A1899" s="1">
        <v>43903</v>
      </c>
      <c r="B1899">
        <v>174420</v>
      </c>
      <c r="C1899">
        <v>62758</v>
      </c>
      <c r="D1899">
        <v>111662</v>
      </c>
      <c r="E1899">
        <v>26080500</v>
      </c>
      <c r="F1899">
        <v>75754802</v>
      </c>
      <c r="G1899">
        <v>101835302</v>
      </c>
      <c r="H1899">
        <v>89628</v>
      </c>
      <c r="I1899">
        <v>11777</v>
      </c>
      <c r="J1899">
        <v>101405</v>
      </c>
      <c r="K1899" t="b">
        <f>TrafficData[[#This Row],[disposedChallan]]+TrafficData[[#This Row],[pendingChallan]]=TrafficData[[#This Row],[totalChallan]]</f>
        <v>1</v>
      </c>
      <c r="L1899" t="b">
        <f>TrafficData[[#This Row],[pendingAmount]]+TrafficData[[#This Row],[disposedAmount]]=TrafficData[[#This Row],[totalAmount]]</f>
        <v>1</v>
      </c>
      <c r="M1899" t="b">
        <f>TrafficData[[#This Row],[pendingCourt]]+TrafficData[[#This Row],[disposedCourt]]=TrafficData[[#This Row],[totalCourt]]</f>
        <v>1</v>
      </c>
      <c r="N1899" s="8" t="b">
        <f>AND(TrafficData[[#This Row],[disposedChallan]]&lt;=TrafficData[[#This Row],[totalChallan]],TrafficData[[#This Row],[pendingChallan]]&lt;=TrafficData[[#This Row],[totalChallan]])</f>
        <v>1</v>
      </c>
      <c r="O1899" s="8" t="b">
        <f>AND(TrafficData[[#This Row],[pendingAmount]]&lt;=TrafficData[[#This Row],[totalAmount]],TrafficData[[#This Row],[disposedAmount]]&lt;=TrafficData[[#This Row],[totalAmount]])</f>
        <v>1</v>
      </c>
      <c r="P1899" s="8" t="b">
        <f>AND(TrafficData[[#This Row],[pendingCourt]]&lt;=TrafficData[[#This Row],[totalCourt]],TrafficData[[#This Row],[disposedCourt]]&lt;=TrafficData[[#This Row],[totalCourt]])</f>
        <v>1</v>
      </c>
    </row>
    <row r="1900" spans="1:16">
      <c r="A1900" s="1">
        <v>43904</v>
      </c>
      <c r="B1900">
        <v>147700</v>
      </c>
      <c r="C1900">
        <v>71697</v>
      </c>
      <c r="D1900">
        <v>76003</v>
      </c>
      <c r="E1900">
        <v>104133773</v>
      </c>
      <c r="F1900">
        <v>82635788</v>
      </c>
      <c r="G1900">
        <v>186769561</v>
      </c>
      <c r="H1900">
        <v>17191</v>
      </c>
      <c r="I1900">
        <v>14413</v>
      </c>
      <c r="J1900">
        <v>31604</v>
      </c>
      <c r="K1900" t="b">
        <f>TrafficData[[#This Row],[disposedChallan]]+TrafficData[[#This Row],[pendingChallan]]=TrafficData[[#This Row],[totalChallan]]</f>
        <v>1</v>
      </c>
      <c r="L1900" t="b">
        <f>TrafficData[[#This Row],[pendingAmount]]+TrafficData[[#This Row],[disposedAmount]]=TrafficData[[#This Row],[totalAmount]]</f>
        <v>1</v>
      </c>
      <c r="M1900" t="b">
        <f>TrafficData[[#This Row],[pendingCourt]]+TrafficData[[#This Row],[disposedCourt]]=TrafficData[[#This Row],[totalCourt]]</f>
        <v>1</v>
      </c>
      <c r="N1900" s="8" t="b">
        <f>AND(TrafficData[[#This Row],[disposedChallan]]&lt;=TrafficData[[#This Row],[totalChallan]],TrafficData[[#This Row],[pendingChallan]]&lt;=TrafficData[[#This Row],[totalChallan]])</f>
        <v>1</v>
      </c>
      <c r="O1900" s="8" t="b">
        <f>AND(TrafficData[[#This Row],[pendingAmount]]&lt;=TrafficData[[#This Row],[totalAmount]],TrafficData[[#This Row],[disposedAmount]]&lt;=TrafficData[[#This Row],[totalAmount]])</f>
        <v>1</v>
      </c>
      <c r="P1900" s="8" t="b">
        <f>AND(TrafficData[[#This Row],[pendingCourt]]&lt;=TrafficData[[#This Row],[totalCourt]],TrafficData[[#This Row],[disposedCourt]]&lt;=TrafficData[[#This Row],[totalCourt]])</f>
        <v>1</v>
      </c>
    </row>
    <row r="1901" spans="1:16">
      <c r="A1901" s="1">
        <v>43905</v>
      </c>
      <c r="B1901">
        <v>158270</v>
      </c>
      <c r="C1901">
        <v>73249</v>
      </c>
      <c r="D1901">
        <v>85021</v>
      </c>
      <c r="E1901">
        <v>123623217</v>
      </c>
      <c r="F1901">
        <v>90799726</v>
      </c>
      <c r="G1901">
        <v>214422943</v>
      </c>
      <c r="H1901">
        <v>28748</v>
      </c>
      <c r="I1901">
        <v>15227</v>
      </c>
      <c r="J1901">
        <v>43975</v>
      </c>
      <c r="K1901" t="b">
        <f>TrafficData[[#This Row],[disposedChallan]]+TrafficData[[#This Row],[pendingChallan]]=TrafficData[[#This Row],[totalChallan]]</f>
        <v>1</v>
      </c>
      <c r="L1901" t="b">
        <f>TrafficData[[#This Row],[pendingAmount]]+TrafficData[[#This Row],[disposedAmount]]=TrafficData[[#This Row],[totalAmount]]</f>
        <v>1</v>
      </c>
      <c r="M1901" t="b">
        <f>TrafficData[[#This Row],[pendingCourt]]+TrafficData[[#This Row],[disposedCourt]]=TrafficData[[#This Row],[totalCourt]]</f>
        <v>1</v>
      </c>
      <c r="N1901" s="8" t="b">
        <f>AND(TrafficData[[#This Row],[disposedChallan]]&lt;=TrafficData[[#This Row],[totalChallan]],TrafficData[[#This Row],[pendingChallan]]&lt;=TrafficData[[#This Row],[totalChallan]])</f>
        <v>1</v>
      </c>
      <c r="O1901" s="8" t="b">
        <f>AND(TrafficData[[#This Row],[pendingAmount]]&lt;=TrafficData[[#This Row],[totalAmount]],TrafficData[[#This Row],[disposedAmount]]&lt;=TrafficData[[#This Row],[totalAmount]])</f>
        <v>1</v>
      </c>
      <c r="P1901" s="8" t="b">
        <f>AND(TrafficData[[#This Row],[pendingCourt]]&lt;=TrafficData[[#This Row],[totalCourt]],TrafficData[[#This Row],[disposedCourt]]&lt;=TrafficData[[#This Row],[totalCourt]])</f>
        <v>1</v>
      </c>
    </row>
    <row r="1902" spans="1:16">
      <c r="A1902" s="1">
        <v>43906</v>
      </c>
      <c r="B1902">
        <v>164419</v>
      </c>
      <c r="C1902">
        <v>78859</v>
      </c>
      <c r="D1902">
        <v>85560</v>
      </c>
      <c r="E1902">
        <v>127576829</v>
      </c>
      <c r="F1902">
        <v>97635918</v>
      </c>
      <c r="G1902">
        <v>225212747</v>
      </c>
      <c r="H1902">
        <v>26453</v>
      </c>
      <c r="I1902">
        <v>11382</v>
      </c>
      <c r="J1902">
        <v>37835</v>
      </c>
      <c r="K1902" t="b">
        <f>TrafficData[[#This Row],[disposedChallan]]+TrafficData[[#This Row],[pendingChallan]]=TrafficData[[#This Row],[totalChallan]]</f>
        <v>1</v>
      </c>
      <c r="L1902" t="b">
        <f>TrafficData[[#This Row],[pendingAmount]]+TrafficData[[#This Row],[disposedAmount]]=TrafficData[[#This Row],[totalAmount]]</f>
        <v>1</v>
      </c>
      <c r="M1902" t="b">
        <f>TrafficData[[#This Row],[pendingCourt]]+TrafficData[[#This Row],[disposedCourt]]=TrafficData[[#This Row],[totalCourt]]</f>
        <v>1</v>
      </c>
      <c r="N1902" s="8" t="b">
        <f>AND(TrafficData[[#This Row],[disposedChallan]]&lt;=TrafficData[[#This Row],[totalChallan]],TrafficData[[#This Row],[pendingChallan]]&lt;=TrafficData[[#This Row],[totalChallan]])</f>
        <v>1</v>
      </c>
      <c r="O1902" s="8" t="b">
        <f>AND(TrafficData[[#This Row],[pendingAmount]]&lt;=TrafficData[[#This Row],[totalAmount]],TrafficData[[#This Row],[disposedAmount]]&lt;=TrafficData[[#This Row],[totalAmount]])</f>
        <v>1</v>
      </c>
      <c r="P1902" s="8" t="b">
        <f>AND(TrafficData[[#This Row],[pendingCourt]]&lt;=TrafficData[[#This Row],[totalCourt]],TrafficData[[#This Row],[disposedCourt]]&lt;=TrafficData[[#This Row],[totalCourt]])</f>
        <v>1</v>
      </c>
    </row>
    <row r="1903" spans="1:16">
      <c r="A1903" s="1">
        <v>43907</v>
      </c>
      <c r="B1903">
        <v>159426</v>
      </c>
      <c r="C1903">
        <v>75985</v>
      </c>
      <c r="D1903">
        <v>83441</v>
      </c>
      <c r="E1903">
        <v>124823655</v>
      </c>
      <c r="F1903">
        <v>96174103</v>
      </c>
      <c r="G1903">
        <v>220997758</v>
      </c>
      <c r="H1903">
        <v>19931</v>
      </c>
      <c r="I1903">
        <v>10404</v>
      </c>
      <c r="J1903">
        <v>30335</v>
      </c>
      <c r="K1903" t="b">
        <f>TrafficData[[#This Row],[disposedChallan]]+TrafficData[[#This Row],[pendingChallan]]=TrafficData[[#This Row],[totalChallan]]</f>
        <v>1</v>
      </c>
      <c r="L1903" t="b">
        <f>TrafficData[[#This Row],[pendingAmount]]+TrafficData[[#This Row],[disposedAmount]]=TrafficData[[#This Row],[totalAmount]]</f>
        <v>1</v>
      </c>
      <c r="M1903" t="b">
        <f>TrafficData[[#This Row],[pendingCourt]]+TrafficData[[#This Row],[disposedCourt]]=TrafficData[[#This Row],[totalCourt]]</f>
        <v>1</v>
      </c>
      <c r="N1903" s="8" t="b">
        <f>AND(TrafficData[[#This Row],[disposedChallan]]&lt;=TrafficData[[#This Row],[totalChallan]],TrafficData[[#This Row],[pendingChallan]]&lt;=TrafficData[[#This Row],[totalChallan]])</f>
        <v>1</v>
      </c>
      <c r="O1903" s="8" t="b">
        <f>AND(TrafficData[[#This Row],[pendingAmount]]&lt;=TrafficData[[#This Row],[totalAmount]],TrafficData[[#This Row],[disposedAmount]]&lt;=TrafficData[[#This Row],[totalAmount]])</f>
        <v>1</v>
      </c>
      <c r="P1903" s="8" t="b">
        <f>AND(TrafficData[[#This Row],[pendingCourt]]&lt;=TrafficData[[#This Row],[totalCourt]],TrafficData[[#This Row],[disposedCourt]]&lt;=TrafficData[[#This Row],[totalCourt]])</f>
        <v>1</v>
      </c>
    </row>
    <row r="1904" spans="1:16">
      <c r="A1904" s="1">
        <v>43908</v>
      </c>
      <c r="B1904">
        <v>158170</v>
      </c>
      <c r="C1904">
        <v>74927</v>
      </c>
      <c r="D1904">
        <v>83243</v>
      </c>
      <c r="E1904">
        <v>126581232</v>
      </c>
      <c r="F1904">
        <v>96520587</v>
      </c>
      <c r="G1904">
        <v>223101819</v>
      </c>
      <c r="H1904">
        <v>19566</v>
      </c>
      <c r="I1904">
        <v>11368</v>
      </c>
      <c r="J1904">
        <v>30934</v>
      </c>
      <c r="K1904" t="b">
        <f>TrafficData[[#This Row],[disposedChallan]]+TrafficData[[#This Row],[pendingChallan]]=TrafficData[[#This Row],[totalChallan]]</f>
        <v>1</v>
      </c>
      <c r="L1904" t="b">
        <f>TrafficData[[#This Row],[pendingAmount]]+TrafficData[[#This Row],[disposedAmount]]=TrafficData[[#This Row],[totalAmount]]</f>
        <v>1</v>
      </c>
      <c r="M1904" t="b">
        <f>TrafficData[[#This Row],[pendingCourt]]+TrafficData[[#This Row],[disposedCourt]]=TrafficData[[#This Row],[totalCourt]]</f>
        <v>1</v>
      </c>
      <c r="N1904" s="8" t="b">
        <f>AND(TrafficData[[#This Row],[disposedChallan]]&lt;=TrafficData[[#This Row],[totalChallan]],TrafficData[[#This Row],[pendingChallan]]&lt;=TrafficData[[#This Row],[totalChallan]])</f>
        <v>1</v>
      </c>
      <c r="O1904" s="8" t="b">
        <f>AND(TrafficData[[#This Row],[pendingAmount]]&lt;=TrafficData[[#This Row],[totalAmount]],TrafficData[[#This Row],[disposedAmount]]&lt;=TrafficData[[#This Row],[totalAmount]])</f>
        <v>1</v>
      </c>
      <c r="P1904" s="8" t="b">
        <f>AND(TrafficData[[#This Row],[pendingCourt]]&lt;=TrafficData[[#This Row],[totalCourt]],TrafficData[[#This Row],[disposedCourt]]&lt;=TrafficData[[#This Row],[totalCourt]])</f>
        <v>1</v>
      </c>
    </row>
    <row r="1905" spans="1:16">
      <c r="A1905" s="1">
        <v>43909</v>
      </c>
      <c r="B1905">
        <v>164232</v>
      </c>
      <c r="C1905">
        <v>75209</v>
      </c>
      <c r="D1905">
        <v>89023</v>
      </c>
      <c r="E1905">
        <v>135037728</v>
      </c>
      <c r="F1905">
        <v>93969364</v>
      </c>
      <c r="G1905">
        <v>229007092</v>
      </c>
      <c r="H1905">
        <v>18843</v>
      </c>
      <c r="I1905">
        <v>11029</v>
      </c>
      <c r="J1905">
        <v>29872</v>
      </c>
      <c r="K1905" t="b">
        <f>TrafficData[[#This Row],[disposedChallan]]+TrafficData[[#This Row],[pendingChallan]]=TrafficData[[#This Row],[totalChallan]]</f>
        <v>1</v>
      </c>
      <c r="L1905" t="b">
        <f>TrafficData[[#This Row],[pendingAmount]]+TrafficData[[#This Row],[disposedAmount]]=TrafficData[[#This Row],[totalAmount]]</f>
        <v>1</v>
      </c>
      <c r="M1905" t="b">
        <f>TrafficData[[#This Row],[pendingCourt]]+TrafficData[[#This Row],[disposedCourt]]=TrafficData[[#This Row],[totalCourt]]</f>
        <v>1</v>
      </c>
      <c r="N1905" s="8" t="b">
        <f>AND(TrafficData[[#This Row],[disposedChallan]]&lt;=TrafficData[[#This Row],[totalChallan]],TrafficData[[#This Row],[pendingChallan]]&lt;=TrafficData[[#This Row],[totalChallan]])</f>
        <v>1</v>
      </c>
      <c r="O1905" s="8" t="b">
        <f>AND(TrafficData[[#This Row],[pendingAmount]]&lt;=TrafficData[[#This Row],[totalAmount]],TrafficData[[#This Row],[disposedAmount]]&lt;=TrafficData[[#This Row],[totalAmount]])</f>
        <v>1</v>
      </c>
      <c r="P1905" s="8" t="b">
        <f>AND(TrafficData[[#This Row],[pendingCourt]]&lt;=TrafficData[[#This Row],[totalCourt]],TrafficData[[#This Row],[disposedCourt]]&lt;=TrafficData[[#This Row],[totalCourt]])</f>
        <v>1</v>
      </c>
    </row>
    <row r="1906" spans="1:16">
      <c r="A1906" s="1">
        <v>43910</v>
      </c>
      <c r="B1906">
        <v>151376</v>
      </c>
      <c r="C1906">
        <v>63333</v>
      </c>
      <c r="D1906">
        <v>88043</v>
      </c>
      <c r="E1906">
        <v>131180169</v>
      </c>
      <c r="F1906">
        <v>82751353</v>
      </c>
      <c r="G1906">
        <v>213931522</v>
      </c>
      <c r="H1906">
        <v>17718</v>
      </c>
      <c r="I1906">
        <v>7128</v>
      </c>
      <c r="J1906">
        <v>24846</v>
      </c>
      <c r="K1906" t="b">
        <f>TrafficData[[#This Row],[disposedChallan]]+TrafficData[[#This Row],[pendingChallan]]=TrafficData[[#This Row],[totalChallan]]</f>
        <v>1</v>
      </c>
      <c r="L1906" t="b">
        <f>TrafficData[[#This Row],[pendingAmount]]+TrafficData[[#This Row],[disposedAmount]]=TrafficData[[#This Row],[totalAmount]]</f>
        <v>1</v>
      </c>
      <c r="M1906" t="b">
        <f>TrafficData[[#This Row],[pendingCourt]]+TrafficData[[#This Row],[disposedCourt]]=TrafficData[[#This Row],[totalCourt]]</f>
        <v>1</v>
      </c>
      <c r="N1906" s="8" t="b">
        <f>AND(TrafficData[[#This Row],[disposedChallan]]&lt;=TrafficData[[#This Row],[totalChallan]],TrafficData[[#This Row],[pendingChallan]]&lt;=TrafficData[[#This Row],[totalChallan]])</f>
        <v>1</v>
      </c>
      <c r="O1906" s="8" t="b">
        <f>AND(TrafficData[[#This Row],[pendingAmount]]&lt;=TrafficData[[#This Row],[totalAmount]],TrafficData[[#This Row],[disposedAmount]]&lt;=TrafficData[[#This Row],[totalAmount]])</f>
        <v>1</v>
      </c>
      <c r="P1906" s="8" t="b">
        <f>AND(TrafficData[[#This Row],[pendingCourt]]&lt;=TrafficData[[#This Row],[totalCourt]],TrafficData[[#This Row],[disposedCourt]]&lt;=TrafficData[[#This Row],[totalCourt]])</f>
        <v>1</v>
      </c>
    </row>
    <row r="1907" spans="1:16">
      <c r="A1907" s="1">
        <v>43911</v>
      </c>
      <c r="B1907">
        <v>142211</v>
      </c>
      <c r="C1907">
        <v>56672</v>
      </c>
      <c r="D1907">
        <v>85539</v>
      </c>
      <c r="E1907">
        <v>123955875</v>
      </c>
      <c r="F1907">
        <v>68105829</v>
      </c>
      <c r="G1907">
        <v>192061704</v>
      </c>
      <c r="H1907">
        <v>15409</v>
      </c>
      <c r="I1907">
        <v>7697</v>
      </c>
      <c r="J1907">
        <v>23106</v>
      </c>
      <c r="K1907" t="b">
        <f>TrafficData[[#This Row],[disposedChallan]]+TrafficData[[#This Row],[pendingChallan]]=TrafficData[[#This Row],[totalChallan]]</f>
        <v>1</v>
      </c>
      <c r="L1907" t="b">
        <f>TrafficData[[#This Row],[pendingAmount]]+TrafficData[[#This Row],[disposedAmount]]=TrafficData[[#This Row],[totalAmount]]</f>
        <v>1</v>
      </c>
      <c r="M1907" t="b">
        <f>TrafficData[[#This Row],[pendingCourt]]+TrafficData[[#This Row],[disposedCourt]]=TrafficData[[#This Row],[totalCourt]]</f>
        <v>1</v>
      </c>
      <c r="N1907" s="8" t="b">
        <f>AND(TrafficData[[#This Row],[disposedChallan]]&lt;=TrafficData[[#This Row],[totalChallan]],TrafficData[[#This Row],[pendingChallan]]&lt;=TrafficData[[#This Row],[totalChallan]])</f>
        <v>1</v>
      </c>
      <c r="O1907" s="8" t="b">
        <f>AND(TrafficData[[#This Row],[pendingAmount]]&lt;=TrafficData[[#This Row],[totalAmount]],TrafficData[[#This Row],[disposedAmount]]&lt;=TrafficData[[#This Row],[totalAmount]])</f>
        <v>1</v>
      </c>
      <c r="P1907" s="8" t="b">
        <f>AND(TrafficData[[#This Row],[pendingCourt]]&lt;=TrafficData[[#This Row],[totalCourt]],TrafficData[[#This Row],[disposedCourt]]&lt;=TrafficData[[#This Row],[totalCourt]])</f>
        <v>1</v>
      </c>
    </row>
    <row r="1908" spans="1:16">
      <c r="A1908" s="1">
        <v>43912</v>
      </c>
      <c r="B1908">
        <v>42874</v>
      </c>
      <c r="C1908">
        <v>15470</v>
      </c>
      <c r="D1908">
        <v>27404</v>
      </c>
      <c r="E1908">
        <v>42535720</v>
      </c>
      <c r="F1908">
        <v>21515481</v>
      </c>
      <c r="G1908">
        <v>64051201</v>
      </c>
      <c r="H1908">
        <v>6284</v>
      </c>
      <c r="I1908">
        <v>3031</v>
      </c>
      <c r="J1908">
        <v>9315</v>
      </c>
      <c r="K1908" t="b">
        <f>TrafficData[[#This Row],[disposedChallan]]+TrafficData[[#This Row],[pendingChallan]]=TrafficData[[#This Row],[totalChallan]]</f>
        <v>1</v>
      </c>
      <c r="L1908" t="b">
        <f>TrafficData[[#This Row],[pendingAmount]]+TrafficData[[#This Row],[disposedAmount]]=TrafficData[[#This Row],[totalAmount]]</f>
        <v>1</v>
      </c>
      <c r="M1908" t="b">
        <f>TrafficData[[#This Row],[pendingCourt]]+TrafficData[[#This Row],[disposedCourt]]=TrafficData[[#This Row],[totalCourt]]</f>
        <v>1</v>
      </c>
      <c r="N1908" s="8" t="b">
        <f>AND(TrafficData[[#This Row],[disposedChallan]]&lt;=TrafficData[[#This Row],[totalChallan]],TrafficData[[#This Row],[pendingChallan]]&lt;=TrafficData[[#This Row],[totalChallan]])</f>
        <v>1</v>
      </c>
      <c r="O1908" s="8" t="b">
        <f>AND(TrafficData[[#This Row],[pendingAmount]]&lt;=TrafficData[[#This Row],[totalAmount]],TrafficData[[#This Row],[disposedAmount]]&lt;=TrafficData[[#This Row],[totalAmount]])</f>
        <v>1</v>
      </c>
      <c r="P1908" s="8" t="b">
        <f>AND(TrafficData[[#This Row],[pendingCourt]]&lt;=TrafficData[[#This Row],[totalCourt]],TrafficData[[#This Row],[disposedCourt]]&lt;=TrafficData[[#This Row],[totalCourt]])</f>
        <v>1</v>
      </c>
    </row>
    <row r="1909" spans="1:16">
      <c r="A1909" s="1">
        <v>43913</v>
      </c>
      <c r="B1909">
        <v>97574</v>
      </c>
      <c r="C1909">
        <v>43672</v>
      </c>
      <c r="D1909">
        <v>53902</v>
      </c>
      <c r="E1909">
        <v>76042055</v>
      </c>
      <c r="F1909">
        <v>48232757</v>
      </c>
      <c r="G1909">
        <v>124274812</v>
      </c>
      <c r="H1909">
        <v>15176</v>
      </c>
      <c r="I1909">
        <v>8517</v>
      </c>
      <c r="J1909">
        <v>23693</v>
      </c>
      <c r="K1909" t="b">
        <f>TrafficData[[#This Row],[disposedChallan]]+TrafficData[[#This Row],[pendingChallan]]=TrafficData[[#This Row],[totalChallan]]</f>
        <v>1</v>
      </c>
      <c r="L1909" t="b">
        <f>TrafficData[[#This Row],[pendingAmount]]+TrafficData[[#This Row],[disposedAmount]]=TrafficData[[#This Row],[totalAmount]]</f>
        <v>1</v>
      </c>
      <c r="M1909" t="b">
        <f>TrafficData[[#This Row],[pendingCourt]]+TrafficData[[#This Row],[disposedCourt]]=TrafficData[[#This Row],[totalCourt]]</f>
        <v>1</v>
      </c>
      <c r="N1909" s="8" t="b">
        <f>AND(TrafficData[[#This Row],[disposedChallan]]&lt;=TrafficData[[#This Row],[totalChallan]],TrafficData[[#This Row],[pendingChallan]]&lt;=TrafficData[[#This Row],[totalChallan]])</f>
        <v>1</v>
      </c>
      <c r="O1909" s="8" t="b">
        <f>AND(TrafficData[[#This Row],[pendingAmount]]&lt;=TrafficData[[#This Row],[totalAmount]],TrafficData[[#This Row],[disposedAmount]]&lt;=TrafficData[[#This Row],[totalAmount]])</f>
        <v>1</v>
      </c>
      <c r="P1909" s="8" t="b">
        <f>AND(TrafficData[[#This Row],[pendingCourt]]&lt;=TrafficData[[#This Row],[totalCourt]],TrafficData[[#This Row],[disposedCourt]]&lt;=TrafficData[[#This Row],[totalCourt]])</f>
        <v>1</v>
      </c>
    </row>
    <row r="1910" spans="1:16">
      <c r="A1910" s="1">
        <v>43914</v>
      </c>
      <c r="B1910">
        <v>73047</v>
      </c>
      <c r="C1910">
        <v>35077</v>
      </c>
      <c r="D1910">
        <v>37970</v>
      </c>
      <c r="E1910">
        <v>60769515</v>
      </c>
      <c r="F1910">
        <v>40356457</v>
      </c>
      <c r="G1910">
        <v>101125972</v>
      </c>
      <c r="H1910">
        <v>18262</v>
      </c>
      <c r="I1910">
        <v>9347</v>
      </c>
      <c r="J1910">
        <v>27609</v>
      </c>
      <c r="K1910" t="b">
        <f>TrafficData[[#This Row],[disposedChallan]]+TrafficData[[#This Row],[pendingChallan]]=TrafficData[[#This Row],[totalChallan]]</f>
        <v>1</v>
      </c>
      <c r="L1910" t="b">
        <f>TrafficData[[#This Row],[pendingAmount]]+TrafficData[[#This Row],[disposedAmount]]=TrafficData[[#This Row],[totalAmount]]</f>
        <v>1</v>
      </c>
      <c r="M1910" t="b">
        <f>TrafficData[[#This Row],[pendingCourt]]+TrafficData[[#This Row],[disposedCourt]]=TrafficData[[#This Row],[totalCourt]]</f>
        <v>1</v>
      </c>
      <c r="N1910" s="8" t="b">
        <f>AND(TrafficData[[#This Row],[disposedChallan]]&lt;=TrafficData[[#This Row],[totalChallan]],TrafficData[[#This Row],[pendingChallan]]&lt;=TrafficData[[#This Row],[totalChallan]])</f>
        <v>1</v>
      </c>
      <c r="O1910" s="8" t="b">
        <f>AND(TrafficData[[#This Row],[pendingAmount]]&lt;=TrafficData[[#This Row],[totalAmount]],TrafficData[[#This Row],[disposedAmount]]&lt;=TrafficData[[#This Row],[totalAmount]])</f>
        <v>1</v>
      </c>
      <c r="P1910" s="8" t="b">
        <f>AND(TrafficData[[#This Row],[pendingCourt]]&lt;=TrafficData[[#This Row],[totalCourt]],TrafficData[[#This Row],[disposedCourt]]&lt;=TrafficData[[#This Row],[totalCourt]])</f>
        <v>1</v>
      </c>
    </row>
    <row r="1911" spans="1:16">
      <c r="A1911" s="1">
        <v>43915</v>
      </c>
      <c r="B1911">
        <v>53059</v>
      </c>
      <c r="C1911">
        <v>24636</v>
      </c>
      <c r="D1911">
        <v>28423</v>
      </c>
      <c r="E1911">
        <v>40767894</v>
      </c>
      <c r="F1911">
        <v>26295786</v>
      </c>
      <c r="G1911">
        <v>67063680</v>
      </c>
      <c r="H1911">
        <v>13161</v>
      </c>
      <c r="I1911">
        <v>6590</v>
      </c>
      <c r="J1911">
        <v>19751</v>
      </c>
      <c r="K1911" t="b">
        <f>TrafficData[[#This Row],[disposedChallan]]+TrafficData[[#This Row],[pendingChallan]]=TrafficData[[#This Row],[totalChallan]]</f>
        <v>1</v>
      </c>
      <c r="L1911" t="b">
        <f>TrafficData[[#This Row],[pendingAmount]]+TrafficData[[#This Row],[disposedAmount]]=TrafficData[[#This Row],[totalAmount]]</f>
        <v>1</v>
      </c>
      <c r="M1911" t="b">
        <f>TrafficData[[#This Row],[pendingCourt]]+TrafficData[[#This Row],[disposedCourt]]=TrafficData[[#This Row],[totalCourt]]</f>
        <v>1</v>
      </c>
      <c r="N1911" s="8" t="b">
        <f>AND(TrafficData[[#This Row],[disposedChallan]]&lt;=TrafficData[[#This Row],[totalChallan]],TrafficData[[#This Row],[pendingChallan]]&lt;=TrafficData[[#This Row],[totalChallan]])</f>
        <v>1</v>
      </c>
      <c r="O1911" s="8" t="b">
        <f>AND(TrafficData[[#This Row],[pendingAmount]]&lt;=TrafficData[[#This Row],[totalAmount]],TrafficData[[#This Row],[disposedAmount]]&lt;=TrafficData[[#This Row],[totalAmount]])</f>
        <v>1</v>
      </c>
      <c r="P1911" s="8" t="b">
        <f>AND(TrafficData[[#This Row],[pendingCourt]]&lt;=TrafficData[[#This Row],[totalCourt]],TrafficData[[#This Row],[disposedCourt]]&lt;=TrafficData[[#This Row],[totalCourt]])</f>
        <v>1</v>
      </c>
    </row>
    <row r="1912" spans="1:16">
      <c r="A1912" s="1">
        <v>43916</v>
      </c>
      <c r="B1912">
        <v>48015</v>
      </c>
      <c r="C1912">
        <v>20669</v>
      </c>
      <c r="D1912">
        <v>27346</v>
      </c>
      <c r="E1912">
        <v>35948581</v>
      </c>
      <c r="F1912">
        <v>21413801</v>
      </c>
      <c r="G1912">
        <v>57362382</v>
      </c>
      <c r="H1912">
        <v>10386</v>
      </c>
      <c r="I1912">
        <v>4822</v>
      </c>
      <c r="J1912">
        <v>15208</v>
      </c>
      <c r="K1912" t="b">
        <f>TrafficData[[#This Row],[disposedChallan]]+TrafficData[[#This Row],[pendingChallan]]=TrafficData[[#This Row],[totalChallan]]</f>
        <v>1</v>
      </c>
      <c r="L1912" t="b">
        <f>TrafficData[[#This Row],[pendingAmount]]+TrafficData[[#This Row],[disposedAmount]]=TrafficData[[#This Row],[totalAmount]]</f>
        <v>1</v>
      </c>
      <c r="M1912" t="b">
        <f>TrafficData[[#This Row],[pendingCourt]]+TrafficData[[#This Row],[disposedCourt]]=TrafficData[[#This Row],[totalCourt]]</f>
        <v>1</v>
      </c>
      <c r="N1912" s="8" t="b">
        <f>AND(TrafficData[[#This Row],[disposedChallan]]&lt;=TrafficData[[#This Row],[totalChallan]],TrafficData[[#This Row],[pendingChallan]]&lt;=TrafficData[[#This Row],[totalChallan]])</f>
        <v>1</v>
      </c>
      <c r="O1912" s="8" t="b">
        <f>AND(TrafficData[[#This Row],[pendingAmount]]&lt;=TrafficData[[#This Row],[totalAmount]],TrafficData[[#This Row],[disposedAmount]]&lt;=TrafficData[[#This Row],[totalAmount]])</f>
        <v>1</v>
      </c>
      <c r="P1912" s="8" t="b">
        <f>AND(TrafficData[[#This Row],[pendingCourt]]&lt;=TrafficData[[#This Row],[totalCourt]],TrafficData[[#This Row],[disposedCourt]]&lt;=TrafficData[[#This Row],[totalCourt]])</f>
        <v>1</v>
      </c>
    </row>
    <row r="1913" spans="1:16">
      <c r="A1913" s="1">
        <v>43917</v>
      </c>
      <c r="B1913">
        <v>42563</v>
      </c>
      <c r="C1913">
        <v>17705</v>
      </c>
      <c r="D1913">
        <v>24858</v>
      </c>
      <c r="E1913">
        <v>32185307</v>
      </c>
      <c r="F1913">
        <v>17698954</v>
      </c>
      <c r="G1913">
        <v>49884261</v>
      </c>
      <c r="H1913">
        <v>7159</v>
      </c>
      <c r="I1913">
        <v>3943</v>
      </c>
      <c r="J1913">
        <v>11102</v>
      </c>
      <c r="K1913" t="b">
        <f>TrafficData[[#This Row],[disposedChallan]]+TrafficData[[#This Row],[pendingChallan]]=TrafficData[[#This Row],[totalChallan]]</f>
        <v>1</v>
      </c>
      <c r="L1913" t="b">
        <f>TrafficData[[#This Row],[pendingAmount]]+TrafficData[[#This Row],[disposedAmount]]=TrafficData[[#This Row],[totalAmount]]</f>
        <v>1</v>
      </c>
      <c r="M1913" t="b">
        <f>TrafficData[[#This Row],[pendingCourt]]+TrafficData[[#This Row],[disposedCourt]]=TrafficData[[#This Row],[totalCourt]]</f>
        <v>1</v>
      </c>
      <c r="N1913" s="8" t="b">
        <f>AND(TrafficData[[#This Row],[disposedChallan]]&lt;=TrafficData[[#This Row],[totalChallan]],TrafficData[[#This Row],[pendingChallan]]&lt;=TrafficData[[#This Row],[totalChallan]])</f>
        <v>1</v>
      </c>
      <c r="O1913" s="8" t="b">
        <f>AND(TrafficData[[#This Row],[pendingAmount]]&lt;=TrafficData[[#This Row],[totalAmount]],TrafficData[[#This Row],[disposedAmount]]&lt;=TrafficData[[#This Row],[totalAmount]])</f>
        <v>1</v>
      </c>
      <c r="P1913" s="8" t="b">
        <f>AND(TrafficData[[#This Row],[pendingCourt]]&lt;=TrafficData[[#This Row],[totalCourt]],TrafficData[[#This Row],[disposedCourt]]&lt;=TrafficData[[#This Row],[totalCourt]])</f>
        <v>1</v>
      </c>
    </row>
    <row r="1914" spans="1:16">
      <c r="A1914" s="1">
        <v>43918</v>
      </c>
      <c r="B1914">
        <v>38587</v>
      </c>
      <c r="C1914">
        <v>16306</v>
      </c>
      <c r="D1914">
        <v>22281</v>
      </c>
      <c r="E1914">
        <v>28588690</v>
      </c>
      <c r="F1914">
        <v>16198240</v>
      </c>
      <c r="G1914">
        <v>44786930</v>
      </c>
      <c r="H1914">
        <v>6550</v>
      </c>
      <c r="I1914">
        <v>3588</v>
      </c>
      <c r="J1914">
        <v>10138</v>
      </c>
      <c r="K1914" t="b">
        <f>TrafficData[[#This Row],[disposedChallan]]+TrafficData[[#This Row],[pendingChallan]]=TrafficData[[#This Row],[totalChallan]]</f>
        <v>1</v>
      </c>
      <c r="L1914" t="b">
        <f>TrafficData[[#This Row],[pendingAmount]]+TrafficData[[#This Row],[disposedAmount]]=TrafficData[[#This Row],[totalAmount]]</f>
        <v>1</v>
      </c>
      <c r="M1914" t="b">
        <f>TrafficData[[#This Row],[pendingCourt]]+TrafficData[[#This Row],[disposedCourt]]=TrafficData[[#This Row],[totalCourt]]</f>
        <v>1</v>
      </c>
      <c r="N1914" s="8" t="b">
        <f>AND(TrafficData[[#This Row],[disposedChallan]]&lt;=TrafficData[[#This Row],[totalChallan]],TrafficData[[#This Row],[pendingChallan]]&lt;=TrafficData[[#This Row],[totalChallan]])</f>
        <v>1</v>
      </c>
      <c r="O1914" s="8" t="b">
        <f>AND(TrafficData[[#This Row],[pendingAmount]]&lt;=TrafficData[[#This Row],[totalAmount]],TrafficData[[#This Row],[disposedAmount]]&lt;=TrafficData[[#This Row],[totalAmount]])</f>
        <v>1</v>
      </c>
      <c r="P1914" s="8" t="b">
        <f>AND(TrafficData[[#This Row],[pendingCourt]]&lt;=TrafficData[[#This Row],[totalCourt]],TrafficData[[#This Row],[disposedCourt]]&lt;=TrafficData[[#This Row],[totalCourt]])</f>
        <v>1</v>
      </c>
    </row>
    <row r="1915" spans="1:16">
      <c r="A1915" s="1">
        <v>43919</v>
      </c>
      <c r="B1915">
        <v>35462</v>
      </c>
      <c r="C1915">
        <v>14310</v>
      </c>
      <c r="D1915">
        <v>21152</v>
      </c>
      <c r="E1915">
        <v>25517370</v>
      </c>
      <c r="F1915">
        <v>14568958</v>
      </c>
      <c r="G1915">
        <v>40086328</v>
      </c>
      <c r="H1915">
        <v>6505</v>
      </c>
      <c r="I1915">
        <v>3374</v>
      </c>
      <c r="J1915">
        <v>9879</v>
      </c>
      <c r="K1915" t="b">
        <f>TrafficData[[#This Row],[disposedChallan]]+TrafficData[[#This Row],[pendingChallan]]=TrafficData[[#This Row],[totalChallan]]</f>
        <v>1</v>
      </c>
      <c r="L1915" t="b">
        <f>TrafficData[[#This Row],[pendingAmount]]+TrafficData[[#This Row],[disposedAmount]]=TrafficData[[#This Row],[totalAmount]]</f>
        <v>1</v>
      </c>
      <c r="M1915" t="b">
        <f>TrafficData[[#This Row],[pendingCourt]]+TrafficData[[#This Row],[disposedCourt]]=TrafficData[[#This Row],[totalCourt]]</f>
        <v>1</v>
      </c>
      <c r="N1915" s="8" t="b">
        <f>AND(TrafficData[[#This Row],[disposedChallan]]&lt;=TrafficData[[#This Row],[totalChallan]],TrafficData[[#This Row],[pendingChallan]]&lt;=TrafficData[[#This Row],[totalChallan]])</f>
        <v>1</v>
      </c>
      <c r="O1915" s="8" t="b">
        <f>AND(TrafficData[[#This Row],[pendingAmount]]&lt;=TrafficData[[#This Row],[totalAmount]],TrafficData[[#This Row],[disposedAmount]]&lt;=TrafficData[[#This Row],[totalAmount]])</f>
        <v>1</v>
      </c>
      <c r="P1915" s="8" t="b">
        <f>AND(TrafficData[[#This Row],[pendingCourt]]&lt;=TrafficData[[#This Row],[totalCourt]],TrafficData[[#This Row],[disposedCourt]]&lt;=TrafficData[[#This Row],[totalCourt]])</f>
        <v>1</v>
      </c>
    </row>
    <row r="1916" spans="1:16">
      <c r="A1916" s="1">
        <v>43920</v>
      </c>
      <c r="B1916">
        <v>49416</v>
      </c>
      <c r="C1916">
        <v>20305</v>
      </c>
      <c r="D1916">
        <v>29111</v>
      </c>
      <c r="E1916">
        <v>36580495</v>
      </c>
      <c r="F1916">
        <v>20796095</v>
      </c>
      <c r="G1916">
        <v>57376590</v>
      </c>
      <c r="H1916">
        <v>9235</v>
      </c>
      <c r="I1916">
        <v>4819</v>
      </c>
      <c r="J1916">
        <v>14054</v>
      </c>
      <c r="K1916" t="b">
        <f>TrafficData[[#This Row],[disposedChallan]]+TrafficData[[#This Row],[pendingChallan]]=TrafficData[[#This Row],[totalChallan]]</f>
        <v>1</v>
      </c>
      <c r="L1916" t="b">
        <f>TrafficData[[#This Row],[pendingAmount]]+TrafficData[[#This Row],[disposedAmount]]=TrafficData[[#This Row],[totalAmount]]</f>
        <v>1</v>
      </c>
      <c r="M1916" t="b">
        <f>TrafficData[[#This Row],[pendingCourt]]+TrafficData[[#This Row],[disposedCourt]]=TrafficData[[#This Row],[totalCourt]]</f>
        <v>1</v>
      </c>
      <c r="N1916" s="8" t="b">
        <f>AND(TrafficData[[#This Row],[disposedChallan]]&lt;=TrafficData[[#This Row],[totalChallan]],TrafficData[[#This Row],[pendingChallan]]&lt;=TrafficData[[#This Row],[totalChallan]])</f>
        <v>1</v>
      </c>
      <c r="O1916" s="8" t="b">
        <f>AND(TrafficData[[#This Row],[pendingAmount]]&lt;=TrafficData[[#This Row],[totalAmount]],TrafficData[[#This Row],[disposedAmount]]&lt;=TrafficData[[#This Row],[totalAmount]])</f>
        <v>1</v>
      </c>
      <c r="P1916" s="8" t="b">
        <f>AND(TrafficData[[#This Row],[pendingCourt]]&lt;=TrafficData[[#This Row],[totalCourt]],TrafficData[[#This Row],[disposedCourt]]&lt;=TrafficData[[#This Row],[totalCourt]])</f>
        <v>1</v>
      </c>
    </row>
    <row r="1917" spans="1:16">
      <c r="A1917" s="1">
        <v>43921</v>
      </c>
      <c r="B1917">
        <v>54470</v>
      </c>
      <c r="C1917">
        <v>21702</v>
      </c>
      <c r="D1917">
        <v>32768</v>
      </c>
      <c r="E1917">
        <v>39402195</v>
      </c>
      <c r="F1917">
        <v>21470350</v>
      </c>
      <c r="G1917">
        <v>60872545</v>
      </c>
      <c r="H1917">
        <v>11396</v>
      </c>
      <c r="I1917">
        <v>4649</v>
      </c>
      <c r="J1917">
        <v>16045</v>
      </c>
      <c r="K1917" t="b">
        <f>TrafficData[[#This Row],[disposedChallan]]+TrafficData[[#This Row],[pendingChallan]]=TrafficData[[#This Row],[totalChallan]]</f>
        <v>1</v>
      </c>
      <c r="L1917" t="b">
        <f>TrafficData[[#This Row],[pendingAmount]]+TrafficData[[#This Row],[disposedAmount]]=TrafficData[[#This Row],[totalAmount]]</f>
        <v>1</v>
      </c>
      <c r="M1917" t="b">
        <f>TrafficData[[#This Row],[pendingCourt]]+TrafficData[[#This Row],[disposedCourt]]=TrafficData[[#This Row],[totalCourt]]</f>
        <v>1</v>
      </c>
      <c r="N1917" s="8" t="b">
        <f>AND(TrafficData[[#This Row],[disposedChallan]]&lt;=TrafficData[[#This Row],[totalChallan]],TrafficData[[#This Row],[pendingChallan]]&lt;=TrafficData[[#This Row],[totalChallan]])</f>
        <v>1</v>
      </c>
      <c r="O1917" s="8" t="b">
        <f>AND(TrafficData[[#This Row],[pendingAmount]]&lt;=TrafficData[[#This Row],[totalAmount]],TrafficData[[#This Row],[disposedAmount]]&lt;=TrafficData[[#This Row],[totalAmount]])</f>
        <v>1</v>
      </c>
      <c r="P1917" s="8" t="b">
        <f>AND(TrafficData[[#This Row],[pendingCourt]]&lt;=TrafficData[[#This Row],[totalCourt]],TrafficData[[#This Row],[disposedCourt]]&lt;=TrafficData[[#This Row],[totalCourt]])</f>
        <v>1</v>
      </c>
    </row>
    <row r="1918" spans="1:16">
      <c r="A1918" s="1">
        <v>43922</v>
      </c>
      <c r="B1918">
        <v>49376</v>
      </c>
      <c r="C1918">
        <v>21468</v>
      </c>
      <c r="D1918">
        <v>27908</v>
      </c>
      <c r="E1918">
        <v>32646450</v>
      </c>
      <c r="F1918">
        <v>20009195</v>
      </c>
      <c r="G1918">
        <v>52655645</v>
      </c>
      <c r="H1918">
        <v>10173</v>
      </c>
      <c r="I1918">
        <v>5357</v>
      </c>
      <c r="J1918">
        <v>15530</v>
      </c>
      <c r="K1918" t="b">
        <f>TrafficData[[#This Row],[disposedChallan]]+TrafficData[[#This Row],[pendingChallan]]=TrafficData[[#This Row],[totalChallan]]</f>
        <v>1</v>
      </c>
      <c r="L1918" t="b">
        <f>TrafficData[[#This Row],[pendingAmount]]+TrafficData[[#This Row],[disposedAmount]]=TrafficData[[#This Row],[totalAmount]]</f>
        <v>1</v>
      </c>
      <c r="M1918" t="b">
        <f>TrafficData[[#This Row],[pendingCourt]]+TrafficData[[#This Row],[disposedCourt]]=TrafficData[[#This Row],[totalCourt]]</f>
        <v>1</v>
      </c>
      <c r="N1918" s="8" t="b">
        <f>AND(TrafficData[[#This Row],[disposedChallan]]&lt;=TrafficData[[#This Row],[totalChallan]],TrafficData[[#This Row],[pendingChallan]]&lt;=TrafficData[[#This Row],[totalChallan]])</f>
        <v>1</v>
      </c>
      <c r="O1918" s="8" t="b">
        <f>AND(TrafficData[[#This Row],[pendingAmount]]&lt;=TrafficData[[#This Row],[totalAmount]],TrafficData[[#This Row],[disposedAmount]]&lt;=TrafficData[[#This Row],[totalAmount]])</f>
        <v>1</v>
      </c>
      <c r="P1918" s="8" t="b">
        <f>AND(TrafficData[[#This Row],[pendingCourt]]&lt;=TrafficData[[#This Row],[totalCourt]],TrafficData[[#This Row],[disposedCourt]]&lt;=TrafficData[[#This Row],[totalCourt]])</f>
        <v>1</v>
      </c>
    </row>
    <row r="1919" spans="1:16">
      <c r="A1919" s="1">
        <v>43923</v>
      </c>
      <c r="B1919">
        <v>45937</v>
      </c>
      <c r="C1919">
        <v>20351</v>
      </c>
      <c r="D1919">
        <v>25586</v>
      </c>
      <c r="E1919">
        <v>30416035</v>
      </c>
      <c r="F1919">
        <v>17299398</v>
      </c>
      <c r="G1919">
        <v>47715433</v>
      </c>
      <c r="H1919">
        <v>10697</v>
      </c>
      <c r="I1919">
        <v>5253</v>
      </c>
      <c r="J1919">
        <v>15950</v>
      </c>
      <c r="K1919" t="b">
        <f>TrafficData[[#This Row],[disposedChallan]]+TrafficData[[#This Row],[pendingChallan]]=TrafficData[[#This Row],[totalChallan]]</f>
        <v>1</v>
      </c>
      <c r="L1919" t="b">
        <f>TrafficData[[#This Row],[pendingAmount]]+TrafficData[[#This Row],[disposedAmount]]=TrafficData[[#This Row],[totalAmount]]</f>
        <v>1</v>
      </c>
      <c r="M1919" t="b">
        <f>TrafficData[[#This Row],[pendingCourt]]+TrafficData[[#This Row],[disposedCourt]]=TrafficData[[#This Row],[totalCourt]]</f>
        <v>1</v>
      </c>
      <c r="N1919" s="8" t="b">
        <f>AND(TrafficData[[#This Row],[disposedChallan]]&lt;=TrafficData[[#This Row],[totalChallan]],TrafficData[[#This Row],[pendingChallan]]&lt;=TrafficData[[#This Row],[totalChallan]])</f>
        <v>1</v>
      </c>
      <c r="O1919" s="8" t="b">
        <f>AND(TrafficData[[#This Row],[pendingAmount]]&lt;=TrafficData[[#This Row],[totalAmount]],TrafficData[[#This Row],[disposedAmount]]&lt;=TrafficData[[#This Row],[totalAmount]])</f>
        <v>1</v>
      </c>
      <c r="P1919" s="8" t="b">
        <f>AND(TrafficData[[#This Row],[pendingCourt]]&lt;=TrafficData[[#This Row],[totalCourt]],TrafficData[[#This Row],[disposedCourt]]&lt;=TrafficData[[#This Row],[totalCourt]])</f>
        <v>1</v>
      </c>
    </row>
    <row r="1920" spans="1:16">
      <c r="A1920" s="1">
        <v>43924</v>
      </c>
      <c r="B1920">
        <v>52882</v>
      </c>
      <c r="C1920">
        <v>23503</v>
      </c>
      <c r="D1920">
        <v>29379</v>
      </c>
      <c r="E1920">
        <v>38787560</v>
      </c>
      <c r="F1920">
        <v>21453055</v>
      </c>
      <c r="G1920">
        <v>60240615</v>
      </c>
      <c r="H1920">
        <v>10451</v>
      </c>
      <c r="I1920">
        <v>5919</v>
      </c>
      <c r="J1920">
        <v>16370</v>
      </c>
      <c r="K1920" t="b">
        <f>TrafficData[[#This Row],[disposedChallan]]+TrafficData[[#This Row],[pendingChallan]]=TrafficData[[#This Row],[totalChallan]]</f>
        <v>1</v>
      </c>
      <c r="L1920" t="b">
        <f>TrafficData[[#This Row],[pendingAmount]]+TrafficData[[#This Row],[disposedAmount]]=TrafficData[[#This Row],[totalAmount]]</f>
        <v>1</v>
      </c>
      <c r="M1920" t="b">
        <f>TrafficData[[#This Row],[pendingCourt]]+TrafficData[[#This Row],[disposedCourt]]=TrafficData[[#This Row],[totalCourt]]</f>
        <v>1</v>
      </c>
      <c r="N1920" s="8" t="b">
        <f>AND(TrafficData[[#This Row],[disposedChallan]]&lt;=TrafficData[[#This Row],[totalChallan]],TrafficData[[#This Row],[pendingChallan]]&lt;=TrafficData[[#This Row],[totalChallan]])</f>
        <v>1</v>
      </c>
      <c r="O1920" s="8" t="b">
        <f>AND(TrafficData[[#This Row],[pendingAmount]]&lt;=TrafficData[[#This Row],[totalAmount]],TrafficData[[#This Row],[disposedAmount]]&lt;=TrafficData[[#This Row],[totalAmount]])</f>
        <v>1</v>
      </c>
      <c r="P1920" s="8" t="b">
        <f>AND(TrafficData[[#This Row],[pendingCourt]]&lt;=TrafficData[[#This Row],[totalCourt]],TrafficData[[#This Row],[disposedCourt]]&lt;=TrafficData[[#This Row],[totalCourt]])</f>
        <v>1</v>
      </c>
    </row>
    <row r="1921" spans="1:16">
      <c r="A1921" s="1">
        <v>43925</v>
      </c>
      <c r="B1921">
        <v>54628</v>
      </c>
      <c r="C1921">
        <v>22506</v>
      </c>
      <c r="D1921">
        <v>32122</v>
      </c>
      <c r="E1921">
        <v>40300795</v>
      </c>
      <c r="F1921">
        <v>22142231</v>
      </c>
      <c r="G1921">
        <v>62443026</v>
      </c>
      <c r="H1921">
        <v>12973</v>
      </c>
      <c r="I1921">
        <v>4911</v>
      </c>
      <c r="J1921">
        <v>17884</v>
      </c>
      <c r="K1921" t="b">
        <f>TrafficData[[#This Row],[disposedChallan]]+TrafficData[[#This Row],[pendingChallan]]=TrafficData[[#This Row],[totalChallan]]</f>
        <v>1</v>
      </c>
      <c r="L1921" t="b">
        <f>TrafficData[[#This Row],[pendingAmount]]+TrafficData[[#This Row],[disposedAmount]]=TrafficData[[#This Row],[totalAmount]]</f>
        <v>1</v>
      </c>
      <c r="M1921" t="b">
        <f>TrafficData[[#This Row],[pendingCourt]]+TrafficData[[#This Row],[disposedCourt]]=TrafficData[[#This Row],[totalCourt]]</f>
        <v>1</v>
      </c>
      <c r="N1921" s="8" t="b">
        <f>AND(TrafficData[[#This Row],[disposedChallan]]&lt;=TrafficData[[#This Row],[totalChallan]],TrafficData[[#This Row],[pendingChallan]]&lt;=TrafficData[[#This Row],[totalChallan]])</f>
        <v>1</v>
      </c>
      <c r="O1921" s="8" t="b">
        <f>AND(TrafficData[[#This Row],[pendingAmount]]&lt;=TrafficData[[#This Row],[totalAmount]],TrafficData[[#This Row],[disposedAmount]]&lt;=TrafficData[[#This Row],[totalAmount]])</f>
        <v>1</v>
      </c>
      <c r="P1921" s="8" t="b">
        <f>AND(TrafficData[[#This Row],[pendingCourt]]&lt;=TrafficData[[#This Row],[totalCourt]],TrafficData[[#This Row],[disposedCourt]]&lt;=TrafficData[[#This Row],[totalCourt]])</f>
        <v>1</v>
      </c>
    </row>
    <row r="1922" spans="1:16">
      <c r="A1922" s="1">
        <v>43926</v>
      </c>
      <c r="B1922">
        <v>45483</v>
      </c>
      <c r="C1922">
        <v>18418</v>
      </c>
      <c r="D1922">
        <v>27065</v>
      </c>
      <c r="E1922">
        <v>31928061</v>
      </c>
      <c r="F1922">
        <v>17091385</v>
      </c>
      <c r="G1922">
        <v>49019446</v>
      </c>
      <c r="H1922">
        <v>12166</v>
      </c>
      <c r="I1922">
        <v>4225</v>
      </c>
      <c r="J1922">
        <v>16391</v>
      </c>
      <c r="K1922" t="b">
        <f>TrafficData[[#This Row],[disposedChallan]]+TrafficData[[#This Row],[pendingChallan]]=TrafficData[[#This Row],[totalChallan]]</f>
        <v>1</v>
      </c>
      <c r="L1922" t="b">
        <f>TrafficData[[#This Row],[pendingAmount]]+TrafficData[[#This Row],[disposedAmount]]=TrafficData[[#This Row],[totalAmount]]</f>
        <v>1</v>
      </c>
      <c r="M1922" t="b">
        <f>TrafficData[[#This Row],[pendingCourt]]+TrafficData[[#This Row],[disposedCourt]]=TrafficData[[#This Row],[totalCourt]]</f>
        <v>1</v>
      </c>
      <c r="N1922" s="8" t="b">
        <f>AND(TrafficData[[#This Row],[disposedChallan]]&lt;=TrafficData[[#This Row],[totalChallan]],TrafficData[[#This Row],[pendingChallan]]&lt;=TrafficData[[#This Row],[totalChallan]])</f>
        <v>1</v>
      </c>
      <c r="O1922" s="8" t="b">
        <f>AND(TrafficData[[#This Row],[pendingAmount]]&lt;=TrafficData[[#This Row],[totalAmount]],TrafficData[[#This Row],[disposedAmount]]&lt;=TrafficData[[#This Row],[totalAmount]])</f>
        <v>1</v>
      </c>
      <c r="P1922" s="8" t="b">
        <f>AND(TrafficData[[#This Row],[pendingCourt]]&lt;=TrafficData[[#This Row],[totalCourt]],TrafficData[[#This Row],[disposedCourt]]&lt;=TrafficData[[#This Row],[totalCourt]])</f>
        <v>1</v>
      </c>
    </row>
    <row r="1923" spans="1:16">
      <c r="A1923" s="1">
        <v>43927</v>
      </c>
      <c r="B1923">
        <v>54417</v>
      </c>
      <c r="C1923">
        <v>22852</v>
      </c>
      <c r="D1923">
        <v>31565</v>
      </c>
      <c r="E1923">
        <v>38193461</v>
      </c>
      <c r="F1923">
        <v>21922493</v>
      </c>
      <c r="G1923">
        <v>60115954</v>
      </c>
      <c r="H1923">
        <v>14818</v>
      </c>
      <c r="I1923">
        <v>4481</v>
      </c>
      <c r="J1923">
        <v>19299</v>
      </c>
      <c r="K1923" t="b">
        <f>TrafficData[[#This Row],[disposedChallan]]+TrafficData[[#This Row],[pendingChallan]]=TrafficData[[#This Row],[totalChallan]]</f>
        <v>1</v>
      </c>
      <c r="L1923" t="b">
        <f>TrafficData[[#This Row],[pendingAmount]]+TrafficData[[#This Row],[disposedAmount]]=TrafficData[[#This Row],[totalAmount]]</f>
        <v>1</v>
      </c>
      <c r="M1923" t="b">
        <f>TrafficData[[#This Row],[pendingCourt]]+TrafficData[[#This Row],[disposedCourt]]=TrafficData[[#This Row],[totalCourt]]</f>
        <v>1</v>
      </c>
      <c r="N1923" s="8" t="b">
        <f>AND(TrafficData[[#This Row],[disposedChallan]]&lt;=TrafficData[[#This Row],[totalChallan]],TrafficData[[#This Row],[pendingChallan]]&lt;=TrafficData[[#This Row],[totalChallan]])</f>
        <v>1</v>
      </c>
      <c r="O1923" s="8" t="b">
        <f>AND(TrafficData[[#This Row],[pendingAmount]]&lt;=TrafficData[[#This Row],[totalAmount]],TrafficData[[#This Row],[disposedAmount]]&lt;=TrafficData[[#This Row],[totalAmount]])</f>
        <v>1</v>
      </c>
      <c r="P1923" s="8" t="b">
        <f>AND(TrafficData[[#This Row],[pendingCourt]]&lt;=TrafficData[[#This Row],[totalCourt]],TrafficData[[#This Row],[disposedCourt]]&lt;=TrafficData[[#This Row],[totalCourt]])</f>
        <v>1</v>
      </c>
    </row>
    <row r="1924" spans="1:16">
      <c r="A1924" s="1">
        <v>43928</v>
      </c>
      <c r="B1924">
        <v>61269</v>
      </c>
      <c r="C1924">
        <v>26420</v>
      </c>
      <c r="D1924">
        <v>34849</v>
      </c>
      <c r="E1924">
        <v>44829120</v>
      </c>
      <c r="F1924">
        <v>25921071</v>
      </c>
      <c r="G1924">
        <v>70750191</v>
      </c>
      <c r="H1924">
        <v>14293</v>
      </c>
      <c r="I1924">
        <v>4715</v>
      </c>
      <c r="J1924">
        <v>19008</v>
      </c>
      <c r="K1924" t="b">
        <f>TrafficData[[#This Row],[disposedChallan]]+TrafficData[[#This Row],[pendingChallan]]=TrafficData[[#This Row],[totalChallan]]</f>
        <v>1</v>
      </c>
      <c r="L1924" t="b">
        <f>TrafficData[[#This Row],[pendingAmount]]+TrafficData[[#This Row],[disposedAmount]]=TrafficData[[#This Row],[totalAmount]]</f>
        <v>1</v>
      </c>
      <c r="M1924" t="b">
        <f>TrafficData[[#This Row],[pendingCourt]]+TrafficData[[#This Row],[disposedCourt]]=TrafficData[[#This Row],[totalCourt]]</f>
        <v>1</v>
      </c>
      <c r="N1924" s="8" t="b">
        <f>AND(TrafficData[[#This Row],[disposedChallan]]&lt;=TrafficData[[#This Row],[totalChallan]],TrafficData[[#This Row],[pendingChallan]]&lt;=TrafficData[[#This Row],[totalChallan]])</f>
        <v>1</v>
      </c>
      <c r="O1924" s="8" t="b">
        <f>AND(TrafficData[[#This Row],[pendingAmount]]&lt;=TrafficData[[#This Row],[totalAmount]],TrafficData[[#This Row],[disposedAmount]]&lt;=TrafficData[[#This Row],[totalAmount]])</f>
        <v>1</v>
      </c>
      <c r="P1924" s="8" t="b">
        <f>AND(TrafficData[[#This Row],[pendingCourt]]&lt;=TrafficData[[#This Row],[totalCourt]],TrafficData[[#This Row],[disposedCourt]]&lt;=TrafficData[[#This Row],[totalCourt]])</f>
        <v>1</v>
      </c>
    </row>
    <row r="1925" spans="1:16">
      <c r="A1925" s="1">
        <v>43929</v>
      </c>
      <c r="B1925">
        <v>67083</v>
      </c>
      <c r="C1925">
        <v>29164</v>
      </c>
      <c r="D1925">
        <v>37919</v>
      </c>
      <c r="E1925">
        <v>46223800</v>
      </c>
      <c r="F1925">
        <v>26083253</v>
      </c>
      <c r="G1925">
        <v>72307053</v>
      </c>
      <c r="H1925">
        <v>17450</v>
      </c>
      <c r="I1925">
        <v>6478</v>
      </c>
      <c r="J1925">
        <v>23928</v>
      </c>
      <c r="K1925" t="b">
        <f>TrafficData[[#This Row],[disposedChallan]]+TrafficData[[#This Row],[pendingChallan]]=TrafficData[[#This Row],[totalChallan]]</f>
        <v>1</v>
      </c>
      <c r="L1925" t="b">
        <f>TrafficData[[#This Row],[pendingAmount]]+TrafficData[[#This Row],[disposedAmount]]=TrafficData[[#This Row],[totalAmount]]</f>
        <v>1</v>
      </c>
      <c r="M1925" t="b">
        <f>TrafficData[[#This Row],[pendingCourt]]+TrafficData[[#This Row],[disposedCourt]]=TrafficData[[#This Row],[totalCourt]]</f>
        <v>1</v>
      </c>
      <c r="N1925" s="8" t="b">
        <f>AND(TrafficData[[#This Row],[disposedChallan]]&lt;=TrafficData[[#This Row],[totalChallan]],TrafficData[[#This Row],[pendingChallan]]&lt;=TrafficData[[#This Row],[totalChallan]])</f>
        <v>1</v>
      </c>
      <c r="O1925" s="8" t="b">
        <f>AND(TrafficData[[#This Row],[pendingAmount]]&lt;=TrafficData[[#This Row],[totalAmount]],TrafficData[[#This Row],[disposedAmount]]&lt;=TrafficData[[#This Row],[totalAmount]])</f>
        <v>1</v>
      </c>
      <c r="P1925" s="8" t="b">
        <f>AND(TrafficData[[#This Row],[pendingCourt]]&lt;=TrafficData[[#This Row],[totalCourt]],TrafficData[[#This Row],[disposedCourt]]&lt;=TrafficData[[#This Row],[totalCourt]])</f>
        <v>1</v>
      </c>
    </row>
    <row r="1926" spans="1:16">
      <c r="A1926" s="1">
        <v>43930</v>
      </c>
      <c r="B1926">
        <v>63886</v>
      </c>
      <c r="C1926">
        <v>27979</v>
      </c>
      <c r="D1926">
        <v>35907</v>
      </c>
      <c r="E1926">
        <v>43785700</v>
      </c>
      <c r="F1926">
        <v>24972876</v>
      </c>
      <c r="G1926">
        <v>68758576</v>
      </c>
      <c r="H1926">
        <v>14871</v>
      </c>
      <c r="I1926">
        <v>5456</v>
      </c>
      <c r="J1926">
        <v>20327</v>
      </c>
      <c r="K1926" t="b">
        <f>TrafficData[[#This Row],[disposedChallan]]+TrafficData[[#This Row],[pendingChallan]]=TrafficData[[#This Row],[totalChallan]]</f>
        <v>1</v>
      </c>
      <c r="L1926" t="b">
        <f>TrafficData[[#This Row],[pendingAmount]]+TrafficData[[#This Row],[disposedAmount]]=TrafficData[[#This Row],[totalAmount]]</f>
        <v>1</v>
      </c>
      <c r="M1926" t="b">
        <f>TrafficData[[#This Row],[pendingCourt]]+TrafficData[[#This Row],[disposedCourt]]=TrafficData[[#This Row],[totalCourt]]</f>
        <v>1</v>
      </c>
      <c r="N1926" s="8" t="b">
        <f>AND(TrafficData[[#This Row],[disposedChallan]]&lt;=TrafficData[[#This Row],[totalChallan]],TrafficData[[#This Row],[pendingChallan]]&lt;=TrafficData[[#This Row],[totalChallan]])</f>
        <v>1</v>
      </c>
      <c r="O1926" s="8" t="b">
        <f>AND(TrafficData[[#This Row],[pendingAmount]]&lt;=TrafficData[[#This Row],[totalAmount]],TrafficData[[#This Row],[disposedAmount]]&lt;=TrafficData[[#This Row],[totalAmount]])</f>
        <v>1</v>
      </c>
      <c r="P1926" s="8" t="b">
        <f>AND(TrafficData[[#This Row],[pendingCourt]]&lt;=TrafficData[[#This Row],[totalCourt]],TrafficData[[#This Row],[disposedCourt]]&lt;=TrafficData[[#This Row],[totalCourt]])</f>
        <v>1</v>
      </c>
    </row>
    <row r="1927" spans="1:16">
      <c r="A1927" s="1">
        <v>43931</v>
      </c>
      <c r="B1927">
        <v>57835</v>
      </c>
      <c r="C1927">
        <v>25710</v>
      </c>
      <c r="D1927">
        <v>32125</v>
      </c>
      <c r="E1927">
        <v>42882220</v>
      </c>
      <c r="F1927">
        <v>24018517</v>
      </c>
      <c r="G1927">
        <v>66900737</v>
      </c>
      <c r="H1927">
        <v>12089</v>
      </c>
      <c r="I1927">
        <v>4937</v>
      </c>
      <c r="J1927">
        <v>17026</v>
      </c>
      <c r="K1927" t="b">
        <f>TrafficData[[#This Row],[disposedChallan]]+TrafficData[[#This Row],[pendingChallan]]=TrafficData[[#This Row],[totalChallan]]</f>
        <v>1</v>
      </c>
      <c r="L1927" t="b">
        <f>TrafficData[[#This Row],[pendingAmount]]+TrafficData[[#This Row],[disposedAmount]]=TrafficData[[#This Row],[totalAmount]]</f>
        <v>1</v>
      </c>
      <c r="M1927" t="b">
        <f>TrafficData[[#This Row],[pendingCourt]]+TrafficData[[#This Row],[disposedCourt]]=TrafficData[[#This Row],[totalCourt]]</f>
        <v>1</v>
      </c>
      <c r="N1927" s="8" t="b">
        <f>AND(TrafficData[[#This Row],[disposedChallan]]&lt;=TrafficData[[#This Row],[totalChallan]],TrafficData[[#This Row],[pendingChallan]]&lt;=TrafficData[[#This Row],[totalChallan]])</f>
        <v>1</v>
      </c>
      <c r="O1927" s="8" t="b">
        <f>AND(TrafficData[[#This Row],[pendingAmount]]&lt;=TrafficData[[#This Row],[totalAmount]],TrafficData[[#This Row],[disposedAmount]]&lt;=TrafficData[[#This Row],[totalAmount]])</f>
        <v>1</v>
      </c>
      <c r="P1927" s="8" t="b">
        <f>AND(TrafficData[[#This Row],[pendingCourt]]&lt;=TrafficData[[#This Row],[totalCourt]],TrafficData[[#This Row],[disposedCourt]]&lt;=TrafficData[[#This Row],[totalCourt]])</f>
        <v>1</v>
      </c>
    </row>
    <row r="1928" spans="1:16">
      <c r="A1928" s="1">
        <v>43932</v>
      </c>
      <c r="B1928">
        <v>61024</v>
      </c>
      <c r="C1928">
        <v>26530</v>
      </c>
      <c r="D1928">
        <v>34494</v>
      </c>
      <c r="E1928">
        <v>46712980</v>
      </c>
      <c r="F1928">
        <v>25976712</v>
      </c>
      <c r="G1928">
        <v>72689692</v>
      </c>
      <c r="H1928">
        <v>14852</v>
      </c>
      <c r="I1928">
        <v>4572</v>
      </c>
      <c r="J1928">
        <v>19424</v>
      </c>
      <c r="K1928" t="b">
        <f>TrafficData[[#This Row],[disposedChallan]]+TrafficData[[#This Row],[pendingChallan]]=TrafficData[[#This Row],[totalChallan]]</f>
        <v>1</v>
      </c>
      <c r="L1928" t="b">
        <f>TrafficData[[#This Row],[pendingAmount]]+TrafficData[[#This Row],[disposedAmount]]=TrafficData[[#This Row],[totalAmount]]</f>
        <v>1</v>
      </c>
      <c r="M1928" t="b">
        <f>TrafficData[[#This Row],[pendingCourt]]+TrafficData[[#This Row],[disposedCourt]]=TrafficData[[#This Row],[totalCourt]]</f>
        <v>1</v>
      </c>
      <c r="N1928" s="8" t="b">
        <f>AND(TrafficData[[#This Row],[disposedChallan]]&lt;=TrafficData[[#This Row],[totalChallan]],TrafficData[[#This Row],[pendingChallan]]&lt;=TrafficData[[#This Row],[totalChallan]])</f>
        <v>1</v>
      </c>
      <c r="O1928" s="8" t="b">
        <f>AND(TrafficData[[#This Row],[pendingAmount]]&lt;=TrafficData[[#This Row],[totalAmount]],TrafficData[[#This Row],[disposedAmount]]&lt;=TrafficData[[#This Row],[totalAmount]])</f>
        <v>1</v>
      </c>
      <c r="P1928" s="8" t="b">
        <f>AND(TrafficData[[#This Row],[pendingCourt]]&lt;=TrafficData[[#This Row],[totalCourt]],TrafficData[[#This Row],[disposedCourt]]&lt;=TrafficData[[#This Row],[totalCourt]])</f>
        <v>1</v>
      </c>
    </row>
    <row r="1929" spans="1:16">
      <c r="A1929" s="1">
        <v>43933</v>
      </c>
      <c r="B1929">
        <v>53950</v>
      </c>
      <c r="C1929">
        <v>23064</v>
      </c>
      <c r="D1929">
        <v>30886</v>
      </c>
      <c r="E1929">
        <v>40837060</v>
      </c>
      <c r="F1929">
        <v>21437932</v>
      </c>
      <c r="G1929">
        <v>62274992</v>
      </c>
      <c r="H1929">
        <v>13190</v>
      </c>
      <c r="I1929">
        <v>4721</v>
      </c>
      <c r="J1929">
        <v>17911</v>
      </c>
      <c r="K1929" t="b">
        <f>TrafficData[[#This Row],[disposedChallan]]+TrafficData[[#This Row],[pendingChallan]]=TrafficData[[#This Row],[totalChallan]]</f>
        <v>1</v>
      </c>
      <c r="L1929" t="b">
        <f>TrafficData[[#This Row],[pendingAmount]]+TrafficData[[#This Row],[disposedAmount]]=TrafficData[[#This Row],[totalAmount]]</f>
        <v>1</v>
      </c>
      <c r="M1929" t="b">
        <f>TrafficData[[#This Row],[pendingCourt]]+TrafficData[[#This Row],[disposedCourt]]=TrafficData[[#This Row],[totalCourt]]</f>
        <v>1</v>
      </c>
      <c r="N1929" s="8" t="b">
        <f>AND(TrafficData[[#This Row],[disposedChallan]]&lt;=TrafficData[[#This Row],[totalChallan]],TrafficData[[#This Row],[pendingChallan]]&lt;=TrafficData[[#This Row],[totalChallan]])</f>
        <v>1</v>
      </c>
      <c r="O1929" s="8" t="b">
        <f>AND(TrafficData[[#This Row],[pendingAmount]]&lt;=TrafficData[[#This Row],[totalAmount]],TrafficData[[#This Row],[disposedAmount]]&lt;=TrafficData[[#This Row],[totalAmount]])</f>
        <v>1</v>
      </c>
      <c r="P1929" s="8" t="b">
        <f>AND(TrafficData[[#This Row],[pendingCourt]]&lt;=TrafficData[[#This Row],[totalCourt]],TrafficData[[#This Row],[disposedCourt]]&lt;=TrafficData[[#This Row],[totalCourt]])</f>
        <v>1</v>
      </c>
    </row>
    <row r="1930" spans="1:16">
      <c r="A1930" s="1">
        <v>43934</v>
      </c>
      <c r="B1930">
        <v>69587</v>
      </c>
      <c r="C1930">
        <v>31208</v>
      </c>
      <c r="D1930">
        <v>38379</v>
      </c>
      <c r="E1930">
        <v>51513610</v>
      </c>
      <c r="F1930">
        <v>31096422</v>
      </c>
      <c r="G1930">
        <v>82610032</v>
      </c>
      <c r="H1930">
        <v>16803</v>
      </c>
      <c r="I1930">
        <v>5428</v>
      </c>
      <c r="J1930">
        <v>22231</v>
      </c>
      <c r="K1930" t="b">
        <f>TrafficData[[#This Row],[disposedChallan]]+TrafficData[[#This Row],[pendingChallan]]=TrafficData[[#This Row],[totalChallan]]</f>
        <v>1</v>
      </c>
      <c r="L1930" t="b">
        <f>TrafficData[[#This Row],[pendingAmount]]+TrafficData[[#This Row],[disposedAmount]]=TrafficData[[#This Row],[totalAmount]]</f>
        <v>1</v>
      </c>
      <c r="M1930" t="b">
        <f>TrafficData[[#This Row],[pendingCourt]]+TrafficData[[#This Row],[disposedCourt]]=TrafficData[[#This Row],[totalCourt]]</f>
        <v>1</v>
      </c>
      <c r="N1930" s="8" t="b">
        <f>AND(TrafficData[[#This Row],[disposedChallan]]&lt;=TrafficData[[#This Row],[totalChallan]],TrafficData[[#This Row],[pendingChallan]]&lt;=TrafficData[[#This Row],[totalChallan]])</f>
        <v>1</v>
      </c>
      <c r="O1930" s="8" t="b">
        <f>AND(TrafficData[[#This Row],[pendingAmount]]&lt;=TrafficData[[#This Row],[totalAmount]],TrafficData[[#This Row],[disposedAmount]]&lt;=TrafficData[[#This Row],[totalAmount]])</f>
        <v>1</v>
      </c>
      <c r="P1930" s="8" t="b">
        <f>AND(TrafficData[[#This Row],[pendingCourt]]&lt;=TrafficData[[#This Row],[totalCourt]],TrafficData[[#This Row],[disposedCourt]]&lt;=TrafficData[[#This Row],[totalCourt]])</f>
        <v>1</v>
      </c>
    </row>
    <row r="1931" spans="1:16">
      <c r="A1931" s="1">
        <v>43935</v>
      </c>
      <c r="B1931">
        <v>64555</v>
      </c>
      <c r="C1931">
        <v>30414</v>
      </c>
      <c r="D1931">
        <v>34141</v>
      </c>
      <c r="E1931">
        <v>46422118</v>
      </c>
      <c r="F1931">
        <v>32061980</v>
      </c>
      <c r="G1931">
        <v>78484098</v>
      </c>
      <c r="H1931">
        <v>19943</v>
      </c>
      <c r="I1931">
        <v>5655</v>
      </c>
      <c r="J1931">
        <v>25598</v>
      </c>
      <c r="K1931" t="b">
        <f>TrafficData[[#This Row],[disposedChallan]]+TrafficData[[#This Row],[pendingChallan]]=TrafficData[[#This Row],[totalChallan]]</f>
        <v>1</v>
      </c>
      <c r="L1931" t="b">
        <f>TrafficData[[#This Row],[pendingAmount]]+TrafficData[[#This Row],[disposedAmount]]=TrafficData[[#This Row],[totalAmount]]</f>
        <v>1</v>
      </c>
      <c r="M1931" t="b">
        <f>TrafficData[[#This Row],[pendingCourt]]+TrafficData[[#This Row],[disposedCourt]]=TrafficData[[#This Row],[totalCourt]]</f>
        <v>1</v>
      </c>
      <c r="N1931" s="8" t="b">
        <f>AND(TrafficData[[#This Row],[disposedChallan]]&lt;=TrafficData[[#This Row],[totalChallan]],TrafficData[[#This Row],[pendingChallan]]&lt;=TrafficData[[#This Row],[totalChallan]])</f>
        <v>1</v>
      </c>
      <c r="O1931" s="8" t="b">
        <f>AND(TrafficData[[#This Row],[pendingAmount]]&lt;=TrafficData[[#This Row],[totalAmount]],TrafficData[[#This Row],[disposedAmount]]&lt;=TrafficData[[#This Row],[totalAmount]])</f>
        <v>1</v>
      </c>
      <c r="P1931" s="8" t="b">
        <f>AND(TrafficData[[#This Row],[pendingCourt]]&lt;=TrafficData[[#This Row],[totalCourt]],TrafficData[[#This Row],[disposedCourt]]&lt;=TrafficData[[#This Row],[totalCourt]])</f>
        <v>1</v>
      </c>
    </row>
    <row r="1932" spans="1:16">
      <c r="A1932" s="1">
        <v>43936</v>
      </c>
      <c r="B1932">
        <v>75208</v>
      </c>
      <c r="C1932">
        <v>35242</v>
      </c>
      <c r="D1932">
        <v>39966</v>
      </c>
      <c r="E1932">
        <v>54528290</v>
      </c>
      <c r="F1932">
        <v>35896171</v>
      </c>
      <c r="G1932">
        <v>90424461</v>
      </c>
      <c r="H1932">
        <v>22667</v>
      </c>
      <c r="I1932">
        <v>6471</v>
      </c>
      <c r="J1932">
        <v>29138</v>
      </c>
      <c r="K1932" t="b">
        <f>TrafficData[[#This Row],[disposedChallan]]+TrafficData[[#This Row],[pendingChallan]]=TrafficData[[#This Row],[totalChallan]]</f>
        <v>1</v>
      </c>
      <c r="L1932" t="b">
        <f>TrafficData[[#This Row],[pendingAmount]]+TrafficData[[#This Row],[disposedAmount]]=TrafficData[[#This Row],[totalAmount]]</f>
        <v>1</v>
      </c>
      <c r="M1932" t="b">
        <f>TrafficData[[#This Row],[pendingCourt]]+TrafficData[[#This Row],[disposedCourt]]=TrafficData[[#This Row],[totalCourt]]</f>
        <v>1</v>
      </c>
      <c r="N1932" s="8" t="b">
        <f>AND(TrafficData[[#This Row],[disposedChallan]]&lt;=TrafficData[[#This Row],[totalChallan]],TrafficData[[#This Row],[pendingChallan]]&lt;=TrafficData[[#This Row],[totalChallan]])</f>
        <v>1</v>
      </c>
      <c r="O1932" s="8" t="b">
        <f>AND(TrafficData[[#This Row],[pendingAmount]]&lt;=TrafficData[[#This Row],[totalAmount]],TrafficData[[#This Row],[disposedAmount]]&lt;=TrafficData[[#This Row],[totalAmount]])</f>
        <v>1</v>
      </c>
      <c r="P1932" s="8" t="b">
        <f>AND(TrafficData[[#This Row],[pendingCourt]]&lt;=TrafficData[[#This Row],[totalCourt]],TrafficData[[#This Row],[disposedCourt]]&lt;=TrafficData[[#This Row],[totalCourt]])</f>
        <v>1</v>
      </c>
    </row>
    <row r="1933" spans="1:16">
      <c r="A1933" s="1">
        <v>43937</v>
      </c>
      <c r="B1933">
        <v>78671</v>
      </c>
      <c r="C1933">
        <v>36259</v>
      </c>
      <c r="D1933">
        <v>42412</v>
      </c>
      <c r="E1933">
        <v>54937600</v>
      </c>
      <c r="F1933">
        <v>33761344</v>
      </c>
      <c r="G1933">
        <v>88698944</v>
      </c>
      <c r="H1933">
        <v>20047</v>
      </c>
      <c r="I1933">
        <v>6733</v>
      </c>
      <c r="J1933">
        <v>26780</v>
      </c>
      <c r="K1933" t="b">
        <f>TrafficData[[#This Row],[disposedChallan]]+TrafficData[[#This Row],[pendingChallan]]=TrafficData[[#This Row],[totalChallan]]</f>
        <v>1</v>
      </c>
      <c r="L1933" t="b">
        <f>TrafficData[[#This Row],[pendingAmount]]+TrafficData[[#This Row],[disposedAmount]]=TrafficData[[#This Row],[totalAmount]]</f>
        <v>1</v>
      </c>
      <c r="M1933" t="b">
        <f>TrafficData[[#This Row],[pendingCourt]]+TrafficData[[#This Row],[disposedCourt]]=TrafficData[[#This Row],[totalCourt]]</f>
        <v>1</v>
      </c>
      <c r="N1933" s="8" t="b">
        <f>AND(TrafficData[[#This Row],[disposedChallan]]&lt;=TrafficData[[#This Row],[totalChallan]],TrafficData[[#This Row],[pendingChallan]]&lt;=TrafficData[[#This Row],[totalChallan]])</f>
        <v>1</v>
      </c>
      <c r="O1933" s="8" t="b">
        <f>AND(TrafficData[[#This Row],[pendingAmount]]&lt;=TrafficData[[#This Row],[totalAmount]],TrafficData[[#This Row],[disposedAmount]]&lt;=TrafficData[[#This Row],[totalAmount]])</f>
        <v>1</v>
      </c>
      <c r="P1933" s="8" t="b">
        <f>AND(TrafficData[[#This Row],[pendingCourt]]&lt;=TrafficData[[#This Row],[totalCourt]],TrafficData[[#This Row],[disposedCourt]]&lt;=TrafficData[[#This Row],[totalCourt]])</f>
        <v>1</v>
      </c>
    </row>
    <row r="1934" spans="1:16">
      <c r="A1934" s="1">
        <v>43938</v>
      </c>
      <c r="B1934">
        <v>86057</v>
      </c>
      <c r="C1934">
        <v>40449</v>
      </c>
      <c r="D1934">
        <v>45608</v>
      </c>
      <c r="E1934">
        <v>53403095</v>
      </c>
      <c r="F1934">
        <v>36051574</v>
      </c>
      <c r="G1934">
        <v>89454669</v>
      </c>
      <c r="H1934">
        <v>22631</v>
      </c>
      <c r="I1934">
        <v>5801</v>
      </c>
      <c r="J1934">
        <v>28432</v>
      </c>
      <c r="K1934" t="b">
        <f>TrafficData[[#This Row],[disposedChallan]]+TrafficData[[#This Row],[pendingChallan]]=TrafficData[[#This Row],[totalChallan]]</f>
        <v>1</v>
      </c>
      <c r="L1934" t="b">
        <f>TrafficData[[#This Row],[pendingAmount]]+TrafficData[[#This Row],[disposedAmount]]=TrafficData[[#This Row],[totalAmount]]</f>
        <v>1</v>
      </c>
      <c r="M1934" t="b">
        <f>TrafficData[[#This Row],[pendingCourt]]+TrafficData[[#This Row],[disposedCourt]]=TrafficData[[#This Row],[totalCourt]]</f>
        <v>1</v>
      </c>
      <c r="N1934" s="8" t="b">
        <f>AND(TrafficData[[#This Row],[disposedChallan]]&lt;=TrafficData[[#This Row],[totalChallan]],TrafficData[[#This Row],[pendingChallan]]&lt;=TrafficData[[#This Row],[totalChallan]])</f>
        <v>1</v>
      </c>
      <c r="O1934" s="8" t="b">
        <f>AND(TrafficData[[#This Row],[pendingAmount]]&lt;=TrafficData[[#This Row],[totalAmount]],TrafficData[[#This Row],[disposedAmount]]&lt;=TrafficData[[#This Row],[totalAmount]])</f>
        <v>1</v>
      </c>
      <c r="P1934" s="8" t="b">
        <f>AND(TrafficData[[#This Row],[pendingCourt]]&lt;=TrafficData[[#This Row],[totalCourt]],TrafficData[[#This Row],[disposedCourt]]&lt;=TrafficData[[#This Row],[totalCourt]])</f>
        <v>1</v>
      </c>
    </row>
    <row r="1935" spans="1:16">
      <c r="A1935" s="1">
        <v>43939</v>
      </c>
      <c r="B1935">
        <v>89430</v>
      </c>
      <c r="C1935">
        <v>42436</v>
      </c>
      <c r="D1935">
        <v>46994</v>
      </c>
      <c r="E1935">
        <v>47476010</v>
      </c>
      <c r="F1935">
        <v>36802084</v>
      </c>
      <c r="G1935">
        <v>84278094</v>
      </c>
      <c r="H1935">
        <v>25981</v>
      </c>
      <c r="I1935">
        <v>9170</v>
      </c>
      <c r="J1935">
        <v>35151</v>
      </c>
      <c r="K1935" t="b">
        <f>TrafficData[[#This Row],[disposedChallan]]+TrafficData[[#This Row],[pendingChallan]]=TrafficData[[#This Row],[totalChallan]]</f>
        <v>1</v>
      </c>
      <c r="L1935" t="b">
        <f>TrafficData[[#This Row],[pendingAmount]]+TrafficData[[#This Row],[disposedAmount]]=TrafficData[[#This Row],[totalAmount]]</f>
        <v>1</v>
      </c>
      <c r="M1935" t="b">
        <f>TrafficData[[#This Row],[pendingCourt]]+TrafficData[[#This Row],[disposedCourt]]=TrafficData[[#This Row],[totalCourt]]</f>
        <v>1</v>
      </c>
      <c r="N1935" s="8" t="b">
        <f>AND(TrafficData[[#This Row],[disposedChallan]]&lt;=TrafficData[[#This Row],[totalChallan]],TrafficData[[#This Row],[pendingChallan]]&lt;=TrafficData[[#This Row],[totalChallan]])</f>
        <v>1</v>
      </c>
      <c r="O1935" s="8" t="b">
        <f>AND(TrafficData[[#This Row],[pendingAmount]]&lt;=TrafficData[[#This Row],[totalAmount]],TrafficData[[#This Row],[disposedAmount]]&lt;=TrafficData[[#This Row],[totalAmount]])</f>
        <v>1</v>
      </c>
      <c r="P1935" s="8" t="b">
        <f>AND(TrafficData[[#This Row],[pendingCourt]]&lt;=TrafficData[[#This Row],[totalCourt]],TrafficData[[#This Row],[disposedCourt]]&lt;=TrafficData[[#This Row],[totalCourt]])</f>
        <v>1</v>
      </c>
    </row>
    <row r="1936" spans="1:16">
      <c r="A1936" s="1">
        <v>43940</v>
      </c>
      <c r="B1936">
        <v>80760</v>
      </c>
      <c r="C1936">
        <v>38087</v>
      </c>
      <c r="D1936">
        <v>42673</v>
      </c>
      <c r="E1936">
        <v>39930110</v>
      </c>
      <c r="F1936">
        <v>27891543</v>
      </c>
      <c r="G1936">
        <v>67821653</v>
      </c>
      <c r="H1936">
        <v>23082</v>
      </c>
      <c r="I1936">
        <v>10112</v>
      </c>
      <c r="J1936">
        <v>33194</v>
      </c>
      <c r="K1936" t="b">
        <f>TrafficData[[#This Row],[disposedChallan]]+TrafficData[[#This Row],[pendingChallan]]=TrafficData[[#This Row],[totalChallan]]</f>
        <v>1</v>
      </c>
      <c r="L1936" t="b">
        <f>TrafficData[[#This Row],[pendingAmount]]+TrafficData[[#This Row],[disposedAmount]]=TrafficData[[#This Row],[totalAmount]]</f>
        <v>1</v>
      </c>
      <c r="M1936" t="b">
        <f>TrafficData[[#This Row],[pendingCourt]]+TrafficData[[#This Row],[disposedCourt]]=TrafficData[[#This Row],[totalCourt]]</f>
        <v>1</v>
      </c>
      <c r="N1936" s="8" t="b">
        <f>AND(TrafficData[[#This Row],[disposedChallan]]&lt;=TrafficData[[#This Row],[totalChallan]],TrafficData[[#This Row],[pendingChallan]]&lt;=TrafficData[[#This Row],[totalChallan]])</f>
        <v>1</v>
      </c>
      <c r="O1936" s="8" t="b">
        <f>AND(TrafficData[[#This Row],[pendingAmount]]&lt;=TrafficData[[#This Row],[totalAmount]],TrafficData[[#This Row],[disposedAmount]]&lt;=TrafficData[[#This Row],[totalAmount]])</f>
        <v>1</v>
      </c>
      <c r="P1936" s="8" t="b">
        <f>AND(TrafficData[[#This Row],[pendingCourt]]&lt;=TrafficData[[#This Row],[totalCourt]],TrafficData[[#This Row],[disposedCourt]]&lt;=TrafficData[[#This Row],[totalCourt]])</f>
        <v>1</v>
      </c>
    </row>
    <row r="1937" spans="1:16">
      <c r="A1937" s="1">
        <v>43941</v>
      </c>
      <c r="B1937">
        <v>107714</v>
      </c>
      <c r="C1937">
        <v>52010</v>
      </c>
      <c r="D1937">
        <v>55704</v>
      </c>
      <c r="E1937">
        <v>58049925</v>
      </c>
      <c r="F1937">
        <v>43822132</v>
      </c>
      <c r="G1937">
        <v>101872057</v>
      </c>
      <c r="H1937">
        <v>31172</v>
      </c>
      <c r="I1937">
        <v>12470</v>
      </c>
      <c r="J1937">
        <v>43642</v>
      </c>
      <c r="K1937" t="b">
        <f>TrafficData[[#This Row],[disposedChallan]]+TrafficData[[#This Row],[pendingChallan]]=TrafficData[[#This Row],[totalChallan]]</f>
        <v>1</v>
      </c>
      <c r="L1937" t="b">
        <f>TrafficData[[#This Row],[pendingAmount]]+TrafficData[[#This Row],[disposedAmount]]=TrafficData[[#This Row],[totalAmount]]</f>
        <v>1</v>
      </c>
      <c r="M1937" t="b">
        <f>TrafficData[[#This Row],[pendingCourt]]+TrafficData[[#This Row],[disposedCourt]]=TrafficData[[#This Row],[totalCourt]]</f>
        <v>1</v>
      </c>
      <c r="N1937" s="8" t="b">
        <f>AND(TrafficData[[#This Row],[disposedChallan]]&lt;=TrafficData[[#This Row],[totalChallan]],TrafficData[[#This Row],[pendingChallan]]&lt;=TrafficData[[#This Row],[totalChallan]])</f>
        <v>1</v>
      </c>
      <c r="O1937" s="8" t="b">
        <f>AND(TrafficData[[#This Row],[pendingAmount]]&lt;=TrafficData[[#This Row],[totalAmount]],TrafficData[[#This Row],[disposedAmount]]&lt;=TrafficData[[#This Row],[totalAmount]])</f>
        <v>1</v>
      </c>
      <c r="P1937" s="8" t="b">
        <f>AND(TrafficData[[#This Row],[pendingCourt]]&lt;=TrafficData[[#This Row],[totalCourt]],TrafficData[[#This Row],[disposedCourt]]&lt;=TrafficData[[#This Row],[totalCourt]])</f>
        <v>1</v>
      </c>
    </row>
    <row r="1938" spans="1:16">
      <c r="A1938" s="1">
        <v>43942</v>
      </c>
      <c r="B1938">
        <v>106109</v>
      </c>
      <c r="C1938">
        <v>52044</v>
      </c>
      <c r="D1938">
        <v>54065</v>
      </c>
      <c r="E1938">
        <v>57267520</v>
      </c>
      <c r="F1938">
        <v>44699297</v>
      </c>
      <c r="G1938">
        <v>101966817</v>
      </c>
      <c r="H1938">
        <v>30125</v>
      </c>
      <c r="I1938">
        <v>8531</v>
      </c>
      <c r="J1938">
        <v>38656</v>
      </c>
      <c r="K1938" t="b">
        <f>TrafficData[[#This Row],[disposedChallan]]+TrafficData[[#This Row],[pendingChallan]]=TrafficData[[#This Row],[totalChallan]]</f>
        <v>1</v>
      </c>
      <c r="L1938" t="b">
        <f>TrafficData[[#This Row],[pendingAmount]]+TrafficData[[#This Row],[disposedAmount]]=TrafficData[[#This Row],[totalAmount]]</f>
        <v>1</v>
      </c>
      <c r="M1938" t="b">
        <f>TrafficData[[#This Row],[pendingCourt]]+TrafficData[[#This Row],[disposedCourt]]=TrafficData[[#This Row],[totalCourt]]</f>
        <v>1</v>
      </c>
      <c r="N1938" s="8" t="b">
        <f>AND(TrafficData[[#This Row],[disposedChallan]]&lt;=TrafficData[[#This Row],[totalChallan]],TrafficData[[#This Row],[pendingChallan]]&lt;=TrafficData[[#This Row],[totalChallan]])</f>
        <v>1</v>
      </c>
      <c r="O1938" s="8" t="b">
        <f>AND(TrafficData[[#This Row],[pendingAmount]]&lt;=TrafficData[[#This Row],[totalAmount]],TrafficData[[#This Row],[disposedAmount]]&lt;=TrafficData[[#This Row],[totalAmount]])</f>
        <v>1</v>
      </c>
      <c r="P1938" s="8" t="b">
        <f>AND(TrafficData[[#This Row],[pendingCourt]]&lt;=TrafficData[[#This Row],[totalCourt]],TrafficData[[#This Row],[disposedCourt]]&lt;=TrafficData[[#This Row],[totalCourt]])</f>
        <v>1</v>
      </c>
    </row>
    <row r="1939" spans="1:16">
      <c r="A1939" s="1">
        <v>43943</v>
      </c>
      <c r="B1939">
        <v>106959</v>
      </c>
      <c r="C1939">
        <v>51402</v>
      </c>
      <c r="D1939">
        <v>55557</v>
      </c>
      <c r="E1939">
        <v>58595830</v>
      </c>
      <c r="F1939">
        <v>43454292</v>
      </c>
      <c r="G1939">
        <v>102050122</v>
      </c>
      <c r="H1939">
        <v>15968</v>
      </c>
      <c r="I1939">
        <v>10820</v>
      </c>
      <c r="J1939">
        <v>26788</v>
      </c>
      <c r="K1939" t="b">
        <f>TrafficData[[#This Row],[disposedChallan]]+TrafficData[[#This Row],[pendingChallan]]=TrafficData[[#This Row],[totalChallan]]</f>
        <v>1</v>
      </c>
      <c r="L1939" t="b">
        <f>TrafficData[[#This Row],[pendingAmount]]+TrafficData[[#This Row],[disposedAmount]]=TrafficData[[#This Row],[totalAmount]]</f>
        <v>1</v>
      </c>
      <c r="M1939" t="b">
        <f>TrafficData[[#This Row],[pendingCourt]]+TrafficData[[#This Row],[disposedCourt]]=TrafficData[[#This Row],[totalCourt]]</f>
        <v>1</v>
      </c>
      <c r="N1939" s="8" t="b">
        <f>AND(TrafficData[[#This Row],[disposedChallan]]&lt;=TrafficData[[#This Row],[totalChallan]],TrafficData[[#This Row],[pendingChallan]]&lt;=TrafficData[[#This Row],[totalChallan]])</f>
        <v>1</v>
      </c>
      <c r="O1939" s="8" t="b">
        <f>AND(TrafficData[[#This Row],[pendingAmount]]&lt;=TrafficData[[#This Row],[totalAmount]],TrafficData[[#This Row],[disposedAmount]]&lt;=TrafficData[[#This Row],[totalAmount]])</f>
        <v>1</v>
      </c>
      <c r="P1939" s="8" t="b">
        <f>AND(TrafficData[[#This Row],[pendingCourt]]&lt;=TrafficData[[#This Row],[totalCourt]],TrafficData[[#This Row],[disposedCourt]]&lt;=TrafficData[[#This Row],[totalCourt]])</f>
        <v>1</v>
      </c>
    </row>
    <row r="1940" spans="1:16">
      <c r="A1940" s="1">
        <v>43944</v>
      </c>
      <c r="B1940">
        <v>102730</v>
      </c>
      <c r="C1940">
        <v>48429</v>
      </c>
      <c r="D1940">
        <v>54301</v>
      </c>
      <c r="E1940">
        <v>60651630</v>
      </c>
      <c r="F1940">
        <v>41694036</v>
      </c>
      <c r="G1940">
        <v>102345666</v>
      </c>
      <c r="H1940">
        <v>13861</v>
      </c>
      <c r="I1940">
        <v>7017</v>
      </c>
      <c r="J1940">
        <v>20878</v>
      </c>
      <c r="K1940" t="b">
        <f>TrafficData[[#This Row],[disposedChallan]]+TrafficData[[#This Row],[pendingChallan]]=TrafficData[[#This Row],[totalChallan]]</f>
        <v>1</v>
      </c>
      <c r="L1940" t="b">
        <f>TrafficData[[#This Row],[pendingAmount]]+TrafficData[[#This Row],[disposedAmount]]=TrafficData[[#This Row],[totalAmount]]</f>
        <v>1</v>
      </c>
      <c r="M1940" t="b">
        <f>TrafficData[[#This Row],[pendingCourt]]+TrafficData[[#This Row],[disposedCourt]]=TrafficData[[#This Row],[totalCourt]]</f>
        <v>1</v>
      </c>
      <c r="N1940" s="8" t="b">
        <f>AND(TrafficData[[#This Row],[disposedChallan]]&lt;=TrafficData[[#This Row],[totalChallan]],TrafficData[[#This Row],[pendingChallan]]&lt;=TrafficData[[#This Row],[totalChallan]])</f>
        <v>1</v>
      </c>
      <c r="O1940" s="8" t="b">
        <f>AND(TrafficData[[#This Row],[pendingAmount]]&lt;=TrafficData[[#This Row],[totalAmount]],TrafficData[[#This Row],[disposedAmount]]&lt;=TrafficData[[#This Row],[totalAmount]])</f>
        <v>1</v>
      </c>
      <c r="P1940" s="8" t="b">
        <f>AND(TrafficData[[#This Row],[pendingCourt]]&lt;=TrafficData[[#This Row],[totalCourt]],TrafficData[[#This Row],[disposedCourt]]&lt;=TrafficData[[#This Row],[totalCourt]])</f>
        <v>1</v>
      </c>
    </row>
    <row r="1941" spans="1:16">
      <c r="A1941" s="1">
        <v>43945</v>
      </c>
      <c r="B1941">
        <v>97504</v>
      </c>
      <c r="C1941">
        <v>46099</v>
      </c>
      <c r="D1941">
        <v>51405</v>
      </c>
      <c r="E1941">
        <v>56675249</v>
      </c>
      <c r="F1941">
        <v>39936189</v>
      </c>
      <c r="G1941">
        <v>96611438</v>
      </c>
      <c r="H1941">
        <v>27845</v>
      </c>
      <c r="I1941">
        <v>6000</v>
      </c>
      <c r="J1941">
        <v>33845</v>
      </c>
      <c r="K1941" t="b">
        <f>TrafficData[[#This Row],[disposedChallan]]+TrafficData[[#This Row],[pendingChallan]]=TrafficData[[#This Row],[totalChallan]]</f>
        <v>1</v>
      </c>
      <c r="L1941" t="b">
        <f>TrafficData[[#This Row],[pendingAmount]]+TrafficData[[#This Row],[disposedAmount]]=TrafficData[[#This Row],[totalAmount]]</f>
        <v>1</v>
      </c>
      <c r="M1941" t="b">
        <f>TrafficData[[#This Row],[pendingCourt]]+TrafficData[[#This Row],[disposedCourt]]=TrafficData[[#This Row],[totalCourt]]</f>
        <v>1</v>
      </c>
      <c r="N1941" s="8" t="b">
        <f>AND(TrafficData[[#This Row],[disposedChallan]]&lt;=TrafficData[[#This Row],[totalChallan]],TrafficData[[#This Row],[pendingChallan]]&lt;=TrafficData[[#This Row],[totalChallan]])</f>
        <v>1</v>
      </c>
      <c r="O1941" s="8" t="b">
        <f>AND(TrafficData[[#This Row],[pendingAmount]]&lt;=TrafficData[[#This Row],[totalAmount]],TrafficData[[#This Row],[disposedAmount]]&lt;=TrafficData[[#This Row],[totalAmount]])</f>
        <v>1</v>
      </c>
      <c r="P1941" s="8" t="b">
        <f>AND(TrafficData[[#This Row],[pendingCourt]]&lt;=TrafficData[[#This Row],[totalCourt]],TrafficData[[#This Row],[disposedCourt]]&lt;=TrafficData[[#This Row],[totalCourt]])</f>
        <v>1</v>
      </c>
    </row>
    <row r="1942" spans="1:16">
      <c r="A1942" s="1">
        <v>43946</v>
      </c>
      <c r="B1942">
        <v>88020</v>
      </c>
      <c r="C1942">
        <v>40487</v>
      </c>
      <c r="D1942">
        <v>47533</v>
      </c>
      <c r="E1942">
        <v>54074079</v>
      </c>
      <c r="F1942">
        <v>33595554</v>
      </c>
      <c r="G1942">
        <v>87669633</v>
      </c>
      <c r="H1942">
        <v>17906</v>
      </c>
      <c r="I1942">
        <v>7453</v>
      </c>
      <c r="J1942">
        <v>25359</v>
      </c>
      <c r="K1942" t="b">
        <f>TrafficData[[#This Row],[disposedChallan]]+TrafficData[[#This Row],[pendingChallan]]=TrafficData[[#This Row],[totalChallan]]</f>
        <v>1</v>
      </c>
      <c r="L1942" t="b">
        <f>TrafficData[[#This Row],[pendingAmount]]+TrafficData[[#This Row],[disposedAmount]]=TrafficData[[#This Row],[totalAmount]]</f>
        <v>1</v>
      </c>
      <c r="M1942" t="b">
        <f>TrafficData[[#This Row],[pendingCourt]]+TrafficData[[#This Row],[disposedCourt]]=TrafficData[[#This Row],[totalCourt]]</f>
        <v>1</v>
      </c>
      <c r="N1942" s="8" t="b">
        <f>AND(TrafficData[[#This Row],[disposedChallan]]&lt;=TrafficData[[#This Row],[totalChallan]],TrafficData[[#This Row],[pendingChallan]]&lt;=TrafficData[[#This Row],[totalChallan]])</f>
        <v>1</v>
      </c>
      <c r="O1942" s="8" t="b">
        <f>AND(TrafficData[[#This Row],[pendingAmount]]&lt;=TrafficData[[#This Row],[totalAmount]],TrafficData[[#This Row],[disposedAmount]]&lt;=TrafficData[[#This Row],[totalAmount]])</f>
        <v>1</v>
      </c>
      <c r="P1942" s="8" t="b">
        <f>AND(TrafficData[[#This Row],[pendingCourt]]&lt;=TrafficData[[#This Row],[totalCourt]],TrafficData[[#This Row],[disposedCourt]]&lt;=TrafficData[[#This Row],[totalCourt]])</f>
        <v>1</v>
      </c>
    </row>
    <row r="1943" spans="1:16">
      <c r="A1943" s="1">
        <v>43947</v>
      </c>
      <c r="B1943">
        <v>67450</v>
      </c>
      <c r="C1943">
        <v>30882</v>
      </c>
      <c r="D1943">
        <v>36568</v>
      </c>
      <c r="E1943">
        <v>41222810</v>
      </c>
      <c r="F1943">
        <v>25654996</v>
      </c>
      <c r="G1943">
        <v>66877806</v>
      </c>
      <c r="H1943">
        <v>15216</v>
      </c>
      <c r="I1943">
        <v>6793</v>
      </c>
      <c r="J1943">
        <v>22009</v>
      </c>
      <c r="K1943" t="b">
        <f>TrafficData[[#This Row],[disposedChallan]]+TrafficData[[#This Row],[pendingChallan]]=TrafficData[[#This Row],[totalChallan]]</f>
        <v>1</v>
      </c>
      <c r="L1943" t="b">
        <f>TrafficData[[#This Row],[pendingAmount]]+TrafficData[[#This Row],[disposedAmount]]=TrafficData[[#This Row],[totalAmount]]</f>
        <v>1</v>
      </c>
      <c r="M1943" t="b">
        <f>TrafficData[[#This Row],[pendingCourt]]+TrafficData[[#This Row],[disposedCourt]]=TrafficData[[#This Row],[totalCourt]]</f>
        <v>1</v>
      </c>
      <c r="N1943" s="8" t="b">
        <f>AND(TrafficData[[#This Row],[disposedChallan]]&lt;=TrafficData[[#This Row],[totalChallan]],TrafficData[[#This Row],[pendingChallan]]&lt;=TrafficData[[#This Row],[totalChallan]])</f>
        <v>1</v>
      </c>
      <c r="O1943" s="8" t="b">
        <f>AND(TrafficData[[#This Row],[pendingAmount]]&lt;=TrafficData[[#This Row],[totalAmount]],TrafficData[[#This Row],[disposedAmount]]&lt;=TrafficData[[#This Row],[totalAmount]])</f>
        <v>1</v>
      </c>
      <c r="P1943" s="8" t="b">
        <f>AND(TrafficData[[#This Row],[pendingCourt]]&lt;=TrafficData[[#This Row],[totalCourt]],TrafficData[[#This Row],[disposedCourt]]&lt;=TrafficData[[#This Row],[totalCourt]])</f>
        <v>1</v>
      </c>
    </row>
    <row r="1944" spans="1:16">
      <c r="A1944" s="1">
        <v>43948</v>
      </c>
      <c r="B1944">
        <v>86028</v>
      </c>
      <c r="C1944">
        <v>39162</v>
      </c>
      <c r="D1944">
        <v>46866</v>
      </c>
      <c r="E1944">
        <v>54161610</v>
      </c>
      <c r="F1944">
        <v>31763590</v>
      </c>
      <c r="G1944">
        <v>85925200</v>
      </c>
      <c r="H1944">
        <v>17848</v>
      </c>
      <c r="I1944">
        <v>7891</v>
      </c>
      <c r="J1944">
        <v>25739</v>
      </c>
      <c r="K1944" t="b">
        <f>TrafficData[[#This Row],[disposedChallan]]+TrafficData[[#This Row],[pendingChallan]]=TrafficData[[#This Row],[totalChallan]]</f>
        <v>1</v>
      </c>
      <c r="L1944" t="b">
        <f>TrafficData[[#This Row],[pendingAmount]]+TrafficData[[#This Row],[disposedAmount]]=TrafficData[[#This Row],[totalAmount]]</f>
        <v>1</v>
      </c>
      <c r="M1944" t="b">
        <f>TrafficData[[#This Row],[pendingCourt]]+TrafficData[[#This Row],[disposedCourt]]=TrafficData[[#This Row],[totalCourt]]</f>
        <v>1</v>
      </c>
      <c r="N1944" s="8" t="b">
        <f>AND(TrafficData[[#This Row],[disposedChallan]]&lt;=TrafficData[[#This Row],[totalChallan]],TrafficData[[#This Row],[pendingChallan]]&lt;=TrafficData[[#This Row],[totalChallan]])</f>
        <v>1</v>
      </c>
      <c r="O1944" s="8" t="b">
        <f>AND(TrafficData[[#This Row],[pendingAmount]]&lt;=TrafficData[[#This Row],[totalAmount]],TrafficData[[#This Row],[disposedAmount]]&lt;=TrafficData[[#This Row],[totalAmount]])</f>
        <v>1</v>
      </c>
      <c r="P1944" s="8" t="b">
        <f>AND(TrafficData[[#This Row],[pendingCourt]]&lt;=TrafficData[[#This Row],[totalCourt]],TrafficData[[#This Row],[disposedCourt]]&lt;=TrafficData[[#This Row],[totalCourt]])</f>
        <v>1</v>
      </c>
    </row>
    <row r="1945" spans="1:16">
      <c r="A1945" s="1">
        <v>43949</v>
      </c>
      <c r="B1945">
        <v>79861</v>
      </c>
      <c r="C1945">
        <v>36702</v>
      </c>
      <c r="D1945">
        <v>43159</v>
      </c>
      <c r="E1945">
        <v>49415760</v>
      </c>
      <c r="F1945">
        <v>29248260</v>
      </c>
      <c r="G1945">
        <v>78664020</v>
      </c>
      <c r="H1945">
        <v>15798</v>
      </c>
      <c r="I1945">
        <v>7159</v>
      </c>
      <c r="J1945">
        <v>22957</v>
      </c>
      <c r="K1945" t="b">
        <f>TrafficData[[#This Row],[disposedChallan]]+TrafficData[[#This Row],[pendingChallan]]=TrafficData[[#This Row],[totalChallan]]</f>
        <v>1</v>
      </c>
      <c r="L1945" t="b">
        <f>TrafficData[[#This Row],[pendingAmount]]+TrafficData[[#This Row],[disposedAmount]]=TrafficData[[#This Row],[totalAmount]]</f>
        <v>1</v>
      </c>
      <c r="M1945" t="b">
        <f>TrafficData[[#This Row],[pendingCourt]]+TrafficData[[#This Row],[disposedCourt]]=TrafficData[[#This Row],[totalCourt]]</f>
        <v>1</v>
      </c>
      <c r="N1945" s="8" t="b">
        <f>AND(TrafficData[[#This Row],[disposedChallan]]&lt;=TrafficData[[#This Row],[totalChallan]],TrafficData[[#This Row],[pendingChallan]]&lt;=TrafficData[[#This Row],[totalChallan]])</f>
        <v>1</v>
      </c>
      <c r="O1945" s="8" t="b">
        <f>AND(TrafficData[[#This Row],[pendingAmount]]&lt;=TrafficData[[#This Row],[totalAmount]],TrafficData[[#This Row],[disposedAmount]]&lt;=TrafficData[[#This Row],[totalAmount]])</f>
        <v>1</v>
      </c>
      <c r="P1945" s="8" t="b">
        <f>AND(TrafficData[[#This Row],[pendingCourt]]&lt;=TrafficData[[#This Row],[totalCourt]],TrafficData[[#This Row],[disposedCourt]]&lt;=TrafficData[[#This Row],[totalCourt]])</f>
        <v>1</v>
      </c>
    </row>
    <row r="1946" spans="1:16">
      <c r="A1946" s="1">
        <v>43950</v>
      </c>
      <c r="B1946">
        <v>75650</v>
      </c>
      <c r="C1946">
        <v>35504</v>
      </c>
      <c r="D1946">
        <v>40146</v>
      </c>
      <c r="E1946">
        <v>44658655</v>
      </c>
      <c r="F1946">
        <v>27362194</v>
      </c>
      <c r="G1946">
        <v>72020849</v>
      </c>
      <c r="H1946">
        <v>14745</v>
      </c>
      <c r="I1946">
        <v>6485</v>
      </c>
      <c r="J1946">
        <v>21230</v>
      </c>
      <c r="K1946" t="b">
        <f>TrafficData[[#This Row],[disposedChallan]]+TrafficData[[#This Row],[pendingChallan]]=TrafficData[[#This Row],[totalChallan]]</f>
        <v>1</v>
      </c>
      <c r="L1946" t="b">
        <f>TrafficData[[#This Row],[pendingAmount]]+TrafficData[[#This Row],[disposedAmount]]=TrafficData[[#This Row],[totalAmount]]</f>
        <v>1</v>
      </c>
      <c r="M1946" t="b">
        <f>TrafficData[[#This Row],[pendingCourt]]+TrafficData[[#This Row],[disposedCourt]]=TrafficData[[#This Row],[totalCourt]]</f>
        <v>1</v>
      </c>
      <c r="N1946" s="8" t="b">
        <f>AND(TrafficData[[#This Row],[disposedChallan]]&lt;=TrafficData[[#This Row],[totalChallan]],TrafficData[[#This Row],[pendingChallan]]&lt;=TrafficData[[#This Row],[totalChallan]])</f>
        <v>1</v>
      </c>
      <c r="O1946" s="8" t="b">
        <f>AND(TrafficData[[#This Row],[pendingAmount]]&lt;=TrafficData[[#This Row],[totalAmount]],TrafficData[[#This Row],[disposedAmount]]&lt;=TrafficData[[#This Row],[totalAmount]])</f>
        <v>1</v>
      </c>
      <c r="P1946" s="8" t="b">
        <f>AND(TrafficData[[#This Row],[pendingCourt]]&lt;=TrafficData[[#This Row],[totalCourt]],TrafficData[[#This Row],[disposedCourt]]&lt;=TrafficData[[#This Row],[totalCourt]])</f>
        <v>1</v>
      </c>
    </row>
    <row r="1947" spans="1:16">
      <c r="A1947" s="1">
        <v>43951</v>
      </c>
      <c r="B1947">
        <v>74435</v>
      </c>
      <c r="C1947">
        <v>34525</v>
      </c>
      <c r="D1947">
        <v>39910</v>
      </c>
      <c r="E1947">
        <v>42020545</v>
      </c>
      <c r="F1947">
        <v>26223890</v>
      </c>
      <c r="G1947">
        <v>68244435</v>
      </c>
      <c r="H1947">
        <v>9467</v>
      </c>
      <c r="I1947">
        <v>5920</v>
      </c>
      <c r="J1947">
        <v>15387</v>
      </c>
      <c r="K1947" t="b">
        <f>TrafficData[[#This Row],[disposedChallan]]+TrafficData[[#This Row],[pendingChallan]]=TrafficData[[#This Row],[totalChallan]]</f>
        <v>1</v>
      </c>
      <c r="L1947" t="b">
        <f>TrafficData[[#This Row],[pendingAmount]]+TrafficData[[#This Row],[disposedAmount]]=TrafficData[[#This Row],[totalAmount]]</f>
        <v>1</v>
      </c>
      <c r="M1947" t="b">
        <f>TrafficData[[#This Row],[pendingCourt]]+TrafficData[[#This Row],[disposedCourt]]=TrafficData[[#This Row],[totalCourt]]</f>
        <v>1</v>
      </c>
      <c r="N1947" s="8" t="b">
        <f>AND(TrafficData[[#This Row],[disposedChallan]]&lt;=TrafficData[[#This Row],[totalChallan]],TrafficData[[#This Row],[pendingChallan]]&lt;=TrafficData[[#This Row],[totalChallan]])</f>
        <v>1</v>
      </c>
      <c r="O1947" s="8" t="b">
        <f>AND(TrafficData[[#This Row],[pendingAmount]]&lt;=TrafficData[[#This Row],[totalAmount]],TrafficData[[#This Row],[disposedAmount]]&lt;=TrafficData[[#This Row],[totalAmount]])</f>
        <v>1</v>
      </c>
      <c r="P1947" s="8" t="b">
        <f>AND(TrafficData[[#This Row],[pendingCourt]]&lt;=TrafficData[[#This Row],[totalCourt]],TrafficData[[#This Row],[disposedCourt]]&lt;=TrafficData[[#This Row],[totalCourt]])</f>
        <v>1</v>
      </c>
    </row>
    <row r="1948" spans="1:16">
      <c r="A1948" s="1">
        <v>43952</v>
      </c>
      <c r="B1948">
        <v>69584</v>
      </c>
      <c r="C1948">
        <v>33234</v>
      </c>
      <c r="D1948">
        <v>36350</v>
      </c>
      <c r="E1948">
        <v>40284809</v>
      </c>
      <c r="F1948">
        <v>24550723</v>
      </c>
      <c r="G1948">
        <v>64835532</v>
      </c>
      <c r="H1948">
        <v>11663</v>
      </c>
      <c r="I1948">
        <v>4419</v>
      </c>
      <c r="J1948">
        <v>16082</v>
      </c>
      <c r="K1948" t="b">
        <f>TrafficData[[#This Row],[disposedChallan]]+TrafficData[[#This Row],[pendingChallan]]=TrafficData[[#This Row],[totalChallan]]</f>
        <v>1</v>
      </c>
      <c r="L1948" t="b">
        <f>TrafficData[[#This Row],[pendingAmount]]+TrafficData[[#This Row],[disposedAmount]]=TrafficData[[#This Row],[totalAmount]]</f>
        <v>1</v>
      </c>
      <c r="M1948" t="b">
        <f>TrafficData[[#This Row],[pendingCourt]]+TrafficData[[#This Row],[disposedCourt]]=TrafficData[[#This Row],[totalCourt]]</f>
        <v>1</v>
      </c>
      <c r="N1948" s="8" t="b">
        <f>AND(TrafficData[[#This Row],[disposedChallan]]&lt;=TrafficData[[#This Row],[totalChallan]],TrafficData[[#This Row],[pendingChallan]]&lt;=TrafficData[[#This Row],[totalChallan]])</f>
        <v>1</v>
      </c>
      <c r="O1948" s="8" t="b">
        <f>AND(TrafficData[[#This Row],[pendingAmount]]&lt;=TrafficData[[#This Row],[totalAmount]],TrafficData[[#This Row],[disposedAmount]]&lt;=TrafficData[[#This Row],[totalAmount]])</f>
        <v>1</v>
      </c>
      <c r="P1948" s="8" t="b">
        <f>AND(TrafficData[[#This Row],[pendingCourt]]&lt;=TrafficData[[#This Row],[totalCourt]],TrafficData[[#This Row],[disposedCourt]]&lt;=TrafficData[[#This Row],[totalCourt]])</f>
        <v>1</v>
      </c>
    </row>
    <row r="1949" spans="1:16">
      <c r="A1949" s="1">
        <v>43953</v>
      </c>
      <c r="B1949">
        <v>71796</v>
      </c>
      <c r="C1949">
        <v>33674</v>
      </c>
      <c r="D1949">
        <v>38122</v>
      </c>
      <c r="E1949">
        <v>39346650</v>
      </c>
      <c r="F1949">
        <v>24371595</v>
      </c>
      <c r="G1949">
        <v>63718245</v>
      </c>
      <c r="H1949">
        <v>12032</v>
      </c>
      <c r="I1949">
        <v>5355</v>
      </c>
      <c r="J1949">
        <v>17387</v>
      </c>
      <c r="K1949" t="b">
        <f>TrafficData[[#This Row],[disposedChallan]]+TrafficData[[#This Row],[pendingChallan]]=TrafficData[[#This Row],[totalChallan]]</f>
        <v>1</v>
      </c>
      <c r="L1949" t="b">
        <f>TrafficData[[#This Row],[pendingAmount]]+TrafficData[[#This Row],[disposedAmount]]=TrafficData[[#This Row],[totalAmount]]</f>
        <v>1</v>
      </c>
      <c r="M1949" t="b">
        <f>TrafficData[[#This Row],[pendingCourt]]+TrafficData[[#This Row],[disposedCourt]]=TrafficData[[#This Row],[totalCourt]]</f>
        <v>1</v>
      </c>
      <c r="N1949" s="8" t="b">
        <f>AND(TrafficData[[#This Row],[disposedChallan]]&lt;=TrafficData[[#This Row],[totalChallan]],TrafficData[[#This Row],[pendingChallan]]&lt;=TrafficData[[#This Row],[totalChallan]])</f>
        <v>1</v>
      </c>
      <c r="O1949" s="8" t="b">
        <f>AND(TrafficData[[#This Row],[pendingAmount]]&lt;=TrafficData[[#This Row],[totalAmount]],TrafficData[[#This Row],[disposedAmount]]&lt;=TrafficData[[#This Row],[totalAmount]])</f>
        <v>1</v>
      </c>
      <c r="P1949" s="8" t="b">
        <f>AND(TrafficData[[#This Row],[pendingCourt]]&lt;=TrafficData[[#This Row],[totalCourt]],TrafficData[[#This Row],[disposedCourt]]&lt;=TrafficData[[#This Row],[totalCourt]])</f>
        <v>1</v>
      </c>
    </row>
    <row r="1950" spans="1:16">
      <c r="A1950" s="1">
        <v>43954</v>
      </c>
      <c r="B1950">
        <v>58063</v>
      </c>
      <c r="C1950">
        <v>27014</v>
      </c>
      <c r="D1950">
        <v>31049</v>
      </c>
      <c r="E1950">
        <v>30365551</v>
      </c>
      <c r="F1950">
        <v>19276364</v>
      </c>
      <c r="G1950">
        <v>49641915</v>
      </c>
      <c r="H1950">
        <v>10438</v>
      </c>
      <c r="I1950">
        <v>4904</v>
      </c>
      <c r="J1950">
        <v>15342</v>
      </c>
      <c r="K1950" t="b">
        <f>TrafficData[[#This Row],[disposedChallan]]+TrafficData[[#This Row],[pendingChallan]]=TrafficData[[#This Row],[totalChallan]]</f>
        <v>1</v>
      </c>
      <c r="L1950" t="b">
        <f>TrafficData[[#This Row],[pendingAmount]]+TrafficData[[#This Row],[disposedAmount]]=TrafficData[[#This Row],[totalAmount]]</f>
        <v>1</v>
      </c>
      <c r="M1950" t="b">
        <f>TrafficData[[#This Row],[pendingCourt]]+TrafficData[[#This Row],[disposedCourt]]=TrafficData[[#This Row],[totalCourt]]</f>
        <v>1</v>
      </c>
      <c r="N1950" s="8" t="b">
        <f>AND(TrafficData[[#This Row],[disposedChallan]]&lt;=TrafficData[[#This Row],[totalChallan]],TrafficData[[#This Row],[pendingChallan]]&lt;=TrafficData[[#This Row],[totalChallan]])</f>
        <v>1</v>
      </c>
      <c r="O1950" s="8" t="b">
        <f>AND(TrafficData[[#This Row],[pendingAmount]]&lt;=TrafficData[[#This Row],[totalAmount]],TrafficData[[#This Row],[disposedAmount]]&lt;=TrafficData[[#This Row],[totalAmount]])</f>
        <v>1</v>
      </c>
      <c r="P1950" s="8" t="b">
        <f>AND(TrafficData[[#This Row],[pendingCourt]]&lt;=TrafficData[[#This Row],[totalCourt]],TrafficData[[#This Row],[disposedCourt]]&lt;=TrafficData[[#This Row],[totalCourt]])</f>
        <v>1</v>
      </c>
    </row>
    <row r="1951" spans="1:16">
      <c r="A1951" s="1">
        <v>43955</v>
      </c>
      <c r="B1951">
        <v>83308</v>
      </c>
      <c r="C1951">
        <v>38212</v>
      </c>
      <c r="D1951">
        <v>45096</v>
      </c>
      <c r="E1951">
        <v>46450806</v>
      </c>
      <c r="F1951">
        <v>28832007</v>
      </c>
      <c r="G1951">
        <v>75282813</v>
      </c>
      <c r="H1951">
        <v>16517</v>
      </c>
      <c r="I1951">
        <v>7960</v>
      </c>
      <c r="J1951">
        <v>24477</v>
      </c>
      <c r="K1951" t="b">
        <f>TrafficData[[#This Row],[disposedChallan]]+TrafficData[[#This Row],[pendingChallan]]=TrafficData[[#This Row],[totalChallan]]</f>
        <v>1</v>
      </c>
      <c r="L1951" t="b">
        <f>TrafficData[[#This Row],[pendingAmount]]+TrafficData[[#This Row],[disposedAmount]]=TrafficData[[#This Row],[totalAmount]]</f>
        <v>1</v>
      </c>
      <c r="M1951" t="b">
        <f>TrafficData[[#This Row],[pendingCourt]]+TrafficData[[#This Row],[disposedCourt]]=TrafficData[[#This Row],[totalCourt]]</f>
        <v>1</v>
      </c>
      <c r="N1951" s="8" t="b">
        <f>AND(TrafficData[[#This Row],[disposedChallan]]&lt;=TrafficData[[#This Row],[totalChallan]],TrafficData[[#This Row],[pendingChallan]]&lt;=TrafficData[[#This Row],[totalChallan]])</f>
        <v>1</v>
      </c>
      <c r="O1951" s="8" t="b">
        <f>AND(TrafficData[[#This Row],[pendingAmount]]&lt;=TrafficData[[#This Row],[totalAmount]],TrafficData[[#This Row],[disposedAmount]]&lt;=TrafficData[[#This Row],[totalAmount]])</f>
        <v>1</v>
      </c>
      <c r="P1951" s="8" t="b">
        <f>AND(TrafficData[[#This Row],[pendingCourt]]&lt;=TrafficData[[#This Row],[totalCourt]],TrafficData[[#This Row],[disposedCourt]]&lt;=TrafficData[[#This Row],[totalCourt]])</f>
        <v>1</v>
      </c>
    </row>
    <row r="1952" spans="1:16">
      <c r="A1952" s="1">
        <v>43956</v>
      </c>
      <c r="B1952">
        <v>87926</v>
      </c>
      <c r="C1952">
        <v>39960</v>
      </c>
      <c r="D1952">
        <v>47966</v>
      </c>
      <c r="E1952">
        <v>48942928</v>
      </c>
      <c r="F1952">
        <v>28777697</v>
      </c>
      <c r="G1952">
        <v>77720625</v>
      </c>
      <c r="H1952">
        <v>16944</v>
      </c>
      <c r="I1952">
        <v>6539</v>
      </c>
      <c r="J1952">
        <v>23483</v>
      </c>
      <c r="K1952" t="b">
        <f>TrafficData[[#This Row],[disposedChallan]]+TrafficData[[#This Row],[pendingChallan]]=TrafficData[[#This Row],[totalChallan]]</f>
        <v>1</v>
      </c>
      <c r="L1952" t="b">
        <f>TrafficData[[#This Row],[pendingAmount]]+TrafficData[[#This Row],[disposedAmount]]=TrafficData[[#This Row],[totalAmount]]</f>
        <v>1</v>
      </c>
      <c r="M1952" t="b">
        <f>TrafficData[[#This Row],[pendingCourt]]+TrafficData[[#This Row],[disposedCourt]]=TrafficData[[#This Row],[totalCourt]]</f>
        <v>1</v>
      </c>
      <c r="N1952" s="8" t="b">
        <f>AND(TrafficData[[#This Row],[disposedChallan]]&lt;=TrafficData[[#This Row],[totalChallan]],TrafficData[[#This Row],[pendingChallan]]&lt;=TrafficData[[#This Row],[totalChallan]])</f>
        <v>1</v>
      </c>
      <c r="O1952" s="8" t="b">
        <f>AND(TrafficData[[#This Row],[pendingAmount]]&lt;=TrafficData[[#This Row],[totalAmount]],TrafficData[[#This Row],[disposedAmount]]&lt;=TrafficData[[#This Row],[totalAmount]])</f>
        <v>1</v>
      </c>
      <c r="P1952" s="8" t="b">
        <f>AND(TrafficData[[#This Row],[pendingCourt]]&lt;=TrafficData[[#This Row],[totalCourt]],TrafficData[[#This Row],[disposedCourt]]&lt;=TrafficData[[#This Row],[totalCourt]])</f>
        <v>1</v>
      </c>
    </row>
    <row r="1953" spans="1:16">
      <c r="A1953" s="1">
        <v>43957</v>
      </c>
      <c r="B1953">
        <v>87311</v>
      </c>
      <c r="C1953">
        <v>39769</v>
      </c>
      <c r="D1953">
        <v>47542</v>
      </c>
      <c r="E1953">
        <v>52231260</v>
      </c>
      <c r="F1953">
        <v>31872477</v>
      </c>
      <c r="G1953">
        <v>84103737</v>
      </c>
      <c r="H1953">
        <v>17496</v>
      </c>
      <c r="I1953">
        <v>8471</v>
      </c>
      <c r="J1953">
        <v>25967</v>
      </c>
      <c r="K1953" t="b">
        <f>TrafficData[[#This Row],[disposedChallan]]+TrafficData[[#This Row],[pendingChallan]]=TrafficData[[#This Row],[totalChallan]]</f>
        <v>1</v>
      </c>
      <c r="L1953" t="b">
        <f>TrafficData[[#This Row],[pendingAmount]]+TrafficData[[#This Row],[disposedAmount]]=TrafficData[[#This Row],[totalAmount]]</f>
        <v>1</v>
      </c>
      <c r="M1953" t="b">
        <f>TrafficData[[#This Row],[pendingCourt]]+TrafficData[[#This Row],[disposedCourt]]=TrafficData[[#This Row],[totalCourt]]</f>
        <v>1</v>
      </c>
      <c r="N1953" s="8" t="b">
        <f>AND(TrafficData[[#This Row],[disposedChallan]]&lt;=TrafficData[[#This Row],[totalChallan]],TrafficData[[#This Row],[pendingChallan]]&lt;=TrafficData[[#This Row],[totalChallan]])</f>
        <v>1</v>
      </c>
      <c r="O1953" s="8" t="b">
        <f>AND(TrafficData[[#This Row],[pendingAmount]]&lt;=TrafficData[[#This Row],[totalAmount]],TrafficData[[#This Row],[disposedAmount]]&lt;=TrafficData[[#This Row],[totalAmount]])</f>
        <v>1</v>
      </c>
      <c r="P1953" s="8" t="b">
        <f>AND(TrafficData[[#This Row],[pendingCourt]]&lt;=TrafficData[[#This Row],[totalCourt]],TrafficData[[#This Row],[disposedCourt]]&lt;=TrafficData[[#This Row],[totalCourt]])</f>
        <v>1</v>
      </c>
    </row>
    <row r="1954" spans="1:16">
      <c r="A1954" s="1">
        <v>43958</v>
      </c>
      <c r="B1954">
        <v>74929</v>
      </c>
      <c r="C1954">
        <v>35977</v>
      </c>
      <c r="D1954">
        <v>38952</v>
      </c>
      <c r="E1954">
        <v>43099667</v>
      </c>
      <c r="F1954">
        <v>27522052</v>
      </c>
      <c r="G1954">
        <v>70621719</v>
      </c>
      <c r="H1954">
        <v>15631</v>
      </c>
      <c r="I1954">
        <v>8063</v>
      </c>
      <c r="J1954">
        <v>23694</v>
      </c>
      <c r="K1954" t="b">
        <f>TrafficData[[#This Row],[disposedChallan]]+TrafficData[[#This Row],[pendingChallan]]=TrafficData[[#This Row],[totalChallan]]</f>
        <v>1</v>
      </c>
      <c r="L1954" t="b">
        <f>TrafficData[[#This Row],[pendingAmount]]+TrafficData[[#This Row],[disposedAmount]]=TrafficData[[#This Row],[totalAmount]]</f>
        <v>1</v>
      </c>
      <c r="M1954" t="b">
        <f>TrafficData[[#This Row],[pendingCourt]]+TrafficData[[#This Row],[disposedCourt]]=TrafficData[[#This Row],[totalCourt]]</f>
        <v>1</v>
      </c>
      <c r="N1954" s="8" t="b">
        <f>AND(TrafficData[[#This Row],[disposedChallan]]&lt;=TrafficData[[#This Row],[totalChallan]],TrafficData[[#This Row],[pendingChallan]]&lt;=TrafficData[[#This Row],[totalChallan]])</f>
        <v>1</v>
      </c>
      <c r="O1954" s="8" t="b">
        <f>AND(TrafficData[[#This Row],[pendingAmount]]&lt;=TrafficData[[#This Row],[totalAmount]],TrafficData[[#This Row],[disposedAmount]]&lt;=TrafficData[[#This Row],[totalAmount]])</f>
        <v>1</v>
      </c>
      <c r="P1954" s="8" t="b">
        <f>AND(TrafficData[[#This Row],[pendingCourt]]&lt;=TrafficData[[#This Row],[totalCourt]],TrafficData[[#This Row],[disposedCourt]]&lt;=TrafficData[[#This Row],[totalCourt]])</f>
        <v>1</v>
      </c>
    </row>
    <row r="1955" spans="1:16">
      <c r="A1955" s="1">
        <v>43959</v>
      </c>
      <c r="B1955">
        <v>78608</v>
      </c>
      <c r="C1955">
        <v>35821</v>
      </c>
      <c r="D1955">
        <v>42787</v>
      </c>
      <c r="E1955">
        <v>48981395</v>
      </c>
      <c r="F1955">
        <v>33030589</v>
      </c>
      <c r="G1955">
        <v>82011984</v>
      </c>
      <c r="H1955">
        <v>16218</v>
      </c>
      <c r="I1955">
        <v>5879</v>
      </c>
      <c r="J1955">
        <v>22097</v>
      </c>
      <c r="K1955" t="b">
        <f>TrafficData[[#This Row],[disposedChallan]]+TrafficData[[#This Row],[pendingChallan]]=TrafficData[[#This Row],[totalChallan]]</f>
        <v>1</v>
      </c>
      <c r="L1955" t="b">
        <f>TrafficData[[#This Row],[pendingAmount]]+TrafficData[[#This Row],[disposedAmount]]=TrafficData[[#This Row],[totalAmount]]</f>
        <v>1</v>
      </c>
      <c r="M1955" t="b">
        <f>TrafficData[[#This Row],[pendingCourt]]+TrafficData[[#This Row],[disposedCourt]]=TrafficData[[#This Row],[totalCourt]]</f>
        <v>1</v>
      </c>
      <c r="N1955" s="8" t="b">
        <f>AND(TrafficData[[#This Row],[disposedChallan]]&lt;=TrafficData[[#This Row],[totalChallan]],TrafficData[[#This Row],[pendingChallan]]&lt;=TrafficData[[#This Row],[totalChallan]])</f>
        <v>1</v>
      </c>
      <c r="O1955" s="8" t="b">
        <f>AND(TrafficData[[#This Row],[pendingAmount]]&lt;=TrafficData[[#This Row],[totalAmount]],TrafficData[[#This Row],[disposedAmount]]&lt;=TrafficData[[#This Row],[totalAmount]])</f>
        <v>1</v>
      </c>
      <c r="P1955" s="8" t="b">
        <f>AND(TrafficData[[#This Row],[pendingCourt]]&lt;=TrafficData[[#This Row],[totalCourt]],TrafficData[[#This Row],[disposedCourt]]&lt;=TrafficData[[#This Row],[totalCourt]])</f>
        <v>1</v>
      </c>
    </row>
    <row r="1956" spans="1:16">
      <c r="A1956" s="1">
        <v>43960</v>
      </c>
      <c r="B1956">
        <v>81648</v>
      </c>
      <c r="C1956">
        <v>36944</v>
      </c>
      <c r="D1956">
        <v>44704</v>
      </c>
      <c r="E1956">
        <v>47738510</v>
      </c>
      <c r="F1956">
        <v>29447833</v>
      </c>
      <c r="G1956">
        <v>77186343</v>
      </c>
      <c r="H1956">
        <v>16288</v>
      </c>
      <c r="I1956">
        <v>6489</v>
      </c>
      <c r="J1956">
        <v>22777</v>
      </c>
      <c r="K1956" t="b">
        <f>TrafficData[[#This Row],[disposedChallan]]+TrafficData[[#This Row],[pendingChallan]]=TrafficData[[#This Row],[totalChallan]]</f>
        <v>1</v>
      </c>
      <c r="L1956" t="b">
        <f>TrafficData[[#This Row],[pendingAmount]]+TrafficData[[#This Row],[disposedAmount]]=TrafficData[[#This Row],[totalAmount]]</f>
        <v>1</v>
      </c>
      <c r="M1956" t="b">
        <f>TrafficData[[#This Row],[pendingCourt]]+TrafficData[[#This Row],[disposedCourt]]=TrafficData[[#This Row],[totalCourt]]</f>
        <v>1</v>
      </c>
      <c r="N1956" s="8" t="b">
        <f>AND(TrafficData[[#This Row],[disposedChallan]]&lt;=TrafficData[[#This Row],[totalChallan]],TrafficData[[#This Row],[pendingChallan]]&lt;=TrafficData[[#This Row],[totalChallan]])</f>
        <v>1</v>
      </c>
      <c r="O1956" s="8" t="b">
        <f>AND(TrafficData[[#This Row],[pendingAmount]]&lt;=TrafficData[[#This Row],[totalAmount]],TrafficData[[#This Row],[disposedAmount]]&lt;=TrafficData[[#This Row],[totalAmount]])</f>
        <v>1</v>
      </c>
      <c r="P1956" s="8" t="b">
        <f>AND(TrafficData[[#This Row],[pendingCourt]]&lt;=TrafficData[[#This Row],[totalCourt]],TrafficData[[#This Row],[disposedCourt]]&lt;=TrafficData[[#This Row],[totalCourt]])</f>
        <v>1</v>
      </c>
    </row>
    <row r="1957" spans="1:16">
      <c r="A1957" s="1">
        <v>43961</v>
      </c>
      <c r="B1957">
        <v>71075</v>
      </c>
      <c r="C1957">
        <v>30983</v>
      </c>
      <c r="D1957">
        <v>40092</v>
      </c>
      <c r="E1957">
        <v>40980085</v>
      </c>
      <c r="F1957">
        <v>23974234</v>
      </c>
      <c r="G1957">
        <v>64954319</v>
      </c>
      <c r="H1957">
        <v>13914</v>
      </c>
      <c r="I1957">
        <v>6126</v>
      </c>
      <c r="J1957">
        <v>20040</v>
      </c>
      <c r="K1957" t="b">
        <f>TrafficData[[#This Row],[disposedChallan]]+TrafficData[[#This Row],[pendingChallan]]=TrafficData[[#This Row],[totalChallan]]</f>
        <v>1</v>
      </c>
      <c r="L1957" t="b">
        <f>TrafficData[[#This Row],[pendingAmount]]+TrafficData[[#This Row],[disposedAmount]]=TrafficData[[#This Row],[totalAmount]]</f>
        <v>1</v>
      </c>
      <c r="M1957" t="b">
        <f>TrafficData[[#This Row],[pendingCourt]]+TrafficData[[#This Row],[disposedCourt]]=TrafficData[[#This Row],[totalCourt]]</f>
        <v>1</v>
      </c>
      <c r="N1957" s="8" t="b">
        <f>AND(TrafficData[[#This Row],[disposedChallan]]&lt;=TrafficData[[#This Row],[totalChallan]],TrafficData[[#This Row],[pendingChallan]]&lt;=TrafficData[[#This Row],[totalChallan]])</f>
        <v>1</v>
      </c>
      <c r="O1957" s="8" t="b">
        <f>AND(TrafficData[[#This Row],[pendingAmount]]&lt;=TrafficData[[#This Row],[totalAmount]],TrafficData[[#This Row],[disposedAmount]]&lt;=TrafficData[[#This Row],[totalAmount]])</f>
        <v>1</v>
      </c>
      <c r="P1957" s="8" t="b">
        <f>AND(TrafficData[[#This Row],[pendingCourt]]&lt;=TrafficData[[#This Row],[totalCourt]],TrafficData[[#This Row],[disposedCourt]]&lt;=TrafficData[[#This Row],[totalCourt]])</f>
        <v>1</v>
      </c>
    </row>
    <row r="1958" spans="1:16">
      <c r="A1958" s="1">
        <v>43962</v>
      </c>
      <c r="B1958">
        <v>95434</v>
      </c>
      <c r="C1958">
        <v>43079</v>
      </c>
      <c r="D1958">
        <v>52355</v>
      </c>
      <c r="E1958">
        <v>53915300</v>
      </c>
      <c r="F1958">
        <v>33334335</v>
      </c>
      <c r="G1958">
        <v>87249635</v>
      </c>
      <c r="H1958">
        <v>17485</v>
      </c>
      <c r="I1958">
        <v>6614</v>
      </c>
      <c r="J1958">
        <v>24099</v>
      </c>
      <c r="K1958" t="b">
        <f>TrafficData[[#This Row],[disposedChallan]]+TrafficData[[#This Row],[pendingChallan]]=TrafficData[[#This Row],[totalChallan]]</f>
        <v>1</v>
      </c>
      <c r="L1958" t="b">
        <f>TrafficData[[#This Row],[pendingAmount]]+TrafficData[[#This Row],[disposedAmount]]=TrafficData[[#This Row],[totalAmount]]</f>
        <v>1</v>
      </c>
      <c r="M1958" t="b">
        <f>TrafficData[[#This Row],[pendingCourt]]+TrafficData[[#This Row],[disposedCourt]]=TrafficData[[#This Row],[totalCourt]]</f>
        <v>1</v>
      </c>
      <c r="N1958" s="8" t="b">
        <f>AND(TrafficData[[#This Row],[disposedChallan]]&lt;=TrafficData[[#This Row],[totalChallan]],TrafficData[[#This Row],[pendingChallan]]&lt;=TrafficData[[#This Row],[totalChallan]])</f>
        <v>1</v>
      </c>
      <c r="O1958" s="8" t="b">
        <f>AND(TrafficData[[#This Row],[pendingAmount]]&lt;=TrafficData[[#This Row],[totalAmount]],TrafficData[[#This Row],[disposedAmount]]&lt;=TrafficData[[#This Row],[totalAmount]])</f>
        <v>1</v>
      </c>
      <c r="P1958" s="8" t="b">
        <f>AND(TrafficData[[#This Row],[pendingCourt]]&lt;=TrafficData[[#This Row],[totalCourt]],TrafficData[[#This Row],[disposedCourt]]&lt;=TrafficData[[#This Row],[totalCourt]])</f>
        <v>1</v>
      </c>
    </row>
    <row r="1959" spans="1:16">
      <c r="A1959" s="1">
        <v>43963</v>
      </c>
      <c r="B1959">
        <v>97802</v>
      </c>
      <c r="C1959">
        <v>43761</v>
      </c>
      <c r="D1959">
        <v>54041</v>
      </c>
      <c r="E1959">
        <v>56940220</v>
      </c>
      <c r="F1959">
        <v>34125480</v>
      </c>
      <c r="G1959">
        <v>91065700</v>
      </c>
      <c r="H1959">
        <v>18564</v>
      </c>
      <c r="I1959">
        <v>7786</v>
      </c>
      <c r="J1959">
        <v>26350</v>
      </c>
      <c r="K1959" t="b">
        <f>TrafficData[[#This Row],[disposedChallan]]+TrafficData[[#This Row],[pendingChallan]]=TrafficData[[#This Row],[totalChallan]]</f>
        <v>1</v>
      </c>
      <c r="L1959" t="b">
        <f>TrafficData[[#This Row],[pendingAmount]]+TrafficData[[#This Row],[disposedAmount]]=TrafficData[[#This Row],[totalAmount]]</f>
        <v>1</v>
      </c>
      <c r="M1959" t="b">
        <f>TrafficData[[#This Row],[pendingCourt]]+TrafficData[[#This Row],[disposedCourt]]=TrafficData[[#This Row],[totalCourt]]</f>
        <v>1</v>
      </c>
      <c r="N1959" s="8" t="b">
        <f>AND(TrafficData[[#This Row],[disposedChallan]]&lt;=TrafficData[[#This Row],[totalChallan]],TrafficData[[#This Row],[pendingChallan]]&lt;=TrafficData[[#This Row],[totalChallan]])</f>
        <v>1</v>
      </c>
      <c r="O1959" s="8" t="b">
        <f>AND(TrafficData[[#This Row],[pendingAmount]]&lt;=TrafficData[[#This Row],[totalAmount]],TrafficData[[#This Row],[disposedAmount]]&lt;=TrafficData[[#This Row],[totalAmount]])</f>
        <v>1</v>
      </c>
      <c r="P1959" s="8" t="b">
        <f>AND(TrafficData[[#This Row],[pendingCourt]]&lt;=TrafficData[[#This Row],[totalCourt]],TrafficData[[#This Row],[disposedCourt]]&lt;=TrafficData[[#This Row],[totalCourt]])</f>
        <v>1</v>
      </c>
    </row>
    <row r="1960" spans="1:16">
      <c r="A1960" s="1">
        <v>43964</v>
      </c>
      <c r="B1960">
        <v>102793</v>
      </c>
      <c r="C1960">
        <v>45058</v>
      </c>
      <c r="D1960">
        <v>57735</v>
      </c>
      <c r="E1960">
        <v>63230420</v>
      </c>
      <c r="F1960">
        <v>34610376</v>
      </c>
      <c r="G1960">
        <v>97840796</v>
      </c>
      <c r="H1960">
        <v>18452</v>
      </c>
      <c r="I1960">
        <v>8153</v>
      </c>
      <c r="J1960">
        <v>26605</v>
      </c>
      <c r="K1960" t="b">
        <f>TrafficData[[#This Row],[disposedChallan]]+TrafficData[[#This Row],[pendingChallan]]=TrafficData[[#This Row],[totalChallan]]</f>
        <v>1</v>
      </c>
      <c r="L1960" t="b">
        <f>TrafficData[[#This Row],[pendingAmount]]+TrafficData[[#This Row],[disposedAmount]]=TrafficData[[#This Row],[totalAmount]]</f>
        <v>1</v>
      </c>
      <c r="M1960" t="b">
        <f>TrafficData[[#This Row],[pendingCourt]]+TrafficData[[#This Row],[disposedCourt]]=TrafficData[[#This Row],[totalCourt]]</f>
        <v>1</v>
      </c>
      <c r="N1960" s="8" t="b">
        <f>AND(TrafficData[[#This Row],[disposedChallan]]&lt;=TrafficData[[#This Row],[totalChallan]],TrafficData[[#This Row],[pendingChallan]]&lt;=TrafficData[[#This Row],[totalChallan]])</f>
        <v>1</v>
      </c>
      <c r="O1960" s="8" t="b">
        <f>AND(TrafficData[[#This Row],[pendingAmount]]&lt;=TrafficData[[#This Row],[totalAmount]],TrafficData[[#This Row],[disposedAmount]]&lt;=TrafficData[[#This Row],[totalAmount]])</f>
        <v>1</v>
      </c>
      <c r="P1960" s="8" t="b">
        <f>AND(TrafficData[[#This Row],[pendingCourt]]&lt;=TrafficData[[#This Row],[totalCourt]],TrafficData[[#This Row],[disposedCourt]]&lt;=TrafficData[[#This Row],[totalCourt]])</f>
        <v>1</v>
      </c>
    </row>
    <row r="1961" spans="1:16">
      <c r="A1961" s="1">
        <v>43965</v>
      </c>
      <c r="B1961">
        <v>97431</v>
      </c>
      <c r="C1961">
        <v>43041</v>
      </c>
      <c r="D1961">
        <v>54390</v>
      </c>
      <c r="E1961">
        <v>57568500</v>
      </c>
      <c r="F1961">
        <v>35599702</v>
      </c>
      <c r="G1961">
        <v>93168202</v>
      </c>
      <c r="H1961">
        <v>16212</v>
      </c>
      <c r="I1961">
        <v>7620</v>
      </c>
      <c r="J1961">
        <v>23832</v>
      </c>
      <c r="K1961" t="b">
        <f>TrafficData[[#This Row],[disposedChallan]]+TrafficData[[#This Row],[pendingChallan]]=TrafficData[[#This Row],[totalChallan]]</f>
        <v>1</v>
      </c>
      <c r="L1961" t="b">
        <f>TrafficData[[#This Row],[pendingAmount]]+TrafficData[[#This Row],[disposedAmount]]=TrafficData[[#This Row],[totalAmount]]</f>
        <v>1</v>
      </c>
      <c r="M1961" t="b">
        <f>TrafficData[[#This Row],[pendingCourt]]+TrafficData[[#This Row],[disposedCourt]]=TrafficData[[#This Row],[totalCourt]]</f>
        <v>1</v>
      </c>
      <c r="N1961" s="8" t="b">
        <f>AND(TrafficData[[#This Row],[disposedChallan]]&lt;=TrafficData[[#This Row],[totalChallan]],TrafficData[[#This Row],[pendingChallan]]&lt;=TrafficData[[#This Row],[totalChallan]])</f>
        <v>1</v>
      </c>
      <c r="O1961" s="8" t="b">
        <f>AND(TrafficData[[#This Row],[pendingAmount]]&lt;=TrafficData[[#This Row],[totalAmount]],TrafficData[[#This Row],[disposedAmount]]&lt;=TrafficData[[#This Row],[totalAmount]])</f>
        <v>1</v>
      </c>
      <c r="P1961" s="8" t="b">
        <f>AND(TrafficData[[#This Row],[pendingCourt]]&lt;=TrafficData[[#This Row],[totalCourt]],TrafficData[[#This Row],[disposedCourt]]&lt;=TrafficData[[#This Row],[totalCourt]])</f>
        <v>1</v>
      </c>
    </row>
    <row r="1962" spans="1:16">
      <c r="A1962" s="1">
        <v>43966</v>
      </c>
      <c r="B1962">
        <v>95497</v>
      </c>
      <c r="C1962">
        <v>42323</v>
      </c>
      <c r="D1962">
        <v>53174</v>
      </c>
      <c r="E1962">
        <v>59635240</v>
      </c>
      <c r="F1962">
        <v>34837126</v>
      </c>
      <c r="G1962">
        <v>94472366</v>
      </c>
      <c r="H1962">
        <v>14489</v>
      </c>
      <c r="I1962">
        <v>6598</v>
      </c>
      <c r="J1962">
        <v>21087</v>
      </c>
      <c r="K1962" t="b">
        <f>TrafficData[[#This Row],[disposedChallan]]+TrafficData[[#This Row],[pendingChallan]]=TrafficData[[#This Row],[totalChallan]]</f>
        <v>1</v>
      </c>
      <c r="L1962" t="b">
        <f>TrafficData[[#This Row],[pendingAmount]]+TrafficData[[#This Row],[disposedAmount]]=TrafficData[[#This Row],[totalAmount]]</f>
        <v>1</v>
      </c>
      <c r="M1962" t="b">
        <f>TrafficData[[#This Row],[pendingCourt]]+TrafficData[[#This Row],[disposedCourt]]=TrafficData[[#This Row],[totalCourt]]</f>
        <v>1</v>
      </c>
      <c r="N1962" s="8" t="b">
        <f>AND(TrafficData[[#This Row],[disposedChallan]]&lt;=TrafficData[[#This Row],[totalChallan]],TrafficData[[#This Row],[pendingChallan]]&lt;=TrafficData[[#This Row],[totalChallan]])</f>
        <v>1</v>
      </c>
      <c r="O1962" s="8" t="b">
        <f>AND(TrafficData[[#This Row],[pendingAmount]]&lt;=TrafficData[[#This Row],[totalAmount]],TrafficData[[#This Row],[disposedAmount]]&lt;=TrafficData[[#This Row],[totalAmount]])</f>
        <v>1</v>
      </c>
      <c r="P1962" s="8" t="b">
        <f>AND(TrafficData[[#This Row],[pendingCourt]]&lt;=TrafficData[[#This Row],[totalCourt]],TrafficData[[#This Row],[disposedCourt]]&lt;=TrafficData[[#This Row],[totalCourt]])</f>
        <v>1</v>
      </c>
    </row>
    <row r="1963" spans="1:16">
      <c r="A1963" s="1">
        <v>43967</v>
      </c>
      <c r="B1963">
        <v>89045</v>
      </c>
      <c r="C1963">
        <v>39416</v>
      </c>
      <c r="D1963">
        <v>49629</v>
      </c>
      <c r="E1963">
        <v>59879960</v>
      </c>
      <c r="F1963">
        <v>35397833</v>
      </c>
      <c r="G1963">
        <v>95277793</v>
      </c>
      <c r="H1963">
        <v>14484</v>
      </c>
      <c r="I1963">
        <v>7659</v>
      </c>
      <c r="J1963">
        <v>22143</v>
      </c>
      <c r="K1963" t="b">
        <f>TrafficData[[#This Row],[disposedChallan]]+TrafficData[[#This Row],[pendingChallan]]=TrafficData[[#This Row],[totalChallan]]</f>
        <v>1</v>
      </c>
      <c r="L1963" t="b">
        <f>TrafficData[[#This Row],[pendingAmount]]+TrafficData[[#This Row],[disposedAmount]]=TrafficData[[#This Row],[totalAmount]]</f>
        <v>1</v>
      </c>
      <c r="M1963" t="b">
        <f>TrafficData[[#This Row],[pendingCourt]]+TrafficData[[#This Row],[disposedCourt]]=TrafficData[[#This Row],[totalCourt]]</f>
        <v>1</v>
      </c>
      <c r="N1963" s="8" t="b">
        <f>AND(TrafficData[[#This Row],[disposedChallan]]&lt;=TrafficData[[#This Row],[totalChallan]],TrafficData[[#This Row],[pendingChallan]]&lt;=TrafficData[[#This Row],[totalChallan]])</f>
        <v>1</v>
      </c>
      <c r="O1963" s="8" t="b">
        <f>AND(TrafficData[[#This Row],[pendingAmount]]&lt;=TrafficData[[#This Row],[totalAmount]],TrafficData[[#This Row],[disposedAmount]]&lt;=TrafficData[[#This Row],[totalAmount]])</f>
        <v>1</v>
      </c>
      <c r="P1963" s="8" t="b">
        <f>AND(TrafficData[[#This Row],[pendingCourt]]&lt;=TrafficData[[#This Row],[totalCourt]],TrafficData[[#This Row],[disposedCourt]]&lt;=TrafficData[[#This Row],[totalCourt]])</f>
        <v>1</v>
      </c>
    </row>
    <row r="1964" spans="1:16">
      <c r="A1964" s="1">
        <v>43968</v>
      </c>
      <c r="B1964">
        <v>78301</v>
      </c>
      <c r="C1964">
        <v>33228</v>
      </c>
      <c r="D1964">
        <v>45073</v>
      </c>
      <c r="E1964">
        <v>52751990</v>
      </c>
      <c r="F1964">
        <v>29097281</v>
      </c>
      <c r="G1964">
        <v>81849271</v>
      </c>
      <c r="H1964">
        <v>13252</v>
      </c>
      <c r="I1964">
        <v>6369</v>
      </c>
      <c r="J1964">
        <v>19621</v>
      </c>
      <c r="K1964" t="b">
        <f>TrafficData[[#This Row],[disposedChallan]]+TrafficData[[#This Row],[pendingChallan]]=TrafficData[[#This Row],[totalChallan]]</f>
        <v>1</v>
      </c>
      <c r="L1964" t="b">
        <f>TrafficData[[#This Row],[pendingAmount]]+TrafficData[[#This Row],[disposedAmount]]=TrafficData[[#This Row],[totalAmount]]</f>
        <v>1</v>
      </c>
      <c r="M1964" t="b">
        <f>TrafficData[[#This Row],[pendingCourt]]+TrafficData[[#This Row],[disposedCourt]]=TrafficData[[#This Row],[totalCourt]]</f>
        <v>1</v>
      </c>
      <c r="N1964" s="8" t="b">
        <f>AND(TrafficData[[#This Row],[disposedChallan]]&lt;=TrafficData[[#This Row],[totalChallan]],TrafficData[[#This Row],[pendingChallan]]&lt;=TrafficData[[#This Row],[totalChallan]])</f>
        <v>1</v>
      </c>
      <c r="O1964" s="8" t="b">
        <f>AND(TrafficData[[#This Row],[pendingAmount]]&lt;=TrafficData[[#This Row],[totalAmount]],TrafficData[[#This Row],[disposedAmount]]&lt;=TrafficData[[#This Row],[totalAmount]])</f>
        <v>1</v>
      </c>
      <c r="P1964" s="8" t="b">
        <f>AND(TrafficData[[#This Row],[pendingCourt]]&lt;=TrafficData[[#This Row],[totalCourt]],TrafficData[[#This Row],[disposedCourt]]&lt;=TrafficData[[#This Row],[totalCourt]])</f>
        <v>1</v>
      </c>
    </row>
    <row r="1965" spans="1:16">
      <c r="A1965" s="1">
        <v>43969</v>
      </c>
      <c r="B1965">
        <v>89762</v>
      </c>
      <c r="C1965">
        <v>39345</v>
      </c>
      <c r="D1965">
        <v>50417</v>
      </c>
      <c r="E1965">
        <v>58710680</v>
      </c>
      <c r="F1965">
        <v>35031593</v>
      </c>
      <c r="G1965">
        <v>93742273</v>
      </c>
      <c r="H1965">
        <v>15323</v>
      </c>
      <c r="I1965">
        <v>7596</v>
      </c>
      <c r="J1965">
        <v>22919</v>
      </c>
      <c r="K1965" t="b">
        <f>TrafficData[[#This Row],[disposedChallan]]+TrafficData[[#This Row],[pendingChallan]]=TrafficData[[#This Row],[totalChallan]]</f>
        <v>1</v>
      </c>
      <c r="L1965" t="b">
        <f>TrafficData[[#This Row],[pendingAmount]]+TrafficData[[#This Row],[disposedAmount]]=TrafficData[[#This Row],[totalAmount]]</f>
        <v>1</v>
      </c>
      <c r="M1965" t="b">
        <f>TrafficData[[#This Row],[pendingCourt]]+TrafficData[[#This Row],[disposedCourt]]=TrafficData[[#This Row],[totalCourt]]</f>
        <v>1</v>
      </c>
      <c r="N1965" s="8" t="b">
        <f>AND(TrafficData[[#This Row],[disposedChallan]]&lt;=TrafficData[[#This Row],[totalChallan]],TrafficData[[#This Row],[pendingChallan]]&lt;=TrafficData[[#This Row],[totalChallan]])</f>
        <v>1</v>
      </c>
      <c r="O1965" s="8" t="b">
        <f>AND(TrafficData[[#This Row],[pendingAmount]]&lt;=TrafficData[[#This Row],[totalAmount]],TrafficData[[#This Row],[disposedAmount]]&lt;=TrafficData[[#This Row],[totalAmount]])</f>
        <v>1</v>
      </c>
      <c r="P1965" s="8" t="b">
        <f>AND(TrafficData[[#This Row],[pendingCourt]]&lt;=TrafficData[[#This Row],[totalCourt]],TrafficData[[#This Row],[disposedCourt]]&lt;=TrafficData[[#This Row],[totalCourt]])</f>
        <v>1</v>
      </c>
    </row>
    <row r="1966" spans="1:16">
      <c r="A1966" s="1">
        <v>43970</v>
      </c>
      <c r="B1966">
        <v>97947</v>
      </c>
      <c r="C1966">
        <v>41591</v>
      </c>
      <c r="D1966">
        <v>56356</v>
      </c>
      <c r="E1966">
        <v>64329369</v>
      </c>
      <c r="F1966">
        <v>37860968</v>
      </c>
      <c r="G1966">
        <v>102190337</v>
      </c>
      <c r="H1966">
        <v>16227</v>
      </c>
      <c r="I1966">
        <v>6389</v>
      </c>
      <c r="J1966">
        <v>22616</v>
      </c>
      <c r="K1966" t="b">
        <f>TrafficData[[#This Row],[disposedChallan]]+TrafficData[[#This Row],[pendingChallan]]=TrafficData[[#This Row],[totalChallan]]</f>
        <v>1</v>
      </c>
      <c r="L1966" t="b">
        <f>TrafficData[[#This Row],[pendingAmount]]+TrafficData[[#This Row],[disposedAmount]]=TrafficData[[#This Row],[totalAmount]]</f>
        <v>1</v>
      </c>
      <c r="M1966" t="b">
        <f>TrafficData[[#This Row],[pendingCourt]]+TrafficData[[#This Row],[disposedCourt]]=TrafficData[[#This Row],[totalCourt]]</f>
        <v>1</v>
      </c>
      <c r="N1966" s="8" t="b">
        <f>AND(TrafficData[[#This Row],[disposedChallan]]&lt;=TrafficData[[#This Row],[totalChallan]],TrafficData[[#This Row],[pendingChallan]]&lt;=TrafficData[[#This Row],[totalChallan]])</f>
        <v>1</v>
      </c>
      <c r="O1966" s="8" t="b">
        <f>AND(TrafficData[[#This Row],[pendingAmount]]&lt;=TrafficData[[#This Row],[totalAmount]],TrafficData[[#This Row],[disposedAmount]]&lt;=TrafficData[[#This Row],[totalAmount]])</f>
        <v>1</v>
      </c>
      <c r="P1966" s="8" t="b">
        <f>AND(TrafficData[[#This Row],[pendingCourt]]&lt;=TrafficData[[#This Row],[totalCourt]],TrafficData[[#This Row],[disposedCourt]]&lt;=TrafficData[[#This Row],[totalCourt]])</f>
        <v>1</v>
      </c>
    </row>
    <row r="1967" spans="1:16">
      <c r="A1967" s="1">
        <v>43971</v>
      </c>
      <c r="B1967">
        <v>99574</v>
      </c>
      <c r="C1967">
        <v>44034</v>
      </c>
      <c r="D1967">
        <v>55540</v>
      </c>
      <c r="E1967">
        <v>64586350</v>
      </c>
      <c r="F1967">
        <v>38225573</v>
      </c>
      <c r="G1967">
        <v>102811923</v>
      </c>
      <c r="H1967">
        <v>15656</v>
      </c>
      <c r="I1967">
        <v>8846</v>
      </c>
      <c r="J1967">
        <v>24502</v>
      </c>
      <c r="K1967" t="b">
        <f>TrafficData[[#This Row],[disposedChallan]]+TrafficData[[#This Row],[pendingChallan]]=TrafficData[[#This Row],[totalChallan]]</f>
        <v>1</v>
      </c>
      <c r="L1967" t="b">
        <f>TrafficData[[#This Row],[pendingAmount]]+TrafficData[[#This Row],[disposedAmount]]=TrafficData[[#This Row],[totalAmount]]</f>
        <v>1</v>
      </c>
      <c r="M1967" t="b">
        <f>TrafficData[[#This Row],[pendingCourt]]+TrafficData[[#This Row],[disposedCourt]]=TrafficData[[#This Row],[totalCourt]]</f>
        <v>1</v>
      </c>
      <c r="N1967" s="8" t="b">
        <f>AND(TrafficData[[#This Row],[disposedChallan]]&lt;=TrafficData[[#This Row],[totalChallan]],TrafficData[[#This Row],[pendingChallan]]&lt;=TrafficData[[#This Row],[totalChallan]])</f>
        <v>1</v>
      </c>
      <c r="O1967" s="8" t="b">
        <f>AND(TrafficData[[#This Row],[pendingAmount]]&lt;=TrafficData[[#This Row],[totalAmount]],TrafficData[[#This Row],[disposedAmount]]&lt;=TrafficData[[#This Row],[totalAmount]])</f>
        <v>1</v>
      </c>
      <c r="P1967" s="8" t="b">
        <f>AND(TrafficData[[#This Row],[pendingCourt]]&lt;=TrafficData[[#This Row],[totalCourt]],TrafficData[[#This Row],[disposedCourt]]&lt;=TrafficData[[#This Row],[totalCourt]])</f>
        <v>1</v>
      </c>
    </row>
    <row r="1968" spans="1:16">
      <c r="A1968" s="1">
        <v>43972</v>
      </c>
      <c r="B1968">
        <v>102215</v>
      </c>
      <c r="C1968">
        <v>43953</v>
      </c>
      <c r="D1968">
        <v>58262</v>
      </c>
      <c r="E1968">
        <v>66925280</v>
      </c>
      <c r="F1968">
        <v>39325549</v>
      </c>
      <c r="G1968">
        <v>106250829</v>
      </c>
      <c r="H1968">
        <v>16849</v>
      </c>
      <c r="I1968">
        <v>6930</v>
      </c>
      <c r="J1968">
        <v>23779</v>
      </c>
      <c r="K1968" t="b">
        <f>TrafficData[[#This Row],[disposedChallan]]+TrafficData[[#This Row],[pendingChallan]]=TrafficData[[#This Row],[totalChallan]]</f>
        <v>1</v>
      </c>
      <c r="L1968" t="b">
        <f>TrafficData[[#This Row],[pendingAmount]]+TrafficData[[#This Row],[disposedAmount]]=TrafficData[[#This Row],[totalAmount]]</f>
        <v>1</v>
      </c>
      <c r="M1968" t="b">
        <f>TrafficData[[#This Row],[pendingCourt]]+TrafficData[[#This Row],[disposedCourt]]=TrafficData[[#This Row],[totalCourt]]</f>
        <v>1</v>
      </c>
      <c r="N1968" s="8" t="b">
        <f>AND(TrafficData[[#This Row],[disposedChallan]]&lt;=TrafficData[[#This Row],[totalChallan]],TrafficData[[#This Row],[pendingChallan]]&lt;=TrafficData[[#This Row],[totalChallan]])</f>
        <v>1</v>
      </c>
      <c r="O1968" s="8" t="b">
        <f>AND(TrafficData[[#This Row],[pendingAmount]]&lt;=TrafficData[[#This Row],[totalAmount]],TrafficData[[#This Row],[disposedAmount]]&lt;=TrafficData[[#This Row],[totalAmount]])</f>
        <v>1</v>
      </c>
      <c r="P1968" s="8" t="b">
        <f>AND(TrafficData[[#This Row],[pendingCourt]]&lt;=TrafficData[[#This Row],[totalCourt]],TrafficData[[#This Row],[disposedCourt]]&lt;=TrafficData[[#This Row],[totalCourt]])</f>
        <v>1</v>
      </c>
    </row>
    <row r="1969" spans="1:16">
      <c r="A1969" s="1">
        <v>43973</v>
      </c>
      <c r="B1969">
        <v>105012</v>
      </c>
      <c r="C1969">
        <v>44791</v>
      </c>
      <c r="D1969">
        <v>60221</v>
      </c>
      <c r="E1969">
        <v>72583420</v>
      </c>
      <c r="F1969">
        <v>40506309</v>
      </c>
      <c r="G1969">
        <v>113089729</v>
      </c>
      <c r="H1969">
        <v>15766</v>
      </c>
      <c r="I1969">
        <v>7569</v>
      </c>
      <c r="J1969">
        <v>23335</v>
      </c>
      <c r="K1969" t="b">
        <f>TrafficData[[#This Row],[disposedChallan]]+TrafficData[[#This Row],[pendingChallan]]=TrafficData[[#This Row],[totalChallan]]</f>
        <v>1</v>
      </c>
      <c r="L1969" t="b">
        <f>TrafficData[[#This Row],[pendingAmount]]+TrafficData[[#This Row],[disposedAmount]]=TrafficData[[#This Row],[totalAmount]]</f>
        <v>1</v>
      </c>
      <c r="M1969" t="b">
        <f>TrafficData[[#This Row],[pendingCourt]]+TrafficData[[#This Row],[disposedCourt]]=TrafficData[[#This Row],[totalCourt]]</f>
        <v>1</v>
      </c>
      <c r="N1969" s="8" t="b">
        <f>AND(TrafficData[[#This Row],[disposedChallan]]&lt;=TrafficData[[#This Row],[totalChallan]],TrafficData[[#This Row],[pendingChallan]]&lt;=TrafficData[[#This Row],[totalChallan]])</f>
        <v>1</v>
      </c>
      <c r="O1969" s="8" t="b">
        <f>AND(TrafficData[[#This Row],[pendingAmount]]&lt;=TrafficData[[#This Row],[totalAmount]],TrafficData[[#This Row],[disposedAmount]]&lt;=TrafficData[[#This Row],[totalAmount]])</f>
        <v>1</v>
      </c>
      <c r="P1969" s="8" t="b">
        <f>AND(TrafficData[[#This Row],[pendingCourt]]&lt;=TrafficData[[#This Row],[totalCourt]],TrafficData[[#This Row],[disposedCourt]]&lt;=TrafficData[[#This Row],[totalCourt]])</f>
        <v>1</v>
      </c>
    </row>
    <row r="1970" spans="1:16">
      <c r="A1970" s="1">
        <v>43974</v>
      </c>
      <c r="B1970">
        <v>107193</v>
      </c>
      <c r="C1970">
        <v>45829</v>
      </c>
      <c r="D1970">
        <v>61364</v>
      </c>
      <c r="E1970">
        <v>71460495</v>
      </c>
      <c r="F1970">
        <v>41649439</v>
      </c>
      <c r="G1970">
        <v>113109934</v>
      </c>
      <c r="H1970">
        <v>17037</v>
      </c>
      <c r="I1970">
        <v>8481</v>
      </c>
      <c r="J1970">
        <v>25518</v>
      </c>
      <c r="K1970" t="b">
        <f>TrafficData[[#This Row],[disposedChallan]]+TrafficData[[#This Row],[pendingChallan]]=TrafficData[[#This Row],[totalChallan]]</f>
        <v>1</v>
      </c>
      <c r="L1970" t="b">
        <f>TrafficData[[#This Row],[pendingAmount]]+TrafficData[[#This Row],[disposedAmount]]=TrafficData[[#This Row],[totalAmount]]</f>
        <v>1</v>
      </c>
      <c r="M1970" t="b">
        <f>TrafficData[[#This Row],[pendingCourt]]+TrafficData[[#This Row],[disposedCourt]]=TrafficData[[#This Row],[totalCourt]]</f>
        <v>1</v>
      </c>
      <c r="N1970" s="8" t="b">
        <f>AND(TrafficData[[#This Row],[disposedChallan]]&lt;=TrafficData[[#This Row],[totalChallan]],TrafficData[[#This Row],[pendingChallan]]&lt;=TrafficData[[#This Row],[totalChallan]])</f>
        <v>1</v>
      </c>
      <c r="O1970" s="8" t="b">
        <f>AND(TrafficData[[#This Row],[pendingAmount]]&lt;=TrafficData[[#This Row],[totalAmount]],TrafficData[[#This Row],[disposedAmount]]&lt;=TrafficData[[#This Row],[totalAmount]])</f>
        <v>1</v>
      </c>
      <c r="P1970" s="8" t="b">
        <f>AND(TrafficData[[#This Row],[pendingCourt]]&lt;=TrafficData[[#This Row],[totalCourt]],TrafficData[[#This Row],[disposedCourt]]&lt;=TrafficData[[#This Row],[totalCourt]])</f>
        <v>1</v>
      </c>
    </row>
    <row r="1971" spans="1:16">
      <c r="A1971" s="1">
        <v>43975</v>
      </c>
      <c r="B1971">
        <v>80606</v>
      </c>
      <c r="C1971">
        <v>34571</v>
      </c>
      <c r="D1971">
        <v>46035</v>
      </c>
      <c r="E1971">
        <v>43837295</v>
      </c>
      <c r="F1971">
        <v>28678108</v>
      </c>
      <c r="G1971">
        <v>72515403</v>
      </c>
      <c r="H1971">
        <v>14464</v>
      </c>
      <c r="I1971">
        <v>6303</v>
      </c>
      <c r="J1971">
        <v>20767</v>
      </c>
      <c r="K1971" t="b">
        <f>TrafficData[[#This Row],[disposedChallan]]+TrafficData[[#This Row],[pendingChallan]]=TrafficData[[#This Row],[totalChallan]]</f>
        <v>1</v>
      </c>
      <c r="L1971" t="b">
        <f>TrafficData[[#This Row],[pendingAmount]]+TrafficData[[#This Row],[disposedAmount]]=TrafficData[[#This Row],[totalAmount]]</f>
        <v>1</v>
      </c>
      <c r="M1971" t="b">
        <f>TrafficData[[#This Row],[pendingCourt]]+TrafficData[[#This Row],[disposedCourt]]=TrafficData[[#This Row],[totalCourt]]</f>
        <v>1</v>
      </c>
      <c r="N1971" s="8" t="b">
        <f>AND(TrafficData[[#This Row],[disposedChallan]]&lt;=TrafficData[[#This Row],[totalChallan]],TrafficData[[#This Row],[pendingChallan]]&lt;=TrafficData[[#This Row],[totalChallan]])</f>
        <v>1</v>
      </c>
      <c r="O1971" s="8" t="b">
        <f>AND(TrafficData[[#This Row],[pendingAmount]]&lt;=TrafficData[[#This Row],[totalAmount]],TrafficData[[#This Row],[disposedAmount]]&lt;=TrafficData[[#This Row],[totalAmount]])</f>
        <v>1</v>
      </c>
      <c r="P1971" s="8" t="b">
        <f>AND(TrafficData[[#This Row],[pendingCourt]]&lt;=TrafficData[[#This Row],[totalCourt]],TrafficData[[#This Row],[disposedCourt]]&lt;=TrafficData[[#This Row],[totalCourt]])</f>
        <v>1</v>
      </c>
    </row>
    <row r="1972" spans="1:16">
      <c r="A1972" s="1">
        <v>43976</v>
      </c>
      <c r="B1972">
        <v>95598</v>
      </c>
      <c r="C1972">
        <v>39249</v>
      </c>
      <c r="D1972">
        <v>56349</v>
      </c>
      <c r="E1972">
        <v>65666393</v>
      </c>
      <c r="F1972">
        <v>33386417</v>
      </c>
      <c r="G1972">
        <v>99052810</v>
      </c>
      <c r="H1972">
        <v>13048</v>
      </c>
      <c r="I1972">
        <v>6690</v>
      </c>
      <c r="J1972">
        <v>19738</v>
      </c>
      <c r="K1972" t="b">
        <f>TrafficData[[#This Row],[disposedChallan]]+TrafficData[[#This Row],[pendingChallan]]=TrafficData[[#This Row],[totalChallan]]</f>
        <v>1</v>
      </c>
      <c r="L1972" t="b">
        <f>TrafficData[[#This Row],[pendingAmount]]+TrafficData[[#This Row],[disposedAmount]]=TrafficData[[#This Row],[totalAmount]]</f>
        <v>1</v>
      </c>
      <c r="M1972" t="b">
        <f>TrafficData[[#This Row],[pendingCourt]]+TrafficData[[#This Row],[disposedCourt]]=TrafficData[[#This Row],[totalCourt]]</f>
        <v>1</v>
      </c>
      <c r="N1972" s="8" t="b">
        <f>AND(TrafficData[[#This Row],[disposedChallan]]&lt;=TrafficData[[#This Row],[totalChallan]],TrafficData[[#This Row],[pendingChallan]]&lt;=TrafficData[[#This Row],[totalChallan]])</f>
        <v>1</v>
      </c>
      <c r="O1972" s="8" t="b">
        <f>AND(TrafficData[[#This Row],[pendingAmount]]&lt;=TrafficData[[#This Row],[totalAmount]],TrafficData[[#This Row],[disposedAmount]]&lt;=TrafficData[[#This Row],[totalAmount]])</f>
        <v>1</v>
      </c>
      <c r="P1972" s="8" t="b">
        <f>AND(TrafficData[[#This Row],[pendingCourt]]&lt;=TrafficData[[#This Row],[totalCourt]],TrafficData[[#This Row],[disposedCourt]]&lt;=TrafficData[[#This Row],[totalCourt]])</f>
        <v>1</v>
      </c>
    </row>
    <row r="1973" spans="1:16">
      <c r="A1973" s="1">
        <v>43977</v>
      </c>
      <c r="B1973">
        <v>109705</v>
      </c>
      <c r="C1973">
        <v>46624</v>
      </c>
      <c r="D1973">
        <v>63081</v>
      </c>
      <c r="E1973">
        <v>74076330</v>
      </c>
      <c r="F1973">
        <v>39979686</v>
      </c>
      <c r="G1973">
        <v>114056016</v>
      </c>
      <c r="H1973">
        <v>16984</v>
      </c>
      <c r="I1973">
        <v>7579</v>
      </c>
      <c r="J1973">
        <v>24563</v>
      </c>
      <c r="K1973" t="b">
        <f>TrafficData[[#This Row],[disposedChallan]]+TrafficData[[#This Row],[pendingChallan]]=TrafficData[[#This Row],[totalChallan]]</f>
        <v>1</v>
      </c>
      <c r="L1973" t="b">
        <f>TrafficData[[#This Row],[pendingAmount]]+TrafficData[[#This Row],[disposedAmount]]=TrafficData[[#This Row],[totalAmount]]</f>
        <v>1</v>
      </c>
      <c r="M1973" t="b">
        <f>TrafficData[[#This Row],[pendingCourt]]+TrafficData[[#This Row],[disposedCourt]]=TrafficData[[#This Row],[totalCourt]]</f>
        <v>1</v>
      </c>
      <c r="N1973" s="8" t="b">
        <f>AND(TrafficData[[#This Row],[disposedChallan]]&lt;=TrafficData[[#This Row],[totalChallan]],TrafficData[[#This Row],[pendingChallan]]&lt;=TrafficData[[#This Row],[totalChallan]])</f>
        <v>1</v>
      </c>
      <c r="O1973" s="8" t="b">
        <f>AND(TrafficData[[#This Row],[pendingAmount]]&lt;=TrafficData[[#This Row],[totalAmount]],TrafficData[[#This Row],[disposedAmount]]&lt;=TrafficData[[#This Row],[totalAmount]])</f>
        <v>1</v>
      </c>
      <c r="P1973" s="8" t="b">
        <f>AND(TrafficData[[#This Row],[pendingCourt]]&lt;=TrafficData[[#This Row],[totalCourt]],TrafficData[[#This Row],[disposedCourt]]&lt;=TrafficData[[#This Row],[totalCourt]])</f>
        <v>1</v>
      </c>
    </row>
    <row r="1974" spans="1:16">
      <c r="A1974" s="1">
        <v>43978</v>
      </c>
      <c r="B1974">
        <v>110255</v>
      </c>
      <c r="C1974">
        <v>47986</v>
      </c>
      <c r="D1974">
        <v>62269</v>
      </c>
      <c r="E1974">
        <v>73762731</v>
      </c>
      <c r="F1974">
        <v>42619074</v>
      </c>
      <c r="G1974">
        <v>116381805</v>
      </c>
      <c r="H1974">
        <v>15750</v>
      </c>
      <c r="I1974">
        <v>7542</v>
      </c>
      <c r="J1974">
        <v>23292</v>
      </c>
      <c r="K1974" t="b">
        <f>TrafficData[[#This Row],[disposedChallan]]+TrafficData[[#This Row],[pendingChallan]]=TrafficData[[#This Row],[totalChallan]]</f>
        <v>1</v>
      </c>
      <c r="L1974" t="b">
        <f>TrafficData[[#This Row],[pendingAmount]]+TrafficData[[#This Row],[disposedAmount]]=TrafficData[[#This Row],[totalAmount]]</f>
        <v>1</v>
      </c>
      <c r="M1974" t="b">
        <f>TrafficData[[#This Row],[pendingCourt]]+TrafficData[[#This Row],[disposedCourt]]=TrafficData[[#This Row],[totalCourt]]</f>
        <v>1</v>
      </c>
      <c r="N1974" s="8" t="b">
        <f>AND(TrafficData[[#This Row],[disposedChallan]]&lt;=TrafficData[[#This Row],[totalChallan]],TrafficData[[#This Row],[pendingChallan]]&lt;=TrafficData[[#This Row],[totalChallan]])</f>
        <v>1</v>
      </c>
      <c r="O1974" s="8" t="b">
        <f>AND(TrafficData[[#This Row],[pendingAmount]]&lt;=TrafficData[[#This Row],[totalAmount]],TrafficData[[#This Row],[disposedAmount]]&lt;=TrafficData[[#This Row],[totalAmount]])</f>
        <v>1</v>
      </c>
      <c r="P1974" s="8" t="b">
        <f>AND(TrafficData[[#This Row],[pendingCourt]]&lt;=TrafficData[[#This Row],[totalCourt]],TrafficData[[#This Row],[disposedCourt]]&lt;=TrafficData[[#This Row],[totalCourt]])</f>
        <v>1</v>
      </c>
    </row>
    <row r="1975" spans="1:16">
      <c r="A1975" s="1">
        <v>43979</v>
      </c>
      <c r="B1975">
        <v>109330</v>
      </c>
      <c r="C1975">
        <v>47012</v>
      </c>
      <c r="D1975">
        <v>62318</v>
      </c>
      <c r="E1975">
        <v>73027440</v>
      </c>
      <c r="F1975">
        <v>45520644</v>
      </c>
      <c r="G1975">
        <v>118548084</v>
      </c>
      <c r="H1975">
        <v>14522</v>
      </c>
      <c r="I1975">
        <v>8288</v>
      </c>
      <c r="J1975">
        <v>22810</v>
      </c>
      <c r="K1975" t="b">
        <f>TrafficData[[#This Row],[disposedChallan]]+TrafficData[[#This Row],[pendingChallan]]=TrafficData[[#This Row],[totalChallan]]</f>
        <v>1</v>
      </c>
      <c r="L1975" t="b">
        <f>TrafficData[[#This Row],[pendingAmount]]+TrafficData[[#This Row],[disposedAmount]]=TrafficData[[#This Row],[totalAmount]]</f>
        <v>1</v>
      </c>
      <c r="M1975" t="b">
        <f>TrafficData[[#This Row],[pendingCourt]]+TrafficData[[#This Row],[disposedCourt]]=TrafficData[[#This Row],[totalCourt]]</f>
        <v>1</v>
      </c>
      <c r="N1975" s="8" t="b">
        <f>AND(TrafficData[[#This Row],[disposedChallan]]&lt;=TrafficData[[#This Row],[totalChallan]],TrafficData[[#This Row],[pendingChallan]]&lt;=TrafficData[[#This Row],[totalChallan]])</f>
        <v>1</v>
      </c>
      <c r="O1975" s="8" t="b">
        <f>AND(TrafficData[[#This Row],[pendingAmount]]&lt;=TrafficData[[#This Row],[totalAmount]],TrafficData[[#This Row],[disposedAmount]]&lt;=TrafficData[[#This Row],[totalAmount]])</f>
        <v>1</v>
      </c>
      <c r="P1975" s="8" t="b">
        <f>AND(TrafficData[[#This Row],[pendingCourt]]&lt;=TrafficData[[#This Row],[totalCourt]],TrafficData[[#This Row],[disposedCourt]]&lt;=TrafficData[[#This Row],[totalCourt]])</f>
        <v>1</v>
      </c>
    </row>
    <row r="1976" spans="1:16">
      <c r="A1976" s="1">
        <v>43980</v>
      </c>
      <c r="B1976">
        <v>118005</v>
      </c>
      <c r="C1976">
        <v>51157</v>
      </c>
      <c r="D1976">
        <v>66848</v>
      </c>
      <c r="E1976">
        <v>72806940</v>
      </c>
      <c r="F1976">
        <v>45308054</v>
      </c>
      <c r="G1976">
        <v>118114994</v>
      </c>
      <c r="H1976">
        <v>16956</v>
      </c>
      <c r="I1976">
        <v>8965</v>
      </c>
      <c r="J1976">
        <v>25921</v>
      </c>
      <c r="K1976" t="b">
        <f>TrafficData[[#This Row],[disposedChallan]]+TrafficData[[#This Row],[pendingChallan]]=TrafficData[[#This Row],[totalChallan]]</f>
        <v>1</v>
      </c>
      <c r="L1976" t="b">
        <f>TrafficData[[#This Row],[pendingAmount]]+TrafficData[[#This Row],[disposedAmount]]=TrafficData[[#This Row],[totalAmount]]</f>
        <v>1</v>
      </c>
      <c r="M1976" t="b">
        <f>TrafficData[[#This Row],[pendingCourt]]+TrafficData[[#This Row],[disposedCourt]]=TrafficData[[#This Row],[totalCourt]]</f>
        <v>1</v>
      </c>
      <c r="N1976" s="8" t="b">
        <f>AND(TrafficData[[#This Row],[disposedChallan]]&lt;=TrafficData[[#This Row],[totalChallan]],TrafficData[[#This Row],[pendingChallan]]&lt;=TrafficData[[#This Row],[totalChallan]])</f>
        <v>1</v>
      </c>
      <c r="O1976" s="8" t="b">
        <f>AND(TrafficData[[#This Row],[pendingAmount]]&lt;=TrafficData[[#This Row],[totalAmount]],TrafficData[[#This Row],[disposedAmount]]&lt;=TrafficData[[#This Row],[totalAmount]])</f>
        <v>1</v>
      </c>
      <c r="P1976" s="8" t="b">
        <f>AND(TrafficData[[#This Row],[pendingCourt]]&lt;=TrafficData[[#This Row],[totalCourt]],TrafficData[[#This Row],[disposedCourt]]&lt;=TrafficData[[#This Row],[totalCourt]])</f>
        <v>1</v>
      </c>
    </row>
    <row r="1977" spans="1:16">
      <c r="A1977" s="1">
        <v>43981</v>
      </c>
      <c r="B1977">
        <v>117818</v>
      </c>
      <c r="C1977">
        <v>52192</v>
      </c>
      <c r="D1977">
        <v>65626</v>
      </c>
      <c r="E1977">
        <v>70912480</v>
      </c>
      <c r="F1977">
        <v>44064190</v>
      </c>
      <c r="G1977">
        <v>114976670</v>
      </c>
      <c r="H1977">
        <v>15315</v>
      </c>
      <c r="I1977">
        <v>9110</v>
      </c>
      <c r="J1977">
        <v>24425</v>
      </c>
      <c r="K1977" t="b">
        <f>TrafficData[[#This Row],[disposedChallan]]+TrafficData[[#This Row],[pendingChallan]]=TrafficData[[#This Row],[totalChallan]]</f>
        <v>1</v>
      </c>
      <c r="L1977" t="b">
        <f>TrafficData[[#This Row],[pendingAmount]]+TrafficData[[#This Row],[disposedAmount]]=TrafficData[[#This Row],[totalAmount]]</f>
        <v>1</v>
      </c>
      <c r="M1977" t="b">
        <f>TrafficData[[#This Row],[pendingCourt]]+TrafficData[[#This Row],[disposedCourt]]=TrafficData[[#This Row],[totalCourt]]</f>
        <v>1</v>
      </c>
      <c r="N1977" s="8" t="b">
        <f>AND(TrafficData[[#This Row],[disposedChallan]]&lt;=TrafficData[[#This Row],[totalChallan]],TrafficData[[#This Row],[pendingChallan]]&lt;=TrafficData[[#This Row],[totalChallan]])</f>
        <v>1</v>
      </c>
      <c r="O1977" s="8" t="b">
        <f>AND(TrafficData[[#This Row],[pendingAmount]]&lt;=TrafficData[[#This Row],[totalAmount]],TrafficData[[#This Row],[disposedAmount]]&lt;=TrafficData[[#This Row],[totalAmount]])</f>
        <v>1</v>
      </c>
      <c r="P1977" s="8" t="b">
        <f>AND(TrafficData[[#This Row],[pendingCourt]]&lt;=TrafficData[[#This Row],[totalCourt]],TrafficData[[#This Row],[disposedCourt]]&lt;=TrafficData[[#This Row],[totalCourt]])</f>
        <v>1</v>
      </c>
    </row>
    <row r="1978" spans="1:16">
      <c r="A1978" s="1">
        <v>43982</v>
      </c>
      <c r="B1978">
        <v>101466</v>
      </c>
      <c r="C1978">
        <v>42445</v>
      </c>
      <c r="D1978">
        <v>59021</v>
      </c>
      <c r="E1978">
        <v>61750659</v>
      </c>
      <c r="F1978">
        <v>35216422</v>
      </c>
      <c r="G1978">
        <v>96967081</v>
      </c>
      <c r="H1978">
        <v>12762</v>
      </c>
      <c r="I1978">
        <v>7609</v>
      </c>
      <c r="J1978">
        <v>20371</v>
      </c>
      <c r="K1978" t="b">
        <f>TrafficData[[#This Row],[disposedChallan]]+TrafficData[[#This Row],[pendingChallan]]=TrafficData[[#This Row],[totalChallan]]</f>
        <v>1</v>
      </c>
      <c r="L1978" t="b">
        <f>TrafficData[[#This Row],[pendingAmount]]+TrafficData[[#This Row],[disposedAmount]]=TrafficData[[#This Row],[totalAmount]]</f>
        <v>1</v>
      </c>
      <c r="M1978" t="b">
        <f>TrafficData[[#This Row],[pendingCourt]]+TrafficData[[#This Row],[disposedCourt]]=TrafficData[[#This Row],[totalCourt]]</f>
        <v>1</v>
      </c>
      <c r="N1978" s="8" t="b">
        <f>AND(TrafficData[[#This Row],[disposedChallan]]&lt;=TrafficData[[#This Row],[totalChallan]],TrafficData[[#This Row],[pendingChallan]]&lt;=TrafficData[[#This Row],[totalChallan]])</f>
        <v>1</v>
      </c>
      <c r="O1978" s="8" t="b">
        <f>AND(TrafficData[[#This Row],[pendingAmount]]&lt;=TrafficData[[#This Row],[totalAmount]],TrafficData[[#This Row],[disposedAmount]]&lt;=TrafficData[[#This Row],[totalAmount]])</f>
        <v>1</v>
      </c>
      <c r="P1978" s="8" t="b">
        <f>AND(TrafficData[[#This Row],[pendingCourt]]&lt;=TrafficData[[#This Row],[totalCourt]],TrafficData[[#This Row],[disposedCourt]]&lt;=TrafficData[[#This Row],[totalCourt]])</f>
        <v>1</v>
      </c>
    </row>
    <row r="1979" spans="1:16">
      <c r="A1979" s="1">
        <v>43983</v>
      </c>
      <c r="B1979">
        <v>118616</v>
      </c>
      <c r="C1979">
        <v>50817</v>
      </c>
      <c r="D1979">
        <v>67799</v>
      </c>
      <c r="E1979">
        <v>76492259</v>
      </c>
      <c r="F1979">
        <v>48033758</v>
      </c>
      <c r="G1979">
        <v>124526017</v>
      </c>
      <c r="H1979">
        <v>17459</v>
      </c>
      <c r="I1979">
        <v>9047</v>
      </c>
      <c r="J1979">
        <v>26506</v>
      </c>
      <c r="K1979" t="b">
        <f>TrafficData[[#This Row],[disposedChallan]]+TrafficData[[#This Row],[pendingChallan]]=TrafficData[[#This Row],[totalChallan]]</f>
        <v>1</v>
      </c>
      <c r="L1979" t="b">
        <f>TrafficData[[#This Row],[pendingAmount]]+TrafficData[[#This Row],[disposedAmount]]=TrafficData[[#This Row],[totalAmount]]</f>
        <v>1</v>
      </c>
      <c r="M1979" t="b">
        <f>TrafficData[[#This Row],[pendingCourt]]+TrafficData[[#This Row],[disposedCourt]]=TrafficData[[#This Row],[totalCourt]]</f>
        <v>1</v>
      </c>
      <c r="N1979" s="8" t="b">
        <f>AND(TrafficData[[#This Row],[disposedChallan]]&lt;=TrafficData[[#This Row],[totalChallan]],TrafficData[[#This Row],[pendingChallan]]&lt;=TrafficData[[#This Row],[totalChallan]])</f>
        <v>1</v>
      </c>
      <c r="O1979" s="8" t="b">
        <f>AND(TrafficData[[#This Row],[pendingAmount]]&lt;=TrafficData[[#This Row],[totalAmount]],TrafficData[[#This Row],[disposedAmount]]&lt;=TrafficData[[#This Row],[totalAmount]])</f>
        <v>1</v>
      </c>
      <c r="P1979" s="8" t="b">
        <f>AND(TrafficData[[#This Row],[pendingCourt]]&lt;=TrafficData[[#This Row],[totalCourt]],TrafficData[[#This Row],[disposedCourt]]&lt;=TrafficData[[#This Row],[totalCourt]])</f>
        <v>1</v>
      </c>
    </row>
    <row r="1980" spans="1:16">
      <c r="A1980" s="1">
        <v>43984</v>
      </c>
      <c r="B1980">
        <v>121273</v>
      </c>
      <c r="C1980">
        <v>50474</v>
      </c>
      <c r="D1980">
        <v>70799</v>
      </c>
      <c r="E1980">
        <v>78565336</v>
      </c>
      <c r="F1980">
        <v>53557598</v>
      </c>
      <c r="G1980">
        <v>132122934</v>
      </c>
      <c r="H1980">
        <v>17574</v>
      </c>
      <c r="I1980">
        <v>9071</v>
      </c>
      <c r="J1980">
        <v>26645</v>
      </c>
      <c r="K1980" t="b">
        <f>TrafficData[[#This Row],[disposedChallan]]+TrafficData[[#This Row],[pendingChallan]]=TrafficData[[#This Row],[totalChallan]]</f>
        <v>1</v>
      </c>
      <c r="L1980" t="b">
        <f>TrafficData[[#This Row],[pendingAmount]]+TrafficData[[#This Row],[disposedAmount]]=TrafficData[[#This Row],[totalAmount]]</f>
        <v>1</v>
      </c>
      <c r="M1980" t="b">
        <f>TrafficData[[#This Row],[pendingCourt]]+TrafficData[[#This Row],[disposedCourt]]=TrafficData[[#This Row],[totalCourt]]</f>
        <v>1</v>
      </c>
      <c r="N1980" s="8" t="b">
        <f>AND(TrafficData[[#This Row],[disposedChallan]]&lt;=TrafficData[[#This Row],[totalChallan]],TrafficData[[#This Row],[pendingChallan]]&lt;=TrafficData[[#This Row],[totalChallan]])</f>
        <v>1</v>
      </c>
      <c r="O1980" s="8" t="b">
        <f>AND(TrafficData[[#This Row],[pendingAmount]]&lt;=TrafficData[[#This Row],[totalAmount]],TrafficData[[#This Row],[disposedAmount]]&lt;=TrafficData[[#This Row],[totalAmount]])</f>
        <v>1</v>
      </c>
      <c r="P1980" s="8" t="b">
        <f>AND(TrafficData[[#This Row],[pendingCourt]]&lt;=TrafficData[[#This Row],[totalCourt]],TrafficData[[#This Row],[disposedCourt]]&lt;=TrafficData[[#This Row],[totalCourt]])</f>
        <v>1</v>
      </c>
    </row>
    <row r="1981" spans="1:16">
      <c r="A1981" s="1">
        <v>43985</v>
      </c>
      <c r="B1981">
        <v>125624</v>
      </c>
      <c r="C1981">
        <v>52725</v>
      </c>
      <c r="D1981">
        <v>72899</v>
      </c>
      <c r="E1981">
        <v>83605210</v>
      </c>
      <c r="F1981">
        <v>53410597</v>
      </c>
      <c r="G1981">
        <v>137015807</v>
      </c>
      <c r="H1981">
        <v>16956</v>
      </c>
      <c r="I1981">
        <v>9090</v>
      </c>
      <c r="J1981">
        <v>26046</v>
      </c>
      <c r="K1981" t="b">
        <f>TrafficData[[#This Row],[disposedChallan]]+TrafficData[[#This Row],[pendingChallan]]=TrafficData[[#This Row],[totalChallan]]</f>
        <v>1</v>
      </c>
      <c r="L1981" t="b">
        <f>TrafficData[[#This Row],[pendingAmount]]+TrafficData[[#This Row],[disposedAmount]]=TrafficData[[#This Row],[totalAmount]]</f>
        <v>1</v>
      </c>
      <c r="M1981" t="b">
        <f>TrafficData[[#This Row],[pendingCourt]]+TrafficData[[#This Row],[disposedCourt]]=TrafficData[[#This Row],[totalCourt]]</f>
        <v>1</v>
      </c>
      <c r="N1981" s="8" t="b">
        <f>AND(TrafficData[[#This Row],[disposedChallan]]&lt;=TrafficData[[#This Row],[totalChallan]],TrafficData[[#This Row],[pendingChallan]]&lt;=TrafficData[[#This Row],[totalChallan]])</f>
        <v>1</v>
      </c>
      <c r="O1981" s="8" t="b">
        <f>AND(TrafficData[[#This Row],[pendingAmount]]&lt;=TrafficData[[#This Row],[totalAmount]],TrafficData[[#This Row],[disposedAmount]]&lt;=TrafficData[[#This Row],[totalAmount]])</f>
        <v>1</v>
      </c>
      <c r="P1981" s="8" t="b">
        <f>AND(TrafficData[[#This Row],[pendingCourt]]&lt;=TrafficData[[#This Row],[totalCourt]],TrafficData[[#This Row],[disposedCourt]]&lt;=TrafficData[[#This Row],[totalCourt]])</f>
        <v>1</v>
      </c>
    </row>
    <row r="1982" spans="1:16">
      <c r="A1982" s="1">
        <v>43986</v>
      </c>
      <c r="B1982">
        <v>124772</v>
      </c>
      <c r="C1982">
        <v>53172</v>
      </c>
      <c r="D1982">
        <v>71600</v>
      </c>
      <c r="E1982">
        <v>82516637</v>
      </c>
      <c r="F1982">
        <v>56845982</v>
      </c>
      <c r="G1982">
        <v>139362619</v>
      </c>
      <c r="H1982">
        <v>15656</v>
      </c>
      <c r="I1982">
        <v>8481</v>
      </c>
      <c r="J1982">
        <v>24137</v>
      </c>
      <c r="K1982" t="b">
        <f>TrafficData[[#This Row],[disposedChallan]]+TrafficData[[#This Row],[pendingChallan]]=TrafficData[[#This Row],[totalChallan]]</f>
        <v>1</v>
      </c>
      <c r="L1982" t="b">
        <f>TrafficData[[#This Row],[pendingAmount]]+TrafficData[[#This Row],[disposedAmount]]=TrafficData[[#This Row],[totalAmount]]</f>
        <v>1</v>
      </c>
      <c r="M1982" t="b">
        <f>TrafficData[[#This Row],[pendingCourt]]+TrafficData[[#This Row],[disposedCourt]]=TrafficData[[#This Row],[totalCourt]]</f>
        <v>1</v>
      </c>
      <c r="N1982" s="8" t="b">
        <f>AND(TrafficData[[#This Row],[disposedChallan]]&lt;=TrafficData[[#This Row],[totalChallan]],TrafficData[[#This Row],[pendingChallan]]&lt;=TrafficData[[#This Row],[totalChallan]])</f>
        <v>1</v>
      </c>
      <c r="O1982" s="8" t="b">
        <f>AND(TrafficData[[#This Row],[pendingAmount]]&lt;=TrafficData[[#This Row],[totalAmount]],TrafficData[[#This Row],[disposedAmount]]&lt;=TrafficData[[#This Row],[totalAmount]])</f>
        <v>1</v>
      </c>
      <c r="P1982" s="8" t="b">
        <f>AND(TrafficData[[#This Row],[pendingCourt]]&lt;=TrafficData[[#This Row],[totalCourt]],TrafficData[[#This Row],[disposedCourt]]&lt;=TrafficData[[#This Row],[totalCourt]])</f>
        <v>1</v>
      </c>
    </row>
    <row r="1983" spans="1:16">
      <c r="A1983" s="1">
        <v>43987</v>
      </c>
      <c r="B1983">
        <v>121733</v>
      </c>
      <c r="C1983">
        <v>51648</v>
      </c>
      <c r="D1983">
        <v>70085</v>
      </c>
      <c r="E1983">
        <v>82443155</v>
      </c>
      <c r="F1983">
        <v>53721299</v>
      </c>
      <c r="G1983">
        <v>136164454</v>
      </c>
      <c r="H1983">
        <v>13992</v>
      </c>
      <c r="I1983">
        <v>7930</v>
      </c>
      <c r="J1983">
        <v>21922</v>
      </c>
      <c r="K1983" t="b">
        <f>TrafficData[[#This Row],[disposedChallan]]+TrafficData[[#This Row],[pendingChallan]]=TrafficData[[#This Row],[totalChallan]]</f>
        <v>1</v>
      </c>
      <c r="L1983" t="b">
        <f>TrafficData[[#This Row],[pendingAmount]]+TrafficData[[#This Row],[disposedAmount]]=TrafficData[[#This Row],[totalAmount]]</f>
        <v>1</v>
      </c>
      <c r="M1983" t="b">
        <f>TrafficData[[#This Row],[pendingCourt]]+TrafficData[[#This Row],[disposedCourt]]=TrafficData[[#This Row],[totalCourt]]</f>
        <v>1</v>
      </c>
      <c r="N1983" s="8" t="b">
        <f>AND(TrafficData[[#This Row],[disposedChallan]]&lt;=TrafficData[[#This Row],[totalChallan]],TrafficData[[#This Row],[pendingChallan]]&lt;=TrafficData[[#This Row],[totalChallan]])</f>
        <v>1</v>
      </c>
      <c r="O1983" s="8" t="b">
        <f>AND(TrafficData[[#This Row],[pendingAmount]]&lt;=TrafficData[[#This Row],[totalAmount]],TrafficData[[#This Row],[disposedAmount]]&lt;=TrafficData[[#This Row],[totalAmount]])</f>
        <v>1</v>
      </c>
      <c r="P1983" s="8" t="b">
        <f>AND(TrafficData[[#This Row],[pendingCourt]]&lt;=TrafficData[[#This Row],[totalCourt]],TrafficData[[#This Row],[disposedCourt]]&lt;=TrafficData[[#This Row],[totalCourt]])</f>
        <v>1</v>
      </c>
    </row>
    <row r="1984" spans="1:16">
      <c r="A1984" s="1">
        <v>43988</v>
      </c>
      <c r="B1984">
        <v>126482</v>
      </c>
      <c r="C1984">
        <v>54730</v>
      </c>
      <c r="D1984">
        <v>71752</v>
      </c>
      <c r="E1984">
        <v>87238072</v>
      </c>
      <c r="F1984">
        <v>57081556</v>
      </c>
      <c r="G1984">
        <v>144319628</v>
      </c>
      <c r="H1984">
        <v>16175</v>
      </c>
      <c r="I1984">
        <v>8865</v>
      </c>
      <c r="J1984">
        <v>25040</v>
      </c>
      <c r="K1984" t="b">
        <f>TrafficData[[#This Row],[disposedChallan]]+TrafficData[[#This Row],[pendingChallan]]=TrafficData[[#This Row],[totalChallan]]</f>
        <v>1</v>
      </c>
      <c r="L1984" t="b">
        <f>TrafficData[[#This Row],[pendingAmount]]+TrafficData[[#This Row],[disposedAmount]]=TrafficData[[#This Row],[totalAmount]]</f>
        <v>1</v>
      </c>
      <c r="M1984" t="b">
        <f>TrafficData[[#This Row],[pendingCourt]]+TrafficData[[#This Row],[disposedCourt]]=TrafficData[[#This Row],[totalCourt]]</f>
        <v>1</v>
      </c>
      <c r="N1984" s="8" t="b">
        <f>AND(TrafficData[[#This Row],[disposedChallan]]&lt;=TrafficData[[#This Row],[totalChallan]],TrafficData[[#This Row],[pendingChallan]]&lt;=TrafficData[[#This Row],[totalChallan]])</f>
        <v>1</v>
      </c>
      <c r="O1984" s="8" t="b">
        <f>AND(TrafficData[[#This Row],[pendingAmount]]&lt;=TrafficData[[#This Row],[totalAmount]],TrafficData[[#This Row],[disposedAmount]]&lt;=TrafficData[[#This Row],[totalAmount]])</f>
        <v>1</v>
      </c>
      <c r="P1984" s="8" t="b">
        <f>AND(TrafficData[[#This Row],[pendingCourt]]&lt;=TrafficData[[#This Row],[totalCourt]],TrafficData[[#This Row],[disposedCourt]]&lt;=TrafficData[[#This Row],[totalCourt]])</f>
        <v>1</v>
      </c>
    </row>
    <row r="1985" spans="1:16">
      <c r="A1985" s="1">
        <v>43989</v>
      </c>
      <c r="B1985">
        <v>115257</v>
      </c>
      <c r="C1985">
        <v>47641</v>
      </c>
      <c r="D1985">
        <v>67616</v>
      </c>
      <c r="E1985">
        <v>78652380</v>
      </c>
      <c r="F1985">
        <v>48040348</v>
      </c>
      <c r="G1985">
        <v>126692728</v>
      </c>
      <c r="H1985">
        <v>13198</v>
      </c>
      <c r="I1985">
        <v>6548</v>
      </c>
      <c r="J1985">
        <v>19746</v>
      </c>
      <c r="K1985" t="b">
        <f>TrafficData[[#This Row],[disposedChallan]]+TrafficData[[#This Row],[pendingChallan]]=TrafficData[[#This Row],[totalChallan]]</f>
        <v>1</v>
      </c>
      <c r="L1985" t="b">
        <f>TrafficData[[#This Row],[pendingAmount]]+TrafficData[[#This Row],[disposedAmount]]=TrafficData[[#This Row],[totalAmount]]</f>
        <v>1</v>
      </c>
      <c r="M1985" t="b">
        <f>TrafficData[[#This Row],[pendingCourt]]+TrafficData[[#This Row],[disposedCourt]]=TrafficData[[#This Row],[totalCourt]]</f>
        <v>1</v>
      </c>
      <c r="N1985" s="8" t="b">
        <f>AND(TrafficData[[#This Row],[disposedChallan]]&lt;=TrafficData[[#This Row],[totalChallan]],TrafficData[[#This Row],[pendingChallan]]&lt;=TrafficData[[#This Row],[totalChallan]])</f>
        <v>1</v>
      </c>
      <c r="O1985" s="8" t="b">
        <f>AND(TrafficData[[#This Row],[pendingAmount]]&lt;=TrafficData[[#This Row],[totalAmount]],TrafficData[[#This Row],[disposedAmount]]&lt;=TrafficData[[#This Row],[totalAmount]])</f>
        <v>1</v>
      </c>
      <c r="P1985" s="8" t="b">
        <f>AND(TrafficData[[#This Row],[pendingCourt]]&lt;=TrafficData[[#This Row],[totalCourt]],TrafficData[[#This Row],[disposedCourt]]&lt;=TrafficData[[#This Row],[totalCourt]])</f>
        <v>1</v>
      </c>
    </row>
    <row r="1986" spans="1:16">
      <c r="A1986" s="1">
        <v>43990</v>
      </c>
      <c r="B1986">
        <v>120656</v>
      </c>
      <c r="C1986">
        <v>51377</v>
      </c>
      <c r="D1986">
        <v>69279</v>
      </c>
      <c r="E1986">
        <v>81273986</v>
      </c>
      <c r="F1986">
        <v>53229000</v>
      </c>
      <c r="G1986">
        <v>134502986</v>
      </c>
      <c r="H1986">
        <v>15408</v>
      </c>
      <c r="I1986">
        <v>8704</v>
      </c>
      <c r="J1986">
        <v>24112</v>
      </c>
      <c r="K1986" t="b">
        <f>TrafficData[[#This Row],[disposedChallan]]+TrafficData[[#This Row],[pendingChallan]]=TrafficData[[#This Row],[totalChallan]]</f>
        <v>1</v>
      </c>
      <c r="L1986" t="b">
        <f>TrafficData[[#This Row],[pendingAmount]]+TrafficData[[#This Row],[disposedAmount]]=TrafficData[[#This Row],[totalAmount]]</f>
        <v>1</v>
      </c>
      <c r="M1986" t="b">
        <f>TrafficData[[#This Row],[pendingCourt]]+TrafficData[[#This Row],[disposedCourt]]=TrafficData[[#This Row],[totalCourt]]</f>
        <v>1</v>
      </c>
      <c r="N1986" s="8" t="b">
        <f>AND(TrafficData[[#This Row],[disposedChallan]]&lt;=TrafficData[[#This Row],[totalChallan]],TrafficData[[#This Row],[pendingChallan]]&lt;=TrafficData[[#This Row],[totalChallan]])</f>
        <v>1</v>
      </c>
      <c r="O1986" s="8" t="b">
        <f>AND(TrafficData[[#This Row],[pendingAmount]]&lt;=TrafficData[[#This Row],[totalAmount]],TrafficData[[#This Row],[disposedAmount]]&lt;=TrafficData[[#This Row],[totalAmount]])</f>
        <v>1</v>
      </c>
      <c r="P1986" s="8" t="b">
        <f>AND(TrafficData[[#This Row],[pendingCourt]]&lt;=TrafficData[[#This Row],[totalCourt]],TrafficData[[#This Row],[disposedCourt]]&lt;=TrafficData[[#This Row],[totalCourt]])</f>
        <v>1</v>
      </c>
    </row>
    <row r="1987" spans="1:16">
      <c r="A1987" s="1">
        <v>43991</v>
      </c>
      <c r="B1987">
        <v>122835</v>
      </c>
      <c r="C1987">
        <v>52510</v>
      </c>
      <c r="D1987">
        <v>70325</v>
      </c>
      <c r="E1987">
        <v>84361660</v>
      </c>
      <c r="F1987">
        <v>60638780</v>
      </c>
      <c r="G1987">
        <v>145000440</v>
      </c>
      <c r="H1987">
        <v>16663</v>
      </c>
      <c r="I1987">
        <v>8713</v>
      </c>
      <c r="J1987">
        <v>25376</v>
      </c>
      <c r="K1987" t="b">
        <f>TrafficData[[#This Row],[disposedChallan]]+TrafficData[[#This Row],[pendingChallan]]=TrafficData[[#This Row],[totalChallan]]</f>
        <v>1</v>
      </c>
      <c r="L1987" t="b">
        <f>TrafficData[[#This Row],[pendingAmount]]+TrafficData[[#This Row],[disposedAmount]]=TrafficData[[#This Row],[totalAmount]]</f>
        <v>1</v>
      </c>
      <c r="M1987" t="b">
        <f>TrafficData[[#This Row],[pendingCourt]]+TrafficData[[#This Row],[disposedCourt]]=TrafficData[[#This Row],[totalCourt]]</f>
        <v>1</v>
      </c>
      <c r="N1987" s="8" t="b">
        <f>AND(TrafficData[[#This Row],[disposedChallan]]&lt;=TrafficData[[#This Row],[totalChallan]],TrafficData[[#This Row],[pendingChallan]]&lt;=TrafficData[[#This Row],[totalChallan]])</f>
        <v>1</v>
      </c>
      <c r="O1987" s="8" t="b">
        <f>AND(TrafficData[[#This Row],[pendingAmount]]&lt;=TrafficData[[#This Row],[totalAmount]],TrafficData[[#This Row],[disposedAmount]]&lt;=TrafficData[[#This Row],[totalAmount]])</f>
        <v>1</v>
      </c>
      <c r="P1987" s="8" t="b">
        <f>AND(TrafficData[[#This Row],[pendingCourt]]&lt;=TrafficData[[#This Row],[totalCourt]],TrafficData[[#This Row],[disposedCourt]]&lt;=TrafficData[[#This Row],[totalCourt]])</f>
        <v>1</v>
      </c>
    </row>
    <row r="1988" spans="1:16">
      <c r="A1988" s="1">
        <v>43992</v>
      </c>
      <c r="B1988">
        <v>122484</v>
      </c>
      <c r="C1988">
        <v>53173</v>
      </c>
      <c r="D1988">
        <v>69311</v>
      </c>
      <c r="E1988">
        <v>80482155</v>
      </c>
      <c r="F1988">
        <v>55950277</v>
      </c>
      <c r="G1988">
        <v>136432432</v>
      </c>
      <c r="H1988">
        <v>16027</v>
      </c>
      <c r="I1988">
        <v>7992</v>
      </c>
      <c r="J1988">
        <v>24019</v>
      </c>
      <c r="K1988" t="b">
        <f>TrafficData[[#This Row],[disposedChallan]]+TrafficData[[#This Row],[pendingChallan]]=TrafficData[[#This Row],[totalChallan]]</f>
        <v>1</v>
      </c>
      <c r="L1988" t="b">
        <f>TrafficData[[#This Row],[pendingAmount]]+TrafficData[[#This Row],[disposedAmount]]=TrafficData[[#This Row],[totalAmount]]</f>
        <v>1</v>
      </c>
      <c r="M1988" t="b">
        <f>TrafficData[[#This Row],[pendingCourt]]+TrafficData[[#This Row],[disposedCourt]]=TrafficData[[#This Row],[totalCourt]]</f>
        <v>1</v>
      </c>
      <c r="N1988" s="8" t="b">
        <f>AND(TrafficData[[#This Row],[disposedChallan]]&lt;=TrafficData[[#This Row],[totalChallan]],TrafficData[[#This Row],[pendingChallan]]&lt;=TrafficData[[#This Row],[totalChallan]])</f>
        <v>1</v>
      </c>
      <c r="O1988" s="8" t="b">
        <f>AND(TrafficData[[#This Row],[pendingAmount]]&lt;=TrafficData[[#This Row],[totalAmount]],TrafficData[[#This Row],[disposedAmount]]&lt;=TrafficData[[#This Row],[totalAmount]])</f>
        <v>1</v>
      </c>
      <c r="P1988" s="8" t="b">
        <f>AND(TrafficData[[#This Row],[pendingCourt]]&lt;=TrafficData[[#This Row],[totalCourt]],TrafficData[[#This Row],[disposedCourt]]&lt;=TrafficData[[#This Row],[totalCourt]])</f>
        <v>1</v>
      </c>
    </row>
    <row r="1989" spans="1:16">
      <c r="A1989" s="1">
        <v>43993</v>
      </c>
      <c r="B1989">
        <v>123716</v>
      </c>
      <c r="C1989">
        <v>53530</v>
      </c>
      <c r="D1989">
        <v>70186</v>
      </c>
      <c r="E1989">
        <v>75729543</v>
      </c>
      <c r="F1989">
        <v>55841188</v>
      </c>
      <c r="G1989">
        <v>131570731</v>
      </c>
      <c r="H1989">
        <v>16096</v>
      </c>
      <c r="I1989">
        <v>7950</v>
      </c>
      <c r="J1989">
        <v>24046</v>
      </c>
      <c r="K1989" t="b">
        <f>TrafficData[[#This Row],[disposedChallan]]+TrafficData[[#This Row],[pendingChallan]]=TrafficData[[#This Row],[totalChallan]]</f>
        <v>1</v>
      </c>
      <c r="L1989" t="b">
        <f>TrafficData[[#This Row],[pendingAmount]]+TrafficData[[#This Row],[disposedAmount]]=TrafficData[[#This Row],[totalAmount]]</f>
        <v>1</v>
      </c>
      <c r="M1989" t="b">
        <f>TrafficData[[#This Row],[pendingCourt]]+TrafficData[[#This Row],[disposedCourt]]=TrafficData[[#This Row],[totalCourt]]</f>
        <v>1</v>
      </c>
      <c r="N1989" s="8" t="b">
        <f>AND(TrafficData[[#This Row],[disposedChallan]]&lt;=TrafficData[[#This Row],[totalChallan]],TrafficData[[#This Row],[pendingChallan]]&lt;=TrafficData[[#This Row],[totalChallan]])</f>
        <v>1</v>
      </c>
      <c r="O1989" s="8" t="b">
        <f>AND(TrafficData[[#This Row],[pendingAmount]]&lt;=TrafficData[[#This Row],[totalAmount]],TrafficData[[#This Row],[disposedAmount]]&lt;=TrafficData[[#This Row],[totalAmount]])</f>
        <v>1</v>
      </c>
      <c r="P1989" s="8" t="b">
        <f>AND(TrafficData[[#This Row],[pendingCourt]]&lt;=TrafficData[[#This Row],[totalCourt]],TrafficData[[#This Row],[disposedCourt]]&lt;=TrafficData[[#This Row],[totalCourt]])</f>
        <v>1</v>
      </c>
    </row>
    <row r="1990" spans="1:16">
      <c r="A1990" s="1">
        <v>43994</v>
      </c>
      <c r="B1990">
        <v>123962</v>
      </c>
      <c r="C1990">
        <v>52260</v>
      </c>
      <c r="D1990">
        <v>71702</v>
      </c>
      <c r="E1990">
        <v>79295495</v>
      </c>
      <c r="F1990">
        <v>56996490</v>
      </c>
      <c r="G1990">
        <v>136291985</v>
      </c>
      <c r="H1990">
        <v>15889</v>
      </c>
      <c r="I1990">
        <v>7671</v>
      </c>
      <c r="J1990">
        <v>23560</v>
      </c>
      <c r="K1990" t="b">
        <f>TrafficData[[#This Row],[disposedChallan]]+TrafficData[[#This Row],[pendingChallan]]=TrafficData[[#This Row],[totalChallan]]</f>
        <v>1</v>
      </c>
      <c r="L1990" t="b">
        <f>TrafficData[[#This Row],[pendingAmount]]+TrafficData[[#This Row],[disposedAmount]]=TrafficData[[#This Row],[totalAmount]]</f>
        <v>1</v>
      </c>
      <c r="M1990" t="b">
        <f>TrafficData[[#This Row],[pendingCourt]]+TrafficData[[#This Row],[disposedCourt]]=TrafficData[[#This Row],[totalCourt]]</f>
        <v>1</v>
      </c>
      <c r="N1990" s="8" t="b">
        <f>AND(TrafficData[[#This Row],[disposedChallan]]&lt;=TrafficData[[#This Row],[totalChallan]],TrafficData[[#This Row],[pendingChallan]]&lt;=TrafficData[[#This Row],[totalChallan]])</f>
        <v>1</v>
      </c>
      <c r="O1990" s="8" t="b">
        <f>AND(TrafficData[[#This Row],[pendingAmount]]&lt;=TrafficData[[#This Row],[totalAmount]],TrafficData[[#This Row],[disposedAmount]]&lt;=TrafficData[[#This Row],[totalAmount]])</f>
        <v>1</v>
      </c>
      <c r="P1990" s="8" t="b">
        <f>AND(TrafficData[[#This Row],[pendingCourt]]&lt;=TrafficData[[#This Row],[totalCourt]],TrafficData[[#This Row],[disposedCourt]]&lt;=TrafficData[[#This Row],[totalCourt]])</f>
        <v>1</v>
      </c>
    </row>
    <row r="1991" spans="1:16">
      <c r="A1991" s="1">
        <v>43995</v>
      </c>
      <c r="B1991">
        <v>125255</v>
      </c>
      <c r="C1991">
        <v>53938</v>
      </c>
      <c r="D1991">
        <v>71317</v>
      </c>
      <c r="E1991">
        <v>75941066</v>
      </c>
      <c r="F1991">
        <v>52459897</v>
      </c>
      <c r="G1991">
        <v>128400963</v>
      </c>
      <c r="H1991">
        <v>15740</v>
      </c>
      <c r="I1991">
        <v>7484</v>
      </c>
      <c r="J1991">
        <v>23224</v>
      </c>
      <c r="K1991" t="b">
        <f>TrafficData[[#This Row],[disposedChallan]]+TrafficData[[#This Row],[pendingChallan]]=TrafficData[[#This Row],[totalChallan]]</f>
        <v>1</v>
      </c>
      <c r="L1991" t="b">
        <f>TrafficData[[#This Row],[pendingAmount]]+TrafficData[[#This Row],[disposedAmount]]=TrafficData[[#This Row],[totalAmount]]</f>
        <v>1</v>
      </c>
      <c r="M1991" t="b">
        <f>TrafficData[[#This Row],[pendingCourt]]+TrafficData[[#This Row],[disposedCourt]]=TrafficData[[#This Row],[totalCourt]]</f>
        <v>1</v>
      </c>
      <c r="N1991" s="8" t="b">
        <f>AND(TrafficData[[#This Row],[disposedChallan]]&lt;=TrafficData[[#This Row],[totalChallan]],TrafficData[[#This Row],[pendingChallan]]&lt;=TrafficData[[#This Row],[totalChallan]])</f>
        <v>1</v>
      </c>
      <c r="O1991" s="8" t="b">
        <f>AND(TrafficData[[#This Row],[pendingAmount]]&lt;=TrafficData[[#This Row],[totalAmount]],TrafficData[[#This Row],[disposedAmount]]&lt;=TrafficData[[#This Row],[totalAmount]])</f>
        <v>1</v>
      </c>
      <c r="P1991" s="8" t="b">
        <f>AND(TrafficData[[#This Row],[pendingCourt]]&lt;=TrafficData[[#This Row],[totalCourt]],TrafficData[[#This Row],[disposedCourt]]&lt;=TrafficData[[#This Row],[totalCourt]])</f>
        <v>1</v>
      </c>
    </row>
    <row r="1992" spans="1:16">
      <c r="A1992" s="1">
        <v>43996</v>
      </c>
      <c r="B1992">
        <v>116282</v>
      </c>
      <c r="C1992">
        <v>46965</v>
      </c>
      <c r="D1992">
        <v>69317</v>
      </c>
      <c r="E1992">
        <v>79446070</v>
      </c>
      <c r="F1992">
        <v>45571676</v>
      </c>
      <c r="G1992">
        <v>125017746</v>
      </c>
      <c r="H1992">
        <v>12299</v>
      </c>
      <c r="I1992">
        <v>6248</v>
      </c>
      <c r="J1992">
        <v>18547</v>
      </c>
      <c r="K1992" t="b">
        <f>TrafficData[[#This Row],[disposedChallan]]+TrafficData[[#This Row],[pendingChallan]]=TrafficData[[#This Row],[totalChallan]]</f>
        <v>1</v>
      </c>
      <c r="L1992" t="b">
        <f>TrafficData[[#This Row],[pendingAmount]]+TrafficData[[#This Row],[disposedAmount]]=TrafficData[[#This Row],[totalAmount]]</f>
        <v>1</v>
      </c>
      <c r="M1992" t="b">
        <f>TrafficData[[#This Row],[pendingCourt]]+TrafficData[[#This Row],[disposedCourt]]=TrafficData[[#This Row],[totalCourt]]</f>
        <v>1</v>
      </c>
      <c r="N1992" s="8" t="b">
        <f>AND(TrafficData[[#This Row],[disposedChallan]]&lt;=TrafficData[[#This Row],[totalChallan]],TrafficData[[#This Row],[pendingChallan]]&lt;=TrafficData[[#This Row],[totalChallan]])</f>
        <v>1</v>
      </c>
      <c r="O1992" s="8" t="b">
        <f>AND(TrafficData[[#This Row],[pendingAmount]]&lt;=TrafficData[[#This Row],[totalAmount]],TrafficData[[#This Row],[disposedAmount]]&lt;=TrafficData[[#This Row],[totalAmount]])</f>
        <v>1</v>
      </c>
      <c r="P1992" s="8" t="b">
        <f>AND(TrafficData[[#This Row],[pendingCourt]]&lt;=TrafficData[[#This Row],[totalCourt]],TrafficData[[#This Row],[disposedCourt]]&lt;=TrafficData[[#This Row],[totalCourt]])</f>
        <v>1</v>
      </c>
    </row>
    <row r="1993" spans="1:16">
      <c r="A1993" s="1">
        <v>43997</v>
      </c>
      <c r="B1993">
        <v>125271</v>
      </c>
      <c r="C1993">
        <v>54085</v>
      </c>
      <c r="D1993">
        <v>71186</v>
      </c>
      <c r="E1993">
        <v>77918290</v>
      </c>
      <c r="F1993">
        <v>48298364</v>
      </c>
      <c r="G1993">
        <v>126216654</v>
      </c>
      <c r="H1993">
        <v>16009</v>
      </c>
      <c r="I1993">
        <v>8007</v>
      </c>
      <c r="J1993">
        <v>24016</v>
      </c>
      <c r="K1993" t="b">
        <f>TrafficData[[#This Row],[disposedChallan]]+TrafficData[[#This Row],[pendingChallan]]=TrafficData[[#This Row],[totalChallan]]</f>
        <v>1</v>
      </c>
      <c r="L1993" t="b">
        <f>TrafficData[[#This Row],[pendingAmount]]+TrafficData[[#This Row],[disposedAmount]]=TrafficData[[#This Row],[totalAmount]]</f>
        <v>1</v>
      </c>
      <c r="M1993" t="b">
        <f>TrafficData[[#This Row],[pendingCourt]]+TrafficData[[#This Row],[disposedCourt]]=TrafficData[[#This Row],[totalCourt]]</f>
        <v>1</v>
      </c>
      <c r="N1993" s="8" t="b">
        <f>AND(TrafficData[[#This Row],[disposedChallan]]&lt;=TrafficData[[#This Row],[totalChallan]],TrafficData[[#This Row],[pendingChallan]]&lt;=TrafficData[[#This Row],[totalChallan]])</f>
        <v>1</v>
      </c>
      <c r="O1993" s="8" t="b">
        <f>AND(TrafficData[[#This Row],[pendingAmount]]&lt;=TrafficData[[#This Row],[totalAmount]],TrafficData[[#This Row],[disposedAmount]]&lt;=TrafficData[[#This Row],[totalAmount]])</f>
        <v>1</v>
      </c>
      <c r="P1993" s="8" t="b">
        <f>AND(TrafficData[[#This Row],[pendingCourt]]&lt;=TrafficData[[#This Row],[totalCourt]],TrafficData[[#This Row],[disposedCourt]]&lt;=TrafficData[[#This Row],[totalCourt]])</f>
        <v>1</v>
      </c>
    </row>
    <row r="1994" spans="1:16">
      <c r="A1994" s="1">
        <v>43998</v>
      </c>
      <c r="B1994">
        <v>125005</v>
      </c>
      <c r="C1994">
        <v>53682</v>
      </c>
      <c r="D1994">
        <v>71323</v>
      </c>
      <c r="E1994">
        <v>77090843</v>
      </c>
      <c r="F1994">
        <v>53702245</v>
      </c>
      <c r="G1994">
        <v>130793088</v>
      </c>
      <c r="H1994">
        <v>16709</v>
      </c>
      <c r="I1994">
        <v>7949</v>
      </c>
      <c r="J1994">
        <v>24658</v>
      </c>
      <c r="K1994" t="b">
        <f>TrafficData[[#This Row],[disposedChallan]]+TrafficData[[#This Row],[pendingChallan]]=TrafficData[[#This Row],[totalChallan]]</f>
        <v>1</v>
      </c>
      <c r="L1994" t="b">
        <f>TrafficData[[#This Row],[pendingAmount]]+TrafficData[[#This Row],[disposedAmount]]=TrafficData[[#This Row],[totalAmount]]</f>
        <v>1</v>
      </c>
      <c r="M1994" t="b">
        <f>TrafficData[[#This Row],[pendingCourt]]+TrafficData[[#This Row],[disposedCourt]]=TrafficData[[#This Row],[totalCourt]]</f>
        <v>1</v>
      </c>
      <c r="N1994" s="8" t="b">
        <f>AND(TrafficData[[#This Row],[disposedChallan]]&lt;=TrafficData[[#This Row],[totalChallan]],TrafficData[[#This Row],[pendingChallan]]&lt;=TrafficData[[#This Row],[totalChallan]])</f>
        <v>1</v>
      </c>
      <c r="O1994" s="8" t="b">
        <f>AND(TrafficData[[#This Row],[pendingAmount]]&lt;=TrafficData[[#This Row],[totalAmount]],TrafficData[[#This Row],[disposedAmount]]&lt;=TrafficData[[#This Row],[totalAmount]])</f>
        <v>1</v>
      </c>
      <c r="P1994" s="8" t="b">
        <f>AND(TrafficData[[#This Row],[pendingCourt]]&lt;=TrafficData[[#This Row],[totalCourt]],TrafficData[[#This Row],[disposedCourt]]&lt;=TrafficData[[#This Row],[totalCourt]])</f>
        <v>1</v>
      </c>
    </row>
    <row r="1995" spans="1:16">
      <c r="A1995" s="1">
        <v>43999</v>
      </c>
      <c r="B1995">
        <v>130187</v>
      </c>
      <c r="C1995">
        <v>56446</v>
      </c>
      <c r="D1995">
        <v>73741</v>
      </c>
      <c r="E1995">
        <v>78562225</v>
      </c>
      <c r="F1995">
        <v>58368087</v>
      </c>
      <c r="G1995">
        <v>136930312</v>
      </c>
      <c r="H1995">
        <v>20972</v>
      </c>
      <c r="I1995">
        <v>8512</v>
      </c>
      <c r="J1995">
        <v>29484</v>
      </c>
      <c r="K1995" t="b">
        <f>TrafficData[[#This Row],[disposedChallan]]+TrafficData[[#This Row],[pendingChallan]]=TrafficData[[#This Row],[totalChallan]]</f>
        <v>1</v>
      </c>
      <c r="L1995" t="b">
        <f>TrafficData[[#This Row],[pendingAmount]]+TrafficData[[#This Row],[disposedAmount]]=TrafficData[[#This Row],[totalAmount]]</f>
        <v>1</v>
      </c>
      <c r="M1995" t="b">
        <f>TrafficData[[#This Row],[pendingCourt]]+TrafficData[[#This Row],[disposedCourt]]=TrafficData[[#This Row],[totalCourt]]</f>
        <v>1</v>
      </c>
      <c r="N1995" s="8" t="b">
        <f>AND(TrafficData[[#This Row],[disposedChallan]]&lt;=TrafficData[[#This Row],[totalChallan]],TrafficData[[#This Row],[pendingChallan]]&lt;=TrafficData[[#This Row],[totalChallan]])</f>
        <v>1</v>
      </c>
      <c r="O1995" s="8" t="b">
        <f>AND(TrafficData[[#This Row],[pendingAmount]]&lt;=TrafficData[[#This Row],[totalAmount]],TrafficData[[#This Row],[disposedAmount]]&lt;=TrafficData[[#This Row],[totalAmount]])</f>
        <v>1</v>
      </c>
      <c r="P1995" s="8" t="b">
        <f>AND(TrafficData[[#This Row],[pendingCourt]]&lt;=TrafficData[[#This Row],[totalCourt]],TrafficData[[#This Row],[disposedCourt]]&lt;=TrafficData[[#This Row],[totalCourt]])</f>
        <v>1</v>
      </c>
    </row>
    <row r="1996" spans="1:16">
      <c r="A1996" s="1">
        <v>44000</v>
      </c>
      <c r="B1996">
        <v>127829</v>
      </c>
      <c r="C1996">
        <v>56357</v>
      </c>
      <c r="D1996">
        <v>71472</v>
      </c>
      <c r="E1996">
        <v>75266254</v>
      </c>
      <c r="F1996">
        <v>57955459</v>
      </c>
      <c r="G1996">
        <v>133221713</v>
      </c>
      <c r="H1996">
        <v>21894</v>
      </c>
      <c r="I1996">
        <v>9390</v>
      </c>
      <c r="J1996">
        <v>31284</v>
      </c>
      <c r="K1996" t="b">
        <f>TrafficData[[#This Row],[disposedChallan]]+TrafficData[[#This Row],[pendingChallan]]=TrafficData[[#This Row],[totalChallan]]</f>
        <v>1</v>
      </c>
      <c r="L1996" t="b">
        <f>TrafficData[[#This Row],[pendingAmount]]+TrafficData[[#This Row],[disposedAmount]]=TrafficData[[#This Row],[totalAmount]]</f>
        <v>1</v>
      </c>
      <c r="M1996" t="b">
        <f>TrafficData[[#This Row],[pendingCourt]]+TrafficData[[#This Row],[disposedCourt]]=TrafficData[[#This Row],[totalCourt]]</f>
        <v>1</v>
      </c>
      <c r="N1996" s="8" t="b">
        <f>AND(TrafficData[[#This Row],[disposedChallan]]&lt;=TrafficData[[#This Row],[totalChallan]],TrafficData[[#This Row],[pendingChallan]]&lt;=TrafficData[[#This Row],[totalChallan]])</f>
        <v>1</v>
      </c>
      <c r="O1996" s="8" t="b">
        <f>AND(TrafficData[[#This Row],[pendingAmount]]&lt;=TrafficData[[#This Row],[totalAmount]],TrafficData[[#This Row],[disposedAmount]]&lt;=TrafficData[[#This Row],[totalAmount]])</f>
        <v>1</v>
      </c>
      <c r="P1996" s="8" t="b">
        <f>AND(TrafficData[[#This Row],[pendingCourt]]&lt;=TrafficData[[#This Row],[totalCourt]],TrafficData[[#This Row],[disposedCourt]]&lt;=TrafficData[[#This Row],[totalCourt]])</f>
        <v>1</v>
      </c>
    </row>
    <row r="1997" spans="1:16">
      <c r="A1997" s="1">
        <v>44001</v>
      </c>
      <c r="B1997">
        <v>129811</v>
      </c>
      <c r="C1997">
        <v>58825</v>
      </c>
      <c r="D1997">
        <v>70986</v>
      </c>
      <c r="E1997">
        <v>75448681</v>
      </c>
      <c r="F1997">
        <v>61248664</v>
      </c>
      <c r="G1997">
        <v>136697345</v>
      </c>
      <c r="H1997">
        <v>22846</v>
      </c>
      <c r="I1997">
        <v>10137</v>
      </c>
      <c r="J1997">
        <v>32983</v>
      </c>
      <c r="K1997" t="b">
        <f>TrafficData[[#This Row],[disposedChallan]]+TrafficData[[#This Row],[pendingChallan]]=TrafficData[[#This Row],[totalChallan]]</f>
        <v>1</v>
      </c>
      <c r="L1997" t="b">
        <f>TrafficData[[#This Row],[pendingAmount]]+TrafficData[[#This Row],[disposedAmount]]=TrafficData[[#This Row],[totalAmount]]</f>
        <v>1</v>
      </c>
      <c r="M1997" t="b">
        <f>TrafficData[[#This Row],[pendingCourt]]+TrafficData[[#This Row],[disposedCourt]]=TrafficData[[#This Row],[totalCourt]]</f>
        <v>1</v>
      </c>
      <c r="N1997" s="8" t="b">
        <f>AND(TrafficData[[#This Row],[disposedChallan]]&lt;=TrafficData[[#This Row],[totalChallan]],TrafficData[[#This Row],[pendingChallan]]&lt;=TrafficData[[#This Row],[totalChallan]])</f>
        <v>1</v>
      </c>
      <c r="O1997" s="8" t="b">
        <f>AND(TrafficData[[#This Row],[pendingAmount]]&lt;=TrafficData[[#This Row],[totalAmount]],TrafficData[[#This Row],[disposedAmount]]&lt;=TrafficData[[#This Row],[totalAmount]])</f>
        <v>1</v>
      </c>
      <c r="P1997" s="8" t="b">
        <f>AND(TrafficData[[#This Row],[pendingCourt]]&lt;=TrafficData[[#This Row],[totalCourt]],TrafficData[[#This Row],[disposedCourt]]&lt;=TrafficData[[#This Row],[totalCourt]])</f>
        <v>1</v>
      </c>
    </row>
    <row r="1998" spans="1:16">
      <c r="A1998" s="1">
        <v>44002</v>
      </c>
      <c r="B1998">
        <v>123359</v>
      </c>
      <c r="C1998">
        <v>56996</v>
      </c>
      <c r="D1998">
        <v>66363</v>
      </c>
      <c r="E1998">
        <v>66683540</v>
      </c>
      <c r="F1998">
        <v>53580706</v>
      </c>
      <c r="G1998">
        <v>120264246</v>
      </c>
      <c r="H1998">
        <v>20522</v>
      </c>
      <c r="I1998">
        <v>9259</v>
      </c>
      <c r="J1998">
        <v>29781</v>
      </c>
      <c r="K1998" t="b">
        <f>TrafficData[[#This Row],[disposedChallan]]+TrafficData[[#This Row],[pendingChallan]]=TrafficData[[#This Row],[totalChallan]]</f>
        <v>1</v>
      </c>
      <c r="L1998" t="b">
        <f>TrafficData[[#This Row],[pendingAmount]]+TrafficData[[#This Row],[disposedAmount]]=TrafficData[[#This Row],[totalAmount]]</f>
        <v>1</v>
      </c>
      <c r="M1998" t="b">
        <f>TrafficData[[#This Row],[pendingCourt]]+TrafficData[[#This Row],[disposedCourt]]=TrafficData[[#This Row],[totalCourt]]</f>
        <v>1</v>
      </c>
      <c r="N1998" s="8" t="b">
        <f>AND(TrafficData[[#This Row],[disposedChallan]]&lt;=TrafficData[[#This Row],[totalChallan]],TrafficData[[#This Row],[pendingChallan]]&lt;=TrafficData[[#This Row],[totalChallan]])</f>
        <v>1</v>
      </c>
      <c r="O1998" s="8" t="b">
        <f>AND(TrafficData[[#This Row],[pendingAmount]]&lt;=TrafficData[[#This Row],[totalAmount]],TrafficData[[#This Row],[disposedAmount]]&lt;=TrafficData[[#This Row],[totalAmount]])</f>
        <v>1</v>
      </c>
      <c r="P1998" s="8" t="b">
        <f>AND(TrafficData[[#This Row],[pendingCourt]]&lt;=TrafficData[[#This Row],[totalCourt]],TrafficData[[#This Row],[disposedCourt]]&lt;=TrafficData[[#This Row],[totalCourt]])</f>
        <v>1</v>
      </c>
    </row>
    <row r="1999" spans="1:16">
      <c r="A1999" s="1">
        <v>44003</v>
      </c>
      <c r="B1999">
        <v>107835</v>
      </c>
      <c r="C1999">
        <v>45787</v>
      </c>
      <c r="D1999">
        <v>62048</v>
      </c>
      <c r="E1999">
        <v>63704710</v>
      </c>
      <c r="F1999">
        <v>42279954</v>
      </c>
      <c r="G1999">
        <v>105984664</v>
      </c>
      <c r="H1999">
        <v>17209</v>
      </c>
      <c r="I1999">
        <v>7915</v>
      </c>
      <c r="J1999">
        <v>25124</v>
      </c>
      <c r="K1999" t="b">
        <f>TrafficData[[#This Row],[disposedChallan]]+TrafficData[[#This Row],[pendingChallan]]=TrafficData[[#This Row],[totalChallan]]</f>
        <v>1</v>
      </c>
      <c r="L1999" t="b">
        <f>TrafficData[[#This Row],[pendingAmount]]+TrafficData[[#This Row],[disposedAmount]]=TrafficData[[#This Row],[totalAmount]]</f>
        <v>1</v>
      </c>
      <c r="M1999" t="b">
        <f>TrafficData[[#This Row],[pendingCourt]]+TrafficData[[#This Row],[disposedCourt]]=TrafficData[[#This Row],[totalCourt]]</f>
        <v>1</v>
      </c>
      <c r="N1999" s="8" t="b">
        <f>AND(TrafficData[[#This Row],[disposedChallan]]&lt;=TrafficData[[#This Row],[totalChallan]],TrafficData[[#This Row],[pendingChallan]]&lt;=TrafficData[[#This Row],[totalChallan]])</f>
        <v>1</v>
      </c>
      <c r="O1999" s="8" t="b">
        <f>AND(TrafficData[[#This Row],[pendingAmount]]&lt;=TrafficData[[#This Row],[totalAmount]],TrafficData[[#This Row],[disposedAmount]]&lt;=TrafficData[[#This Row],[totalAmount]])</f>
        <v>1</v>
      </c>
      <c r="P1999" s="8" t="b">
        <f>AND(TrafficData[[#This Row],[pendingCourt]]&lt;=TrafficData[[#This Row],[totalCourt]],TrafficData[[#This Row],[disposedCourt]]&lt;=TrafficData[[#This Row],[totalCourt]])</f>
        <v>1</v>
      </c>
    </row>
    <row r="2000" spans="1:16">
      <c r="A2000" s="1">
        <v>44004</v>
      </c>
      <c r="B2000">
        <v>119471</v>
      </c>
      <c r="C2000">
        <v>55042</v>
      </c>
      <c r="D2000">
        <v>64429</v>
      </c>
      <c r="E2000">
        <v>60147165</v>
      </c>
      <c r="F2000">
        <v>49588163</v>
      </c>
      <c r="G2000">
        <v>109735328</v>
      </c>
      <c r="H2000">
        <v>20443</v>
      </c>
      <c r="I2000">
        <v>8831</v>
      </c>
      <c r="J2000">
        <v>29274</v>
      </c>
      <c r="K2000" t="b">
        <f>TrafficData[[#This Row],[disposedChallan]]+TrafficData[[#This Row],[pendingChallan]]=TrafficData[[#This Row],[totalChallan]]</f>
        <v>1</v>
      </c>
      <c r="L2000" t="b">
        <f>TrafficData[[#This Row],[pendingAmount]]+TrafficData[[#This Row],[disposedAmount]]=TrafficData[[#This Row],[totalAmount]]</f>
        <v>1</v>
      </c>
      <c r="M2000" t="b">
        <f>TrafficData[[#This Row],[pendingCourt]]+TrafficData[[#This Row],[disposedCourt]]=TrafficData[[#This Row],[totalCourt]]</f>
        <v>1</v>
      </c>
      <c r="N2000" s="8" t="b">
        <f>AND(TrafficData[[#This Row],[disposedChallan]]&lt;=TrafficData[[#This Row],[totalChallan]],TrafficData[[#This Row],[pendingChallan]]&lt;=TrafficData[[#This Row],[totalChallan]])</f>
        <v>1</v>
      </c>
      <c r="O2000" s="8" t="b">
        <f>AND(TrafficData[[#This Row],[pendingAmount]]&lt;=TrafficData[[#This Row],[totalAmount]],TrafficData[[#This Row],[disposedAmount]]&lt;=TrafficData[[#This Row],[totalAmount]])</f>
        <v>1</v>
      </c>
      <c r="P2000" s="8" t="b">
        <f>AND(TrafficData[[#This Row],[pendingCourt]]&lt;=TrafficData[[#This Row],[totalCourt]],TrafficData[[#This Row],[disposedCourt]]&lt;=TrafficData[[#This Row],[totalCourt]])</f>
        <v>1</v>
      </c>
    </row>
    <row r="2001" spans="1:16">
      <c r="A2001" s="1">
        <v>44005</v>
      </c>
      <c r="B2001">
        <v>125525</v>
      </c>
      <c r="C2001">
        <v>56692</v>
      </c>
      <c r="D2001">
        <v>68833</v>
      </c>
      <c r="E2001">
        <v>67570269</v>
      </c>
      <c r="F2001">
        <v>56912101</v>
      </c>
      <c r="G2001">
        <v>124482370</v>
      </c>
      <c r="H2001">
        <v>21934</v>
      </c>
      <c r="I2001">
        <v>9685</v>
      </c>
      <c r="J2001">
        <v>31619</v>
      </c>
      <c r="K2001" t="b">
        <f>TrafficData[[#This Row],[disposedChallan]]+TrafficData[[#This Row],[pendingChallan]]=TrafficData[[#This Row],[totalChallan]]</f>
        <v>1</v>
      </c>
      <c r="L2001" t="b">
        <f>TrafficData[[#This Row],[pendingAmount]]+TrafficData[[#This Row],[disposedAmount]]=TrafficData[[#This Row],[totalAmount]]</f>
        <v>1</v>
      </c>
      <c r="M2001" t="b">
        <f>TrafficData[[#This Row],[pendingCourt]]+TrafficData[[#This Row],[disposedCourt]]=TrafficData[[#This Row],[totalCourt]]</f>
        <v>1</v>
      </c>
      <c r="N2001" s="8" t="b">
        <f>AND(TrafficData[[#This Row],[disposedChallan]]&lt;=TrafficData[[#This Row],[totalChallan]],TrafficData[[#This Row],[pendingChallan]]&lt;=TrafficData[[#This Row],[totalChallan]])</f>
        <v>1</v>
      </c>
      <c r="O2001" s="8" t="b">
        <f>AND(TrafficData[[#This Row],[pendingAmount]]&lt;=TrafficData[[#This Row],[totalAmount]],TrafficData[[#This Row],[disposedAmount]]&lt;=TrafficData[[#This Row],[totalAmount]])</f>
        <v>1</v>
      </c>
      <c r="P2001" s="8" t="b">
        <f>AND(TrafficData[[#This Row],[pendingCourt]]&lt;=TrafficData[[#This Row],[totalCourt]],TrafficData[[#This Row],[disposedCourt]]&lt;=TrafficData[[#This Row],[totalCourt]])</f>
        <v>1</v>
      </c>
    </row>
    <row r="2002" spans="1:16">
      <c r="A2002" s="1">
        <v>44006</v>
      </c>
      <c r="B2002">
        <v>119745</v>
      </c>
      <c r="C2002">
        <v>54706</v>
      </c>
      <c r="D2002">
        <v>65039</v>
      </c>
      <c r="E2002">
        <v>66508119</v>
      </c>
      <c r="F2002">
        <v>54064436</v>
      </c>
      <c r="G2002">
        <v>120572555</v>
      </c>
      <c r="H2002">
        <v>20512</v>
      </c>
      <c r="I2002">
        <v>9658</v>
      </c>
      <c r="J2002">
        <v>30170</v>
      </c>
      <c r="K2002" t="b">
        <f>TrafficData[[#This Row],[disposedChallan]]+TrafficData[[#This Row],[pendingChallan]]=TrafficData[[#This Row],[totalChallan]]</f>
        <v>1</v>
      </c>
      <c r="L2002" t="b">
        <f>TrafficData[[#This Row],[pendingAmount]]+TrafficData[[#This Row],[disposedAmount]]=TrafficData[[#This Row],[totalAmount]]</f>
        <v>1</v>
      </c>
      <c r="M2002" t="b">
        <f>TrafficData[[#This Row],[pendingCourt]]+TrafficData[[#This Row],[disposedCourt]]=TrafficData[[#This Row],[totalCourt]]</f>
        <v>1</v>
      </c>
      <c r="N2002" s="8" t="b">
        <f>AND(TrafficData[[#This Row],[disposedChallan]]&lt;=TrafficData[[#This Row],[totalChallan]],TrafficData[[#This Row],[pendingChallan]]&lt;=TrafficData[[#This Row],[totalChallan]])</f>
        <v>1</v>
      </c>
      <c r="O2002" s="8" t="b">
        <f>AND(TrafficData[[#This Row],[pendingAmount]]&lt;=TrafficData[[#This Row],[totalAmount]],TrafficData[[#This Row],[disposedAmount]]&lt;=TrafficData[[#This Row],[totalAmount]])</f>
        <v>1</v>
      </c>
      <c r="P2002" s="8" t="b">
        <f>AND(TrafficData[[#This Row],[pendingCourt]]&lt;=TrafficData[[#This Row],[totalCourt]],TrafficData[[#This Row],[disposedCourt]]&lt;=TrafficData[[#This Row],[totalCourt]])</f>
        <v>1</v>
      </c>
    </row>
    <row r="2003" spans="1:16">
      <c r="A2003" s="1">
        <v>44007</v>
      </c>
      <c r="B2003">
        <v>119212</v>
      </c>
      <c r="C2003">
        <v>54001</v>
      </c>
      <c r="D2003">
        <v>65211</v>
      </c>
      <c r="E2003">
        <v>68509095</v>
      </c>
      <c r="F2003">
        <v>54696642</v>
      </c>
      <c r="G2003">
        <v>123205737</v>
      </c>
      <c r="H2003">
        <v>19173</v>
      </c>
      <c r="I2003">
        <v>9271</v>
      </c>
      <c r="J2003">
        <v>28444</v>
      </c>
      <c r="K2003" t="b">
        <f>TrafficData[[#This Row],[disposedChallan]]+TrafficData[[#This Row],[pendingChallan]]=TrafficData[[#This Row],[totalChallan]]</f>
        <v>1</v>
      </c>
      <c r="L2003" t="b">
        <f>TrafficData[[#This Row],[pendingAmount]]+TrafficData[[#This Row],[disposedAmount]]=TrafficData[[#This Row],[totalAmount]]</f>
        <v>1</v>
      </c>
      <c r="M2003" t="b">
        <f>TrafficData[[#This Row],[pendingCourt]]+TrafficData[[#This Row],[disposedCourt]]=TrafficData[[#This Row],[totalCourt]]</f>
        <v>1</v>
      </c>
      <c r="N2003" s="8" t="b">
        <f>AND(TrafficData[[#This Row],[disposedChallan]]&lt;=TrafficData[[#This Row],[totalChallan]],TrafficData[[#This Row],[pendingChallan]]&lt;=TrafficData[[#This Row],[totalChallan]])</f>
        <v>1</v>
      </c>
      <c r="O2003" s="8" t="b">
        <f>AND(TrafficData[[#This Row],[pendingAmount]]&lt;=TrafficData[[#This Row],[totalAmount]],TrafficData[[#This Row],[disposedAmount]]&lt;=TrafficData[[#This Row],[totalAmount]])</f>
        <v>1</v>
      </c>
      <c r="P2003" s="8" t="b">
        <f>AND(TrafficData[[#This Row],[pendingCourt]]&lt;=TrafficData[[#This Row],[totalCourt]],TrafficData[[#This Row],[disposedCourt]]&lt;=TrafficData[[#This Row],[totalCourt]])</f>
        <v>1</v>
      </c>
    </row>
    <row r="2004" spans="1:16">
      <c r="A2004" s="1">
        <v>44008</v>
      </c>
      <c r="B2004">
        <v>125137</v>
      </c>
      <c r="C2004">
        <v>55895</v>
      </c>
      <c r="D2004">
        <v>69242</v>
      </c>
      <c r="E2004">
        <v>69271685</v>
      </c>
      <c r="F2004">
        <v>57874467</v>
      </c>
      <c r="G2004">
        <v>127146152</v>
      </c>
      <c r="H2004">
        <v>21007</v>
      </c>
      <c r="I2004">
        <v>8853</v>
      </c>
      <c r="J2004">
        <v>29860</v>
      </c>
      <c r="K2004" t="b">
        <f>TrafficData[[#This Row],[disposedChallan]]+TrafficData[[#This Row],[pendingChallan]]=TrafficData[[#This Row],[totalChallan]]</f>
        <v>1</v>
      </c>
      <c r="L2004" t="b">
        <f>TrafficData[[#This Row],[pendingAmount]]+TrafficData[[#This Row],[disposedAmount]]=TrafficData[[#This Row],[totalAmount]]</f>
        <v>1</v>
      </c>
      <c r="M2004" t="b">
        <f>TrafficData[[#This Row],[pendingCourt]]+TrafficData[[#This Row],[disposedCourt]]=TrafficData[[#This Row],[totalCourt]]</f>
        <v>1</v>
      </c>
      <c r="N2004" s="8" t="b">
        <f>AND(TrafficData[[#This Row],[disposedChallan]]&lt;=TrafficData[[#This Row],[totalChallan]],TrafficData[[#This Row],[pendingChallan]]&lt;=TrafficData[[#This Row],[totalChallan]])</f>
        <v>1</v>
      </c>
      <c r="O2004" s="8" t="b">
        <f>AND(TrafficData[[#This Row],[pendingAmount]]&lt;=TrafficData[[#This Row],[totalAmount]],TrafficData[[#This Row],[disposedAmount]]&lt;=TrafficData[[#This Row],[totalAmount]])</f>
        <v>1</v>
      </c>
      <c r="P2004" s="8" t="b">
        <f>AND(TrafficData[[#This Row],[pendingCourt]]&lt;=TrafficData[[#This Row],[totalCourt]],TrafficData[[#This Row],[disposedCourt]]&lt;=TrafficData[[#This Row],[totalCourt]])</f>
        <v>1</v>
      </c>
    </row>
    <row r="2005" spans="1:16">
      <c r="A2005" s="1">
        <v>44009</v>
      </c>
      <c r="B2005">
        <v>129269</v>
      </c>
      <c r="C2005">
        <v>56582</v>
      </c>
      <c r="D2005">
        <v>72687</v>
      </c>
      <c r="E2005">
        <v>78269950</v>
      </c>
      <c r="F2005">
        <v>61488085</v>
      </c>
      <c r="G2005">
        <v>139758035</v>
      </c>
      <c r="H2005">
        <v>20815</v>
      </c>
      <c r="I2005">
        <v>8183</v>
      </c>
      <c r="J2005">
        <v>28998</v>
      </c>
      <c r="K2005" t="b">
        <f>TrafficData[[#This Row],[disposedChallan]]+TrafficData[[#This Row],[pendingChallan]]=TrafficData[[#This Row],[totalChallan]]</f>
        <v>1</v>
      </c>
      <c r="L2005" t="b">
        <f>TrafficData[[#This Row],[pendingAmount]]+TrafficData[[#This Row],[disposedAmount]]=TrafficData[[#This Row],[totalAmount]]</f>
        <v>1</v>
      </c>
      <c r="M2005" t="b">
        <f>TrafficData[[#This Row],[pendingCourt]]+TrafficData[[#This Row],[disposedCourt]]=TrafficData[[#This Row],[totalCourt]]</f>
        <v>1</v>
      </c>
      <c r="N2005" s="8" t="b">
        <f>AND(TrafficData[[#This Row],[disposedChallan]]&lt;=TrafficData[[#This Row],[totalChallan]],TrafficData[[#This Row],[pendingChallan]]&lt;=TrafficData[[#This Row],[totalChallan]])</f>
        <v>1</v>
      </c>
      <c r="O2005" s="8" t="b">
        <f>AND(TrafficData[[#This Row],[pendingAmount]]&lt;=TrafficData[[#This Row],[totalAmount]],TrafficData[[#This Row],[disposedAmount]]&lt;=TrafficData[[#This Row],[totalAmount]])</f>
        <v>1</v>
      </c>
      <c r="P2005" s="8" t="b">
        <f>AND(TrafficData[[#This Row],[pendingCourt]]&lt;=TrafficData[[#This Row],[totalCourt]],TrafficData[[#This Row],[disposedCourt]]&lt;=TrafficData[[#This Row],[totalCourt]])</f>
        <v>1</v>
      </c>
    </row>
    <row r="2006" spans="1:16">
      <c r="A2006" s="1">
        <v>44010</v>
      </c>
      <c r="B2006">
        <v>116218</v>
      </c>
      <c r="C2006">
        <v>48653</v>
      </c>
      <c r="D2006">
        <v>67565</v>
      </c>
      <c r="E2006">
        <v>76923995</v>
      </c>
      <c r="F2006">
        <v>51671409</v>
      </c>
      <c r="G2006">
        <v>128595404</v>
      </c>
      <c r="H2006">
        <v>17682</v>
      </c>
      <c r="I2006">
        <v>7263</v>
      </c>
      <c r="J2006">
        <v>24945</v>
      </c>
      <c r="K2006" t="b">
        <f>TrafficData[[#This Row],[disposedChallan]]+TrafficData[[#This Row],[pendingChallan]]=TrafficData[[#This Row],[totalChallan]]</f>
        <v>1</v>
      </c>
      <c r="L2006" t="b">
        <f>TrafficData[[#This Row],[pendingAmount]]+TrafficData[[#This Row],[disposedAmount]]=TrafficData[[#This Row],[totalAmount]]</f>
        <v>1</v>
      </c>
      <c r="M2006" t="b">
        <f>TrafficData[[#This Row],[pendingCourt]]+TrafficData[[#This Row],[disposedCourt]]=TrafficData[[#This Row],[totalCourt]]</f>
        <v>1</v>
      </c>
      <c r="N2006" s="8" t="b">
        <f>AND(TrafficData[[#This Row],[disposedChallan]]&lt;=TrafficData[[#This Row],[totalChallan]],TrafficData[[#This Row],[pendingChallan]]&lt;=TrafficData[[#This Row],[totalChallan]])</f>
        <v>1</v>
      </c>
      <c r="O2006" s="8" t="b">
        <f>AND(TrafficData[[#This Row],[pendingAmount]]&lt;=TrafficData[[#This Row],[totalAmount]],TrafficData[[#This Row],[disposedAmount]]&lt;=TrafficData[[#This Row],[totalAmount]])</f>
        <v>1</v>
      </c>
      <c r="P2006" s="8" t="b">
        <f>AND(TrafficData[[#This Row],[pendingCourt]]&lt;=TrafficData[[#This Row],[totalCourt]],TrafficData[[#This Row],[disposedCourt]]&lt;=TrafficData[[#This Row],[totalCourt]])</f>
        <v>1</v>
      </c>
    </row>
    <row r="2007" spans="1:16">
      <c r="A2007" s="1">
        <v>44011</v>
      </c>
      <c r="B2007">
        <v>124327</v>
      </c>
      <c r="C2007">
        <v>54590</v>
      </c>
      <c r="D2007">
        <v>69737</v>
      </c>
      <c r="E2007">
        <v>70896862</v>
      </c>
      <c r="F2007">
        <v>52193873</v>
      </c>
      <c r="G2007">
        <v>123090735</v>
      </c>
      <c r="H2007">
        <v>20399</v>
      </c>
      <c r="I2007">
        <v>8386</v>
      </c>
      <c r="J2007">
        <v>28785</v>
      </c>
      <c r="K2007" t="b">
        <f>TrafficData[[#This Row],[disposedChallan]]+TrafficData[[#This Row],[pendingChallan]]=TrafficData[[#This Row],[totalChallan]]</f>
        <v>1</v>
      </c>
      <c r="L2007" t="b">
        <f>TrafficData[[#This Row],[pendingAmount]]+TrafficData[[#This Row],[disposedAmount]]=TrafficData[[#This Row],[totalAmount]]</f>
        <v>1</v>
      </c>
      <c r="M2007" t="b">
        <f>TrafficData[[#This Row],[pendingCourt]]+TrafficData[[#This Row],[disposedCourt]]=TrafficData[[#This Row],[totalCourt]]</f>
        <v>1</v>
      </c>
      <c r="N2007" s="8" t="b">
        <f>AND(TrafficData[[#This Row],[disposedChallan]]&lt;=TrafficData[[#This Row],[totalChallan]],TrafficData[[#This Row],[pendingChallan]]&lt;=TrafficData[[#This Row],[totalChallan]])</f>
        <v>1</v>
      </c>
      <c r="O2007" s="8" t="b">
        <f>AND(TrafficData[[#This Row],[pendingAmount]]&lt;=TrafficData[[#This Row],[totalAmount]],TrafficData[[#This Row],[disposedAmount]]&lt;=TrafficData[[#This Row],[totalAmount]])</f>
        <v>1</v>
      </c>
      <c r="P2007" s="8" t="b">
        <f>AND(TrafficData[[#This Row],[pendingCourt]]&lt;=TrafficData[[#This Row],[totalCourt]],TrafficData[[#This Row],[disposedCourt]]&lt;=TrafficData[[#This Row],[totalCourt]])</f>
        <v>1</v>
      </c>
    </row>
    <row r="2008" spans="1:16">
      <c r="A2008" s="1">
        <v>44012</v>
      </c>
      <c r="B2008">
        <v>127874</v>
      </c>
      <c r="C2008">
        <v>55574</v>
      </c>
      <c r="D2008">
        <v>72300</v>
      </c>
      <c r="E2008">
        <v>76476788</v>
      </c>
      <c r="F2008">
        <v>59460322</v>
      </c>
      <c r="G2008">
        <v>135937110</v>
      </c>
      <c r="H2008">
        <v>22625</v>
      </c>
      <c r="I2008">
        <v>8981</v>
      </c>
      <c r="J2008">
        <v>31606</v>
      </c>
      <c r="K2008" t="b">
        <f>TrafficData[[#This Row],[disposedChallan]]+TrafficData[[#This Row],[pendingChallan]]=TrafficData[[#This Row],[totalChallan]]</f>
        <v>1</v>
      </c>
      <c r="L2008" t="b">
        <f>TrafficData[[#This Row],[pendingAmount]]+TrafficData[[#This Row],[disposedAmount]]=TrafficData[[#This Row],[totalAmount]]</f>
        <v>1</v>
      </c>
      <c r="M2008" t="b">
        <f>TrafficData[[#This Row],[pendingCourt]]+TrafficData[[#This Row],[disposedCourt]]=TrafficData[[#This Row],[totalCourt]]</f>
        <v>1</v>
      </c>
      <c r="N2008" s="8" t="b">
        <f>AND(TrafficData[[#This Row],[disposedChallan]]&lt;=TrafficData[[#This Row],[totalChallan]],TrafficData[[#This Row],[pendingChallan]]&lt;=TrafficData[[#This Row],[totalChallan]])</f>
        <v>1</v>
      </c>
      <c r="O2008" s="8" t="b">
        <f>AND(TrafficData[[#This Row],[pendingAmount]]&lt;=TrafficData[[#This Row],[totalAmount]],TrafficData[[#This Row],[disposedAmount]]&lt;=TrafficData[[#This Row],[totalAmount]])</f>
        <v>1</v>
      </c>
      <c r="P2008" s="8" t="b">
        <f>AND(TrafficData[[#This Row],[pendingCourt]]&lt;=TrafficData[[#This Row],[totalCourt]],TrafficData[[#This Row],[disposedCourt]]&lt;=TrafficData[[#This Row],[totalCourt]])</f>
        <v>1</v>
      </c>
    </row>
    <row r="2009" spans="1:16">
      <c r="A2009" s="1">
        <v>44013</v>
      </c>
      <c r="B2009">
        <v>130387</v>
      </c>
      <c r="C2009">
        <v>56293</v>
      </c>
      <c r="D2009">
        <v>74094</v>
      </c>
      <c r="E2009">
        <v>77437920</v>
      </c>
      <c r="F2009">
        <v>61032550</v>
      </c>
      <c r="G2009">
        <v>138470470</v>
      </c>
      <c r="H2009">
        <v>23845</v>
      </c>
      <c r="I2009">
        <v>8907</v>
      </c>
      <c r="J2009">
        <v>32752</v>
      </c>
      <c r="K2009" t="b">
        <f>TrafficData[[#This Row],[disposedChallan]]+TrafficData[[#This Row],[pendingChallan]]=TrafficData[[#This Row],[totalChallan]]</f>
        <v>1</v>
      </c>
      <c r="L2009" t="b">
        <f>TrafficData[[#This Row],[pendingAmount]]+TrafficData[[#This Row],[disposedAmount]]=TrafficData[[#This Row],[totalAmount]]</f>
        <v>1</v>
      </c>
      <c r="M2009" t="b">
        <f>TrafficData[[#This Row],[pendingCourt]]+TrafficData[[#This Row],[disposedCourt]]=TrafficData[[#This Row],[totalCourt]]</f>
        <v>1</v>
      </c>
      <c r="N2009" s="8" t="b">
        <f>AND(TrafficData[[#This Row],[disposedChallan]]&lt;=TrafficData[[#This Row],[totalChallan]],TrafficData[[#This Row],[pendingChallan]]&lt;=TrafficData[[#This Row],[totalChallan]])</f>
        <v>1</v>
      </c>
      <c r="O2009" s="8" t="b">
        <f>AND(TrafficData[[#This Row],[pendingAmount]]&lt;=TrafficData[[#This Row],[totalAmount]],TrafficData[[#This Row],[disposedAmount]]&lt;=TrafficData[[#This Row],[totalAmount]])</f>
        <v>1</v>
      </c>
      <c r="P2009" s="8" t="b">
        <f>AND(TrafficData[[#This Row],[pendingCourt]]&lt;=TrafficData[[#This Row],[totalCourt]],TrafficData[[#This Row],[disposedCourt]]&lt;=TrafficData[[#This Row],[totalCourt]])</f>
        <v>1</v>
      </c>
    </row>
    <row r="2010" spans="1:16">
      <c r="A2010" s="1">
        <v>44014</v>
      </c>
      <c r="B2010">
        <v>124280</v>
      </c>
      <c r="C2010">
        <v>52747</v>
      </c>
      <c r="D2010">
        <v>71533</v>
      </c>
      <c r="E2010">
        <v>75488710</v>
      </c>
      <c r="F2010">
        <v>58552891</v>
      </c>
      <c r="G2010">
        <v>134041601</v>
      </c>
      <c r="H2010">
        <v>21822</v>
      </c>
      <c r="I2010">
        <v>7901</v>
      </c>
      <c r="J2010">
        <v>29723</v>
      </c>
      <c r="K2010" t="b">
        <f>TrafficData[[#This Row],[disposedChallan]]+TrafficData[[#This Row],[pendingChallan]]=TrafficData[[#This Row],[totalChallan]]</f>
        <v>1</v>
      </c>
      <c r="L2010" t="b">
        <f>TrafficData[[#This Row],[pendingAmount]]+TrafficData[[#This Row],[disposedAmount]]=TrafficData[[#This Row],[totalAmount]]</f>
        <v>1</v>
      </c>
      <c r="M2010" t="b">
        <f>TrafficData[[#This Row],[pendingCourt]]+TrafficData[[#This Row],[disposedCourt]]=TrafficData[[#This Row],[totalCourt]]</f>
        <v>1</v>
      </c>
      <c r="N2010" s="8" t="b">
        <f>AND(TrafficData[[#This Row],[disposedChallan]]&lt;=TrafficData[[#This Row],[totalChallan]],TrafficData[[#This Row],[pendingChallan]]&lt;=TrafficData[[#This Row],[totalChallan]])</f>
        <v>1</v>
      </c>
      <c r="O2010" s="8" t="b">
        <f>AND(TrafficData[[#This Row],[pendingAmount]]&lt;=TrafficData[[#This Row],[totalAmount]],TrafficData[[#This Row],[disposedAmount]]&lt;=TrafficData[[#This Row],[totalAmount]])</f>
        <v>1</v>
      </c>
      <c r="P2010" s="8" t="b">
        <f>AND(TrafficData[[#This Row],[pendingCourt]]&lt;=TrafficData[[#This Row],[totalCourt]],TrafficData[[#This Row],[disposedCourt]]&lt;=TrafficData[[#This Row],[totalCourt]])</f>
        <v>1</v>
      </c>
    </row>
    <row r="2011" spans="1:16">
      <c r="A2011" s="1">
        <v>44015</v>
      </c>
      <c r="B2011">
        <v>113885</v>
      </c>
      <c r="C2011">
        <v>48038</v>
      </c>
      <c r="D2011">
        <v>65847</v>
      </c>
      <c r="E2011">
        <v>72391609</v>
      </c>
      <c r="F2011">
        <v>56110913</v>
      </c>
      <c r="G2011">
        <v>128502522</v>
      </c>
      <c r="H2011">
        <v>21771</v>
      </c>
      <c r="I2011">
        <v>7542</v>
      </c>
      <c r="J2011">
        <v>29313</v>
      </c>
      <c r="K2011" t="b">
        <f>TrafficData[[#This Row],[disposedChallan]]+TrafficData[[#This Row],[pendingChallan]]=TrafficData[[#This Row],[totalChallan]]</f>
        <v>1</v>
      </c>
      <c r="L2011" t="b">
        <f>TrafficData[[#This Row],[pendingAmount]]+TrafficData[[#This Row],[disposedAmount]]=TrafficData[[#This Row],[totalAmount]]</f>
        <v>1</v>
      </c>
      <c r="M2011" t="b">
        <f>TrafficData[[#This Row],[pendingCourt]]+TrafficData[[#This Row],[disposedCourt]]=TrafficData[[#This Row],[totalCourt]]</f>
        <v>1</v>
      </c>
      <c r="N2011" s="8" t="b">
        <f>AND(TrafficData[[#This Row],[disposedChallan]]&lt;=TrafficData[[#This Row],[totalChallan]],TrafficData[[#This Row],[pendingChallan]]&lt;=TrafficData[[#This Row],[totalChallan]])</f>
        <v>1</v>
      </c>
      <c r="O2011" s="8" t="b">
        <f>AND(TrafficData[[#This Row],[pendingAmount]]&lt;=TrafficData[[#This Row],[totalAmount]],TrafficData[[#This Row],[disposedAmount]]&lt;=TrafficData[[#This Row],[totalAmount]])</f>
        <v>1</v>
      </c>
      <c r="P2011" s="8" t="b">
        <f>AND(TrafficData[[#This Row],[pendingCourt]]&lt;=TrafficData[[#This Row],[totalCourt]],TrafficData[[#This Row],[disposedCourt]]&lt;=TrafficData[[#This Row],[totalCourt]])</f>
        <v>1</v>
      </c>
    </row>
    <row r="2012" spans="1:16">
      <c r="A2012" s="1">
        <v>44016</v>
      </c>
      <c r="B2012">
        <v>123363</v>
      </c>
      <c r="C2012">
        <v>52797</v>
      </c>
      <c r="D2012">
        <v>70566</v>
      </c>
      <c r="E2012">
        <v>75791240</v>
      </c>
      <c r="F2012">
        <v>59520774</v>
      </c>
      <c r="G2012">
        <v>135312014</v>
      </c>
      <c r="H2012">
        <v>20608</v>
      </c>
      <c r="I2012">
        <v>7553</v>
      </c>
      <c r="J2012">
        <v>28161</v>
      </c>
      <c r="K2012" t="b">
        <f>TrafficData[[#This Row],[disposedChallan]]+TrafficData[[#This Row],[pendingChallan]]=TrafficData[[#This Row],[totalChallan]]</f>
        <v>1</v>
      </c>
      <c r="L2012" t="b">
        <f>TrafficData[[#This Row],[pendingAmount]]+TrafficData[[#This Row],[disposedAmount]]=TrafficData[[#This Row],[totalAmount]]</f>
        <v>1</v>
      </c>
      <c r="M2012" t="b">
        <f>TrafficData[[#This Row],[pendingCourt]]+TrafficData[[#This Row],[disposedCourt]]=TrafficData[[#This Row],[totalCourt]]</f>
        <v>1</v>
      </c>
      <c r="N2012" s="8" t="b">
        <f>AND(TrafficData[[#This Row],[disposedChallan]]&lt;=TrafficData[[#This Row],[totalChallan]],TrafficData[[#This Row],[pendingChallan]]&lt;=TrafficData[[#This Row],[totalChallan]])</f>
        <v>1</v>
      </c>
      <c r="O2012" s="8" t="b">
        <f>AND(TrafficData[[#This Row],[pendingAmount]]&lt;=TrafficData[[#This Row],[totalAmount]],TrafficData[[#This Row],[disposedAmount]]&lt;=TrafficData[[#This Row],[totalAmount]])</f>
        <v>1</v>
      </c>
      <c r="P2012" s="8" t="b">
        <f>AND(TrafficData[[#This Row],[pendingCourt]]&lt;=TrafficData[[#This Row],[totalCourt]],TrafficData[[#This Row],[disposedCourt]]&lt;=TrafficData[[#This Row],[totalCourt]])</f>
        <v>1</v>
      </c>
    </row>
    <row r="2013" spans="1:16">
      <c r="A2013" s="1">
        <v>44017</v>
      </c>
      <c r="B2013">
        <v>94156</v>
      </c>
      <c r="C2013">
        <v>38000</v>
      </c>
      <c r="D2013">
        <v>56156</v>
      </c>
      <c r="E2013">
        <v>67012830</v>
      </c>
      <c r="F2013">
        <v>48851396</v>
      </c>
      <c r="G2013">
        <v>115864226</v>
      </c>
      <c r="H2013">
        <v>17867</v>
      </c>
      <c r="I2013">
        <v>5837</v>
      </c>
      <c r="J2013">
        <v>23704</v>
      </c>
      <c r="K2013" t="b">
        <f>TrafficData[[#This Row],[disposedChallan]]+TrafficData[[#This Row],[pendingChallan]]=TrafficData[[#This Row],[totalChallan]]</f>
        <v>1</v>
      </c>
      <c r="L2013" t="b">
        <f>TrafficData[[#This Row],[pendingAmount]]+TrafficData[[#This Row],[disposedAmount]]=TrafficData[[#This Row],[totalAmount]]</f>
        <v>1</v>
      </c>
      <c r="M2013" t="b">
        <f>TrafficData[[#This Row],[pendingCourt]]+TrafficData[[#This Row],[disposedCourt]]=TrafficData[[#This Row],[totalCourt]]</f>
        <v>1</v>
      </c>
      <c r="N2013" s="8" t="b">
        <f>AND(TrafficData[[#This Row],[disposedChallan]]&lt;=TrafficData[[#This Row],[totalChallan]],TrafficData[[#This Row],[pendingChallan]]&lt;=TrafficData[[#This Row],[totalChallan]])</f>
        <v>1</v>
      </c>
      <c r="O2013" s="8" t="b">
        <f>AND(TrafficData[[#This Row],[pendingAmount]]&lt;=TrafficData[[#This Row],[totalAmount]],TrafficData[[#This Row],[disposedAmount]]&lt;=TrafficData[[#This Row],[totalAmount]])</f>
        <v>1</v>
      </c>
      <c r="P2013" s="8" t="b">
        <f>AND(TrafficData[[#This Row],[pendingCourt]]&lt;=TrafficData[[#This Row],[totalCourt]],TrafficData[[#This Row],[disposedCourt]]&lt;=TrafficData[[#This Row],[totalCourt]])</f>
        <v>1</v>
      </c>
    </row>
    <row r="2014" spans="1:16">
      <c r="A2014" s="1">
        <v>44018</v>
      </c>
      <c r="B2014">
        <v>116907</v>
      </c>
      <c r="C2014">
        <v>49759</v>
      </c>
      <c r="D2014">
        <v>67148</v>
      </c>
      <c r="E2014">
        <v>72946474</v>
      </c>
      <c r="F2014">
        <v>55281090</v>
      </c>
      <c r="G2014">
        <v>128227564</v>
      </c>
      <c r="H2014">
        <v>20063</v>
      </c>
      <c r="I2014">
        <v>5818</v>
      </c>
      <c r="J2014">
        <v>25881</v>
      </c>
      <c r="K2014" t="b">
        <f>TrafficData[[#This Row],[disposedChallan]]+TrafficData[[#This Row],[pendingChallan]]=TrafficData[[#This Row],[totalChallan]]</f>
        <v>1</v>
      </c>
      <c r="L2014" t="b">
        <f>TrafficData[[#This Row],[pendingAmount]]+TrafficData[[#This Row],[disposedAmount]]=TrafficData[[#This Row],[totalAmount]]</f>
        <v>1</v>
      </c>
      <c r="M2014" t="b">
        <f>TrafficData[[#This Row],[pendingCourt]]+TrafficData[[#This Row],[disposedCourt]]=TrafficData[[#This Row],[totalCourt]]</f>
        <v>1</v>
      </c>
      <c r="N2014" s="8" t="b">
        <f>AND(TrafficData[[#This Row],[disposedChallan]]&lt;=TrafficData[[#This Row],[totalChallan]],TrafficData[[#This Row],[pendingChallan]]&lt;=TrafficData[[#This Row],[totalChallan]])</f>
        <v>1</v>
      </c>
      <c r="O2014" s="8" t="b">
        <f>AND(TrafficData[[#This Row],[pendingAmount]]&lt;=TrafficData[[#This Row],[totalAmount]],TrafficData[[#This Row],[disposedAmount]]&lt;=TrafficData[[#This Row],[totalAmount]])</f>
        <v>1</v>
      </c>
      <c r="P2014" s="8" t="b">
        <f>AND(TrafficData[[#This Row],[pendingCourt]]&lt;=TrafficData[[#This Row],[totalCourt]],TrafficData[[#This Row],[disposedCourt]]&lt;=TrafficData[[#This Row],[totalCourt]])</f>
        <v>1</v>
      </c>
    </row>
    <row r="2015" spans="1:16">
      <c r="A2015" s="1">
        <v>44019</v>
      </c>
      <c r="B2015">
        <v>120381</v>
      </c>
      <c r="C2015">
        <v>50434</v>
      </c>
      <c r="D2015">
        <v>69947</v>
      </c>
      <c r="E2015">
        <v>73324671</v>
      </c>
      <c r="F2015">
        <v>59069732</v>
      </c>
      <c r="G2015">
        <v>132394403</v>
      </c>
      <c r="H2015">
        <v>20747</v>
      </c>
      <c r="I2015">
        <v>6653</v>
      </c>
      <c r="J2015">
        <v>27400</v>
      </c>
      <c r="K2015" t="b">
        <f>TrafficData[[#This Row],[disposedChallan]]+TrafficData[[#This Row],[pendingChallan]]=TrafficData[[#This Row],[totalChallan]]</f>
        <v>1</v>
      </c>
      <c r="L2015" t="b">
        <f>TrafficData[[#This Row],[pendingAmount]]+TrafficData[[#This Row],[disposedAmount]]=TrafficData[[#This Row],[totalAmount]]</f>
        <v>1</v>
      </c>
      <c r="M2015" t="b">
        <f>TrafficData[[#This Row],[pendingCourt]]+TrafficData[[#This Row],[disposedCourt]]=TrafficData[[#This Row],[totalCourt]]</f>
        <v>1</v>
      </c>
      <c r="N2015" s="8" t="b">
        <f>AND(TrafficData[[#This Row],[disposedChallan]]&lt;=TrafficData[[#This Row],[totalChallan]],TrafficData[[#This Row],[pendingChallan]]&lt;=TrafficData[[#This Row],[totalChallan]])</f>
        <v>1</v>
      </c>
      <c r="O2015" s="8" t="b">
        <f>AND(TrafficData[[#This Row],[pendingAmount]]&lt;=TrafficData[[#This Row],[totalAmount]],TrafficData[[#This Row],[disposedAmount]]&lt;=TrafficData[[#This Row],[totalAmount]])</f>
        <v>1</v>
      </c>
      <c r="P2015" s="8" t="b">
        <f>AND(TrafficData[[#This Row],[pendingCourt]]&lt;=TrafficData[[#This Row],[totalCourt]],TrafficData[[#This Row],[disposedCourt]]&lt;=TrafficData[[#This Row],[totalCourt]])</f>
        <v>1</v>
      </c>
    </row>
    <row r="2016" spans="1:16">
      <c r="A2016" s="1">
        <v>44020</v>
      </c>
      <c r="B2016">
        <v>129728</v>
      </c>
      <c r="C2016">
        <v>55344</v>
      </c>
      <c r="D2016">
        <v>74384</v>
      </c>
      <c r="E2016">
        <v>75930750</v>
      </c>
      <c r="F2016">
        <v>63153611</v>
      </c>
      <c r="G2016">
        <v>139084361</v>
      </c>
      <c r="H2016">
        <v>24972</v>
      </c>
      <c r="I2016">
        <v>8374</v>
      </c>
      <c r="J2016">
        <v>33346</v>
      </c>
      <c r="K2016" t="b">
        <f>TrafficData[[#This Row],[disposedChallan]]+TrafficData[[#This Row],[pendingChallan]]=TrafficData[[#This Row],[totalChallan]]</f>
        <v>1</v>
      </c>
      <c r="L2016" t="b">
        <f>TrafficData[[#This Row],[pendingAmount]]+TrafficData[[#This Row],[disposedAmount]]=TrafficData[[#This Row],[totalAmount]]</f>
        <v>1</v>
      </c>
      <c r="M2016" t="b">
        <f>TrafficData[[#This Row],[pendingCourt]]+TrafficData[[#This Row],[disposedCourt]]=TrafficData[[#This Row],[totalCourt]]</f>
        <v>1</v>
      </c>
      <c r="N2016" s="8" t="b">
        <f>AND(TrafficData[[#This Row],[disposedChallan]]&lt;=TrafficData[[#This Row],[totalChallan]],TrafficData[[#This Row],[pendingChallan]]&lt;=TrafficData[[#This Row],[totalChallan]])</f>
        <v>1</v>
      </c>
      <c r="O2016" s="8" t="b">
        <f>AND(TrafficData[[#This Row],[pendingAmount]]&lt;=TrafficData[[#This Row],[totalAmount]],TrafficData[[#This Row],[disposedAmount]]&lt;=TrafficData[[#This Row],[totalAmount]])</f>
        <v>1</v>
      </c>
      <c r="P2016" s="8" t="b">
        <f>AND(TrafficData[[#This Row],[pendingCourt]]&lt;=TrafficData[[#This Row],[totalCourt]],TrafficData[[#This Row],[disposedCourt]]&lt;=TrafficData[[#This Row],[totalCourt]])</f>
        <v>1</v>
      </c>
    </row>
    <row r="2017" spans="1:16">
      <c r="A2017" s="1">
        <v>44021</v>
      </c>
      <c r="B2017">
        <v>130870</v>
      </c>
      <c r="C2017">
        <v>55105</v>
      </c>
      <c r="D2017">
        <v>75765</v>
      </c>
      <c r="E2017">
        <v>75829235</v>
      </c>
      <c r="F2017">
        <v>58694609</v>
      </c>
      <c r="G2017">
        <v>134523844</v>
      </c>
      <c r="H2017">
        <v>23558</v>
      </c>
      <c r="I2017">
        <v>7790</v>
      </c>
      <c r="J2017">
        <v>31348</v>
      </c>
      <c r="K2017" t="b">
        <f>TrafficData[[#This Row],[disposedChallan]]+TrafficData[[#This Row],[pendingChallan]]=TrafficData[[#This Row],[totalChallan]]</f>
        <v>1</v>
      </c>
      <c r="L2017" t="b">
        <f>TrafficData[[#This Row],[pendingAmount]]+TrafficData[[#This Row],[disposedAmount]]=TrafficData[[#This Row],[totalAmount]]</f>
        <v>1</v>
      </c>
      <c r="M2017" t="b">
        <f>TrafficData[[#This Row],[pendingCourt]]+TrafficData[[#This Row],[disposedCourt]]=TrafficData[[#This Row],[totalCourt]]</f>
        <v>1</v>
      </c>
      <c r="N2017" s="8" t="b">
        <f>AND(TrafficData[[#This Row],[disposedChallan]]&lt;=TrafficData[[#This Row],[totalChallan]],TrafficData[[#This Row],[pendingChallan]]&lt;=TrafficData[[#This Row],[totalChallan]])</f>
        <v>1</v>
      </c>
      <c r="O2017" s="8" t="b">
        <f>AND(TrafficData[[#This Row],[pendingAmount]]&lt;=TrafficData[[#This Row],[totalAmount]],TrafficData[[#This Row],[disposedAmount]]&lt;=TrafficData[[#This Row],[totalAmount]])</f>
        <v>1</v>
      </c>
      <c r="P2017" s="8" t="b">
        <f>AND(TrafficData[[#This Row],[pendingCourt]]&lt;=TrafficData[[#This Row],[totalCourt]],TrafficData[[#This Row],[disposedCourt]]&lt;=TrafficData[[#This Row],[totalCourt]])</f>
        <v>1</v>
      </c>
    </row>
    <row r="2018" spans="1:16">
      <c r="A2018" s="1">
        <v>44022</v>
      </c>
      <c r="B2018">
        <v>127480</v>
      </c>
      <c r="C2018">
        <v>54530</v>
      </c>
      <c r="D2018">
        <v>72950</v>
      </c>
      <c r="E2018">
        <v>72963253</v>
      </c>
      <c r="F2018">
        <v>58048436</v>
      </c>
      <c r="G2018">
        <v>131011689</v>
      </c>
      <c r="H2018">
        <v>21926</v>
      </c>
      <c r="I2018">
        <v>7537</v>
      </c>
      <c r="J2018">
        <v>29463</v>
      </c>
      <c r="K2018" t="b">
        <f>TrafficData[[#This Row],[disposedChallan]]+TrafficData[[#This Row],[pendingChallan]]=TrafficData[[#This Row],[totalChallan]]</f>
        <v>1</v>
      </c>
      <c r="L2018" t="b">
        <f>TrafficData[[#This Row],[pendingAmount]]+TrafficData[[#This Row],[disposedAmount]]=TrafficData[[#This Row],[totalAmount]]</f>
        <v>1</v>
      </c>
      <c r="M2018" t="b">
        <f>TrafficData[[#This Row],[pendingCourt]]+TrafficData[[#This Row],[disposedCourt]]=TrafficData[[#This Row],[totalCourt]]</f>
        <v>1</v>
      </c>
      <c r="N2018" s="8" t="b">
        <f>AND(TrafficData[[#This Row],[disposedChallan]]&lt;=TrafficData[[#This Row],[totalChallan]],TrafficData[[#This Row],[pendingChallan]]&lt;=TrafficData[[#This Row],[totalChallan]])</f>
        <v>1</v>
      </c>
      <c r="O2018" s="8" t="b">
        <f>AND(TrafficData[[#This Row],[pendingAmount]]&lt;=TrafficData[[#This Row],[totalAmount]],TrafficData[[#This Row],[disposedAmount]]&lt;=TrafficData[[#This Row],[totalAmount]])</f>
        <v>1</v>
      </c>
      <c r="P2018" s="8" t="b">
        <f>AND(TrafficData[[#This Row],[pendingCourt]]&lt;=TrafficData[[#This Row],[totalCourt]],TrafficData[[#This Row],[disposedCourt]]&lt;=TrafficData[[#This Row],[totalCourt]])</f>
        <v>1</v>
      </c>
    </row>
    <row r="2019" spans="1:16">
      <c r="A2019" s="1">
        <v>44023</v>
      </c>
      <c r="B2019">
        <v>126246</v>
      </c>
      <c r="C2019">
        <v>54358</v>
      </c>
      <c r="D2019">
        <v>71888</v>
      </c>
      <c r="E2019">
        <v>73365980</v>
      </c>
      <c r="F2019">
        <v>54551703</v>
      </c>
      <c r="G2019">
        <v>127917683</v>
      </c>
      <c r="H2019">
        <v>24029</v>
      </c>
      <c r="I2019">
        <v>8363</v>
      </c>
      <c r="J2019">
        <v>32392</v>
      </c>
      <c r="K2019" t="b">
        <f>TrafficData[[#This Row],[disposedChallan]]+TrafficData[[#This Row],[pendingChallan]]=TrafficData[[#This Row],[totalChallan]]</f>
        <v>1</v>
      </c>
      <c r="L2019" t="b">
        <f>TrafficData[[#This Row],[pendingAmount]]+TrafficData[[#This Row],[disposedAmount]]=TrafficData[[#This Row],[totalAmount]]</f>
        <v>1</v>
      </c>
      <c r="M2019" t="b">
        <f>TrafficData[[#This Row],[pendingCourt]]+TrafficData[[#This Row],[disposedCourt]]=TrafficData[[#This Row],[totalCourt]]</f>
        <v>1</v>
      </c>
      <c r="N2019" s="8" t="b">
        <f>AND(TrafficData[[#This Row],[disposedChallan]]&lt;=TrafficData[[#This Row],[totalChallan]],TrafficData[[#This Row],[pendingChallan]]&lt;=TrafficData[[#This Row],[totalChallan]])</f>
        <v>1</v>
      </c>
      <c r="O2019" s="8" t="b">
        <f>AND(TrafficData[[#This Row],[pendingAmount]]&lt;=TrafficData[[#This Row],[totalAmount]],TrafficData[[#This Row],[disposedAmount]]&lt;=TrafficData[[#This Row],[totalAmount]])</f>
        <v>1</v>
      </c>
      <c r="P2019" s="8" t="b">
        <f>AND(TrafficData[[#This Row],[pendingCourt]]&lt;=TrafficData[[#This Row],[totalCourt]],TrafficData[[#This Row],[disposedCourt]]&lt;=TrafficData[[#This Row],[totalCourt]])</f>
        <v>1</v>
      </c>
    </row>
    <row r="2020" spans="1:16">
      <c r="A2020" s="1">
        <v>44024</v>
      </c>
      <c r="B2020">
        <v>99517</v>
      </c>
      <c r="C2020">
        <v>40646</v>
      </c>
      <c r="D2020">
        <v>58871</v>
      </c>
      <c r="E2020">
        <v>63266089</v>
      </c>
      <c r="F2020">
        <v>43691168</v>
      </c>
      <c r="G2020">
        <v>106957257</v>
      </c>
      <c r="H2020">
        <v>25011</v>
      </c>
      <c r="I2020">
        <v>8129</v>
      </c>
      <c r="J2020">
        <v>33140</v>
      </c>
      <c r="K2020" t="b">
        <f>TrafficData[[#This Row],[disposedChallan]]+TrafficData[[#This Row],[pendingChallan]]=TrafficData[[#This Row],[totalChallan]]</f>
        <v>1</v>
      </c>
      <c r="L2020" t="b">
        <f>TrafficData[[#This Row],[pendingAmount]]+TrafficData[[#This Row],[disposedAmount]]=TrafficData[[#This Row],[totalAmount]]</f>
        <v>1</v>
      </c>
      <c r="M2020" t="b">
        <f>TrafficData[[#This Row],[pendingCourt]]+TrafficData[[#This Row],[disposedCourt]]=TrafficData[[#This Row],[totalCourt]]</f>
        <v>1</v>
      </c>
      <c r="N2020" s="8" t="b">
        <f>AND(TrafficData[[#This Row],[disposedChallan]]&lt;=TrafficData[[#This Row],[totalChallan]],TrafficData[[#This Row],[pendingChallan]]&lt;=TrafficData[[#This Row],[totalChallan]])</f>
        <v>1</v>
      </c>
      <c r="O2020" s="8" t="b">
        <f>AND(TrafficData[[#This Row],[pendingAmount]]&lt;=TrafficData[[#This Row],[totalAmount]],TrafficData[[#This Row],[disposedAmount]]&lt;=TrafficData[[#This Row],[totalAmount]])</f>
        <v>1</v>
      </c>
      <c r="P2020" s="8" t="b">
        <f>AND(TrafficData[[#This Row],[pendingCourt]]&lt;=TrafficData[[#This Row],[totalCourt]],TrafficData[[#This Row],[disposedCourt]]&lt;=TrafficData[[#This Row],[totalCourt]])</f>
        <v>1</v>
      </c>
    </row>
    <row r="2021" spans="1:16">
      <c r="A2021" s="1">
        <v>44025</v>
      </c>
      <c r="B2021">
        <v>126242</v>
      </c>
      <c r="C2021">
        <v>55787</v>
      </c>
      <c r="D2021">
        <v>70455</v>
      </c>
      <c r="E2021">
        <v>65783932</v>
      </c>
      <c r="F2021">
        <v>51939321</v>
      </c>
      <c r="G2021">
        <v>117723253</v>
      </c>
      <c r="H2021">
        <v>38022</v>
      </c>
      <c r="I2021">
        <v>12795</v>
      </c>
      <c r="J2021">
        <v>50817</v>
      </c>
      <c r="K2021" t="b">
        <f>TrafficData[[#This Row],[disposedChallan]]+TrafficData[[#This Row],[pendingChallan]]=TrafficData[[#This Row],[totalChallan]]</f>
        <v>1</v>
      </c>
      <c r="L2021" t="b">
        <f>TrafficData[[#This Row],[pendingAmount]]+TrafficData[[#This Row],[disposedAmount]]=TrafficData[[#This Row],[totalAmount]]</f>
        <v>1</v>
      </c>
      <c r="M2021" t="b">
        <f>TrafficData[[#This Row],[pendingCourt]]+TrafficData[[#This Row],[disposedCourt]]=TrafficData[[#This Row],[totalCourt]]</f>
        <v>1</v>
      </c>
      <c r="N2021" s="8" t="b">
        <f>AND(TrafficData[[#This Row],[disposedChallan]]&lt;=TrafficData[[#This Row],[totalChallan]],TrafficData[[#This Row],[pendingChallan]]&lt;=TrafficData[[#This Row],[totalChallan]])</f>
        <v>1</v>
      </c>
      <c r="O2021" s="8" t="b">
        <f>AND(TrafficData[[#This Row],[pendingAmount]]&lt;=TrafficData[[#This Row],[totalAmount]],TrafficData[[#This Row],[disposedAmount]]&lt;=TrafficData[[#This Row],[totalAmount]])</f>
        <v>1</v>
      </c>
      <c r="P2021" s="8" t="b">
        <f>AND(TrafficData[[#This Row],[pendingCourt]]&lt;=TrafficData[[#This Row],[totalCourt]],TrafficData[[#This Row],[disposedCourt]]&lt;=TrafficData[[#This Row],[totalCourt]])</f>
        <v>1</v>
      </c>
    </row>
    <row r="2022" spans="1:16">
      <c r="A2022" s="1">
        <v>44026</v>
      </c>
      <c r="B2022">
        <v>125997</v>
      </c>
      <c r="C2022">
        <v>54835</v>
      </c>
      <c r="D2022">
        <v>71162</v>
      </c>
      <c r="E2022">
        <v>69128582</v>
      </c>
      <c r="F2022">
        <v>54500501</v>
      </c>
      <c r="G2022">
        <v>123629083</v>
      </c>
      <c r="H2022">
        <v>40468</v>
      </c>
      <c r="I2022">
        <v>7685</v>
      </c>
      <c r="J2022">
        <v>48153</v>
      </c>
      <c r="K2022" t="b">
        <f>TrafficData[[#This Row],[disposedChallan]]+TrafficData[[#This Row],[pendingChallan]]=TrafficData[[#This Row],[totalChallan]]</f>
        <v>1</v>
      </c>
      <c r="L2022" t="b">
        <f>TrafficData[[#This Row],[pendingAmount]]+TrafficData[[#This Row],[disposedAmount]]=TrafficData[[#This Row],[totalAmount]]</f>
        <v>1</v>
      </c>
      <c r="M2022" t="b">
        <f>TrafficData[[#This Row],[pendingCourt]]+TrafficData[[#This Row],[disposedCourt]]=TrafficData[[#This Row],[totalCourt]]</f>
        <v>1</v>
      </c>
      <c r="N2022" s="8" t="b">
        <f>AND(TrafficData[[#This Row],[disposedChallan]]&lt;=TrafficData[[#This Row],[totalChallan]],TrafficData[[#This Row],[pendingChallan]]&lt;=TrafficData[[#This Row],[totalChallan]])</f>
        <v>1</v>
      </c>
      <c r="O2022" s="8" t="b">
        <f>AND(TrafficData[[#This Row],[pendingAmount]]&lt;=TrafficData[[#This Row],[totalAmount]],TrafficData[[#This Row],[disposedAmount]]&lt;=TrafficData[[#This Row],[totalAmount]])</f>
        <v>1</v>
      </c>
      <c r="P2022" s="8" t="b">
        <f>AND(TrafficData[[#This Row],[pendingCourt]]&lt;=TrafficData[[#This Row],[totalCourt]],TrafficData[[#This Row],[disposedCourt]]&lt;=TrafficData[[#This Row],[totalCourt]])</f>
        <v>1</v>
      </c>
    </row>
    <row r="2023" spans="1:16">
      <c r="A2023" s="1">
        <v>44027</v>
      </c>
      <c r="B2023">
        <v>123162</v>
      </c>
      <c r="C2023">
        <v>54252</v>
      </c>
      <c r="D2023">
        <v>68910</v>
      </c>
      <c r="E2023">
        <v>67918185</v>
      </c>
      <c r="F2023">
        <v>59239268</v>
      </c>
      <c r="G2023">
        <v>127157453</v>
      </c>
      <c r="H2023">
        <v>40122</v>
      </c>
      <c r="I2023">
        <v>8066</v>
      </c>
      <c r="J2023">
        <v>48188</v>
      </c>
      <c r="K2023" t="b">
        <f>TrafficData[[#This Row],[disposedChallan]]+TrafficData[[#This Row],[pendingChallan]]=TrafficData[[#This Row],[totalChallan]]</f>
        <v>1</v>
      </c>
      <c r="L2023" t="b">
        <f>TrafficData[[#This Row],[pendingAmount]]+TrafficData[[#This Row],[disposedAmount]]=TrafficData[[#This Row],[totalAmount]]</f>
        <v>1</v>
      </c>
      <c r="M2023" t="b">
        <f>TrafficData[[#This Row],[pendingCourt]]+TrafficData[[#This Row],[disposedCourt]]=TrafficData[[#This Row],[totalCourt]]</f>
        <v>1</v>
      </c>
      <c r="N2023" s="8" t="b">
        <f>AND(TrafficData[[#This Row],[disposedChallan]]&lt;=TrafficData[[#This Row],[totalChallan]],TrafficData[[#This Row],[pendingChallan]]&lt;=TrafficData[[#This Row],[totalChallan]])</f>
        <v>1</v>
      </c>
      <c r="O2023" s="8" t="b">
        <f>AND(TrafficData[[#This Row],[pendingAmount]]&lt;=TrafficData[[#This Row],[totalAmount]],TrafficData[[#This Row],[disposedAmount]]&lt;=TrafficData[[#This Row],[totalAmount]])</f>
        <v>1</v>
      </c>
      <c r="P2023" s="8" t="b">
        <f>AND(TrafficData[[#This Row],[pendingCourt]]&lt;=TrafficData[[#This Row],[totalCourt]],TrafficData[[#This Row],[disposedCourt]]&lt;=TrafficData[[#This Row],[totalCourt]])</f>
        <v>1</v>
      </c>
    </row>
    <row r="2024" spans="1:16">
      <c r="A2024" s="1">
        <v>44028</v>
      </c>
      <c r="B2024">
        <v>126868</v>
      </c>
      <c r="C2024">
        <v>56006</v>
      </c>
      <c r="D2024">
        <v>70862</v>
      </c>
      <c r="E2024">
        <v>68921972</v>
      </c>
      <c r="F2024">
        <v>59897141</v>
      </c>
      <c r="G2024">
        <v>128819113</v>
      </c>
      <c r="H2024">
        <v>40457</v>
      </c>
      <c r="I2024">
        <v>7757</v>
      </c>
      <c r="J2024">
        <v>48214</v>
      </c>
      <c r="K2024" t="b">
        <f>TrafficData[[#This Row],[disposedChallan]]+TrafficData[[#This Row],[pendingChallan]]=TrafficData[[#This Row],[totalChallan]]</f>
        <v>1</v>
      </c>
      <c r="L2024" t="b">
        <f>TrafficData[[#This Row],[pendingAmount]]+TrafficData[[#This Row],[disposedAmount]]=TrafficData[[#This Row],[totalAmount]]</f>
        <v>1</v>
      </c>
      <c r="M2024" t="b">
        <f>TrafficData[[#This Row],[pendingCourt]]+TrafficData[[#This Row],[disposedCourt]]=TrafficData[[#This Row],[totalCourt]]</f>
        <v>1</v>
      </c>
      <c r="N2024" s="8" t="b">
        <f>AND(TrafficData[[#This Row],[disposedChallan]]&lt;=TrafficData[[#This Row],[totalChallan]],TrafficData[[#This Row],[pendingChallan]]&lt;=TrafficData[[#This Row],[totalChallan]])</f>
        <v>1</v>
      </c>
      <c r="O2024" s="8" t="b">
        <f>AND(TrafficData[[#This Row],[pendingAmount]]&lt;=TrafficData[[#This Row],[totalAmount]],TrafficData[[#This Row],[disposedAmount]]&lt;=TrafficData[[#This Row],[totalAmount]])</f>
        <v>1</v>
      </c>
      <c r="P2024" s="8" t="b">
        <f>AND(TrafficData[[#This Row],[pendingCourt]]&lt;=TrafficData[[#This Row],[totalCourt]],TrafficData[[#This Row],[disposedCourt]]&lt;=TrafficData[[#This Row],[totalCourt]])</f>
        <v>1</v>
      </c>
    </row>
    <row r="2025" spans="1:16">
      <c r="A2025" s="1">
        <v>44029</v>
      </c>
      <c r="B2025">
        <v>125137</v>
      </c>
      <c r="C2025">
        <v>56369</v>
      </c>
      <c r="D2025">
        <v>68768</v>
      </c>
      <c r="E2025">
        <v>67207054</v>
      </c>
      <c r="F2025">
        <v>60956777</v>
      </c>
      <c r="G2025">
        <v>128163831</v>
      </c>
      <c r="H2025">
        <v>38539</v>
      </c>
      <c r="I2025">
        <v>12393</v>
      </c>
      <c r="J2025">
        <v>50932</v>
      </c>
      <c r="K2025" t="b">
        <f>TrafficData[[#This Row],[disposedChallan]]+TrafficData[[#This Row],[pendingChallan]]=TrafficData[[#This Row],[totalChallan]]</f>
        <v>1</v>
      </c>
      <c r="L2025" t="b">
        <f>TrafficData[[#This Row],[pendingAmount]]+TrafficData[[#This Row],[disposedAmount]]=TrafficData[[#This Row],[totalAmount]]</f>
        <v>1</v>
      </c>
      <c r="M2025" t="b">
        <f>TrafficData[[#This Row],[pendingCourt]]+TrafficData[[#This Row],[disposedCourt]]=TrafficData[[#This Row],[totalCourt]]</f>
        <v>1</v>
      </c>
      <c r="N2025" s="8" t="b">
        <f>AND(TrafficData[[#This Row],[disposedChallan]]&lt;=TrafficData[[#This Row],[totalChallan]],TrafficData[[#This Row],[pendingChallan]]&lt;=TrafficData[[#This Row],[totalChallan]])</f>
        <v>1</v>
      </c>
      <c r="O2025" s="8" t="b">
        <f>AND(TrafficData[[#This Row],[pendingAmount]]&lt;=TrafficData[[#This Row],[totalAmount]],TrafficData[[#This Row],[disposedAmount]]&lt;=TrafficData[[#This Row],[totalAmount]])</f>
        <v>1</v>
      </c>
      <c r="P2025" s="8" t="b">
        <f>AND(TrafficData[[#This Row],[pendingCourt]]&lt;=TrafficData[[#This Row],[totalCourt]],TrafficData[[#This Row],[disposedCourt]]&lt;=TrafficData[[#This Row],[totalCourt]])</f>
        <v>1</v>
      </c>
    </row>
    <row r="2026" spans="1:16">
      <c r="A2026" s="1">
        <v>44030</v>
      </c>
      <c r="B2026">
        <v>129717</v>
      </c>
      <c r="C2026">
        <v>59116</v>
      </c>
      <c r="D2026">
        <v>70601</v>
      </c>
      <c r="E2026">
        <v>70351190</v>
      </c>
      <c r="F2026">
        <v>60178465</v>
      </c>
      <c r="G2026">
        <v>130529655</v>
      </c>
      <c r="H2026">
        <v>39830</v>
      </c>
      <c r="I2026">
        <v>9130</v>
      </c>
      <c r="J2026">
        <v>48960</v>
      </c>
      <c r="K2026" t="b">
        <f>TrafficData[[#This Row],[disposedChallan]]+TrafficData[[#This Row],[pendingChallan]]=TrafficData[[#This Row],[totalChallan]]</f>
        <v>1</v>
      </c>
      <c r="L2026" t="b">
        <f>TrafficData[[#This Row],[pendingAmount]]+TrafficData[[#This Row],[disposedAmount]]=TrafficData[[#This Row],[totalAmount]]</f>
        <v>1</v>
      </c>
      <c r="M2026" t="b">
        <f>TrafficData[[#This Row],[pendingCourt]]+TrafficData[[#This Row],[disposedCourt]]=TrafficData[[#This Row],[totalCourt]]</f>
        <v>1</v>
      </c>
      <c r="N2026" s="8" t="b">
        <f>AND(TrafficData[[#This Row],[disposedChallan]]&lt;=TrafficData[[#This Row],[totalChallan]],TrafficData[[#This Row],[pendingChallan]]&lt;=TrafficData[[#This Row],[totalChallan]])</f>
        <v>1</v>
      </c>
      <c r="O2026" s="8" t="b">
        <f>AND(TrafficData[[#This Row],[pendingAmount]]&lt;=TrafficData[[#This Row],[totalAmount]],TrafficData[[#This Row],[disposedAmount]]&lt;=TrafficData[[#This Row],[totalAmount]])</f>
        <v>1</v>
      </c>
      <c r="P2026" s="8" t="b">
        <f>AND(TrafficData[[#This Row],[pendingCourt]]&lt;=TrafficData[[#This Row],[totalCourt]],TrafficData[[#This Row],[disposedCourt]]&lt;=TrafficData[[#This Row],[totalCourt]])</f>
        <v>1</v>
      </c>
    </row>
    <row r="2027" spans="1:16">
      <c r="A2027" s="1">
        <v>44031</v>
      </c>
      <c r="B2027">
        <v>89412</v>
      </c>
      <c r="C2027">
        <v>39769</v>
      </c>
      <c r="D2027">
        <v>49643</v>
      </c>
      <c r="E2027">
        <v>49159800</v>
      </c>
      <c r="F2027">
        <v>39741894</v>
      </c>
      <c r="G2027">
        <v>88901694</v>
      </c>
      <c r="H2027">
        <v>32356</v>
      </c>
      <c r="I2027">
        <v>6975</v>
      </c>
      <c r="J2027">
        <v>39331</v>
      </c>
      <c r="K2027" t="b">
        <f>TrafficData[[#This Row],[disposedChallan]]+TrafficData[[#This Row],[pendingChallan]]=TrafficData[[#This Row],[totalChallan]]</f>
        <v>1</v>
      </c>
      <c r="L2027" t="b">
        <f>TrafficData[[#This Row],[pendingAmount]]+TrafficData[[#This Row],[disposedAmount]]=TrafficData[[#This Row],[totalAmount]]</f>
        <v>1</v>
      </c>
      <c r="M2027" t="b">
        <f>TrafficData[[#This Row],[pendingCourt]]+TrafficData[[#This Row],[disposedCourt]]=TrafficData[[#This Row],[totalCourt]]</f>
        <v>1</v>
      </c>
      <c r="N2027" s="8" t="b">
        <f>AND(TrafficData[[#This Row],[disposedChallan]]&lt;=TrafficData[[#This Row],[totalChallan]],TrafficData[[#This Row],[pendingChallan]]&lt;=TrafficData[[#This Row],[totalChallan]])</f>
        <v>1</v>
      </c>
      <c r="O2027" s="8" t="b">
        <f>AND(TrafficData[[#This Row],[pendingAmount]]&lt;=TrafficData[[#This Row],[totalAmount]],TrafficData[[#This Row],[disposedAmount]]&lt;=TrafficData[[#This Row],[totalAmount]])</f>
        <v>1</v>
      </c>
      <c r="P2027" s="8" t="b">
        <f>AND(TrafficData[[#This Row],[pendingCourt]]&lt;=TrafficData[[#This Row],[totalCourt]],TrafficData[[#This Row],[disposedCourt]]&lt;=TrafficData[[#This Row],[totalCourt]])</f>
        <v>1</v>
      </c>
    </row>
    <row r="2028" spans="1:16">
      <c r="A2028" s="1">
        <v>44032</v>
      </c>
      <c r="B2028">
        <v>128530</v>
      </c>
      <c r="C2028">
        <v>58802</v>
      </c>
      <c r="D2028">
        <v>69728</v>
      </c>
      <c r="E2028">
        <v>67134103</v>
      </c>
      <c r="F2028">
        <v>54825438</v>
      </c>
      <c r="G2028">
        <v>121959541</v>
      </c>
      <c r="H2028">
        <v>41237</v>
      </c>
      <c r="I2028">
        <v>9381</v>
      </c>
      <c r="J2028">
        <v>50618</v>
      </c>
      <c r="K2028" t="b">
        <f>TrafficData[[#This Row],[disposedChallan]]+TrafficData[[#This Row],[pendingChallan]]=TrafficData[[#This Row],[totalChallan]]</f>
        <v>1</v>
      </c>
      <c r="L2028" t="b">
        <f>TrafficData[[#This Row],[pendingAmount]]+TrafficData[[#This Row],[disposedAmount]]=TrafficData[[#This Row],[totalAmount]]</f>
        <v>1</v>
      </c>
      <c r="M2028" t="b">
        <f>TrafficData[[#This Row],[pendingCourt]]+TrafficData[[#This Row],[disposedCourt]]=TrafficData[[#This Row],[totalCourt]]</f>
        <v>1</v>
      </c>
      <c r="N2028" s="8" t="b">
        <f>AND(TrafficData[[#This Row],[disposedChallan]]&lt;=TrafficData[[#This Row],[totalChallan]],TrafficData[[#This Row],[pendingChallan]]&lt;=TrafficData[[#This Row],[totalChallan]])</f>
        <v>1</v>
      </c>
      <c r="O2028" s="8" t="b">
        <f>AND(TrafficData[[#This Row],[pendingAmount]]&lt;=TrafficData[[#This Row],[totalAmount]],TrafficData[[#This Row],[disposedAmount]]&lt;=TrafficData[[#This Row],[totalAmount]])</f>
        <v>1</v>
      </c>
      <c r="P2028" s="8" t="b">
        <f>AND(TrafficData[[#This Row],[pendingCourt]]&lt;=TrafficData[[#This Row],[totalCourt]],TrafficData[[#This Row],[disposedCourt]]&lt;=TrafficData[[#This Row],[totalCourt]])</f>
        <v>1</v>
      </c>
    </row>
    <row r="2029" spans="1:16">
      <c r="A2029" s="1">
        <v>44033</v>
      </c>
      <c r="B2029">
        <v>120055</v>
      </c>
      <c r="C2029">
        <v>55488</v>
      </c>
      <c r="D2029">
        <v>64567</v>
      </c>
      <c r="E2029">
        <v>60123974</v>
      </c>
      <c r="F2029">
        <v>57618216</v>
      </c>
      <c r="G2029">
        <v>117742190</v>
      </c>
      <c r="H2029">
        <v>35266</v>
      </c>
      <c r="I2029">
        <v>11527</v>
      </c>
      <c r="J2029">
        <v>46793</v>
      </c>
      <c r="K2029" t="b">
        <f>TrafficData[[#This Row],[disposedChallan]]+TrafficData[[#This Row],[pendingChallan]]=TrafficData[[#This Row],[totalChallan]]</f>
        <v>1</v>
      </c>
      <c r="L2029" t="b">
        <f>TrafficData[[#This Row],[pendingAmount]]+TrafficData[[#This Row],[disposedAmount]]=TrafficData[[#This Row],[totalAmount]]</f>
        <v>1</v>
      </c>
      <c r="M2029" t="b">
        <f>TrafficData[[#This Row],[pendingCourt]]+TrafficData[[#This Row],[disposedCourt]]=TrafficData[[#This Row],[totalCourt]]</f>
        <v>1</v>
      </c>
      <c r="N2029" s="8" t="b">
        <f>AND(TrafficData[[#This Row],[disposedChallan]]&lt;=TrafficData[[#This Row],[totalChallan]],TrafficData[[#This Row],[pendingChallan]]&lt;=TrafficData[[#This Row],[totalChallan]])</f>
        <v>1</v>
      </c>
      <c r="O2029" s="8" t="b">
        <f>AND(TrafficData[[#This Row],[pendingAmount]]&lt;=TrafficData[[#This Row],[totalAmount]],TrafficData[[#This Row],[disposedAmount]]&lt;=TrafficData[[#This Row],[totalAmount]])</f>
        <v>1</v>
      </c>
      <c r="P2029" s="8" t="b">
        <f>AND(TrafficData[[#This Row],[pendingCourt]]&lt;=TrafficData[[#This Row],[totalCourt]],TrafficData[[#This Row],[disposedCourt]]&lt;=TrafficData[[#This Row],[totalCourt]])</f>
        <v>1</v>
      </c>
    </row>
    <row r="2030" spans="1:16">
      <c r="A2030" s="1">
        <v>44034</v>
      </c>
      <c r="B2030">
        <v>123611</v>
      </c>
      <c r="C2030">
        <v>56635</v>
      </c>
      <c r="D2030">
        <v>66976</v>
      </c>
      <c r="E2030">
        <v>62102243</v>
      </c>
      <c r="F2030">
        <v>56490714</v>
      </c>
      <c r="G2030">
        <v>118592957</v>
      </c>
      <c r="H2030">
        <v>37126</v>
      </c>
      <c r="I2030">
        <v>8109</v>
      </c>
      <c r="J2030">
        <v>45235</v>
      </c>
      <c r="K2030" t="b">
        <f>TrafficData[[#This Row],[disposedChallan]]+TrafficData[[#This Row],[pendingChallan]]=TrafficData[[#This Row],[totalChallan]]</f>
        <v>1</v>
      </c>
      <c r="L2030" t="b">
        <f>TrafficData[[#This Row],[pendingAmount]]+TrafficData[[#This Row],[disposedAmount]]=TrafficData[[#This Row],[totalAmount]]</f>
        <v>1</v>
      </c>
      <c r="M2030" t="b">
        <f>TrafficData[[#This Row],[pendingCourt]]+TrafficData[[#This Row],[disposedCourt]]=TrafficData[[#This Row],[totalCourt]]</f>
        <v>1</v>
      </c>
      <c r="N2030" s="8" t="b">
        <f>AND(TrafficData[[#This Row],[disposedChallan]]&lt;=TrafficData[[#This Row],[totalChallan]],TrafficData[[#This Row],[pendingChallan]]&lt;=TrafficData[[#This Row],[totalChallan]])</f>
        <v>1</v>
      </c>
      <c r="O2030" s="8" t="b">
        <f>AND(TrafficData[[#This Row],[pendingAmount]]&lt;=TrafficData[[#This Row],[totalAmount]],TrafficData[[#This Row],[disposedAmount]]&lt;=TrafficData[[#This Row],[totalAmount]])</f>
        <v>1</v>
      </c>
      <c r="P2030" s="8" t="b">
        <f>AND(TrafficData[[#This Row],[pendingCourt]]&lt;=TrafficData[[#This Row],[totalCourt]],TrafficData[[#This Row],[disposedCourt]]&lt;=TrafficData[[#This Row],[totalCourt]])</f>
        <v>1</v>
      </c>
    </row>
    <row r="2031" spans="1:16">
      <c r="A2031" s="1">
        <v>44035</v>
      </c>
      <c r="B2031">
        <v>124499</v>
      </c>
      <c r="C2031">
        <v>56717</v>
      </c>
      <c r="D2031">
        <v>67782</v>
      </c>
      <c r="E2031">
        <v>65577280</v>
      </c>
      <c r="F2031">
        <v>60786864</v>
      </c>
      <c r="G2031">
        <v>126364144</v>
      </c>
      <c r="H2031">
        <v>37728</v>
      </c>
      <c r="I2031">
        <v>7720</v>
      </c>
      <c r="J2031">
        <v>45448</v>
      </c>
      <c r="K2031" t="b">
        <f>TrafficData[[#This Row],[disposedChallan]]+TrafficData[[#This Row],[pendingChallan]]=TrafficData[[#This Row],[totalChallan]]</f>
        <v>1</v>
      </c>
      <c r="L2031" t="b">
        <f>TrafficData[[#This Row],[pendingAmount]]+TrafficData[[#This Row],[disposedAmount]]=TrafficData[[#This Row],[totalAmount]]</f>
        <v>1</v>
      </c>
      <c r="M2031" t="b">
        <f>TrafficData[[#This Row],[pendingCourt]]+TrafficData[[#This Row],[disposedCourt]]=TrafficData[[#This Row],[totalCourt]]</f>
        <v>1</v>
      </c>
      <c r="N2031" s="8" t="b">
        <f>AND(TrafficData[[#This Row],[disposedChallan]]&lt;=TrafficData[[#This Row],[totalChallan]],TrafficData[[#This Row],[pendingChallan]]&lt;=TrafficData[[#This Row],[totalChallan]])</f>
        <v>1</v>
      </c>
      <c r="O2031" s="8" t="b">
        <f>AND(TrafficData[[#This Row],[pendingAmount]]&lt;=TrafficData[[#This Row],[totalAmount]],TrafficData[[#This Row],[disposedAmount]]&lt;=TrafficData[[#This Row],[totalAmount]])</f>
        <v>1</v>
      </c>
      <c r="P2031" s="8" t="b">
        <f>AND(TrafficData[[#This Row],[pendingCourt]]&lt;=TrafficData[[#This Row],[totalCourt]],TrafficData[[#This Row],[disposedCourt]]&lt;=TrafficData[[#This Row],[totalCourt]])</f>
        <v>1</v>
      </c>
    </row>
    <row r="2032" spans="1:16">
      <c r="A2032" s="1">
        <v>44036</v>
      </c>
      <c r="B2032">
        <v>121482</v>
      </c>
      <c r="C2032">
        <v>55354</v>
      </c>
      <c r="D2032">
        <v>66128</v>
      </c>
      <c r="E2032">
        <v>67028060</v>
      </c>
      <c r="F2032">
        <v>58027928</v>
      </c>
      <c r="G2032">
        <v>125055988</v>
      </c>
      <c r="H2032">
        <v>37195</v>
      </c>
      <c r="I2032">
        <v>7381</v>
      </c>
      <c r="J2032">
        <v>44576</v>
      </c>
      <c r="K2032" t="b">
        <f>TrafficData[[#This Row],[disposedChallan]]+TrafficData[[#This Row],[pendingChallan]]=TrafficData[[#This Row],[totalChallan]]</f>
        <v>1</v>
      </c>
      <c r="L2032" t="b">
        <f>TrafficData[[#This Row],[pendingAmount]]+TrafficData[[#This Row],[disposedAmount]]=TrafficData[[#This Row],[totalAmount]]</f>
        <v>1</v>
      </c>
      <c r="M2032" t="b">
        <f>TrafficData[[#This Row],[pendingCourt]]+TrafficData[[#This Row],[disposedCourt]]=TrafficData[[#This Row],[totalCourt]]</f>
        <v>1</v>
      </c>
      <c r="N2032" s="8" t="b">
        <f>AND(TrafficData[[#This Row],[disposedChallan]]&lt;=TrafficData[[#This Row],[totalChallan]],TrafficData[[#This Row],[pendingChallan]]&lt;=TrafficData[[#This Row],[totalChallan]])</f>
        <v>1</v>
      </c>
      <c r="O2032" s="8" t="b">
        <f>AND(TrafficData[[#This Row],[pendingAmount]]&lt;=TrafficData[[#This Row],[totalAmount]],TrafficData[[#This Row],[disposedAmount]]&lt;=TrafficData[[#This Row],[totalAmount]])</f>
        <v>1</v>
      </c>
      <c r="P2032" s="8" t="b">
        <f>AND(TrafficData[[#This Row],[pendingCourt]]&lt;=TrafficData[[#This Row],[totalCourt]],TrafficData[[#This Row],[disposedCourt]]&lt;=TrafficData[[#This Row],[totalCourt]])</f>
        <v>1</v>
      </c>
    </row>
    <row r="2033" spans="1:16">
      <c r="A2033" s="1">
        <v>44037</v>
      </c>
      <c r="B2033">
        <v>116514</v>
      </c>
      <c r="C2033">
        <v>53290</v>
      </c>
      <c r="D2033">
        <v>63224</v>
      </c>
      <c r="E2033">
        <v>68960396</v>
      </c>
      <c r="F2033">
        <v>53484329</v>
      </c>
      <c r="G2033">
        <v>122444725</v>
      </c>
      <c r="H2033">
        <v>35273</v>
      </c>
      <c r="I2033">
        <v>11587</v>
      </c>
      <c r="J2033">
        <v>46860</v>
      </c>
      <c r="K2033" t="b">
        <f>TrafficData[[#This Row],[disposedChallan]]+TrafficData[[#This Row],[pendingChallan]]=TrafficData[[#This Row],[totalChallan]]</f>
        <v>1</v>
      </c>
      <c r="L2033" t="b">
        <f>TrafficData[[#This Row],[pendingAmount]]+TrafficData[[#This Row],[disposedAmount]]=TrafficData[[#This Row],[totalAmount]]</f>
        <v>1</v>
      </c>
      <c r="M2033" t="b">
        <f>TrafficData[[#This Row],[pendingCourt]]+TrafficData[[#This Row],[disposedCourt]]=TrafficData[[#This Row],[totalCourt]]</f>
        <v>1</v>
      </c>
      <c r="N2033" s="8" t="b">
        <f>AND(TrafficData[[#This Row],[disposedChallan]]&lt;=TrafficData[[#This Row],[totalChallan]],TrafficData[[#This Row],[pendingChallan]]&lt;=TrafficData[[#This Row],[totalChallan]])</f>
        <v>1</v>
      </c>
      <c r="O2033" s="8" t="b">
        <f>AND(TrafficData[[#This Row],[pendingAmount]]&lt;=TrafficData[[#This Row],[totalAmount]],TrafficData[[#This Row],[disposedAmount]]&lt;=TrafficData[[#This Row],[totalAmount]])</f>
        <v>1</v>
      </c>
      <c r="P2033" s="8" t="b">
        <f>AND(TrafficData[[#This Row],[pendingCourt]]&lt;=TrafficData[[#This Row],[totalCourt]],TrafficData[[#This Row],[disposedCourt]]&lt;=TrafficData[[#This Row],[totalCourt]])</f>
        <v>1</v>
      </c>
    </row>
    <row r="2034" spans="1:16">
      <c r="A2034" s="1">
        <v>44038</v>
      </c>
      <c r="B2034">
        <v>96362</v>
      </c>
      <c r="C2034">
        <v>40812</v>
      </c>
      <c r="D2034">
        <v>55550</v>
      </c>
      <c r="E2034">
        <v>64694460</v>
      </c>
      <c r="F2034">
        <v>48238582</v>
      </c>
      <c r="G2034">
        <v>112933042</v>
      </c>
      <c r="H2034">
        <v>15146</v>
      </c>
      <c r="I2034">
        <v>5440</v>
      </c>
      <c r="J2034">
        <v>20586</v>
      </c>
      <c r="K2034" t="b">
        <f>TrafficData[[#This Row],[disposedChallan]]+TrafficData[[#This Row],[pendingChallan]]=TrafficData[[#This Row],[totalChallan]]</f>
        <v>1</v>
      </c>
      <c r="L2034" t="b">
        <f>TrafficData[[#This Row],[pendingAmount]]+TrafficData[[#This Row],[disposedAmount]]=TrafficData[[#This Row],[totalAmount]]</f>
        <v>1</v>
      </c>
      <c r="M2034" t="b">
        <f>TrafficData[[#This Row],[pendingCourt]]+TrafficData[[#This Row],[disposedCourt]]=TrafficData[[#This Row],[totalCourt]]</f>
        <v>1</v>
      </c>
      <c r="N2034" s="8" t="b">
        <f>AND(TrafficData[[#This Row],[disposedChallan]]&lt;=TrafficData[[#This Row],[totalChallan]],TrafficData[[#This Row],[pendingChallan]]&lt;=TrafficData[[#This Row],[totalChallan]])</f>
        <v>1</v>
      </c>
      <c r="O2034" s="8" t="b">
        <f>AND(TrafficData[[#This Row],[pendingAmount]]&lt;=TrafficData[[#This Row],[totalAmount]],TrafficData[[#This Row],[disposedAmount]]&lt;=TrafficData[[#This Row],[totalAmount]])</f>
        <v>1</v>
      </c>
      <c r="P2034" s="8" t="b">
        <f>AND(TrafficData[[#This Row],[pendingCourt]]&lt;=TrafficData[[#This Row],[totalCourt]],TrafficData[[#This Row],[disposedCourt]]&lt;=TrafficData[[#This Row],[totalCourt]])</f>
        <v>1</v>
      </c>
    </row>
    <row r="2035" spans="1:16">
      <c r="A2035" s="1">
        <v>44039</v>
      </c>
      <c r="B2035">
        <v>122770</v>
      </c>
      <c r="C2035">
        <v>56741</v>
      </c>
      <c r="D2035">
        <v>66029</v>
      </c>
      <c r="E2035">
        <v>69019790</v>
      </c>
      <c r="F2035">
        <v>54405572</v>
      </c>
      <c r="G2035">
        <v>123425362</v>
      </c>
      <c r="H2035">
        <v>35208</v>
      </c>
      <c r="I2035">
        <v>7891</v>
      </c>
      <c r="J2035">
        <v>43099</v>
      </c>
      <c r="K2035" t="b">
        <f>TrafficData[[#This Row],[disposedChallan]]+TrafficData[[#This Row],[pendingChallan]]=TrafficData[[#This Row],[totalChallan]]</f>
        <v>1</v>
      </c>
      <c r="L2035" t="b">
        <f>TrafficData[[#This Row],[pendingAmount]]+TrafficData[[#This Row],[disposedAmount]]=TrafficData[[#This Row],[totalAmount]]</f>
        <v>1</v>
      </c>
      <c r="M2035" t="b">
        <f>TrafficData[[#This Row],[pendingCourt]]+TrafficData[[#This Row],[disposedCourt]]=TrafficData[[#This Row],[totalCourt]]</f>
        <v>1</v>
      </c>
      <c r="N2035" s="8" t="b">
        <f>AND(TrafficData[[#This Row],[disposedChallan]]&lt;=TrafficData[[#This Row],[totalChallan]],TrafficData[[#This Row],[pendingChallan]]&lt;=TrafficData[[#This Row],[totalChallan]])</f>
        <v>1</v>
      </c>
      <c r="O2035" s="8" t="b">
        <f>AND(TrafficData[[#This Row],[pendingAmount]]&lt;=TrafficData[[#This Row],[totalAmount]],TrafficData[[#This Row],[disposedAmount]]&lt;=TrafficData[[#This Row],[totalAmount]])</f>
        <v>1</v>
      </c>
      <c r="P2035" s="8" t="b">
        <f>AND(TrafficData[[#This Row],[pendingCourt]]&lt;=TrafficData[[#This Row],[totalCourt]],TrafficData[[#This Row],[disposedCourt]]&lt;=TrafficData[[#This Row],[totalCourt]])</f>
        <v>1</v>
      </c>
    </row>
    <row r="2036" spans="1:16">
      <c r="A2036" s="1">
        <v>44040</v>
      </c>
      <c r="B2036">
        <v>124510</v>
      </c>
      <c r="C2036">
        <v>57435</v>
      </c>
      <c r="D2036">
        <v>67075</v>
      </c>
      <c r="E2036">
        <v>75608793</v>
      </c>
      <c r="F2036">
        <v>58201487</v>
      </c>
      <c r="G2036">
        <v>133810280</v>
      </c>
      <c r="H2036">
        <v>19076</v>
      </c>
      <c r="I2036">
        <v>8107</v>
      </c>
      <c r="J2036">
        <v>27183</v>
      </c>
      <c r="K2036" t="b">
        <f>TrafficData[[#This Row],[disposedChallan]]+TrafficData[[#This Row],[pendingChallan]]=TrafficData[[#This Row],[totalChallan]]</f>
        <v>1</v>
      </c>
      <c r="L2036" t="b">
        <f>TrafficData[[#This Row],[pendingAmount]]+TrafficData[[#This Row],[disposedAmount]]=TrafficData[[#This Row],[totalAmount]]</f>
        <v>1</v>
      </c>
      <c r="M2036" t="b">
        <f>TrafficData[[#This Row],[pendingCourt]]+TrafficData[[#This Row],[disposedCourt]]=TrafficData[[#This Row],[totalCourt]]</f>
        <v>1</v>
      </c>
      <c r="N2036" s="8" t="b">
        <f>AND(TrafficData[[#This Row],[disposedChallan]]&lt;=TrafficData[[#This Row],[totalChallan]],TrafficData[[#This Row],[pendingChallan]]&lt;=TrafficData[[#This Row],[totalChallan]])</f>
        <v>1</v>
      </c>
      <c r="O2036" s="8" t="b">
        <f>AND(TrafficData[[#This Row],[pendingAmount]]&lt;=TrafficData[[#This Row],[totalAmount]],TrafficData[[#This Row],[disposedAmount]]&lt;=TrafficData[[#This Row],[totalAmount]])</f>
        <v>1</v>
      </c>
      <c r="P2036" s="8" t="b">
        <f>AND(TrafficData[[#This Row],[pendingCourt]]&lt;=TrafficData[[#This Row],[totalCourt]],TrafficData[[#This Row],[disposedCourt]]&lt;=TrafficData[[#This Row],[totalCourt]])</f>
        <v>1</v>
      </c>
    </row>
    <row r="2037" spans="1:16">
      <c r="A2037" s="1">
        <v>44041</v>
      </c>
      <c r="B2037">
        <v>115284</v>
      </c>
      <c r="C2037">
        <v>53881</v>
      </c>
      <c r="D2037">
        <v>61403</v>
      </c>
      <c r="E2037">
        <v>67696019</v>
      </c>
      <c r="F2037">
        <v>53950346</v>
      </c>
      <c r="G2037">
        <v>121646365</v>
      </c>
      <c r="H2037">
        <v>32746</v>
      </c>
      <c r="I2037">
        <v>7686</v>
      </c>
      <c r="J2037">
        <v>40432</v>
      </c>
      <c r="K2037" t="b">
        <f>TrafficData[[#This Row],[disposedChallan]]+TrafficData[[#This Row],[pendingChallan]]=TrafficData[[#This Row],[totalChallan]]</f>
        <v>1</v>
      </c>
      <c r="L2037" t="b">
        <f>TrafficData[[#This Row],[pendingAmount]]+TrafficData[[#This Row],[disposedAmount]]=TrafficData[[#This Row],[totalAmount]]</f>
        <v>1</v>
      </c>
      <c r="M2037" t="b">
        <f>TrafficData[[#This Row],[pendingCourt]]+TrafficData[[#This Row],[disposedCourt]]=TrafficData[[#This Row],[totalCourt]]</f>
        <v>1</v>
      </c>
      <c r="N2037" s="8" t="b">
        <f>AND(TrafficData[[#This Row],[disposedChallan]]&lt;=TrafficData[[#This Row],[totalChallan]],TrafficData[[#This Row],[pendingChallan]]&lt;=TrafficData[[#This Row],[totalChallan]])</f>
        <v>1</v>
      </c>
      <c r="O2037" s="8" t="b">
        <f>AND(TrafficData[[#This Row],[pendingAmount]]&lt;=TrafficData[[#This Row],[totalAmount]],TrafficData[[#This Row],[disposedAmount]]&lt;=TrafficData[[#This Row],[totalAmount]])</f>
        <v>1</v>
      </c>
      <c r="P2037" s="8" t="b">
        <f>AND(TrafficData[[#This Row],[pendingCourt]]&lt;=TrafficData[[#This Row],[totalCourt]],TrafficData[[#This Row],[disposedCourt]]&lt;=TrafficData[[#This Row],[totalCourt]])</f>
        <v>1</v>
      </c>
    </row>
    <row r="2038" spans="1:16">
      <c r="A2038" s="1">
        <v>44042</v>
      </c>
      <c r="B2038">
        <v>124072</v>
      </c>
      <c r="C2038">
        <v>57431</v>
      </c>
      <c r="D2038">
        <v>66641</v>
      </c>
      <c r="E2038">
        <v>74024805</v>
      </c>
      <c r="F2038">
        <v>56068102</v>
      </c>
      <c r="G2038">
        <v>130092907</v>
      </c>
      <c r="H2038">
        <v>36032</v>
      </c>
      <c r="I2038">
        <v>8589</v>
      </c>
      <c r="J2038">
        <v>44621</v>
      </c>
      <c r="K2038" t="b">
        <f>TrafficData[[#This Row],[disposedChallan]]+TrafficData[[#This Row],[pendingChallan]]=TrafficData[[#This Row],[totalChallan]]</f>
        <v>1</v>
      </c>
      <c r="L2038" t="b">
        <f>TrafficData[[#This Row],[pendingAmount]]+TrafficData[[#This Row],[disposedAmount]]=TrafficData[[#This Row],[totalAmount]]</f>
        <v>1</v>
      </c>
      <c r="M2038" t="b">
        <f>TrafficData[[#This Row],[pendingCourt]]+TrafficData[[#This Row],[disposedCourt]]=TrafficData[[#This Row],[totalCourt]]</f>
        <v>1</v>
      </c>
      <c r="N2038" s="8" t="b">
        <f>AND(TrafficData[[#This Row],[disposedChallan]]&lt;=TrafficData[[#This Row],[totalChallan]],TrafficData[[#This Row],[pendingChallan]]&lt;=TrafficData[[#This Row],[totalChallan]])</f>
        <v>1</v>
      </c>
      <c r="O2038" s="8" t="b">
        <f>AND(TrafficData[[#This Row],[pendingAmount]]&lt;=TrafficData[[#This Row],[totalAmount]],TrafficData[[#This Row],[disposedAmount]]&lt;=TrafficData[[#This Row],[totalAmount]])</f>
        <v>1</v>
      </c>
      <c r="P2038" s="8" t="b">
        <f>AND(TrafficData[[#This Row],[pendingCourt]]&lt;=TrafficData[[#This Row],[totalCourt]],TrafficData[[#This Row],[disposedCourt]]&lt;=TrafficData[[#This Row],[totalCourt]])</f>
        <v>1</v>
      </c>
    </row>
    <row r="2039" spans="1:16">
      <c r="A2039" s="1">
        <v>44043</v>
      </c>
      <c r="B2039">
        <v>119856</v>
      </c>
      <c r="C2039">
        <v>55371</v>
      </c>
      <c r="D2039">
        <v>64485</v>
      </c>
      <c r="E2039">
        <v>72800325</v>
      </c>
      <c r="F2039">
        <v>48244273</v>
      </c>
      <c r="G2039">
        <v>121044598</v>
      </c>
      <c r="H2039">
        <v>17721</v>
      </c>
      <c r="I2039">
        <v>8244</v>
      </c>
      <c r="J2039">
        <v>25965</v>
      </c>
      <c r="K2039" t="b">
        <f>TrafficData[[#This Row],[disposedChallan]]+TrafficData[[#This Row],[pendingChallan]]=TrafficData[[#This Row],[totalChallan]]</f>
        <v>1</v>
      </c>
      <c r="L2039" t="b">
        <f>TrafficData[[#This Row],[pendingAmount]]+TrafficData[[#This Row],[disposedAmount]]=TrafficData[[#This Row],[totalAmount]]</f>
        <v>1</v>
      </c>
      <c r="M2039" t="b">
        <f>TrafficData[[#This Row],[pendingCourt]]+TrafficData[[#This Row],[disposedCourt]]=TrafficData[[#This Row],[totalCourt]]</f>
        <v>1</v>
      </c>
      <c r="N2039" s="8" t="b">
        <f>AND(TrafficData[[#This Row],[disposedChallan]]&lt;=TrafficData[[#This Row],[totalChallan]],TrafficData[[#This Row],[pendingChallan]]&lt;=TrafficData[[#This Row],[totalChallan]])</f>
        <v>1</v>
      </c>
      <c r="O2039" s="8" t="b">
        <f>AND(TrafficData[[#This Row],[pendingAmount]]&lt;=TrafficData[[#This Row],[totalAmount]],TrafficData[[#This Row],[disposedAmount]]&lt;=TrafficData[[#This Row],[totalAmount]])</f>
        <v>1</v>
      </c>
      <c r="P2039" s="8" t="b">
        <f>AND(TrafficData[[#This Row],[pendingCourt]]&lt;=TrafficData[[#This Row],[totalCourt]],TrafficData[[#This Row],[disposedCourt]]&lt;=TrafficData[[#This Row],[totalCourt]])</f>
        <v>1</v>
      </c>
    </row>
    <row r="2040" spans="1:16">
      <c r="A2040" s="1">
        <v>44044</v>
      </c>
      <c r="B2040">
        <v>98750</v>
      </c>
      <c r="C2040">
        <v>46061</v>
      </c>
      <c r="D2040">
        <v>52689</v>
      </c>
      <c r="E2040">
        <v>57495257</v>
      </c>
      <c r="F2040">
        <v>42268811</v>
      </c>
      <c r="G2040">
        <v>99764068</v>
      </c>
      <c r="H2040">
        <v>11549</v>
      </c>
      <c r="I2040">
        <v>5201</v>
      </c>
      <c r="J2040">
        <v>16750</v>
      </c>
      <c r="K2040" t="b">
        <f>TrafficData[[#This Row],[disposedChallan]]+TrafficData[[#This Row],[pendingChallan]]=TrafficData[[#This Row],[totalChallan]]</f>
        <v>1</v>
      </c>
      <c r="L2040" t="b">
        <f>TrafficData[[#This Row],[pendingAmount]]+TrafficData[[#This Row],[disposedAmount]]=TrafficData[[#This Row],[totalAmount]]</f>
        <v>1</v>
      </c>
      <c r="M2040" t="b">
        <f>TrafficData[[#This Row],[pendingCourt]]+TrafficData[[#This Row],[disposedCourt]]=TrafficData[[#This Row],[totalCourt]]</f>
        <v>1</v>
      </c>
      <c r="N2040" s="8" t="b">
        <f>AND(TrafficData[[#This Row],[disposedChallan]]&lt;=TrafficData[[#This Row],[totalChallan]],TrafficData[[#This Row],[pendingChallan]]&lt;=TrafficData[[#This Row],[totalChallan]])</f>
        <v>1</v>
      </c>
      <c r="O2040" s="8" t="b">
        <f>AND(TrafficData[[#This Row],[pendingAmount]]&lt;=TrafficData[[#This Row],[totalAmount]],TrafficData[[#This Row],[disposedAmount]]&lt;=TrafficData[[#This Row],[totalAmount]])</f>
        <v>1</v>
      </c>
      <c r="P2040" s="8" t="b">
        <f>AND(TrafficData[[#This Row],[pendingCourt]]&lt;=TrafficData[[#This Row],[totalCourt]],TrafficData[[#This Row],[disposedCourt]]&lt;=TrafficData[[#This Row],[totalCourt]])</f>
        <v>1</v>
      </c>
    </row>
    <row r="2041" spans="1:16">
      <c r="A2041" s="1">
        <v>44045</v>
      </c>
      <c r="B2041">
        <v>90411</v>
      </c>
      <c r="C2041">
        <v>40025</v>
      </c>
      <c r="D2041">
        <v>50386</v>
      </c>
      <c r="E2041">
        <v>60068915</v>
      </c>
      <c r="F2041">
        <v>42077400</v>
      </c>
      <c r="G2041">
        <v>102146315</v>
      </c>
      <c r="H2041">
        <v>30728</v>
      </c>
      <c r="I2041">
        <v>10542</v>
      </c>
      <c r="J2041">
        <v>41270</v>
      </c>
      <c r="K2041" t="b">
        <f>TrafficData[[#This Row],[disposedChallan]]+TrafficData[[#This Row],[pendingChallan]]=TrafficData[[#This Row],[totalChallan]]</f>
        <v>1</v>
      </c>
      <c r="L2041" t="b">
        <f>TrafficData[[#This Row],[pendingAmount]]+TrafficData[[#This Row],[disposedAmount]]=TrafficData[[#This Row],[totalAmount]]</f>
        <v>1</v>
      </c>
      <c r="M2041" t="b">
        <f>TrafficData[[#This Row],[pendingCourt]]+TrafficData[[#This Row],[disposedCourt]]=TrafficData[[#This Row],[totalCourt]]</f>
        <v>1</v>
      </c>
      <c r="N2041" s="8" t="b">
        <f>AND(TrafficData[[#This Row],[disposedChallan]]&lt;=TrafficData[[#This Row],[totalChallan]],TrafficData[[#This Row],[pendingChallan]]&lt;=TrafficData[[#This Row],[totalChallan]])</f>
        <v>1</v>
      </c>
      <c r="O2041" s="8" t="b">
        <f>AND(TrafficData[[#This Row],[pendingAmount]]&lt;=TrafficData[[#This Row],[totalAmount]],TrafficData[[#This Row],[disposedAmount]]&lt;=TrafficData[[#This Row],[totalAmount]])</f>
        <v>1</v>
      </c>
      <c r="P2041" s="8" t="b">
        <f>AND(TrafficData[[#This Row],[pendingCourt]]&lt;=TrafficData[[#This Row],[totalCourt]],TrafficData[[#This Row],[disposedCourt]]&lt;=TrafficData[[#This Row],[totalCourt]])</f>
        <v>1</v>
      </c>
    </row>
    <row r="2042" spans="1:16">
      <c r="A2042" s="1">
        <v>44046</v>
      </c>
      <c r="B2042">
        <v>108549</v>
      </c>
      <c r="C2042">
        <v>48274</v>
      </c>
      <c r="D2042">
        <v>60275</v>
      </c>
      <c r="E2042">
        <v>65872690</v>
      </c>
      <c r="F2042">
        <v>40402831</v>
      </c>
      <c r="G2042">
        <v>106275521</v>
      </c>
      <c r="H2042">
        <v>32415</v>
      </c>
      <c r="I2042">
        <v>11015</v>
      </c>
      <c r="J2042">
        <v>43430</v>
      </c>
      <c r="K2042" t="b">
        <f>TrafficData[[#This Row],[disposedChallan]]+TrafficData[[#This Row],[pendingChallan]]=TrafficData[[#This Row],[totalChallan]]</f>
        <v>1</v>
      </c>
      <c r="L2042" t="b">
        <f>TrafficData[[#This Row],[pendingAmount]]+TrafficData[[#This Row],[disposedAmount]]=TrafficData[[#This Row],[totalAmount]]</f>
        <v>1</v>
      </c>
      <c r="M2042" t="b">
        <f>TrafficData[[#This Row],[pendingCourt]]+TrafficData[[#This Row],[disposedCourt]]=TrafficData[[#This Row],[totalCourt]]</f>
        <v>1</v>
      </c>
      <c r="N2042" s="8" t="b">
        <f>AND(TrafficData[[#This Row],[disposedChallan]]&lt;=TrafficData[[#This Row],[totalChallan]],TrafficData[[#This Row],[pendingChallan]]&lt;=TrafficData[[#This Row],[totalChallan]])</f>
        <v>1</v>
      </c>
      <c r="O2042" s="8" t="b">
        <f>AND(TrafficData[[#This Row],[pendingAmount]]&lt;=TrafficData[[#This Row],[totalAmount]],TrafficData[[#This Row],[disposedAmount]]&lt;=TrafficData[[#This Row],[totalAmount]])</f>
        <v>1</v>
      </c>
      <c r="P2042" s="8" t="b">
        <f>AND(TrafficData[[#This Row],[pendingCourt]]&lt;=TrafficData[[#This Row],[totalCourt]],TrafficData[[#This Row],[disposedCourt]]&lt;=TrafficData[[#This Row],[totalCourt]])</f>
        <v>1</v>
      </c>
    </row>
    <row r="2043" spans="1:16">
      <c r="A2043" s="1">
        <v>44047</v>
      </c>
      <c r="B2043">
        <v>118359</v>
      </c>
      <c r="C2043">
        <v>55105</v>
      </c>
      <c r="D2043">
        <v>63254</v>
      </c>
      <c r="E2043">
        <v>66236931</v>
      </c>
      <c r="F2043">
        <v>48982600</v>
      </c>
      <c r="G2043">
        <v>115219531</v>
      </c>
      <c r="H2043">
        <v>20155</v>
      </c>
      <c r="I2043">
        <v>8224</v>
      </c>
      <c r="J2043">
        <v>28379</v>
      </c>
      <c r="K2043" t="b">
        <f>TrafficData[[#This Row],[disposedChallan]]+TrafficData[[#This Row],[pendingChallan]]=TrafficData[[#This Row],[totalChallan]]</f>
        <v>1</v>
      </c>
      <c r="L2043" t="b">
        <f>TrafficData[[#This Row],[pendingAmount]]+TrafficData[[#This Row],[disposedAmount]]=TrafficData[[#This Row],[totalAmount]]</f>
        <v>1</v>
      </c>
      <c r="M2043" t="b">
        <f>TrafficData[[#This Row],[pendingCourt]]+TrafficData[[#This Row],[disposedCourt]]=TrafficData[[#This Row],[totalCourt]]</f>
        <v>1</v>
      </c>
      <c r="N2043" s="8" t="b">
        <f>AND(TrafficData[[#This Row],[disposedChallan]]&lt;=TrafficData[[#This Row],[totalChallan]],TrafficData[[#This Row],[pendingChallan]]&lt;=TrafficData[[#This Row],[totalChallan]])</f>
        <v>1</v>
      </c>
      <c r="O2043" s="8" t="b">
        <f>AND(TrafficData[[#This Row],[pendingAmount]]&lt;=TrafficData[[#This Row],[totalAmount]],TrafficData[[#This Row],[disposedAmount]]&lt;=TrafficData[[#This Row],[totalAmount]])</f>
        <v>1</v>
      </c>
      <c r="P2043" s="8" t="b">
        <f>AND(TrafficData[[#This Row],[pendingCourt]]&lt;=TrafficData[[#This Row],[totalCourt]],TrafficData[[#This Row],[disposedCourt]]&lt;=TrafficData[[#This Row],[totalCourt]])</f>
        <v>1</v>
      </c>
    </row>
    <row r="2044" spans="1:16">
      <c r="A2044" s="1">
        <v>44048</v>
      </c>
      <c r="B2044">
        <v>113568</v>
      </c>
      <c r="C2044">
        <v>53721</v>
      </c>
      <c r="D2044">
        <v>59847</v>
      </c>
      <c r="E2044">
        <v>69857710</v>
      </c>
      <c r="F2044">
        <v>57641227</v>
      </c>
      <c r="G2044">
        <v>127498937</v>
      </c>
      <c r="H2044">
        <v>34717</v>
      </c>
      <c r="I2044">
        <v>8147</v>
      </c>
      <c r="J2044">
        <v>42864</v>
      </c>
      <c r="K2044" t="b">
        <f>TrafficData[[#This Row],[disposedChallan]]+TrafficData[[#This Row],[pendingChallan]]=TrafficData[[#This Row],[totalChallan]]</f>
        <v>1</v>
      </c>
      <c r="L2044" t="b">
        <f>TrafficData[[#This Row],[pendingAmount]]+TrafficData[[#This Row],[disposedAmount]]=TrafficData[[#This Row],[totalAmount]]</f>
        <v>1</v>
      </c>
      <c r="M2044" t="b">
        <f>TrafficData[[#This Row],[pendingCourt]]+TrafficData[[#This Row],[disposedCourt]]=TrafficData[[#This Row],[totalCourt]]</f>
        <v>1</v>
      </c>
      <c r="N2044" s="8" t="b">
        <f>AND(TrafficData[[#This Row],[disposedChallan]]&lt;=TrafficData[[#This Row],[totalChallan]],TrafficData[[#This Row],[pendingChallan]]&lt;=TrafficData[[#This Row],[totalChallan]])</f>
        <v>1</v>
      </c>
      <c r="O2044" s="8" t="b">
        <f>AND(TrafficData[[#This Row],[pendingAmount]]&lt;=TrafficData[[#This Row],[totalAmount]],TrafficData[[#This Row],[disposedAmount]]&lt;=TrafficData[[#This Row],[totalAmount]])</f>
        <v>1</v>
      </c>
      <c r="P2044" s="8" t="b">
        <f>AND(TrafficData[[#This Row],[pendingCourt]]&lt;=TrafficData[[#This Row],[totalCourt]],TrafficData[[#This Row],[disposedCourt]]&lt;=TrafficData[[#This Row],[totalCourt]])</f>
        <v>1</v>
      </c>
    </row>
    <row r="2045" spans="1:16">
      <c r="A2045" s="1">
        <v>44049</v>
      </c>
      <c r="B2045">
        <v>115710</v>
      </c>
      <c r="C2045">
        <v>54397</v>
      </c>
      <c r="D2045">
        <v>61313</v>
      </c>
      <c r="E2045">
        <v>70863921</v>
      </c>
      <c r="F2045">
        <v>63282410</v>
      </c>
      <c r="G2045">
        <v>134146331</v>
      </c>
      <c r="H2045">
        <v>35202</v>
      </c>
      <c r="I2045">
        <v>7708</v>
      </c>
      <c r="J2045">
        <v>42910</v>
      </c>
      <c r="K2045" t="b">
        <f>TrafficData[[#This Row],[disposedChallan]]+TrafficData[[#This Row],[pendingChallan]]=TrafficData[[#This Row],[totalChallan]]</f>
        <v>1</v>
      </c>
      <c r="L2045" t="b">
        <f>TrafficData[[#This Row],[pendingAmount]]+TrafficData[[#This Row],[disposedAmount]]=TrafficData[[#This Row],[totalAmount]]</f>
        <v>1</v>
      </c>
      <c r="M2045" t="b">
        <f>TrafficData[[#This Row],[pendingCourt]]+TrafficData[[#This Row],[disposedCourt]]=TrafficData[[#This Row],[totalCourt]]</f>
        <v>1</v>
      </c>
      <c r="N2045" s="8" t="b">
        <f>AND(TrafficData[[#This Row],[disposedChallan]]&lt;=TrafficData[[#This Row],[totalChallan]],TrafficData[[#This Row],[pendingChallan]]&lt;=TrafficData[[#This Row],[totalChallan]])</f>
        <v>1</v>
      </c>
      <c r="O2045" s="8" t="b">
        <f>AND(TrafficData[[#This Row],[pendingAmount]]&lt;=TrafficData[[#This Row],[totalAmount]],TrafficData[[#This Row],[disposedAmount]]&lt;=TrafficData[[#This Row],[totalAmount]])</f>
        <v>1</v>
      </c>
      <c r="P2045" s="8" t="b">
        <f>AND(TrafficData[[#This Row],[pendingCourt]]&lt;=TrafficData[[#This Row],[totalCourt]],TrafficData[[#This Row],[disposedCourt]]&lt;=TrafficData[[#This Row],[totalCourt]])</f>
        <v>1</v>
      </c>
    </row>
    <row r="2046" spans="1:16">
      <c r="A2046" s="1">
        <v>44050</v>
      </c>
      <c r="B2046">
        <v>119276</v>
      </c>
      <c r="C2046">
        <v>55845</v>
      </c>
      <c r="D2046">
        <v>63431</v>
      </c>
      <c r="E2046">
        <v>74734601</v>
      </c>
      <c r="F2046">
        <v>62602803</v>
      </c>
      <c r="G2046">
        <v>137337404</v>
      </c>
      <c r="H2046">
        <v>37034</v>
      </c>
      <c r="I2046">
        <v>8279</v>
      </c>
      <c r="J2046">
        <v>45313</v>
      </c>
      <c r="K2046" t="b">
        <f>TrafficData[[#This Row],[disposedChallan]]+TrafficData[[#This Row],[pendingChallan]]=TrafficData[[#This Row],[totalChallan]]</f>
        <v>1</v>
      </c>
      <c r="L2046" t="b">
        <f>TrafficData[[#This Row],[pendingAmount]]+TrafficData[[#This Row],[disposedAmount]]=TrafficData[[#This Row],[totalAmount]]</f>
        <v>1</v>
      </c>
      <c r="M2046" t="b">
        <f>TrafficData[[#This Row],[pendingCourt]]+TrafficData[[#This Row],[disposedCourt]]=TrafficData[[#This Row],[totalCourt]]</f>
        <v>1</v>
      </c>
      <c r="N2046" s="8" t="b">
        <f>AND(TrafficData[[#This Row],[disposedChallan]]&lt;=TrafficData[[#This Row],[totalChallan]],TrafficData[[#This Row],[pendingChallan]]&lt;=TrafficData[[#This Row],[totalChallan]])</f>
        <v>1</v>
      </c>
      <c r="O2046" s="8" t="b">
        <f>AND(TrafficData[[#This Row],[pendingAmount]]&lt;=TrafficData[[#This Row],[totalAmount]],TrafficData[[#This Row],[disposedAmount]]&lt;=TrafficData[[#This Row],[totalAmount]])</f>
        <v>1</v>
      </c>
      <c r="P2046" s="8" t="b">
        <f>AND(TrafficData[[#This Row],[pendingCourt]]&lt;=TrafficData[[#This Row],[totalCourt]],TrafficData[[#This Row],[disposedCourt]]&lt;=TrafficData[[#This Row],[totalCourt]])</f>
        <v>1</v>
      </c>
    </row>
    <row r="2047" spans="1:16">
      <c r="A2047" s="1">
        <v>44051</v>
      </c>
      <c r="B2047">
        <v>114158</v>
      </c>
      <c r="C2047">
        <v>53601</v>
      </c>
      <c r="D2047">
        <v>60557</v>
      </c>
      <c r="E2047">
        <v>71377748</v>
      </c>
      <c r="F2047">
        <v>59643481</v>
      </c>
      <c r="G2047">
        <v>131021229</v>
      </c>
      <c r="H2047">
        <v>32184</v>
      </c>
      <c r="I2047">
        <v>6681</v>
      </c>
      <c r="J2047">
        <v>38865</v>
      </c>
      <c r="K2047" t="b">
        <f>TrafficData[[#This Row],[disposedChallan]]+TrafficData[[#This Row],[pendingChallan]]=TrafficData[[#This Row],[totalChallan]]</f>
        <v>1</v>
      </c>
      <c r="L2047" t="b">
        <f>TrafficData[[#This Row],[pendingAmount]]+TrafficData[[#This Row],[disposedAmount]]=TrafficData[[#This Row],[totalAmount]]</f>
        <v>1</v>
      </c>
      <c r="M2047" t="b">
        <f>TrafficData[[#This Row],[pendingCourt]]+TrafficData[[#This Row],[disposedCourt]]=TrafficData[[#This Row],[totalCourt]]</f>
        <v>1</v>
      </c>
      <c r="N2047" s="8" t="b">
        <f>AND(TrafficData[[#This Row],[disposedChallan]]&lt;=TrafficData[[#This Row],[totalChallan]],TrafficData[[#This Row],[pendingChallan]]&lt;=TrafficData[[#This Row],[totalChallan]])</f>
        <v>1</v>
      </c>
      <c r="O2047" s="8" t="b">
        <f>AND(TrafficData[[#This Row],[pendingAmount]]&lt;=TrafficData[[#This Row],[totalAmount]],TrafficData[[#This Row],[disposedAmount]]&lt;=TrafficData[[#This Row],[totalAmount]])</f>
        <v>1</v>
      </c>
      <c r="P2047" s="8" t="b">
        <f>AND(TrafficData[[#This Row],[pendingCourt]]&lt;=TrafficData[[#This Row],[totalCourt]],TrafficData[[#This Row],[disposedCourt]]&lt;=TrafficData[[#This Row],[totalCourt]])</f>
        <v>1</v>
      </c>
    </row>
    <row r="2048" spans="1:16">
      <c r="A2048" s="1">
        <v>44052</v>
      </c>
      <c r="B2048">
        <v>89673</v>
      </c>
      <c r="C2048">
        <v>39869</v>
      </c>
      <c r="D2048">
        <v>49804</v>
      </c>
      <c r="E2048">
        <v>57652199</v>
      </c>
      <c r="F2048">
        <v>48574441</v>
      </c>
      <c r="G2048">
        <v>106226640</v>
      </c>
      <c r="H2048">
        <v>28157</v>
      </c>
      <c r="I2048">
        <v>5416</v>
      </c>
      <c r="J2048">
        <v>33573</v>
      </c>
      <c r="K2048" t="b">
        <f>TrafficData[[#This Row],[disposedChallan]]+TrafficData[[#This Row],[pendingChallan]]=TrafficData[[#This Row],[totalChallan]]</f>
        <v>1</v>
      </c>
      <c r="L2048" t="b">
        <f>TrafficData[[#This Row],[pendingAmount]]+TrafficData[[#This Row],[disposedAmount]]=TrafficData[[#This Row],[totalAmount]]</f>
        <v>1</v>
      </c>
      <c r="M2048" t="b">
        <f>TrafficData[[#This Row],[pendingCourt]]+TrafficData[[#This Row],[disposedCourt]]=TrafficData[[#This Row],[totalCourt]]</f>
        <v>1</v>
      </c>
      <c r="N2048" s="8" t="b">
        <f>AND(TrafficData[[#This Row],[disposedChallan]]&lt;=TrafficData[[#This Row],[totalChallan]],TrafficData[[#This Row],[pendingChallan]]&lt;=TrafficData[[#This Row],[totalChallan]])</f>
        <v>1</v>
      </c>
      <c r="O2048" s="8" t="b">
        <f>AND(TrafficData[[#This Row],[pendingAmount]]&lt;=TrafficData[[#This Row],[totalAmount]],TrafficData[[#This Row],[disposedAmount]]&lt;=TrafficData[[#This Row],[totalAmount]])</f>
        <v>1</v>
      </c>
      <c r="P2048" s="8" t="b">
        <f>AND(TrafficData[[#This Row],[pendingCourt]]&lt;=TrafficData[[#This Row],[totalCourt]],TrafficData[[#This Row],[disposedCourt]]&lt;=TrafficData[[#This Row],[totalCourt]])</f>
        <v>1</v>
      </c>
    </row>
    <row r="2049" spans="1:16">
      <c r="A2049" s="1">
        <v>44053</v>
      </c>
      <c r="B2049">
        <v>114879</v>
      </c>
      <c r="C2049">
        <v>55062</v>
      </c>
      <c r="D2049">
        <v>59817</v>
      </c>
      <c r="E2049">
        <v>65085786</v>
      </c>
      <c r="F2049">
        <v>58516881</v>
      </c>
      <c r="G2049">
        <v>123602667</v>
      </c>
      <c r="H2049">
        <v>32178</v>
      </c>
      <c r="I2049">
        <v>11450</v>
      </c>
      <c r="J2049">
        <v>43628</v>
      </c>
      <c r="K2049" t="b">
        <f>TrafficData[[#This Row],[disposedChallan]]+TrafficData[[#This Row],[pendingChallan]]=TrafficData[[#This Row],[totalChallan]]</f>
        <v>1</v>
      </c>
      <c r="L2049" t="b">
        <f>TrafficData[[#This Row],[pendingAmount]]+TrafficData[[#This Row],[disposedAmount]]=TrafficData[[#This Row],[totalAmount]]</f>
        <v>1</v>
      </c>
      <c r="M2049" t="b">
        <f>TrafficData[[#This Row],[pendingCourt]]+TrafficData[[#This Row],[disposedCourt]]=TrafficData[[#This Row],[totalCourt]]</f>
        <v>1</v>
      </c>
      <c r="N2049" s="8" t="b">
        <f>AND(TrafficData[[#This Row],[disposedChallan]]&lt;=TrafficData[[#This Row],[totalChallan]],TrafficData[[#This Row],[pendingChallan]]&lt;=TrafficData[[#This Row],[totalChallan]])</f>
        <v>1</v>
      </c>
      <c r="O2049" s="8" t="b">
        <f>AND(TrafficData[[#This Row],[pendingAmount]]&lt;=TrafficData[[#This Row],[totalAmount]],TrafficData[[#This Row],[disposedAmount]]&lt;=TrafficData[[#This Row],[totalAmount]])</f>
        <v>1</v>
      </c>
      <c r="P2049" s="8" t="b">
        <f>AND(TrafficData[[#This Row],[pendingCourt]]&lt;=TrafficData[[#This Row],[totalCourt]],TrafficData[[#This Row],[disposedCourt]]&lt;=TrafficData[[#This Row],[totalCourt]])</f>
        <v>1</v>
      </c>
    </row>
    <row r="2050" spans="1:16">
      <c r="A2050" s="1">
        <v>44054</v>
      </c>
      <c r="B2050">
        <v>101948</v>
      </c>
      <c r="C2050">
        <v>51975</v>
      </c>
      <c r="D2050">
        <v>49973</v>
      </c>
      <c r="E2050">
        <v>45858227</v>
      </c>
      <c r="F2050">
        <v>57081176</v>
      </c>
      <c r="G2050">
        <v>102939403</v>
      </c>
      <c r="H2050">
        <v>22942</v>
      </c>
      <c r="I2050">
        <v>8877</v>
      </c>
      <c r="J2050">
        <v>31819</v>
      </c>
      <c r="K2050" t="b">
        <f>TrafficData[[#This Row],[disposedChallan]]+TrafficData[[#This Row],[pendingChallan]]=TrafficData[[#This Row],[totalChallan]]</f>
        <v>1</v>
      </c>
      <c r="L2050" t="b">
        <f>TrafficData[[#This Row],[pendingAmount]]+TrafficData[[#This Row],[disposedAmount]]=TrafficData[[#This Row],[totalAmount]]</f>
        <v>1</v>
      </c>
      <c r="M2050" t="b">
        <f>TrafficData[[#This Row],[pendingCourt]]+TrafficData[[#This Row],[disposedCourt]]=TrafficData[[#This Row],[totalCourt]]</f>
        <v>1</v>
      </c>
      <c r="N2050" s="8" t="b">
        <f>AND(TrafficData[[#This Row],[disposedChallan]]&lt;=TrafficData[[#This Row],[totalChallan]],TrafficData[[#This Row],[pendingChallan]]&lt;=TrafficData[[#This Row],[totalChallan]])</f>
        <v>1</v>
      </c>
      <c r="O2050" s="8" t="b">
        <f>AND(TrafficData[[#This Row],[pendingAmount]]&lt;=TrafficData[[#This Row],[totalAmount]],TrafficData[[#This Row],[disposedAmount]]&lt;=TrafficData[[#This Row],[totalAmount]])</f>
        <v>1</v>
      </c>
      <c r="P2050" s="8" t="b">
        <f>AND(TrafficData[[#This Row],[pendingCourt]]&lt;=TrafficData[[#This Row],[totalCourt]],TrafficData[[#This Row],[disposedCourt]]&lt;=TrafficData[[#This Row],[totalCourt]])</f>
        <v>1</v>
      </c>
    </row>
    <row r="2051" spans="1:16">
      <c r="A2051" s="1">
        <v>44055</v>
      </c>
      <c r="B2051">
        <v>111453</v>
      </c>
      <c r="C2051">
        <v>53253</v>
      </c>
      <c r="D2051">
        <v>58200</v>
      </c>
      <c r="E2051">
        <v>62892600</v>
      </c>
      <c r="F2051">
        <v>53608269</v>
      </c>
      <c r="G2051">
        <v>116500869</v>
      </c>
      <c r="H2051">
        <v>29898</v>
      </c>
      <c r="I2051">
        <v>6590</v>
      </c>
      <c r="J2051">
        <v>36488</v>
      </c>
      <c r="K2051" t="b">
        <f>TrafficData[[#This Row],[disposedChallan]]+TrafficData[[#This Row],[pendingChallan]]=TrafficData[[#This Row],[totalChallan]]</f>
        <v>1</v>
      </c>
      <c r="L2051" t="b">
        <f>TrafficData[[#This Row],[pendingAmount]]+TrafficData[[#This Row],[disposedAmount]]=TrafficData[[#This Row],[totalAmount]]</f>
        <v>1</v>
      </c>
      <c r="M2051" t="b">
        <f>TrafficData[[#This Row],[pendingCourt]]+TrafficData[[#This Row],[disposedCourt]]=TrafficData[[#This Row],[totalCourt]]</f>
        <v>1</v>
      </c>
      <c r="N2051" s="8" t="b">
        <f>AND(TrafficData[[#This Row],[disposedChallan]]&lt;=TrafficData[[#This Row],[totalChallan]],TrafficData[[#This Row],[pendingChallan]]&lt;=TrafficData[[#This Row],[totalChallan]])</f>
        <v>1</v>
      </c>
      <c r="O2051" s="8" t="b">
        <f>AND(TrafficData[[#This Row],[pendingAmount]]&lt;=TrafficData[[#This Row],[totalAmount]],TrafficData[[#This Row],[disposedAmount]]&lt;=TrafficData[[#This Row],[totalAmount]])</f>
        <v>1</v>
      </c>
      <c r="P2051" s="8" t="b">
        <f>AND(TrafficData[[#This Row],[pendingCourt]]&lt;=TrafficData[[#This Row],[totalCourt]],TrafficData[[#This Row],[disposedCourt]]&lt;=TrafficData[[#This Row],[totalCourt]])</f>
        <v>1</v>
      </c>
    </row>
    <row r="2052" spans="1:16">
      <c r="A2052" s="1">
        <v>44056</v>
      </c>
      <c r="B2052">
        <v>103821</v>
      </c>
      <c r="C2052">
        <v>49719</v>
      </c>
      <c r="D2052">
        <v>54102</v>
      </c>
      <c r="E2052">
        <v>51480419</v>
      </c>
      <c r="F2052">
        <v>51492894</v>
      </c>
      <c r="G2052">
        <v>102973313</v>
      </c>
      <c r="H2052">
        <v>27089</v>
      </c>
      <c r="I2052">
        <v>6739</v>
      </c>
      <c r="J2052">
        <v>33828</v>
      </c>
      <c r="K2052" t="b">
        <f>TrafficData[[#This Row],[disposedChallan]]+TrafficData[[#This Row],[pendingChallan]]=TrafficData[[#This Row],[totalChallan]]</f>
        <v>1</v>
      </c>
      <c r="L2052" t="b">
        <f>TrafficData[[#This Row],[pendingAmount]]+TrafficData[[#This Row],[disposedAmount]]=TrafficData[[#This Row],[totalAmount]]</f>
        <v>1</v>
      </c>
      <c r="M2052" t="b">
        <f>TrafficData[[#This Row],[pendingCourt]]+TrafficData[[#This Row],[disposedCourt]]=TrafficData[[#This Row],[totalCourt]]</f>
        <v>1</v>
      </c>
      <c r="N2052" s="8" t="b">
        <f>AND(TrafficData[[#This Row],[disposedChallan]]&lt;=TrafficData[[#This Row],[totalChallan]],TrafficData[[#This Row],[pendingChallan]]&lt;=TrafficData[[#This Row],[totalChallan]])</f>
        <v>1</v>
      </c>
      <c r="O2052" s="8" t="b">
        <f>AND(TrafficData[[#This Row],[pendingAmount]]&lt;=TrafficData[[#This Row],[totalAmount]],TrafficData[[#This Row],[disposedAmount]]&lt;=TrafficData[[#This Row],[totalAmount]])</f>
        <v>1</v>
      </c>
      <c r="P2052" s="8" t="b">
        <f>AND(TrafficData[[#This Row],[pendingCourt]]&lt;=TrafficData[[#This Row],[totalCourt]],TrafficData[[#This Row],[disposedCourt]]&lt;=TrafficData[[#This Row],[totalCourt]])</f>
        <v>1</v>
      </c>
    </row>
    <row r="2053" spans="1:16">
      <c r="A2053" s="1">
        <v>44057</v>
      </c>
      <c r="B2053">
        <v>122465</v>
      </c>
      <c r="C2053">
        <v>58114</v>
      </c>
      <c r="D2053">
        <v>64351</v>
      </c>
      <c r="E2053">
        <v>74929346</v>
      </c>
      <c r="F2053">
        <v>64157105</v>
      </c>
      <c r="G2053">
        <v>139086451</v>
      </c>
      <c r="H2053">
        <v>35022</v>
      </c>
      <c r="I2053">
        <v>12986</v>
      </c>
      <c r="J2053">
        <v>48008</v>
      </c>
      <c r="K2053" t="b">
        <f>TrafficData[[#This Row],[disposedChallan]]+TrafficData[[#This Row],[pendingChallan]]=TrafficData[[#This Row],[totalChallan]]</f>
        <v>1</v>
      </c>
      <c r="L2053" t="b">
        <f>TrafficData[[#This Row],[pendingAmount]]+TrafficData[[#This Row],[disposedAmount]]=TrafficData[[#This Row],[totalAmount]]</f>
        <v>1</v>
      </c>
      <c r="M2053" t="b">
        <f>TrafficData[[#This Row],[pendingCourt]]+TrafficData[[#This Row],[disposedCourt]]=TrafficData[[#This Row],[totalCourt]]</f>
        <v>1</v>
      </c>
      <c r="N2053" s="8" t="b">
        <f>AND(TrafficData[[#This Row],[disposedChallan]]&lt;=TrafficData[[#This Row],[totalChallan]],TrafficData[[#This Row],[pendingChallan]]&lt;=TrafficData[[#This Row],[totalChallan]])</f>
        <v>1</v>
      </c>
      <c r="O2053" s="8" t="b">
        <f>AND(TrafficData[[#This Row],[pendingAmount]]&lt;=TrafficData[[#This Row],[totalAmount]],TrafficData[[#This Row],[disposedAmount]]&lt;=TrafficData[[#This Row],[totalAmount]])</f>
        <v>1</v>
      </c>
      <c r="P2053" s="8" t="b">
        <f>AND(TrafficData[[#This Row],[pendingCourt]]&lt;=TrafficData[[#This Row],[totalCourt]],TrafficData[[#This Row],[disposedCourt]]&lt;=TrafficData[[#This Row],[totalCourt]])</f>
        <v>1</v>
      </c>
    </row>
    <row r="2054" spans="1:16">
      <c r="A2054" s="1">
        <v>44058</v>
      </c>
      <c r="B2054">
        <v>90182</v>
      </c>
      <c r="C2054">
        <v>39785</v>
      </c>
      <c r="D2054">
        <v>50397</v>
      </c>
      <c r="E2054">
        <v>53925663</v>
      </c>
      <c r="F2054">
        <v>41403937</v>
      </c>
      <c r="G2054">
        <v>95329600</v>
      </c>
      <c r="H2054">
        <v>22710</v>
      </c>
      <c r="I2054">
        <v>7859</v>
      </c>
      <c r="J2054">
        <v>30569</v>
      </c>
      <c r="K2054" t="b">
        <f>TrafficData[[#This Row],[disposedChallan]]+TrafficData[[#This Row],[pendingChallan]]=TrafficData[[#This Row],[totalChallan]]</f>
        <v>1</v>
      </c>
      <c r="L2054" t="b">
        <f>TrafficData[[#This Row],[pendingAmount]]+TrafficData[[#This Row],[disposedAmount]]=TrafficData[[#This Row],[totalAmount]]</f>
        <v>1</v>
      </c>
      <c r="M2054" t="b">
        <f>TrafficData[[#This Row],[pendingCourt]]+TrafficData[[#This Row],[disposedCourt]]=TrafficData[[#This Row],[totalCourt]]</f>
        <v>1</v>
      </c>
      <c r="N2054" s="8" t="b">
        <f>AND(TrafficData[[#This Row],[disposedChallan]]&lt;=TrafficData[[#This Row],[totalChallan]],TrafficData[[#This Row],[pendingChallan]]&lt;=TrafficData[[#This Row],[totalChallan]])</f>
        <v>1</v>
      </c>
      <c r="O2054" s="8" t="b">
        <f>AND(TrafficData[[#This Row],[pendingAmount]]&lt;=TrafficData[[#This Row],[totalAmount]],TrafficData[[#This Row],[disposedAmount]]&lt;=TrafficData[[#This Row],[totalAmount]])</f>
        <v>1</v>
      </c>
      <c r="P2054" s="8" t="b">
        <f>AND(TrafficData[[#This Row],[pendingCourt]]&lt;=TrafficData[[#This Row],[totalCourt]],TrafficData[[#This Row],[disposedCourt]]&lt;=TrafficData[[#This Row],[totalCourt]])</f>
        <v>1</v>
      </c>
    </row>
    <row r="2055" spans="1:16">
      <c r="A2055" s="1">
        <v>44059</v>
      </c>
      <c r="B2055">
        <v>98720</v>
      </c>
      <c r="C2055">
        <v>43847</v>
      </c>
      <c r="D2055">
        <v>54873</v>
      </c>
      <c r="E2055">
        <v>65423455</v>
      </c>
      <c r="F2055">
        <v>45977925</v>
      </c>
      <c r="G2055">
        <v>111401380</v>
      </c>
      <c r="H2055">
        <v>29302</v>
      </c>
      <c r="I2055">
        <v>6152</v>
      </c>
      <c r="J2055">
        <v>35454</v>
      </c>
      <c r="K2055" t="b">
        <f>TrafficData[[#This Row],[disposedChallan]]+TrafficData[[#This Row],[pendingChallan]]=TrafficData[[#This Row],[totalChallan]]</f>
        <v>1</v>
      </c>
      <c r="L2055" t="b">
        <f>TrafficData[[#This Row],[pendingAmount]]+TrafficData[[#This Row],[disposedAmount]]=TrafficData[[#This Row],[totalAmount]]</f>
        <v>1</v>
      </c>
      <c r="M2055" t="b">
        <f>TrafficData[[#This Row],[pendingCourt]]+TrafficData[[#This Row],[disposedCourt]]=TrafficData[[#This Row],[totalCourt]]</f>
        <v>1</v>
      </c>
      <c r="N2055" s="8" t="b">
        <f>AND(TrafficData[[#This Row],[disposedChallan]]&lt;=TrafficData[[#This Row],[totalChallan]],TrafficData[[#This Row],[pendingChallan]]&lt;=TrafficData[[#This Row],[totalChallan]])</f>
        <v>1</v>
      </c>
      <c r="O2055" s="8" t="b">
        <f>AND(TrafficData[[#This Row],[pendingAmount]]&lt;=TrafficData[[#This Row],[totalAmount]],TrafficData[[#This Row],[disposedAmount]]&lt;=TrafficData[[#This Row],[totalAmount]])</f>
        <v>1</v>
      </c>
      <c r="P2055" s="8" t="b">
        <f>AND(TrafficData[[#This Row],[pendingCourt]]&lt;=TrafficData[[#This Row],[totalCourt]],TrafficData[[#This Row],[disposedCourt]]&lt;=TrafficData[[#This Row],[totalCourt]])</f>
        <v>1</v>
      </c>
    </row>
    <row r="2056" spans="1:16">
      <c r="A2056" s="1">
        <v>44060</v>
      </c>
      <c r="B2056">
        <v>124756</v>
      </c>
      <c r="C2056">
        <v>60461</v>
      </c>
      <c r="D2056">
        <v>64295</v>
      </c>
      <c r="E2056">
        <v>75365990</v>
      </c>
      <c r="F2056">
        <v>58892329</v>
      </c>
      <c r="G2056">
        <v>134258319</v>
      </c>
      <c r="H2056">
        <v>34417</v>
      </c>
      <c r="I2056">
        <v>12505</v>
      </c>
      <c r="J2056">
        <v>46922</v>
      </c>
      <c r="K2056" t="b">
        <f>TrafficData[[#This Row],[disposedChallan]]+TrafficData[[#This Row],[pendingChallan]]=TrafficData[[#This Row],[totalChallan]]</f>
        <v>1</v>
      </c>
      <c r="L2056" t="b">
        <f>TrafficData[[#This Row],[pendingAmount]]+TrafficData[[#This Row],[disposedAmount]]=TrafficData[[#This Row],[totalAmount]]</f>
        <v>1</v>
      </c>
      <c r="M2056" t="b">
        <f>TrafficData[[#This Row],[pendingCourt]]+TrafficData[[#This Row],[disposedCourt]]=TrafficData[[#This Row],[totalCourt]]</f>
        <v>1</v>
      </c>
      <c r="N2056" s="8" t="b">
        <f>AND(TrafficData[[#This Row],[disposedChallan]]&lt;=TrafficData[[#This Row],[totalChallan]],TrafficData[[#This Row],[pendingChallan]]&lt;=TrafficData[[#This Row],[totalChallan]])</f>
        <v>1</v>
      </c>
      <c r="O2056" s="8" t="b">
        <f>AND(TrafficData[[#This Row],[pendingAmount]]&lt;=TrafficData[[#This Row],[totalAmount]],TrafficData[[#This Row],[disposedAmount]]&lt;=TrafficData[[#This Row],[totalAmount]])</f>
        <v>1</v>
      </c>
      <c r="P2056" s="8" t="b">
        <f>AND(TrafficData[[#This Row],[pendingCourt]]&lt;=TrafficData[[#This Row],[totalCourt]],TrafficData[[#This Row],[disposedCourt]]&lt;=TrafficData[[#This Row],[totalCourt]])</f>
        <v>1</v>
      </c>
    </row>
    <row r="2057" spans="1:16">
      <c r="A2057" s="1">
        <v>44061</v>
      </c>
      <c r="B2057">
        <v>123192</v>
      </c>
      <c r="C2057">
        <v>59030</v>
      </c>
      <c r="D2057">
        <v>64162</v>
      </c>
      <c r="E2057">
        <v>74891487</v>
      </c>
      <c r="F2057">
        <v>66929197</v>
      </c>
      <c r="G2057">
        <v>141820684</v>
      </c>
      <c r="H2057">
        <v>34575</v>
      </c>
      <c r="I2057">
        <v>12008</v>
      </c>
      <c r="J2057">
        <v>46583</v>
      </c>
      <c r="K2057" t="b">
        <f>TrafficData[[#This Row],[disposedChallan]]+TrafficData[[#This Row],[pendingChallan]]=TrafficData[[#This Row],[totalChallan]]</f>
        <v>1</v>
      </c>
      <c r="L2057" t="b">
        <f>TrafficData[[#This Row],[pendingAmount]]+TrafficData[[#This Row],[disposedAmount]]=TrafficData[[#This Row],[totalAmount]]</f>
        <v>1</v>
      </c>
      <c r="M2057" t="b">
        <f>TrafficData[[#This Row],[pendingCourt]]+TrafficData[[#This Row],[disposedCourt]]=TrafficData[[#This Row],[totalCourt]]</f>
        <v>1</v>
      </c>
      <c r="N2057" s="8" t="b">
        <f>AND(TrafficData[[#This Row],[disposedChallan]]&lt;=TrafficData[[#This Row],[totalChallan]],TrafficData[[#This Row],[pendingChallan]]&lt;=TrafficData[[#This Row],[totalChallan]])</f>
        <v>1</v>
      </c>
      <c r="O2057" s="8" t="b">
        <f>AND(TrafficData[[#This Row],[pendingAmount]]&lt;=TrafficData[[#This Row],[totalAmount]],TrafficData[[#This Row],[disposedAmount]]&lt;=TrafficData[[#This Row],[totalAmount]])</f>
        <v>1</v>
      </c>
      <c r="P2057" s="8" t="b">
        <f>AND(TrafficData[[#This Row],[pendingCourt]]&lt;=TrafficData[[#This Row],[totalCourt]],TrafficData[[#This Row],[disposedCourt]]&lt;=TrafficData[[#This Row],[totalCourt]])</f>
        <v>1</v>
      </c>
    </row>
    <row r="2058" spans="1:16">
      <c r="A2058" s="1">
        <v>44062</v>
      </c>
      <c r="B2058">
        <v>110268</v>
      </c>
      <c r="C2058">
        <v>53200</v>
      </c>
      <c r="D2058">
        <v>57068</v>
      </c>
      <c r="E2058">
        <v>63151500</v>
      </c>
      <c r="F2058">
        <v>57842044</v>
      </c>
      <c r="G2058">
        <v>120993544</v>
      </c>
      <c r="H2058">
        <v>31050</v>
      </c>
      <c r="I2058">
        <v>7482</v>
      </c>
      <c r="J2058">
        <v>38532</v>
      </c>
      <c r="K2058" t="b">
        <f>TrafficData[[#This Row],[disposedChallan]]+TrafficData[[#This Row],[pendingChallan]]=TrafficData[[#This Row],[totalChallan]]</f>
        <v>1</v>
      </c>
      <c r="L2058" t="b">
        <f>TrafficData[[#This Row],[pendingAmount]]+TrafficData[[#This Row],[disposedAmount]]=TrafficData[[#This Row],[totalAmount]]</f>
        <v>1</v>
      </c>
      <c r="M2058" t="b">
        <f>TrafficData[[#This Row],[pendingCourt]]+TrafficData[[#This Row],[disposedCourt]]=TrafficData[[#This Row],[totalCourt]]</f>
        <v>1</v>
      </c>
      <c r="N2058" s="8" t="b">
        <f>AND(TrafficData[[#This Row],[disposedChallan]]&lt;=TrafficData[[#This Row],[totalChallan]],TrafficData[[#This Row],[pendingChallan]]&lt;=TrafficData[[#This Row],[totalChallan]])</f>
        <v>1</v>
      </c>
      <c r="O2058" s="8" t="b">
        <f>AND(TrafficData[[#This Row],[pendingAmount]]&lt;=TrafficData[[#This Row],[totalAmount]],TrafficData[[#This Row],[disposedAmount]]&lt;=TrafficData[[#This Row],[totalAmount]])</f>
        <v>1</v>
      </c>
      <c r="P2058" s="8" t="b">
        <f>AND(TrafficData[[#This Row],[pendingCourt]]&lt;=TrafficData[[#This Row],[totalCourt]],TrafficData[[#This Row],[disposedCourt]]&lt;=TrafficData[[#This Row],[totalCourt]])</f>
        <v>1</v>
      </c>
    </row>
    <row r="2059" spans="1:16">
      <c r="A2059" s="1">
        <v>44063</v>
      </c>
      <c r="B2059">
        <v>111932</v>
      </c>
      <c r="C2059">
        <v>54565</v>
      </c>
      <c r="D2059">
        <v>57367</v>
      </c>
      <c r="E2059">
        <v>65033553</v>
      </c>
      <c r="F2059">
        <v>61487079</v>
      </c>
      <c r="G2059">
        <v>126520632</v>
      </c>
      <c r="H2059">
        <v>30806</v>
      </c>
      <c r="I2059">
        <v>7874</v>
      </c>
      <c r="J2059">
        <v>38680</v>
      </c>
      <c r="K2059" t="b">
        <f>TrafficData[[#This Row],[disposedChallan]]+TrafficData[[#This Row],[pendingChallan]]=TrafficData[[#This Row],[totalChallan]]</f>
        <v>1</v>
      </c>
      <c r="L2059" t="b">
        <f>TrafficData[[#This Row],[pendingAmount]]+TrafficData[[#This Row],[disposedAmount]]=TrafficData[[#This Row],[totalAmount]]</f>
        <v>1</v>
      </c>
      <c r="M2059" t="b">
        <f>TrafficData[[#This Row],[pendingCourt]]+TrafficData[[#This Row],[disposedCourt]]=TrafficData[[#This Row],[totalCourt]]</f>
        <v>1</v>
      </c>
      <c r="N2059" s="8" t="b">
        <f>AND(TrafficData[[#This Row],[disposedChallan]]&lt;=TrafficData[[#This Row],[totalChallan]],TrafficData[[#This Row],[pendingChallan]]&lt;=TrafficData[[#This Row],[totalChallan]])</f>
        <v>1</v>
      </c>
      <c r="O2059" s="8" t="b">
        <f>AND(TrafficData[[#This Row],[pendingAmount]]&lt;=TrafficData[[#This Row],[totalAmount]],TrafficData[[#This Row],[disposedAmount]]&lt;=TrafficData[[#This Row],[totalAmount]])</f>
        <v>1</v>
      </c>
      <c r="P2059" s="8" t="b">
        <f>AND(TrafficData[[#This Row],[pendingCourt]]&lt;=TrafficData[[#This Row],[totalCourt]],TrafficData[[#This Row],[disposedCourt]]&lt;=TrafficData[[#This Row],[totalCourt]])</f>
        <v>1</v>
      </c>
    </row>
    <row r="2060" spans="1:16">
      <c r="A2060" s="1">
        <v>44064</v>
      </c>
      <c r="B2060">
        <v>113622</v>
      </c>
      <c r="C2060">
        <v>55458</v>
      </c>
      <c r="D2060">
        <v>58164</v>
      </c>
      <c r="E2060">
        <v>71070179</v>
      </c>
      <c r="F2060">
        <v>66748895</v>
      </c>
      <c r="G2060">
        <v>137819074</v>
      </c>
      <c r="H2060">
        <v>34108</v>
      </c>
      <c r="I2060">
        <v>12588</v>
      </c>
      <c r="J2060">
        <v>46696</v>
      </c>
      <c r="K2060" t="b">
        <f>TrafficData[[#This Row],[disposedChallan]]+TrafficData[[#This Row],[pendingChallan]]=TrafficData[[#This Row],[totalChallan]]</f>
        <v>1</v>
      </c>
      <c r="L2060" t="b">
        <f>TrafficData[[#This Row],[pendingAmount]]+TrafficData[[#This Row],[disposedAmount]]=TrafficData[[#This Row],[totalAmount]]</f>
        <v>1</v>
      </c>
      <c r="M2060" t="b">
        <f>TrafficData[[#This Row],[pendingCourt]]+TrafficData[[#This Row],[disposedCourt]]=TrafficData[[#This Row],[totalCourt]]</f>
        <v>1</v>
      </c>
      <c r="N2060" s="8" t="b">
        <f>AND(TrafficData[[#This Row],[disposedChallan]]&lt;=TrafficData[[#This Row],[totalChallan]],TrafficData[[#This Row],[pendingChallan]]&lt;=TrafficData[[#This Row],[totalChallan]])</f>
        <v>1</v>
      </c>
      <c r="O2060" s="8" t="b">
        <f>AND(TrafficData[[#This Row],[pendingAmount]]&lt;=TrafficData[[#This Row],[totalAmount]],TrafficData[[#This Row],[disposedAmount]]&lt;=TrafficData[[#This Row],[totalAmount]])</f>
        <v>1</v>
      </c>
      <c r="P2060" s="8" t="b">
        <f>AND(TrafficData[[#This Row],[pendingCourt]]&lt;=TrafficData[[#This Row],[totalCourt]],TrafficData[[#This Row],[disposedCourt]]&lt;=TrafficData[[#This Row],[totalCourt]])</f>
        <v>1</v>
      </c>
    </row>
    <row r="2061" spans="1:16">
      <c r="A2061" s="1">
        <v>44065</v>
      </c>
      <c r="B2061">
        <v>98016</v>
      </c>
      <c r="C2061">
        <v>46665</v>
      </c>
      <c r="D2061">
        <v>51351</v>
      </c>
      <c r="E2061">
        <v>66121801</v>
      </c>
      <c r="F2061">
        <v>53240218</v>
      </c>
      <c r="G2061">
        <v>119362019</v>
      </c>
      <c r="H2061">
        <v>31598</v>
      </c>
      <c r="I2061">
        <v>7248</v>
      </c>
      <c r="J2061">
        <v>38846</v>
      </c>
      <c r="K2061" t="b">
        <f>TrafficData[[#This Row],[disposedChallan]]+TrafficData[[#This Row],[pendingChallan]]=TrafficData[[#This Row],[totalChallan]]</f>
        <v>1</v>
      </c>
      <c r="L2061" t="b">
        <f>TrafficData[[#This Row],[pendingAmount]]+TrafficData[[#This Row],[disposedAmount]]=TrafficData[[#This Row],[totalAmount]]</f>
        <v>1</v>
      </c>
      <c r="M2061" t="b">
        <f>TrafficData[[#This Row],[pendingCourt]]+TrafficData[[#This Row],[disposedCourt]]=TrafficData[[#This Row],[totalCourt]]</f>
        <v>1</v>
      </c>
      <c r="N2061" s="8" t="b">
        <f>AND(TrafficData[[#This Row],[disposedChallan]]&lt;=TrafficData[[#This Row],[totalChallan]],TrafficData[[#This Row],[pendingChallan]]&lt;=TrafficData[[#This Row],[totalChallan]])</f>
        <v>1</v>
      </c>
      <c r="O2061" s="8" t="b">
        <f>AND(TrafficData[[#This Row],[pendingAmount]]&lt;=TrafficData[[#This Row],[totalAmount]],TrafficData[[#This Row],[disposedAmount]]&lt;=TrafficData[[#This Row],[totalAmount]])</f>
        <v>1</v>
      </c>
      <c r="P2061" s="8" t="b">
        <f>AND(TrafficData[[#This Row],[pendingCourt]]&lt;=TrafficData[[#This Row],[totalCourt]],TrafficData[[#This Row],[disposedCourt]]&lt;=TrafficData[[#This Row],[totalCourt]])</f>
        <v>1</v>
      </c>
    </row>
    <row r="2062" spans="1:16">
      <c r="A2062" s="1">
        <v>44066</v>
      </c>
      <c r="B2062">
        <v>92637</v>
      </c>
      <c r="C2062">
        <v>40533</v>
      </c>
      <c r="D2062">
        <v>52104</v>
      </c>
      <c r="E2062">
        <v>64440454</v>
      </c>
      <c r="F2062">
        <v>49248132</v>
      </c>
      <c r="G2062">
        <v>113688586</v>
      </c>
      <c r="H2062">
        <v>13353</v>
      </c>
      <c r="I2062">
        <v>9521</v>
      </c>
      <c r="J2062">
        <v>22874</v>
      </c>
      <c r="K2062" t="b">
        <f>TrafficData[[#This Row],[disposedChallan]]+TrafficData[[#This Row],[pendingChallan]]=TrafficData[[#This Row],[totalChallan]]</f>
        <v>1</v>
      </c>
      <c r="L2062" t="b">
        <f>TrafficData[[#This Row],[pendingAmount]]+TrafficData[[#This Row],[disposedAmount]]=TrafficData[[#This Row],[totalAmount]]</f>
        <v>1</v>
      </c>
      <c r="M2062" t="b">
        <f>TrafficData[[#This Row],[pendingCourt]]+TrafficData[[#This Row],[disposedCourt]]=TrafficData[[#This Row],[totalCourt]]</f>
        <v>1</v>
      </c>
      <c r="N2062" s="8" t="b">
        <f>AND(TrafficData[[#This Row],[disposedChallan]]&lt;=TrafficData[[#This Row],[totalChallan]],TrafficData[[#This Row],[pendingChallan]]&lt;=TrafficData[[#This Row],[totalChallan]])</f>
        <v>1</v>
      </c>
      <c r="O2062" s="8" t="b">
        <f>AND(TrafficData[[#This Row],[pendingAmount]]&lt;=TrafficData[[#This Row],[totalAmount]],TrafficData[[#This Row],[disposedAmount]]&lt;=TrafficData[[#This Row],[totalAmount]])</f>
        <v>1</v>
      </c>
      <c r="P2062" s="8" t="b">
        <f>AND(TrafficData[[#This Row],[pendingCourt]]&lt;=TrafficData[[#This Row],[totalCourt]],TrafficData[[#This Row],[disposedCourt]]&lt;=TrafficData[[#This Row],[totalCourt]])</f>
        <v>1</v>
      </c>
    </row>
    <row r="2063" spans="1:16">
      <c r="A2063" s="1">
        <v>44067</v>
      </c>
      <c r="B2063">
        <v>134737</v>
      </c>
      <c r="C2063">
        <v>63291</v>
      </c>
      <c r="D2063">
        <v>71446</v>
      </c>
      <c r="E2063">
        <v>75582722</v>
      </c>
      <c r="F2063">
        <v>62054753</v>
      </c>
      <c r="G2063">
        <v>137637475</v>
      </c>
      <c r="H2063">
        <v>36111</v>
      </c>
      <c r="I2063">
        <v>8517</v>
      </c>
      <c r="J2063">
        <v>44628</v>
      </c>
      <c r="K2063" t="b">
        <f>TrafficData[[#This Row],[disposedChallan]]+TrafficData[[#This Row],[pendingChallan]]=TrafficData[[#This Row],[totalChallan]]</f>
        <v>1</v>
      </c>
      <c r="L2063" t="b">
        <f>TrafficData[[#This Row],[pendingAmount]]+TrafficData[[#This Row],[disposedAmount]]=TrafficData[[#This Row],[totalAmount]]</f>
        <v>1</v>
      </c>
      <c r="M2063" t="b">
        <f>TrafficData[[#This Row],[pendingCourt]]+TrafficData[[#This Row],[disposedCourt]]=TrafficData[[#This Row],[totalCourt]]</f>
        <v>1</v>
      </c>
      <c r="N2063" s="8" t="b">
        <f>AND(TrafficData[[#This Row],[disposedChallan]]&lt;=TrafficData[[#This Row],[totalChallan]],TrafficData[[#This Row],[pendingChallan]]&lt;=TrafficData[[#This Row],[totalChallan]])</f>
        <v>1</v>
      </c>
      <c r="O2063" s="8" t="b">
        <f>AND(TrafficData[[#This Row],[pendingAmount]]&lt;=TrafficData[[#This Row],[totalAmount]],TrafficData[[#This Row],[disposedAmount]]&lt;=TrafficData[[#This Row],[totalAmount]])</f>
        <v>1</v>
      </c>
      <c r="P2063" s="8" t="b">
        <f>AND(TrafficData[[#This Row],[pendingCourt]]&lt;=TrafficData[[#This Row],[totalCourt]],TrafficData[[#This Row],[disposedCourt]]&lt;=TrafficData[[#This Row],[totalCourt]])</f>
        <v>1</v>
      </c>
    </row>
    <row r="2064" spans="1:16">
      <c r="A2064" s="1">
        <v>44068</v>
      </c>
      <c r="B2064">
        <v>137954</v>
      </c>
      <c r="C2064">
        <v>65721</v>
      </c>
      <c r="D2064">
        <v>72233</v>
      </c>
      <c r="E2064">
        <v>77571619</v>
      </c>
      <c r="F2064">
        <v>68021100</v>
      </c>
      <c r="G2064">
        <v>145592719</v>
      </c>
      <c r="H2064">
        <v>35154</v>
      </c>
      <c r="I2064">
        <v>12140</v>
      </c>
      <c r="J2064">
        <v>47294</v>
      </c>
      <c r="K2064" t="b">
        <f>TrafficData[[#This Row],[disposedChallan]]+TrafficData[[#This Row],[pendingChallan]]=TrafficData[[#This Row],[totalChallan]]</f>
        <v>1</v>
      </c>
      <c r="L2064" t="b">
        <f>TrafficData[[#This Row],[pendingAmount]]+TrafficData[[#This Row],[disposedAmount]]=TrafficData[[#This Row],[totalAmount]]</f>
        <v>1</v>
      </c>
      <c r="M2064" t="b">
        <f>TrafficData[[#This Row],[pendingCourt]]+TrafficData[[#This Row],[disposedCourt]]=TrafficData[[#This Row],[totalCourt]]</f>
        <v>1</v>
      </c>
      <c r="N2064" s="8" t="b">
        <f>AND(TrafficData[[#This Row],[disposedChallan]]&lt;=TrafficData[[#This Row],[totalChallan]],TrafficData[[#This Row],[pendingChallan]]&lt;=TrafficData[[#This Row],[totalChallan]])</f>
        <v>1</v>
      </c>
      <c r="O2064" s="8" t="b">
        <f>AND(TrafficData[[#This Row],[pendingAmount]]&lt;=TrafficData[[#This Row],[totalAmount]],TrafficData[[#This Row],[disposedAmount]]&lt;=TrafficData[[#This Row],[totalAmount]])</f>
        <v>1</v>
      </c>
      <c r="P2064" s="8" t="b">
        <f>AND(TrafficData[[#This Row],[pendingCourt]]&lt;=TrafficData[[#This Row],[totalCourt]],TrafficData[[#This Row],[disposedCourt]]&lt;=TrafficData[[#This Row],[totalCourt]])</f>
        <v>1</v>
      </c>
    </row>
    <row r="2065" spans="1:16">
      <c r="A2065" s="1">
        <v>44069</v>
      </c>
      <c r="B2065">
        <v>123992</v>
      </c>
      <c r="C2065">
        <v>60720</v>
      </c>
      <c r="D2065">
        <v>63272</v>
      </c>
      <c r="E2065">
        <v>76005598</v>
      </c>
      <c r="F2065">
        <v>67954849</v>
      </c>
      <c r="G2065">
        <v>143960447</v>
      </c>
      <c r="H2065">
        <v>33805</v>
      </c>
      <c r="I2065">
        <v>8737</v>
      </c>
      <c r="J2065">
        <v>42542</v>
      </c>
      <c r="K2065" t="b">
        <f>TrafficData[[#This Row],[disposedChallan]]+TrafficData[[#This Row],[pendingChallan]]=TrafficData[[#This Row],[totalChallan]]</f>
        <v>1</v>
      </c>
      <c r="L2065" t="b">
        <f>TrafficData[[#This Row],[pendingAmount]]+TrafficData[[#This Row],[disposedAmount]]=TrafficData[[#This Row],[totalAmount]]</f>
        <v>1</v>
      </c>
      <c r="M2065" t="b">
        <f>TrafficData[[#This Row],[pendingCourt]]+TrafficData[[#This Row],[disposedCourt]]=TrafficData[[#This Row],[totalCourt]]</f>
        <v>1</v>
      </c>
      <c r="N2065" s="8" t="b">
        <f>AND(TrafficData[[#This Row],[disposedChallan]]&lt;=TrafficData[[#This Row],[totalChallan]],TrafficData[[#This Row],[pendingChallan]]&lt;=TrafficData[[#This Row],[totalChallan]])</f>
        <v>1</v>
      </c>
      <c r="O2065" s="8" t="b">
        <f>AND(TrafficData[[#This Row],[pendingAmount]]&lt;=TrafficData[[#This Row],[totalAmount]],TrafficData[[#This Row],[disposedAmount]]&lt;=TrafficData[[#This Row],[totalAmount]])</f>
        <v>1</v>
      </c>
      <c r="P2065" s="8" t="b">
        <f>AND(TrafficData[[#This Row],[pendingCourt]]&lt;=TrafficData[[#This Row],[totalCourt]],TrafficData[[#This Row],[disposedCourt]]&lt;=TrafficData[[#This Row],[totalCourt]])</f>
        <v>1</v>
      </c>
    </row>
    <row r="2066" spans="1:16">
      <c r="A2066" s="1">
        <v>44070</v>
      </c>
      <c r="B2066">
        <v>120736</v>
      </c>
      <c r="C2066">
        <v>60535</v>
      </c>
      <c r="D2066">
        <v>60201</v>
      </c>
      <c r="E2066">
        <v>74059892</v>
      </c>
      <c r="F2066">
        <v>65238657</v>
      </c>
      <c r="G2066">
        <v>139298549</v>
      </c>
      <c r="H2066">
        <v>32632</v>
      </c>
      <c r="I2066">
        <v>8825</v>
      </c>
      <c r="J2066">
        <v>41457</v>
      </c>
      <c r="K2066" t="b">
        <f>TrafficData[[#This Row],[disposedChallan]]+TrafficData[[#This Row],[pendingChallan]]=TrafficData[[#This Row],[totalChallan]]</f>
        <v>1</v>
      </c>
      <c r="L2066" t="b">
        <f>TrafficData[[#This Row],[pendingAmount]]+TrafficData[[#This Row],[disposedAmount]]=TrafficData[[#This Row],[totalAmount]]</f>
        <v>1</v>
      </c>
      <c r="M2066" t="b">
        <f>TrafficData[[#This Row],[pendingCourt]]+TrafficData[[#This Row],[disposedCourt]]=TrafficData[[#This Row],[totalCourt]]</f>
        <v>1</v>
      </c>
      <c r="N2066" s="8" t="b">
        <f>AND(TrafficData[[#This Row],[disposedChallan]]&lt;=TrafficData[[#This Row],[totalChallan]],TrafficData[[#This Row],[pendingChallan]]&lt;=TrafficData[[#This Row],[totalChallan]])</f>
        <v>1</v>
      </c>
      <c r="O2066" s="8" t="b">
        <f>AND(TrafficData[[#This Row],[pendingAmount]]&lt;=TrafficData[[#This Row],[totalAmount]],TrafficData[[#This Row],[disposedAmount]]&lt;=TrafficData[[#This Row],[totalAmount]])</f>
        <v>1</v>
      </c>
      <c r="P2066" s="8" t="b">
        <f>AND(TrafficData[[#This Row],[pendingCourt]]&lt;=TrafficData[[#This Row],[totalCourt]],TrafficData[[#This Row],[disposedCourt]]&lt;=TrafficData[[#This Row],[totalCourt]])</f>
        <v>1</v>
      </c>
    </row>
    <row r="2067" spans="1:16">
      <c r="A2067" s="1">
        <v>44071</v>
      </c>
      <c r="B2067">
        <v>116253</v>
      </c>
      <c r="C2067">
        <v>58999</v>
      </c>
      <c r="D2067">
        <v>57254</v>
      </c>
      <c r="E2067">
        <v>68668641</v>
      </c>
      <c r="F2067">
        <v>67558757</v>
      </c>
      <c r="G2067">
        <v>136227398</v>
      </c>
      <c r="H2067">
        <v>32023</v>
      </c>
      <c r="I2067">
        <v>11989</v>
      </c>
      <c r="J2067">
        <v>44012</v>
      </c>
      <c r="K2067" t="b">
        <f>TrafficData[[#This Row],[disposedChallan]]+TrafficData[[#This Row],[pendingChallan]]=TrafficData[[#This Row],[totalChallan]]</f>
        <v>1</v>
      </c>
      <c r="L2067" t="b">
        <f>TrafficData[[#This Row],[pendingAmount]]+TrafficData[[#This Row],[disposedAmount]]=TrafficData[[#This Row],[totalAmount]]</f>
        <v>1</v>
      </c>
      <c r="M2067" t="b">
        <f>TrafficData[[#This Row],[pendingCourt]]+TrafficData[[#This Row],[disposedCourt]]=TrafficData[[#This Row],[totalCourt]]</f>
        <v>1</v>
      </c>
      <c r="N2067" s="8" t="b">
        <f>AND(TrafficData[[#This Row],[disposedChallan]]&lt;=TrafficData[[#This Row],[totalChallan]],TrafficData[[#This Row],[pendingChallan]]&lt;=TrafficData[[#This Row],[totalChallan]])</f>
        <v>1</v>
      </c>
      <c r="O2067" s="8" t="b">
        <f>AND(TrafficData[[#This Row],[pendingAmount]]&lt;=TrafficData[[#This Row],[totalAmount]],TrafficData[[#This Row],[disposedAmount]]&lt;=TrafficData[[#This Row],[totalAmount]])</f>
        <v>1</v>
      </c>
      <c r="P2067" s="8" t="b">
        <f>AND(TrafficData[[#This Row],[pendingCourt]]&lt;=TrafficData[[#This Row],[totalCourt]],TrafficData[[#This Row],[disposedCourt]]&lt;=TrafficData[[#This Row],[totalCourt]])</f>
        <v>1</v>
      </c>
    </row>
    <row r="2068" spans="1:16">
      <c r="A2068" s="1">
        <v>44072</v>
      </c>
      <c r="B2068">
        <v>122622</v>
      </c>
      <c r="C2068">
        <v>60482</v>
      </c>
      <c r="D2068">
        <v>62140</v>
      </c>
      <c r="E2068">
        <v>70254542</v>
      </c>
      <c r="F2068">
        <v>68057947</v>
      </c>
      <c r="G2068">
        <v>138312489</v>
      </c>
      <c r="H2068">
        <v>31431</v>
      </c>
      <c r="I2068">
        <v>11170</v>
      </c>
      <c r="J2068">
        <v>42601</v>
      </c>
      <c r="K2068" t="b">
        <f>TrafficData[[#This Row],[disposedChallan]]+TrafficData[[#This Row],[pendingChallan]]=TrafficData[[#This Row],[totalChallan]]</f>
        <v>1</v>
      </c>
      <c r="L2068" t="b">
        <f>TrafficData[[#This Row],[pendingAmount]]+TrafficData[[#This Row],[disposedAmount]]=TrafficData[[#This Row],[totalAmount]]</f>
        <v>1</v>
      </c>
      <c r="M2068" t="b">
        <f>TrafficData[[#This Row],[pendingCourt]]+TrafficData[[#This Row],[disposedCourt]]=TrafficData[[#This Row],[totalCourt]]</f>
        <v>1</v>
      </c>
      <c r="N2068" s="8" t="b">
        <f>AND(TrafficData[[#This Row],[disposedChallan]]&lt;=TrafficData[[#This Row],[totalChallan]],TrafficData[[#This Row],[pendingChallan]]&lt;=TrafficData[[#This Row],[totalChallan]])</f>
        <v>1</v>
      </c>
      <c r="O2068" s="8" t="b">
        <f>AND(TrafficData[[#This Row],[pendingAmount]]&lt;=TrafficData[[#This Row],[totalAmount]],TrafficData[[#This Row],[disposedAmount]]&lt;=TrafficData[[#This Row],[totalAmount]])</f>
        <v>1</v>
      </c>
      <c r="P2068" s="8" t="b">
        <f>AND(TrafficData[[#This Row],[pendingCourt]]&lt;=TrafficData[[#This Row],[totalCourt]],TrafficData[[#This Row],[disposedCourt]]&lt;=TrafficData[[#This Row],[totalCourt]])</f>
        <v>1</v>
      </c>
    </row>
    <row r="2069" spans="1:16">
      <c r="A2069" s="1">
        <v>44073</v>
      </c>
      <c r="B2069">
        <v>96803</v>
      </c>
      <c r="C2069">
        <v>45012</v>
      </c>
      <c r="D2069">
        <v>51791</v>
      </c>
      <c r="E2069">
        <v>60933157</v>
      </c>
      <c r="F2069">
        <v>51985880</v>
      </c>
      <c r="G2069">
        <v>112919037</v>
      </c>
      <c r="H2069">
        <v>28150</v>
      </c>
      <c r="I2069">
        <v>9000</v>
      </c>
      <c r="J2069">
        <v>37150</v>
      </c>
      <c r="K2069" t="b">
        <f>TrafficData[[#This Row],[disposedChallan]]+TrafficData[[#This Row],[pendingChallan]]=TrafficData[[#This Row],[totalChallan]]</f>
        <v>1</v>
      </c>
      <c r="L2069" t="b">
        <f>TrafficData[[#This Row],[pendingAmount]]+TrafficData[[#This Row],[disposedAmount]]=TrafficData[[#This Row],[totalAmount]]</f>
        <v>1</v>
      </c>
      <c r="M2069" t="b">
        <f>TrafficData[[#This Row],[pendingCourt]]+TrafficData[[#This Row],[disposedCourt]]=TrafficData[[#This Row],[totalCourt]]</f>
        <v>1</v>
      </c>
      <c r="N2069" s="8" t="b">
        <f>AND(TrafficData[[#This Row],[disposedChallan]]&lt;=TrafficData[[#This Row],[totalChallan]],TrafficData[[#This Row],[pendingChallan]]&lt;=TrafficData[[#This Row],[totalChallan]])</f>
        <v>1</v>
      </c>
      <c r="O2069" s="8" t="b">
        <f>AND(TrafficData[[#This Row],[pendingAmount]]&lt;=TrafficData[[#This Row],[totalAmount]],TrafficData[[#This Row],[disposedAmount]]&lt;=TrafficData[[#This Row],[totalAmount]])</f>
        <v>1</v>
      </c>
      <c r="P2069" s="8" t="b">
        <f>AND(TrafficData[[#This Row],[pendingCourt]]&lt;=TrafficData[[#This Row],[totalCourt]],TrafficData[[#This Row],[disposedCourt]]&lt;=TrafficData[[#This Row],[totalCourt]])</f>
        <v>1</v>
      </c>
    </row>
    <row r="2070" spans="1:16">
      <c r="A2070" s="1">
        <v>44074</v>
      </c>
      <c r="B2070">
        <v>119512</v>
      </c>
      <c r="C2070">
        <v>58850</v>
      </c>
      <c r="D2070">
        <v>60662</v>
      </c>
      <c r="E2070">
        <v>69846381</v>
      </c>
      <c r="F2070">
        <v>55735653</v>
      </c>
      <c r="G2070">
        <v>125582034</v>
      </c>
      <c r="H2070">
        <v>32890</v>
      </c>
      <c r="I2070">
        <v>11757</v>
      </c>
      <c r="J2070">
        <v>44647</v>
      </c>
      <c r="K2070" t="b">
        <f>TrafficData[[#This Row],[disposedChallan]]+TrafficData[[#This Row],[pendingChallan]]=TrafficData[[#This Row],[totalChallan]]</f>
        <v>1</v>
      </c>
      <c r="L2070" t="b">
        <f>TrafficData[[#This Row],[pendingAmount]]+TrafficData[[#This Row],[disposedAmount]]=TrafficData[[#This Row],[totalAmount]]</f>
        <v>1</v>
      </c>
      <c r="M2070" t="b">
        <f>TrafficData[[#This Row],[pendingCourt]]+TrafficData[[#This Row],[disposedCourt]]=TrafficData[[#This Row],[totalCourt]]</f>
        <v>1</v>
      </c>
      <c r="N2070" s="8" t="b">
        <f>AND(TrafficData[[#This Row],[disposedChallan]]&lt;=TrafficData[[#This Row],[totalChallan]],TrafficData[[#This Row],[pendingChallan]]&lt;=TrafficData[[#This Row],[totalChallan]])</f>
        <v>1</v>
      </c>
      <c r="O2070" s="8" t="b">
        <f>AND(TrafficData[[#This Row],[pendingAmount]]&lt;=TrafficData[[#This Row],[totalAmount]],TrafficData[[#This Row],[disposedAmount]]&lt;=TrafficData[[#This Row],[totalAmount]])</f>
        <v>1</v>
      </c>
      <c r="P2070" s="8" t="b">
        <f>AND(TrafficData[[#This Row],[pendingCourt]]&lt;=TrafficData[[#This Row],[totalCourt]],TrafficData[[#This Row],[disposedCourt]]&lt;=TrafficData[[#This Row],[totalCourt]])</f>
        <v>1</v>
      </c>
    </row>
    <row r="2071" spans="1:16">
      <c r="A2071" s="1">
        <v>44075</v>
      </c>
      <c r="B2071">
        <v>116849</v>
      </c>
      <c r="C2071">
        <v>55998</v>
      </c>
      <c r="D2071">
        <v>60851</v>
      </c>
      <c r="E2071">
        <v>71633590</v>
      </c>
      <c r="F2071">
        <v>60223317</v>
      </c>
      <c r="G2071">
        <v>131856907</v>
      </c>
      <c r="H2071">
        <v>32167</v>
      </c>
      <c r="I2071">
        <v>10261</v>
      </c>
      <c r="J2071">
        <v>42428</v>
      </c>
      <c r="K2071" t="b">
        <f>TrafficData[[#This Row],[disposedChallan]]+TrafficData[[#This Row],[pendingChallan]]=TrafficData[[#This Row],[totalChallan]]</f>
        <v>1</v>
      </c>
      <c r="L2071" t="b">
        <f>TrafficData[[#This Row],[pendingAmount]]+TrafficData[[#This Row],[disposedAmount]]=TrafficData[[#This Row],[totalAmount]]</f>
        <v>1</v>
      </c>
      <c r="M2071" t="b">
        <f>TrafficData[[#This Row],[pendingCourt]]+TrafficData[[#This Row],[disposedCourt]]=TrafficData[[#This Row],[totalCourt]]</f>
        <v>1</v>
      </c>
      <c r="N2071" s="8" t="b">
        <f>AND(TrafficData[[#This Row],[disposedChallan]]&lt;=TrafficData[[#This Row],[totalChallan]],TrafficData[[#This Row],[pendingChallan]]&lt;=TrafficData[[#This Row],[totalChallan]])</f>
        <v>1</v>
      </c>
      <c r="O2071" s="8" t="b">
        <f>AND(TrafficData[[#This Row],[pendingAmount]]&lt;=TrafficData[[#This Row],[totalAmount]],TrafficData[[#This Row],[disposedAmount]]&lt;=TrafficData[[#This Row],[totalAmount]])</f>
        <v>1</v>
      </c>
      <c r="P2071" s="8" t="b">
        <f>AND(TrafficData[[#This Row],[pendingCourt]]&lt;=TrafficData[[#This Row],[totalCourt]],TrafficData[[#This Row],[disposedCourt]]&lt;=TrafficData[[#This Row],[totalCourt]])</f>
        <v>1</v>
      </c>
    </row>
    <row r="2072" spans="1:16">
      <c r="A2072" s="1">
        <v>44076</v>
      </c>
      <c r="B2072">
        <v>123607</v>
      </c>
      <c r="C2072">
        <v>59345</v>
      </c>
      <c r="D2072">
        <v>64262</v>
      </c>
      <c r="E2072">
        <v>76192013</v>
      </c>
      <c r="F2072">
        <v>64417901</v>
      </c>
      <c r="G2072">
        <v>140609914</v>
      </c>
      <c r="H2072">
        <v>34018</v>
      </c>
      <c r="I2072">
        <v>10489</v>
      </c>
      <c r="J2072">
        <v>44507</v>
      </c>
      <c r="K2072" t="b">
        <f>TrafficData[[#This Row],[disposedChallan]]+TrafficData[[#This Row],[pendingChallan]]=TrafficData[[#This Row],[totalChallan]]</f>
        <v>1</v>
      </c>
      <c r="L2072" t="b">
        <f>TrafficData[[#This Row],[pendingAmount]]+TrafficData[[#This Row],[disposedAmount]]=TrafficData[[#This Row],[totalAmount]]</f>
        <v>1</v>
      </c>
      <c r="M2072" t="b">
        <f>TrafficData[[#This Row],[pendingCourt]]+TrafficData[[#This Row],[disposedCourt]]=TrafficData[[#This Row],[totalCourt]]</f>
        <v>1</v>
      </c>
      <c r="N2072" s="8" t="b">
        <f>AND(TrafficData[[#This Row],[disposedChallan]]&lt;=TrafficData[[#This Row],[totalChallan]],TrafficData[[#This Row],[pendingChallan]]&lt;=TrafficData[[#This Row],[totalChallan]])</f>
        <v>1</v>
      </c>
      <c r="O2072" s="8" t="b">
        <f>AND(TrafficData[[#This Row],[pendingAmount]]&lt;=TrafficData[[#This Row],[totalAmount]],TrafficData[[#This Row],[disposedAmount]]&lt;=TrafficData[[#This Row],[totalAmount]])</f>
        <v>1</v>
      </c>
      <c r="P2072" s="8" t="b">
        <f>AND(TrafficData[[#This Row],[pendingCourt]]&lt;=TrafficData[[#This Row],[totalCourt]],TrafficData[[#This Row],[disposedCourt]]&lt;=TrafficData[[#This Row],[totalCourt]])</f>
        <v>1</v>
      </c>
    </row>
    <row r="2073" spans="1:16">
      <c r="A2073" s="1">
        <v>44077</v>
      </c>
      <c r="B2073">
        <v>128722</v>
      </c>
      <c r="C2073">
        <v>63037</v>
      </c>
      <c r="D2073">
        <v>65685</v>
      </c>
      <c r="E2073">
        <v>83302517</v>
      </c>
      <c r="F2073">
        <v>75155480</v>
      </c>
      <c r="G2073">
        <v>158457997</v>
      </c>
      <c r="H2073">
        <v>33225</v>
      </c>
      <c r="I2073">
        <v>8189</v>
      </c>
      <c r="J2073">
        <v>41414</v>
      </c>
      <c r="K2073" t="b">
        <f>TrafficData[[#This Row],[disposedChallan]]+TrafficData[[#This Row],[pendingChallan]]=TrafficData[[#This Row],[totalChallan]]</f>
        <v>1</v>
      </c>
      <c r="L2073" t="b">
        <f>TrafficData[[#This Row],[pendingAmount]]+TrafficData[[#This Row],[disposedAmount]]=TrafficData[[#This Row],[totalAmount]]</f>
        <v>1</v>
      </c>
      <c r="M2073" t="b">
        <f>TrafficData[[#This Row],[pendingCourt]]+TrafficData[[#This Row],[disposedCourt]]=TrafficData[[#This Row],[totalCourt]]</f>
        <v>1</v>
      </c>
      <c r="N2073" s="8" t="b">
        <f>AND(TrafficData[[#This Row],[disposedChallan]]&lt;=TrafficData[[#This Row],[totalChallan]],TrafficData[[#This Row],[pendingChallan]]&lt;=TrafficData[[#This Row],[totalChallan]])</f>
        <v>1</v>
      </c>
      <c r="O2073" s="8" t="b">
        <f>AND(TrafficData[[#This Row],[pendingAmount]]&lt;=TrafficData[[#This Row],[totalAmount]],TrafficData[[#This Row],[disposedAmount]]&lt;=TrafficData[[#This Row],[totalAmount]])</f>
        <v>1</v>
      </c>
      <c r="P2073" s="8" t="b">
        <f>AND(TrafficData[[#This Row],[pendingCourt]]&lt;=TrafficData[[#This Row],[totalCourt]],TrafficData[[#This Row],[disposedCourt]]&lt;=TrafficData[[#This Row],[totalCourt]])</f>
        <v>1</v>
      </c>
    </row>
    <row r="2074" spans="1:16">
      <c r="A2074" s="1">
        <v>44078</v>
      </c>
      <c r="B2074">
        <v>128813</v>
      </c>
      <c r="C2074">
        <v>63613</v>
      </c>
      <c r="D2074">
        <v>65200</v>
      </c>
      <c r="E2074">
        <v>81055184</v>
      </c>
      <c r="F2074">
        <v>74763515</v>
      </c>
      <c r="G2074">
        <v>155818699</v>
      </c>
      <c r="H2074">
        <v>34299</v>
      </c>
      <c r="I2074">
        <v>10686</v>
      </c>
      <c r="J2074">
        <v>44985</v>
      </c>
      <c r="K2074" t="b">
        <f>TrafficData[[#This Row],[disposedChallan]]+TrafficData[[#This Row],[pendingChallan]]=TrafficData[[#This Row],[totalChallan]]</f>
        <v>1</v>
      </c>
      <c r="L2074" t="b">
        <f>TrafficData[[#This Row],[pendingAmount]]+TrafficData[[#This Row],[disposedAmount]]=TrafficData[[#This Row],[totalAmount]]</f>
        <v>1</v>
      </c>
      <c r="M2074" t="b">
        <f>TrafficData[[#This Row],[pendingCourt]]+TrafficData[[#This Row],[disposedCourt]]=TrafficData[[#This Row],[totalCourt]]</f>
        <v>1</v>
      </c>
      <c r="N2074" s="8" t="b">
        <f>AND(TrafficData[[#This Row],[disposedChallan]]&lt;=TrafficData[[#This Row],[totalChallan]],TrafficData[[#This Row],[pendingChallan]]&lt;=TrafficData[[#This Row],[totalChallan]])</f>
        <v>1</v>
      </c>
      <c r="O2074" s="8" t="b">
        <f>AND(TrafficData[[#This Row],[pendingAmount]]&lt;=TrafficData[[#This Row],[totalAmount]],TrafficData[[#This Row],[disposedAmount]]&lt;=TrafficData[[#This Row],[totalAmount]])</f>
        <v>1</v>
      </c>
      <c r="P2074" s="8" t="b">
        <f>AND(TrafficData[[#This Row],[pendingCourt]]&lt;=TrafficData[[#This Row],[totalCourt]],TrafficData[[#This Row],[disposedCourt]]&lt;=TrafficData[[#This Row],[totalCourt]])</f>
        <v>1</v>
      </c>
    </row>
    <row r="2075" spans="1:16">
      <c r="A2075" s="1">
        <v>44079</v>
      </c>
      <c r="B2075">
        <v>121314</v>
      </c>
      <c r="C2075">
        <v>60145</v>
      </c>
      <c r="D2075">
        <v>61169</v>
      </c>
      <c r="E2075">
        <v>70616480</v>
      </c>
      <c r="F2075">
        <v>67451981</v>
      </c>
      <c r="G2075">
        <v>138068461</v>
      </c>
      <c r="H2075">
        <v>15923</v>
      </c>
      <c r="I2075">
        <v>6855</v>
      </c>
      <c r="J2075">
        <v>22778</v>
      </c>
      <c r="K2075" t="b">
        <f>TrafficData[[#This Row],[disposedChallan]]+TrafficData[[#This Row],[pendingChallan]]=TrafficData[[#This Row],[totalChallan]]</f>
        <v>1</v>
      </c>
      <c r="L2075" t="b">
        <f>TrafficData[[#This Row],[pendingAmount]]+TrafficData[[#This Row],[disposedAmount]]=TrafficData[[#This Row],[totalAmount]]</f>
        <v>1</v>
      </c>
      <c r="M2075" t="b">
        <f>TrafficData[[#This Row],[pendingCourt]]+TrafficData[[#This Row],[disposedCourt]]=TrafficData[[#This Row],[totalCourt]]</f>
        <v>1</v>
      </c>
      <c r="N2075" s="8" t="b">
        <f>AND(TrafficData[[#This Row],[disposedChallan]]&lt;=TrafficData[[#This Row],[totalChallan]],TrafficData[[#This Row],[pendingChallan]]&lt;=TrafficData[[#This Row],[totalChallan]])</f>
        <v>1</v>
      </c>
      <c r="O2075" s="8" t="b">
        <f>AND(TrafficData[[#This Row],[pendingAmount]]&lt;=TrafficData[[#This Row],[totalAmount]],TrafficData[[#This Row],[disposedAmount]]&lt;=TrafficData[[#This Row],[totalAmount]])</f>
        <v>1</v>
      </c>
      <c r="P2075" s="8" t="b">
        <f>AND(TrafficData[[#This Row],[pendingCourt]]&lt;=TrafficData[[#This Row],[totalCourt]],TrafficData[[#This Row],[disposedCourt]]&lt;=TrafficData[[#This Row],[totalCourt]])</f>
        <v>1</v>
      </c>
    </row>
    <row r="2076" spans="1:16">
      <c r="A2076" s="1">
        <v>44080</v>
      </c>
      <c r="B2076">
        <v>113927</v>
      </c>
      <c r="C2076">
        <v>52328</v>
      </c>
      <c r="D2076">
        <v>61599</v>
      </c>
      <c r="E2076">
        <v>69694612</v>
      </c>
      <c r="F2076">
        <v>86039798</v>
      </c>
      <c r="G2076">
        <v>155734410</v>
      </c>
      <c r="H2076">
        <v>28963</v>
      </c>
      <c r="I2076">
        <v>8177</v>
      </c>
      <c r="J2076">
        <v>37140</v>
      </c>
      <c r="K2076" t="b">
        <f>TrafficData[[#This Row],[disposedChallan]]+TrafficData[[#This Row],[pendingChallan]]=TrafficData[[#This Row],[totalChallan]]</f>
        <v>1</v>
      </c>
      <c r="L2076" t="b">
        <f>TrafficData[[#This Row],[pendingAmount]]+TrafficData[[#This Row],[disposedAmount]]=TrafficData[[#This Row],[totalAmount]]</f>
        <v>1</v>
      </c>
      <c r="M2076" t="b">
        <f>TrafficData[[#This Row],[pendingCourt]]+TrafficData[[#This Row],[disposedCourt]]=TrafficData[[#This Row],[totalCourt]]</f>
        <v>1</v>
      </c>
      <c r="N2076" s="8" t="b">
        <f>AND(TrafficData[[#This Row],[disposedChallan]]&lt;=TrafficData[[#This Row],[totalChallan]],TrafficData[[#This Row],[pendingChallan]]&lt;=TrafficData[[#This Row],[totalChallan]])</f>
        <v>1</v>
      </c>
      <c r="O2076" s="8" t="b">
        <f>AND(TrafficData[[#This Row],[pendingAmount]]&lt;=TrafficData[[#This Row],[totalAmount]],TrafficData[[#This Row],[disposedAmount]]&lt;=TrafficData[[#This Row],[totalAmount]])</f>
        <v>1</v>
      </c>
      <c r="P2076" s="8" t="b">
        <f>AND(TrafficData[[#This Row],[pendingCourt]]&lt;=TrafficData[[#This Row],[totalCourt]],TrafficData[[#This Row],[disposedCourt]]&lt;=TrafficData[[#This Row],[totalCourt]])</f>
        <v>1</v>
      </c>
    </row>
    <row r="2077" spans="1:16">
      <c r="A2077" s="1">
        <v>44081</v>
      </c>
      <c r="B2077">
        <v>123691</v>
      </c>
      <c r="C2077">
        <v>60131</v>
      </c>
      <c r="D2077">
        <v>63560</v>
      </c>
      <c r="E2077">
        <v>77079748</v>
      </c>
      <c r="F2077">
        <v>77175984</v>
      </c>
      <c r="G2077">
        <v>154255732</v>
      </c>
      <c r="H2077">
        <v>31934</v>
      </c>
      <c r="I2077">
        <v>10400</v>
      </c>
      <c r="J2077">
        <v>42334</v>
      </c>
      <c r="K2077" t="b">
        <f>TrafficData[[#This Row],[disposedChallan]]+TrafficData[[#This Row],[pendingChallan]]=TrafficData[[#This Row],[totalChallan]]</f>
        <v>1</v>
      </c>
      <c r="L2077" t="b">
        <f>TrafficData[[#This Row],[pendingAmount]]+TrafficData[[#This Row],[disposedAmount]]=TrafficData[[#This Row],[totalAmount]]</f>
        <v>1</v>
      </c>
      <c r="M2077" t="b">
        <f>TrafficData[[#This Row],[pendingCourt]]+TrafficData[[#This Row],[disposedCourt]]=TrafficData[[#This Row],[totalCourt]]</f>
        <v>1</v>
      </c>
      <c r="N2077" s="8" t="b">
        <f>AND(TrafficData[[#This Row],[disposedChallan]]&lt;=TrafficData[[#This Row],[totalChallan]],TrafficData[[#This Row],[pendingChallan]]&lt;=TrafficData[[#This Row],[totalChallan]])</f>
        <v>1</v>
      </c>
      <c r="O2077" s="8" t="b">
        <f>AND(TrafficData[[#This Row],[pendingAmount]]&lt;=TrafficData[[#This Row],[totalAmount]],TrafficData[[#This Row],[disposedAmount]]&lt;=TrafficData[[#This Row],[totalAmount]])</f>
        <v>1</v>
      </c>
      <c r="P2077" s="8" t="b">
        <f>AND(TrafficData[[#This Row],[pendingCourt]]&lt;=TrafficData[[#This Row],[totalCourt]],TrafficData[[#This Row],[disposedCourt]]&lt;=TrafficData[[#This Row],[totalCourt]])</f>
        <v>1</v>
      </c>
    </row>
    <row r="2078" spans="1:16">
      <c r="A2078" s="1">
        <v>44082</v>
      </c>
      <c r="B2078">
        <v>129651</v>
      </c>
      <c r="C2078">
        <v>63130</v>
      </c>
      <c r="D2078">
        <v>66521</v>
      </c>
      <c r="E2078">
        <v>84934247</v>
      </c>
      <c r="F2078">
        <v>77157410</v>
      </c>
      <c r="G2078">
        <v>162091657</v>
      </c>
      <c r="H2078">
        <v>35489</v>
      </c>
      <c r="I2078">
        <v>8091</v>
      </c>
      <c r="J2078">
        <v>43580</v>
      </c>
      <c r="K2078" t="b">
        <f>TrafficData[[#This Row],[disposedChallan]]+TrafficData[[#This Row],[pendingChallan]]=TrafficData[[#This Row],[totalChallan]]</f>
        <v>1</v>
      </c>
      <c r="L2078" t="b">
        <f>TrafficData[[#This Row],[pendingAmount]]+TrafficData[[#This Row],[disposedAmount]]=TrafficData[[#This Row],[totalAmount]]</f>
        <v>1</v>
      </c>
      <c r="M2078" t="b">
        <f>TrafficData[[#This Row],[pendingCourt]]+TrafficData[[#This Row],[disposedCourt]]=TrafficData[[#This Row],[totalCourt]]</f>
        <v>1</v>
      </c>
      <c r="N2078" s="8" t="b">
        <f>AND(TrafficData[[#This Row],[disposedChallan]]&lt;=TrafficData[[#This Row],[totalChallan]],TrafficData[[#This Row],[pendingChallan]]&lt;=TrafficData[[#This Row],[totalChallan]])</f>
        <v>1</v>
      </c>
      <c r="O2078" s="8" t="b">
        <f>AND(TrafficData[[#This Row],[pendingAmount]]&lt;=TrafficData[[#This Row],[totalAmount]],TrafficData[[#This Row],[disposedAmount]]&lt;=TrafficData[[#This Row],[totalAmount]])</f>
        <v>1</v>
      </c>
      <c r="P2078" s="8" t="b">
        <f>AND(TrafficData[[#This Row],[pendingCourt]]&lt;=TrafficData[[#This Row],[totalCourt]],TrafficData[[#This Row],[disposedCourt]]&lt;=TrafficData[[#This Row],[totalCourt]])</f>
        <v>1</v>
      </c>
    </row>
    <row r="2079" spans="1:16">
      <c r="A2079" s="1">
        <v>44083</v>
      </c>
      <c r="B2079">
        <v>118826</v>
      </c>
      <c r="C2079">
        <v>58168</v>
      </c>
      <c r="D2079">
        <v>60658</v>
      </c>
      <c r="E2079">
        <v>79792698</v>
      </c>
      <c r="F2079">
        <v>71743841</v>
      </c>
      <c r="G2079">
        <v>151536539</v>
      </c>
      <c r="H2079">
        <v>33527</v>
      </c>
      <c r="I2079">
        <v>7488</v>
      </c>
      <c r="J2079">
        <v>41015</v>
      </c>
      <c r="K2079" t="b">
        <f>TrafficData[[#This Row],[disposedChallan]]+TrafficData[[#This Row],[pendingChallan]]=TrafficData[[#This Row],[totalChallan]]</f>
        <v>1</v>
      </c>
      <c r="L2079" t="b">
        <f>TrafficData[[#This Row],[pendingAmount]]+TrafficData[[#This Row],[disposedAmount]]=TrafficData[[#This Row],[totalAmount]]</f>
        <v>1</v>
      </c>
      <c r="M2079" t="b">
        <f>TrafficData[[#This Row],[pendingCourt]]+TrafficData[[#This Row],[disposedCourt]]=TrafficData[[#This Row],[totalCourt]]</f>
        <v>1</v>
      </c>
      <c r="N2079" s="8" t="b">
        <f>AND(TrafficData[[#This Row],[disposedChallan]]&lt;=TrafficData[[#This Row],[totalChallan]],TrafficData[[#This Row],[pendingChallan]]&lt;=TrafficData[[#This Row],[totalChallan]])</f>
        <v>1</v>
      </c>
      <c r="O2079" s="8" t="b">
        <f>AND(TrafficData[[#This Row],[pendingAmount]]&lt;=TrafficData[[#This Row],[totalAmount]],TrafficData[[#This Row],[disposedAmount]]&lt;=TrafficData[[#This Row],[totalAmount]])</f>
        <v>1</v>
      </c>
      <c r="P2079" s="8" t="b">
        <f>AND(TrafficData[[#This Row],[pendingCourt]]&lt;=TrafficData[[#This Row],[totalCourt]],TrafficData[[#This Row],[disposedCourt]]&lt;=TrafficData[[#This Row],[totalCourt]])</f>
        <v>1</v>
      </c>
    </row>
    <row r="2080" spans="1:16">
      <c r="A2080" s="1">
        <v>44084</v>
      </c>
      <c r="B2080">
        <v>126883</v>
      </c>
      <c r="C2080">
        <v>61367</v>
      </c>
      <c r="D2080">
        <v>65516</v>
      </c>
      <c r="E2080">
        <v>77233807</v>
      </c>
      <c r="F2080">
        <v>70878451</v>
      </c>
      <c r="G2080">
        <v>148112258</v>
      </c>
      <c r="H2080">
        <v>34326</v>
      </c>
      <c r="I2080">
        <v>10781</v>
      </c>
      <c r="J2080">
        <v>45107</v>
      </c>
      <c r="K2080" t="b">
        <f>TrafficData[[#This Row],[disposedChallan]]+TrafficData[[#This Row],[pendingChallan]]=TrafficData[[#This Row],[totalChallan]]</f>
        <v>1</v>
      </c>
      <c r="L2080" t="b">
        <f>TrafficData[[#This Row],[pendingAmount]]+TrafficData[[#This Row],[disposedAmount]]=TrafficData[[#This Row],[totalAmount]]</f>
        <v>1</v>
      </c>
      <c r="M2080" t="b">
        <f>TrafficData[[#This Row],[pendingCourt]]+TrafficData[[#This Row],[disposedCourt]]=TrafficData[[#This Row],[totalCourt]]</f>
        <v>1</v>
      </c>
      <c r="N2080" s="8" t="b">
        <f>AND(TrafficData[[#This Row],[disposedChallan]]&lt;=TrafficData[[#This Row],[totalChallan]],TrafficData[[#This Row],[pendingChallan]]&lt;=TrafficData[[#This Row],[totalChallan]])</f>
        <v>1</v>
      </c>
      <c r="O2080" s="8" t="b">
        <f>AND(TrafficData[[#This Row],[pendingAmount]]&lt;=TrafficData[[#This Row],[totalAmount]],TrafficData[[#This Row],[disposedAmount]]&lt;=TrafficData[[#This Row],[totalAmount]])</f>
        <v>1</v>
      </c>
      <c r="P2080" s="8" t="b">
        <f>AND(TrafficData[[#This Row],[pendingCourt]]&lt;=TrafficData[[#This Row],[totalCourt]],TrafficData[[#This Row],[disposedCourt]]&lt;=TrafficData[[#This Row],[totalCourt]])</f>
        <v>1</v>
      </c>
    </row>
    <row r="2081" spans="1:16">
      <c r="A2081" s="1">
        <v>44085</v>
      </c>
      <c r="B2081">
        <v>120101</v>
      </c>
      <c r="C2081">
        <v>57820</v>
      </c>
      <c r="D2081">
        <v>62281</v>
      </c>
      <c r="E2081">
        <v>75952422</v>
      </c>
      <c r="F2081">
        <v>69243813</v>
      </c>
      <c r="G2081">
        <v>145196235</v>
      </c>
      <c r="H2081">
        <v>32270</v>
      </c>
      <c r="I2081">
        <v>10115</v>
      </c>
      <c r="J2081">
        <v>42385</v>
      </c>
      <c r="K2081" t="b">
        <f>TrafficData[[#This Row],[disposedChallan]]+TrafficData[[#This Row],[pendingChallan]]=TrafficData[[#This Row],[totalChallan]]</f>
        <v>1</v>
      </c>
      <c r="L2081" t="b">
        <f>TrafficData[[#This Row],[pendingAmount]]+TrafficData[[#This Row],[disposedAmount]]=TrafficData[[#This Row],[totalAmount]]</f>
        <v>1</v>
      </c>
      <c r="M2081" t="b">
        <f>TrafficData[[#This Row],[pendingCourt]]+TrafficData[[#This Row],[disposedCourt]]=TrafficData[[#This Row],[totalCourt]]</f>
        <v>1</v>
      </c>
      <c r="N2081" s="8" t="b">
        <f>AND(TrafficData[[#This Row],[disposedChallan]]&lt;=TrafficData[[#This Row],[totalChallan]],TrafficData[[#This Row],[pendingChallan]]&lt;=TrafficData[[#This Row],[totalChallan]])</f>
        <v>1</v>
      </c>
      <c r="O2081" s="8" t="b">
        <f>AND(TrafficData[[#This Row],[pendingAmount]]&lt;=TrafficData[[#This Row],[totalAmount]],TrafficData[[#This Row],[disposedAmount]]&lt;=TrafficData[[#This Row],[totalAmount]])</f>
        <v>1</v>
      </c>
      <c r="P2081" s="8" t="b">
        <f>AND(TrafficData[[#This Row],[pendingCourt]]&lt;=TrafficData[[#This Row],[totalCourt]],TrafficData[[#This Row],[disposedCourt]]&lt;=TrafficData[[#This Row],[totalCourt]])</f>
        <v>1</v>
      </c>
    </row>
    <row r="2082" spans="1:16">
      <c r="A2082" s="1">
        <v>44086</v>
      </c>
      <c r="B2082">
        <v>131838</v>
      </c>
      <c r="C2082">
        <v>62239</v>
      </c>
      <c r="D2082">
        <v>69599</v>
      </c>
      <c r="E2082">
        <v>77167743</v>
      </c>
      <c r="F2082">
        <v>61210583</v>
      </c>
      <c r="G2082">
        <v>138378326</v>
      </c>
      <c r="H2082">
        <v>35951</v>
      </c>
      <c r="I2082">
        <v>10825</v>
      </c>
      <c r="J2082">
        <v>46776</v>
      </c>
      <c r="K2082" t="b">
        <f>TrafficData[[#This Row],[disposedChallan]]+TrafficData[[#This Row],[pendingChallan]]=TrafficData[[#This Row],[totalChallan]]</f>
        <v>1</v>
      </c>
      <c r="L2082" t="b">
        <f>TrafficData[[#This Row],[pendingAmount]]+TrafficData[[#This Row],[disposedAmount]]=TrafficData[[#This Row],[totalAmount]]</f>
        <v>1</v>
      </c>
      <c r="M2082" t="b">
        <f>TrafficData[[#This Row],[pendingCourt]]+TrafficData[[#This Row],[disposedCourt]]=TrafficData[[#This Row],[totalCourt]]</f>
        <v>1</v>
      </c>
      <c r="N2082" s="8" t="b">
        <f>AND(TrafficData[[#This Row],[disposedChallan]]&lt;=TrafficData[[#This Row],[totalChallan]],TrafficData[[#This Row],[pendingChallan]]&lt;=TrafficData[[#This Row],[totalChallan]])</f>
        <v>1</v>
      </c>
      <c r="O2082" s="8" t="b">
        <f>AND(TrafficData[[#This Row],[pendingAmount]]&lt;=TrafficData[[#This Row],[totalAmount]],TrafficData[[#This Row],[disposedAmount]]&lt;=TrafficData[[#This Row],[totalAmount]])</f>
        <v>1</v>
      </c>
      <c r="P2082" s="8" t="b">
        <f>AND(TrafficData[[#This Row],[pendingCourt]]&lt;=TrafficData[[#This Row],[totalCourt]],TrafficData[[#This Row],[disposedCourt]]&lt;=TrafficData[[#This Row],[totalCourt]])</f>
        <v>1</v>
      </c>
    </row>
    <row r="2083" spans="1:16">
      <c r="A2083" s="1">
        <v>44087</v>
      </c>
      <c r="B2083">
        <v>112333</v>
      </c>
      <c r="C2083">
        <v>50039</v>
      </c>
      <c r="D2083">
        <v>62294</v>
      </c>
      <c r="E2083">
        <v>70599413</v>
      </c>
      <c r="F2083">
        <v>49762589</v>
      </c>
      <c r="G2083">
        <v>120362002</v>
      </c>
      <c r="H2083">
        <v>31415</v>
      </c>
      <c r="I2083">
        <v>8668</v>
      </c>
      <c r="J2083">
        <v>40083</v>
      </c>
      <c r="K2083" t="b">
        <f>TrafficData[[#This Row],[disposedChallan]]+TrafficData[[#This Row],[pendingChallan]]=TrafficData[[#This Row],[totalChallan]]</f>
        <v>1</v>
      </c>
      <c r="L2083" t="b">
        <f>TrafficData[[#This Row],[pendingAmount]]+TrafficData[[#This Row],[disposedAmount]]=TrafficData[[#This Row],[totalAmount]]</f>
        <v>1</v>
      </c>
      <c r="M2083" t="b">
        <f>TrafficData[[#This Row],[pendingCourt]]+TrafficData[[#This Row],[disposedCourt]]=TrafficData[[#This Row],[totalCourt]]</f>
        <v>1</v>
      </c>
      <c r="N2083" s="8" t="b">
        <f>AND(TrafficData[[#This Row],[disposedChallan]]&lt;=TrafficData[[#This Row],[totalChallan]],TrafficData[[#This Row],[pendingChallan]]&lt;=TrafficData[[#This Row],[totalChallan]])</f>
        <v>1</v>
      </c>
      <c r="O2083" s="8" t="b">
        <f>AND(TrafficData[[#This Row],[pendingAmount]]&lt;=TrafficData[[#This Row],[totalAmount]],TrafficData[[#This Row],[disposedAmount]]&lt;=TrafficData[[#This Row],[totalAmount]])</f>
        <v>1</v>
      </c>
      <c r="P2083" s="8" t="b">
        <f>AND(TrafficData[[#This Row],[pendingCourt]]&lt;=TrafficData[[#This Row],[totalCourt]],TrafficData[[#This Row],[disposedCourt]]&lt;=TrafficData[[#This Row],[totalCourt]])</f>
        <v>1</v>
      </c>
    </row>
    <row r="2084" spans="1:16">
      <c r="A2084" s="1">
        <v>44088</v>
      </c>
      <c r="B2084">
        <v>135908</v>
      </c>
      <c r="C2084">
        <v>63778</v>
      </c>
      <c r="D2084">
        <v>72130</v>
      </c>
      <c r="E2084">
        <v>78598302</v>
      </c>
      <c r="F2084">
        <v>61975184</v>
      </c>
      <c r="G2084">
        <v>140573486</v>
      </c>
      <c r="H2084">
        <v>19905</v>
      </c>
      <c r="I2084">
        <v>8778</v>
      </c>
      <c r="J2084">
        <v>28683</v>
      </c>
      <c r="K2084" t="b">
        <f>TrafficData[[#This Row],[disposedChallan]]+TrafficData[[#This Row],[pendingChallan]]=TrafficData[[#This Row],[totalChallan]]</f>
        <v>1</v>
      </c>
      <c r="L2084" t="b">
        <f>TrafficData[[#This Row],[pendingAmount]]+TrafficData[[#This Row],[disposedAmount]]=TrafficData[[#This Row],[totalAmount]]</f>
        <v>1</v>
      </c>
      <c r="M2084" t="b">
        <f>TrafficData[[#This Row],[pendingCourt]]+TrafficData[[#This Row],[disposedCourt]]=TrafficData[[#This Row],[totalCourt]]</f>
        <v>1</v>
      </c>
      <c r="N2084" s="8" t="b">
        <f>AND(TrafficData[[#This Row],[disposedChallan]]&lt;=TrafficData[[#This Row],[totalChallan]],TrafficData[[#This Row],[pendingChallan]]&lt;=TrafficData[[#This Row],[totalChallan]])</f>
        <v>1</v>
      </c>
      <c r="O2084" s="8" t="b">
        <f>AND(TrafficData[[#This Row],[pendingAmount]]&lt;=TrafficData[[#This Row],[totalAmount]],TrafficData[[#This Row],[disposedAmount]]&lt;=TrafficData[[#This Row],[totalAmount]])</f>
        <v>1</v>
      </c>
      <c r="P2084" s="8" t="b">
        <f>AND(TrafficData[[#This Row],[pendingCourt]]&lt;=TrafficData[[#This Row],[totalCourt]],TrafficData[[#This Row],[disposedCourt]]&lt;=TrafficData[[#This Row],[totalCourt]])</f>
        <v>1</v>
      </c>
    </row>
    <row r="2085" spans="1:16">
      <c r="A2085" s="1">
        <v>44089</v>
      </c>
      <c r="B2085">
        <v>131119</v>
      </c>
      <c r="C2085">
        <v>62327</v>
      </c>
      <c r="D2085">
        <v>68792</v>
      </c>
      <c r="E2085">
        <v>75117006</v>
      </c>
      <c r="F2085">
        <v>68882003</v>
      </c>
      <c r="G2085">
        <v>143999009</v>
      </c>
      <c r="H2085">
        <v>32297</v>
      </c>
      <c r="I2085">
        <v>10390</v>
      </c>
      <c r="J2085">
        <v>42687</v>
      </c>
      <c r="K2085" t="b">
        <f>TrafficData[[#This Row],[disposedChallan]]+TrafficData[[#This Row],[pendingChallan]]=TrafficData[[#This Row],[totalChallan]]</f>
        <v>1</v>
      </c>
      <c r="L2085" t="b">
        <f>TrafficData[[#This Row],[pendingAmount]]+TrafficData[[#This Row],[disposedAmount]]=TrafficData[[#This Row],[totalAmount]]</f>
        <v>1</v>
      </c>
      <c r="M2085" t="b">
        <f>TrafficData[[#This Row],[pendingCourt]]+TrafficData[[#This Row],[disposedCourt]]=TrafficData[[#This Row],[totalCourt]]</f>
        <v>1</v>
      </c>
      <c r="N2085" s="8" t="b">
        <f>AND(TrafficData[[#This Row],[disposedChallan]]&lt;=TrafficData[[#This Row],[totalChallan]],TrafficData[[#This Row],[pendingChallan]]&lt;=TrafficData[[#This Row],[totalChallan]])</f>
        <v>1</v>
      </c>
      <c r="O2085" s="8" t="b">
        <f>AND(TrafficData[[#This Row],[pendingAmount]]&lt;=TrafficData[[#This Row],[totalAmount]],TrafficData[[#This Row],[disposedAmount]]&lt;=TrafficData[[#This Row],[totalAmount]])</f>
        <v>1</v>
      </c>
      <c r="P2085" s="8" t="b">
        <f>AND(TrafficData[[#This Row],[pendingCourt]]&lt;=TrafficData[[#This Row],[totalCourt]],TrafficData[[#This Row],[disposedCourt]]&lt;=TrafficData[[#This Row],[totalCourt]])</f>
        <v>1</v>
      </c>
    </row>
    <row r="2086" spans="1:16">
      <c r="A2086" s="1">
        <v>44090</v>
      </c>
      <c r="B2086">
        <v>131238</v>
      </c>
      <c r="C2086">
        <v>63142</v>
      </c>
      <c r="D2086">
        <v>68096</v>
      </c>
      <c r="E2086">
        <v>79201345</v>
      </c>
      <c r="F2086">
        <v>70889418</v>
      </c>
      <c r="G2086">
        <v>150090763</v>
      </c>
      <c r="H2086">
        <v>34465</v>
      </c>
      <c r="I2086">
        <v>8852</v>
      </c>
      <c r="J2086">
        <v>43317</v>
      </c>
      <c r="K2086" t="b">
        <f>TrafficData[[#This Row],[disposedChallan]]+TrafficData[[#This Row],[pendingChallan]]=TrafficData[[#This Row],[totalChallan]]</f>
        <v>1</v>
      </c>
      <c r="L2086" t="b">
        <f>TrafficData[[#This Row],[pendingAmount]]+TrafficData[[#This Row],[disposedAmount]]=TrafficData[[#This Row],[totalAmount]]</f>
        <v>1</v>
      </c>
      <c r="M2086" t="b">
        <f>TrafficData[[#This Row],[pendingCourt]]+TrafficData[[#This Row],[disposedCourt]]=TrafficData[[#This Row],[totalCourt]]</f>
        <v>1</v>
      </c>
      <c r="N2086" s="8" t="b">
        <f>AND(TrafficData[[#This Row],[disposedChallan]]&lt;=TrafficData[[#This Row],[totalChallan]],TrafficData[[#This Row],[pendingChallan]]&lt;=TrafficData[[#This Row],[totalChallan]])</f>
        <v>1</v>
      </c>
      <c r="O2086" s="8" t="b">
        <f>AND(TrafficData[[#This Row],[pendingAmount]]&lt;=TrafficData[[#This Row],[totalAmount]],TrafficData[[#This Row],[disposedAmount]]&lt;=TrafficData[[#This Row],[totalAmount]])</f>
        <v>1</v>
      </c>
      <c r="P2086" s="8" t="b">
        <f>AND(TrafficData[[#This Row],[pendingCourt]]&lt;=TrafficData[[#This Row],[totalCourt]],TrafficData[[#This Row],[disposedCourt]]&lt;=TrafficData[[#This Row],[totalCourt]])</f>
        <v>1</v>
      </c>
    </row>
    <row r="2087" spans="1:16">
      <c r="A2087" s="1">
        <v>44091</v>
      </c>
      <c r="B2087">
        <v>127894</v>
      </c>
      <c r="C2087">
        <v>61467</v>
      </c>
      <c r="D2087">
        <v>66427</v>
      </c>
      <c r="E2087">
        <v>75383107</v>
      </c>
      <c r="F2087">
        <v>69743543</v>
      </c>
      <c r="G2087">
        <v>145126650</v>
      </c>
      <c r="H2087">
        <v>32690</v>
      </c>
      <c r="I2087">
        <v>11112</v>
      </c>
      <c r="J2087">
        <v>43802</v>
      </c>
      <c r="K2087" t="b">
        <f>TrafficData[[#This Row],[disposedChallan]]+TrafficData[[#This Row],[pendingChallan]]=TrafficData[[#This Row],[totalChallan]]</f>
        <v>1</v>
      </c>
      <c r="L2087" t="b">
        <f>TrafficData[[#This Row],[pendingAmount]]+TrafficData[[#This Row],[disposedAmount]]=TrafficData[[#This Row],[totalAmount]]</f>
        <v>1</v>
      </c>
      <c r="M2087" t="b">
        <f>TrafficData[[#This Row],[pendingCourt]]+TrafficData[[#This Row],[disposedCourt]]=TrafficData[[#This Row],[totalCourt]]</f>
        <v>1</v>
      </c>
      <c r="N2087" s="8" t="b">
        <f>AND(TrafficData[[#This Row],[disposedChallan]]&lt;=TrafficData[[#This Row],[totalChallan]],TrafficData[[#This Row],[pendingChallan]]&lt;=TrafficData[[#This Row],[totalChallan]])</f>
        <v>1</v>
      </c>
      <c r="O2087" s="8" t="b">
        <f>AND(TrafficData[[#This Row],[pendingAmount]]&lt;=TrafficData[[#This Row],[totalAmount]],TrafficData[[#This Row],[disposedAmount]]&lt;=TrafficData[[#This Row],[totalAmount]])</f>
        <v>1</v>
      </c>
      <c r="P2087" s="8" t="b">
        <f>AND(TrafficData[[#This Row],[pendingCourt]]&lt;=TrafficData[[#This Row],[totalCourt]],TrafficData[[#This Row],[disposedCourt]]&lt;=TrafficData[[#This Row],[totalCourt]])</f>
        <v>1</v>
      </c>
    </row>
    <row r="2088" spans="1:16">
      <c r="A2088" s="1">
        <v>44092</v>
      </c>
      <c r="B2088">
        <v>141600</v>
      </c>
      <c r="C2088">
        <v>67859</v>
      </c>
      <c r="D2088">
        <v>73741</v>
      </c>
      <c r="E2088">
        <v>80962779</v>
      </c>
      <c r="F2088">
        <v>67466077</v>
      </c>
      <c r="G2088">
        <v>148428856</v>
      </c>
      <c r="H2088">
        <v>35920</v>
      </c>
      <c r="I2088">
        <v>12439</v>
      </c>
      <c r="J2088">
        <v>48359</v>
      </c>
      <c r="K2088" t="b">
        <f>TrafficData[[#This Row],[disposedChallan]]+TrafficData[[#This Row],[pendingChallan]]=TrafficData[[#This Row],[totalChallan]]</f>
        <v>1</v>
      </c>
      <c r="L2088" t="b">
        <f>TrafficData[[#This Row],[pendingAmount]]+TrafficData[[#This Row],[disposedAmount]]=TrafficData[[#This Row],[totalAmount]]</f>
        <v>1</v>
      </c>
      <c r="M2088" t="b">
        <f>TrafficData[[#This Row],[pendingCourt]]+TrafficData[[#This Row],[disposedCourt]]=TrafficData[[#This Row],[totalCourt]]</f>
        <v>1</v>
      </c>
      <c r="N2088" s="8" t="b">
        <f>AND(TrafficData[[#This Row],[disposedChallan]]&lt;=TrafficData[[#This Row],[totalChallan]],TrafficData[[#This Row],[pendingChallan]]&lt;=TrafficData[[#This Row],[totalChallan]])</f>
        <v>1</v>
      </c>
      <c r="O2088" s="8" t="b">
        <f>AND(TrafficData[[#This Row],[pendingAmount]]&lt;=TrafficData[[#This Row],[totalAmount]],TrafficData[[#This Row],[disposedAmount]]&lt;=TrafficData[[#This Row],[totalAmount]])</f>
        <v>1</v>
      </c>
      <c r="P2088" s="8" t="b">
        <f>AND(TrafficData[[#This Row],[pendingCourt]]&lt;=TrafficData[[#This Row],[totalCourt]],TrafficData[[#This Row],[disposedCourt]]&lt;=TrafficData[[#This Row],[totalCourt]])</f>
        <v>1</v>
      </c>
    </row>
    <row r="2089" spans="1:16">
      <c r="A2089" s="1">
        <v>44093</v>
      </c>
      <c r="B2089">
        <v>139672</v>
      </c>
      <c r="C2089">
        <v>65793</v>
      </c>
      <c r="D2089">
        <v>73879</v>
      </c>
      <c r="E2089">
        <v>85173326</v>
      </c>
      <c r="F2089">
        <v>73927075</v>
      </c>
      <c r="G2089">
        <v>159100401</v>
      </c>
      <c r="H2089">
        <v>31589</v>
      </c>
      <c r="I2089">
        <v>11607</v>
      </c>
      <c r="J2089">
        <v>43196</v>
      </c>
      <c r="K2089" t="b">
        <f>TrafficData[[#This Row],[disposedChallan]]+TrafficData[[#This Row],[pendingChallan]]=TrafficData[[#This Row],[totalChallan]]</f>
        <v>1</v>
      </c>
      <c r="L2089" t="b">
        <f>TrafficData[[#This Row],[pendingAmount]]+TrafficData[[#This Row],[disposedAmount]]=TrafficData[[#This Row],[totalAmount]]</f>
        <v>1</v>
      </c>
      <c r="M2089" t="b">
        <f>TrafficData[[#This Row],[pendingCourt]]+TrafficData[[#This Row],[disposedCourt]]=TrafficData[[#This Row],[totalCourt]]</f>
        <v>1</v>
      </c>
      <c r="N2089" s="8" t="b">
        <f>AND(TrafficData[[#This Row],[disposedChallan]]&lt;=TrafficData[[#This Row],[totalChallan]],TrafficData[[#This Row],[pendingChallan]]&lt;=TrafficData[[#This Row],[totalChallan]])</f>
        <v>1</v>
      </c>
      <c r="O2089" s="8" t="b">
        <f>AND(TrafficData[[#This Row],[pendingAmount]]&lt;=TrafficData[[#This Row],[totalAmount]],TrafficData[[#This Row],[disposedAmount]]&lt;=TrafficData[[#This Row],[totalAmount]])</f>
        <v>1</v>
      </c>
      <c r="P2089" s="8" t="b">
        <f>AND(TrafficData[[#This Row],[pendingCourt]]&lt;=TrafficData[[#This Row],[totalCourt]],TrafficData[[#This Row],[disposedCourt]]&lt;=TrafficData[[#This Row],[totalCourt]])</f>
        <v>1</v>
      </c>
    </row>
    <row r="2090" spans="1:16">
      <c r="A2090" s="1">
        <v>44094</v>
      </c>
      <c r="B2090">
        <v>127872</v>
      </c>
      <c r="C2090">
        <v>55683</v>
      </c>
      <c r="D2090">
        <v>72189</v>
      </c>
      <c r="E2090">
        <v>77762584</v>
      </c>
      <c r="F2090">
        <v>58098157</v>
      </c>
      <c r="G2090">
        <v>135860741</v>
      </c>
      <c r="H2090">
        <v>22713</v>
      </c>
      <c r="I2090">
        <v>8819</v>
      </c>
      <c r="J2090">
        <v>31532</v>
      </c>
      <c r="K2090" t="b">
        <f>TrafficData[[#This Row],[disposedChallan]]+TrafficData[[#This Row],[pendingChallan]]=TrafficData[[#This Row],[totalChallan]]</f>
        <v>1</v>
      </c>
      <c r="L2090" t="b">
        <f>TrafficData[[#This Row],[pendingAmount]]+TrafficData[[#This Row],[disposedAmount]]=TrafficData[[#This Row],[totalAmount]]</f>
        <v>1</v>
      </c>
      <c r="M2090" t="b">
        <f>TrafficData[[#This Row],[pendingCourt]]+TrafficData[[#This Row],[disposedCourt]]=TrafficData[[#This Row],[totalCourt]]</f>
        <v>1</v>
      </c>
      <c r="N2090" s="8" t="b">
        <f>AND(TrafficData[[#This Row],[disposedChallan]]&lt;=TrafficData[[#This Row],[totalChallan]],TrafficData[[#This Row],[pendingChallan]]&lt;=TrafficData[[#This Row],[totalChallan]])</f>
        <v>1</v>
      </c>
      <c r="O2090" s="8" t="b">
        <f>AND(TrafficData[[#This Row],[pendingAmount]]&lt;=TrafficData[[#This Row],[totalAmount]],TrafficData[[#This Row],[disposedAmount]]&lt;=TrafficData[[#This Row],[totalAmount]])</f>
        <v>1</v>
      </c>
      <c r="P2090" s="8" t="b">
        <f>AND(TrafficData[[#This Row],[pendingCourt]]&lt;=TrafficData[[#This Row],[totalCourt]],TrafficData[[#This Row],[disposedCourt]]&lt;=TrafficData[[#This Row],[totalCourt]])</f>
        <v>1</v>
      </c>
    </row>
    <row r="2091" spans="1:16">
      <c r="A2091" s="1">
        <v>44095</v>
      </c>
      <c r="B2091">
        <v>127919</v>
      </c>
      <c r="C2091">
        <v>59994</v>
      </c>
      <c r="D2091">
        <v>67925</v>
      </c>
      <c r="E2091">
        <v>74881391</v>
      </c>
      <c r="F2091">
        <v>64031256</v>
      </c>
      <c r="G2091">
        <v>138912647</v>
      </c>
      <c r="H2091">
        <v>23776</v>
      </c>
      <c r="I2091">
        <v>9496</v>
      </c>
      <c r="J2091">
        <v>33272</v>
      </c>
      <c r="K2091" t="b">
        <f>TrafficData[[#This Row],[disposedChallan]]+TrafficData[[#This Row],[pendingChallan]]=TrafficData[[#This Row],[totalChallan]]</f>
        <v>1</v>
      </c>
      <c r="L2091" t="b">
        <f>TrafficData[[#This Row],[pendingAmount]]+TrafficData[[#This Row],[disposedAmount]]=TrafficData[[#This Row],[totalAmount]]</f>
        <v>1</v>
      </c>
      <c r="M2091" t="b">
        <f>TrafficData[[#This Row],[pendingCourt]]+TrafficData[[#This Row],[disposedCourt]]=TrafficData[[#This Row],[totalCourt]]</f>
        <v>1</v>
      </c>
      <c r="N2091" s="8" t="b">
        <f>AND(TrafficData[[#This Row],[disposedChallan]]&lt;=TrafficData[[#This Row],[totalChallan]],TrafficData[[#This Row],[pendingChallan]]&lt;=TrafficData[[#This Row],[totalChallan]])</f>
        <v>1</v>
      </c>
      <c r="O2091" s="8" t="b">
        <f>AND(TrafficData[[#This Row],[pendingAmount]]&lt;=TrafficData[[#This Row],[totalAmount]],TrafficData[[#This Row],[disposedAmount]]&lt;=TrafficData[[#This Row],[totalAmount]])</f>
        <v>1</v>
      </c>
      <c r="P2091" s="8" t="b">
        <f>AND(TrafficData[[#This Row],[pendingCourt]]&lt;=TrafficData[[#This Row],[totalCourt]],TrafficData[[#This Row],[disposedCourt]]&lt;=TrafficData[[#This Row],[totalCourt]])</f>
        <v>1</v>
      </c>
    </row>
    <row r="2092" spans="1:16">
      <c r="A2092" s="1">
        <v>44096</v>
      </c>
      <c r="B2092">
        <v>131332</v>
      </c>
      <c r="C2092">
        <v>63301</v>
      </c>
      <c r="D2092">
        <v>68031</v>
      </c>
      <c r="E2092">
        <v>77970174</v>
      </c>
      <c r="F2092">
        <v>71384585</v>
      </c>
      <c r="G2092">
        <v>149354759</v>
      </c>
      <c r="H2092">
        <v>24861</v>
      </c>
      <c r="I2092">
        <v>10134</v>
      </c>
      <c r="J2092">
        <v>34995</v>
      </c>
      <c r="K2092" t="b">
        <f>TrafficData[[#This Row],[disposedChallan]]+TrafficData[[#This Row],[pendingChallan]]=TrafficData[[#This Row],[totalChallan]]</f>
        <v>1</v>
      </c>
      <c r="L2092" t="b">
        <f>TrafficData[[#This Row],[pendingAmount]]+TrafficData[[#This Row],[disposedAmount]]=TrafficData[[#This Row],[totalAmount]]</f>
        <v>1</v>
      </c>
      <c r="M2092" t="b">
        <f>TrafficData[[#This Row],[pendingCourt]]+TrafficData[[#This Row],[disposedCourt]]=TrafficData[[#This Row],[totalCourt]]</f>
        <v>1</v>
      </c>
      <c r="N2092" s="8" t="b">
        <f>AND(TrafficData[[#This Row],[disposedChallan]]&lt;=TrafficData[[#This Row],[totalChallan]],TrafficData[[#This Row],[pendingChallan]]&lt;=TrafficData[[#This Row],[totalChallan]])</f>
        <v>1</v>
      </c>
      <c r="O2092" s="8" t="b">
        <f>AND(TrafficData[[#This Row],[pendingAmount]]&lt;=TrafficData[[#This Row],[totalAmount]],TrafficData[[#This Row],[disposedAmount]]&lt;=TrafficData[[#This Row],[totalAmount]])</f>
        <v>1</v>
      </c>
      <c r="P2092" s="8" t="b">
        <f>AND(TrafficData[[#This Row],[pendingCourt]]&lt;=TrafficData[[#This Row],[totalCourt]],TrafficData[[#This Row],[disposedCourt]]&lt;=TrafficData[[#This Row],[totalCourt]])</f>
        <v>1</v>
      </c>
    </row>
    <row r="2093" spans="1:16">
      <c r="A2093" s="1">
        <v>44097</v>
      </c>
      <c r="B2093">
        <v>133077</v>
      </c>
      <c r="C2093">
        <v>64131</v>
      </c>
      <c r="D2093">
        <v>68946</v>
      </c>
      <c r="E2093">
        <v>76763089</v>
      </c>
      <c r="F2093">
        <v>65326960</v>
      </c>
      <c r="G2093">
        <v>142090049</v>
      </c>
      <c r="H2093">
        <v>21512</v>
      </c>
      <c r="I2093">
        <v>9718</v>
      </c>
      <c r="J2093">
        <v>31230</v>
      </c>
      <c r="K2093" t="b">
        <f>TrafficData[[#This Row],[disposedChallan]]+TrafficData[[#This Row],[pendingChallan]]=TrafficData[[#This Row],[totalChallan]]</f>
        <v>1</v>
      </c>
      <c r="L2093" t="b">
        <f>TrafficData[[#This Row],[pendingAmount]]+TrafficData[[#This Row],[disposedAmount]]=TrafficData[[#This Row],[totalAmount]]</f>
        <v>1</v>
      </c>
      <c r="M2093" t="b">
        <f>TrafficData[[#This Row],[pendingCourt]]+TrafficData[[#This Row],[disposedCourt]]=TrafficData[[#This Row],[totalCourt]]</f>
        <v>1</v>
      </c>
      <c r="N2093" s="8" t="b">
        <f>AND(TrafficData[[#This Row],[disposedChallan]]&lt;=TrafficData[[#This Row],[totalChallan]],TrafficData[[#This Row],[pendingChallan]]&lt;=TrafficData[[#This Row],[totalChallan]])</f>
        <v>1</v>
      </c>
      <c r="O2093" s="8" t="b">
        <f>AND(TrafficData[[#This Row],[pendingAmount]]&lt;=TrafficData[[#This Row],[totalAmount]],TrafficData[[#This Row],[disposedAmount]]&lt;=TrafficData[[#This Row],[totalAmount]])</f>
        <v>1</v>
      </c>
      <c r="P2093" s="8" t="b">
        <f>AND(TrafficData[[#This Row],[pendingCourt]]&lt;=TrafficData[[#This Row],[totalCourt]],TrafficData[[#This Row],[disposedCourt]]&lt;=TrafficData[[#This Row],[totalCourt]])</f>
        <v>1</v>
      </c>
    </row>
    <row r="2094" spans="1:16">
      <c r="A2094" s="1">
        <v>44098</v>
      </c>
      <c r="B2094">
        <v>136556</v>
      </c>
      <c r="C2094">
        <v>64875</v>
      </c>
      <c r="D2094">
        <v>71681</v>
      </c>
      <c r="E2094">
        <v>74421095</v>
      </c>
      <c r="F2094">
        <v>69811413</v>
      </c>
      <c r="G2094">
        <v>144232508</v>
      </c>
      <c r="H2094">
        <v>21617</v>
      </c>
      <c r="I2094">
        <v>9436</v>
      </c>
      <c r="J2094">
        <v>31053</v>
      </c>
      <c r="K2094" t="b">
        <f>TrafficData[[#This Row],[disposedChallan]]+TrafficData[[#This Row],[pendingChallan]]=TrafficData[[#This Row],[totalChallan]]</f>
        <v>1</v>
      </c>
      <c r="L2094" t="b">
        <f>TrafficData[[#This Row],[pendingAmount]]+TrafficData[[#This Row],[disposedAmount]]=TrafficData[[#This Row],[totalAmount]]</f>
        <v>1</v>
      </c>
      <c r="M2094" t="b">
        <f>TrafficData[[#This Row],[pendingCourt]]+TrafficData[[#This Row],[disposedCourt]]=TrafficData[[#This Row],[totalCourt]]</f>
        <v>1</v>
      </c>
      <c r="N2094" s="8" t="b">
        <f>AND(TrafficData[[#This Row],[disposedChallan]]&lt;=TrafficData[[#This Row],[totalChallan]],TrafficData[[#This Row],[pendingChallan]]&lt;=TrafficData[[#This Row],[totalChallan]])</f>
        <v>1</v>
      </c>
      <c r="O2094" s="8" t="b">
        <f>AND(TrafficData[[#This Row],[pendingAmount]]&lt;=TrafficData[[#This Row],[totalAmount]],TrafficData[[#This Row],[disposedAmount]]&lt;=TrafficData[[#This Row],[totalAmount]])</f>
        <v>1</v>
      </c>
      <c r="P2094" s="8" t="b">
        <f>AND(TrafficData[[#This Row],[pendingCourt]]&lt;=TrafficData[[#This Row],[totalCourt]],TrafficData[[#This Row],[disposedCourt]]&lt;=TrafficData[[#This Row],[totalCourt]])</f>
        <v>1</v>
      </c>
    </row>
    <row r="2095" spans="1:16">
      <c r="A2095" s="1">
        <v>44099</v>
      </c>
      <c r="B2095">
        <v>112252</v>
      </c>
      <c r="C2095">
        <v>54896</v>
      </c>
      <c r="D2095">
        <v>57356</v>
      </c>
      <c r="E2095">
        <v>64914210</v>
      </c>
      <c r="F2095">
        <v>60979302</v>
      </c>
      <c r="G2095">
        <v>125893512</v>
      </c>
      <c r="H2095">
        <v>23278</v>
      </c>
      <c r="I2095">
        <v>9285</v>
      </c>
      <c r="J2095">
        <v>32563</v>
      </c>
      <c r="K2095" t="b">
        <f>TrafficData[[#This Row],[disposedChallan]]+TrafficData[[#This Row],[pendingChallan]]=TrafficData[[#This Row],[totalChallan]]</f>
        <v>1</v>
      </c>
      <c r="L2095" t="b">
        <f>TrafficData[[#This Row],[pendingAmount]]+TrafficData[[#This Row],[disposedAmount]]=TrafficData[[#This Row],[totalAmount]]</f>
        <v>1</v>
      </c>
      <c r="M2095" t="b">
        <f>TrafficData[[#This Row],[pendingCourt]]+TrafficData[[#This Row],[disposedCourt]]=TrafficData[[#This Row],[totalCourt]]</f>
        <v>1</v>
      </c>
      <c r="N2095" s="8" t="b">
        <f>AND(TrafficData[[#This Row],[disposedChallan]]&lt;=TrafficData[[#This Row],[totalChallan]],TrafficData[[#This Row],[pendingChallan]]&lt;=TrafficData[[#This Row],[totalChallan]])</f>
        <v>1</v>
      </c>
      <c r="O2095" s="8" t="b">
        <f>AND(TrafficData[[#This Row],[pendingAmount]]&lt;=TrafficData[[#This Row],[totalAmount]],TrafficData[[#This Row],[disposedAmount]]&lt;=TrafficData[[#This Row],[totalAmount]])</f>
        <v>1</v>
      </c>
      <c r="P2095" s="8" t="b">
        <f>AND(TrafficData[[#This Row],[pendingCourt]]&lt;=TrafficData[[#This Row],[totalCourt]],TrafficData[[#This Row],[disposedCourt]]&lt;=TrafficData[[#This Row],[totalCourt]])</f>
        <v>1</v>
      </c>
    </row>
    <row r="2096" spans="1:16">
      <c r="A2096" s="1">
        <v>44100</v>
      </c>
      <c r="B2096">
        <v>132421</v>
      </c>
      <c r="C2096">
        <v>66782</v>
      </c>
      <c r="D2096">
        <v>65639</v>
      </c>
      <c r="E2096">
        <v>69988223</v>
      </c>
      <c r="F2096">
        <v>66981765</v>
      </c>
      <c r="G2096">
        <v>136969988</v>
      </c>
      <c r="H2096">
        <v>31486</v>
      </c>
      <c r="I2096">
        <v>9209</v>
      </c>
      <c r="J2096">
        <v>40695</v>
      </c>
      <c r="K2096" t="b">
        <f>TrafficData[[#This Row],[disposedChallan]]+TrafficData[[#This Row],[pendingChallan]]=TrafficData[[#This Row],[totalChallan]]</f>
        <v>1</v>
      </c>
      <c r="L2096" t="b">
        <f>TrafficData[[#This Row],[pendingAmount]]+TrafficData[[#This Row],[disposedAmount]]=TrafficData[[#This Row],[totalAmount]]</f>
        <v>1</v>
      </c>
      <c r="M2096" t="b">
        <f>TrafficData[[#This Row],[pendingCourt]]+TrafficData[[#This Row],[disposedCourt]]=TrafficData[[#This Row],[totalCourt]]</f>
        <v>1</v>
      </c>
      <c r="N2096" s="8" t="b">
        <f>AND(TrafficData[[#This Row],[disposedChallan]]&lt;=TrafficData[[#This Row],[totalChallan]],TrafficData[[#This Row],[pendingChallan]]&lt;=TrafficData[[#This Row],[totalChallan]])</f>
        <v>1</v>
      </c>
      <c r="O2096" s="8" t="b">
        <f>AND(TrafficData[[#This Row],[pendingAmount]]&lt;=TrafficData[[#This Row],[totalAmount]],TrafficData[[#This Row],[disposedAmount]]&lt;=TrafficData[[#This Row],[totalAmount]])</f>
        <v>1</v>
      </c>
      <c r="P2096" s="8" t="b">
        <f>AND(TrafficData[[#This Row],[pendingCourt]]&lt;=TrafficData[[#This Row],[totalCourt]],TrafficData[[#This Row],[disposedCourt]]&lt;=TrafficData[[#This Row],[totalCourt]])</f>
        <v>1</v>
      </c>
    </row>
    <row r="2097" spans="1:16">
      <c r="A2097" s="1">
        <v>44101</v>
      </c>
      <c r="B2097">
        <v>122175</v>
      </c>
      <c r="C2097">
        <v>58767</v>
      </c>
      <c r="D2097">
        <v>63408</v>
      </c>
      <c r="E2097">
        <v>65562921</v>
      </c>
      <c r="F2097">
        <v>54625250</v>
      </c>
      <c r="G2097">
        <v>120188171</v>
      </c>
      <c r="H2097">
        <v>28940</v>
      </c>
      <c r="I2097">
        <v>8263</v>
      </c>
      <c r="J2097">
        <v>37203</v>
      </c>
      <c r="K2097" t="b">
        <f>TrafficData[[#This Row],[disposedChallan]]+TrafficData[[#This Row],[pendingChallan]]=TrafficData[[#This Row],[totalChallan]]</f>
        <v>1</v>
      </c>
      <c r="L2097" t="b">
        <f>TrafficData[[#This Row],[pendingAmount]]+TrafficData[[#This Row],[disposedAmount]]=TrafficData[[#This Row],[totalAmount]]</f>
        <v>1</v>
      </c>
      <c r="M2097" t="b">
        <f>TrafficData[[#This Row],[pendingCourt]]+TrafficData[[#This Row],[disposedCourt]]=TrafficData[[#This Row],[totalCourt]]</f>
        <v>1</v>
      </c>
      <c r="N2097" s="8" t="b">
        <f>AND(TrafficData[[#This Row],[disposedChallan]]&lt;=TrafficData[[#This Row],[totalChallan]],TrafficData[[#This Row],[pendingChallan]]&lt;=TrafficData[[#This Row],[totalChallan]])</f>
        <v>1</v>
      </c>
      <c r="O2097" s="8" t="b">
        <f>AND(TrafficData[[#This Row],[pendingAmount]]&lt;=TrafficData[[#This Row],[totalAmount]],TrafficData[[#This Row],[disposedAmount]]&lt;=TrafficData[[#This Row],[totalAmount]])</f>
        <v>1</v>
      </c>
      <c r="P2097" s="8" t="b">
        <f>AND(TrafficData[[#This Row],[pendingCourt]]&lt;=TrafficData[[#This Row],[totalCourt]],TrafficData[[#This Row],[disposedCourt]]&lt;=TrafficData[[#This Row],[totalCourt]])</f>
        <v>1</v>
      </c>
    </row>
    <row r="2098" spans="1:16">
      <c r="A2098" s="1">
        <v>44102</v>
      </c>
      <c r="B2098">
        <v>128328</v>
      </c>
      <c r="C2098">
        <v>64692</v>
      </c>
      <c r="D2098">
        <v>63636</v>
      </c>
      <c r="E2098">
        <v>67160144</v>
      </c>
      <c r="F2098">
        <v>64037321</v>
      </c>
      <c r="G2098">
        <v>131197465</v>
      </c>
      <c r="H2098">
        <v>20010</v>
      </c>
      <c r="I2098">
        <v>9532</v>
      </c>
      <c r="J2098">
        <v>29542</v>
      </c>
      <c r="K2098" t="b">
        <f>TrafficData[[#This Row],[disposedChallan]]+TrafficData[[#This Row],[pendingChallan]]=TrafficData[[#This Row],[totalChallan]]</f>
        <v>1</v>
      </c>
      <c r="L2098" t="b">
        <f>TrafficData[[#This Row],[pendingAmount]]+TrafficData[[#This Row],[disposedAmount]]=TrafficData[[#This Row],[totalAmount]]</f>
        <v>1</v>
      </c>
      <c r="M2098" t="b">
        <f>TrafficData[[#This Row],[pendingCourt]]+TrafficData[[#This Row],[disposedCourt]]=TrafficData[[#This Row],[totalCourt]]</f>
        <v>1</v>
      </c>
      <c r="N2098" s="8" t="b">
        <f>AND(TrafficData[[#This Row],[disposedChallan]]&lt;=TrafficData[[#This Row],[totalChallan]],TrafficData[[#This Row],[pendingChallan]]&lt;=TrafficData[[#This Row],[totalChallan]])</f>
        <v>1</v>
      </c>
      <c r="O2098" s="8" t="b">
        <f>AND(TrafficData[[#This Row],[pendingAmount]]&lt;=TrafficData[[#This Row],[totalAmount]],TrafficData[[#This Row],[disposedAmount]]&lt;=TrafficData[[#This Row],[totalAmount]])</f>
        <v>1</v>
      </c>
      <c r="P2098" s="8" t="b">
        <f>AND(TrafficData[[#This Row],[pendingCourt]]&lt;=TrafficData[[#This Row],[totalCourt]],TrafficData[[#This Row],[disposedCourt]]&lt;=TrafficData[[#This Row],[totalCourt]])</f>
        <v>1</v>
      </c>
    </row>
    <row r="2099" spans="1:16">
      <c r="A2099" s="1">
        <v>44103</v>
      </c>
      <c r="B2099">
        <v>127425</v>
      </c>
      <c r="C2099">
        <v>64245</v>
      </c>
      <c r="D2099">
        <v>63180</v>
      </c>
      <c r="E2099">
        <v>69314693</v>
      </c>
      <c r="F2099">
        <v>67125728</v>
      </c>
      <c r="G2099">
        <v>136440421</v>
      </c>
      <c r="H2099">
        <v>30150</v>
      </c>
      <c r="I2099">
        <v>11235</v>
      </c>
      <c r="J2099">
        <v>41385</v>
      </c>
      <c r="K2099" t="b">
        <f>TrafficData[[#This Row],[disposedChallan]]+TrafficData[[#This Row],[pendingChallan]]=TrafficData[[#This Row],[totalChallan]]</f>
        <v>1</v>
      </c>
      <c r="L2099" t="b">
        <f>TrafficData[[#This Row],[pendingAmount]]+TrafficData[[#This Row],[disposedAmount]]=TrafficData[[#This Row],[totalAmount]]</f>
        <v>1</v>
      </c>
      <c r="M2099" t="b">
        <f>TrafficData[[#This Row],[pendingCourt]]+TrafficData[[#This Row],[disposedCourt]]=TrafficData[[#This Row],[totalCourt]]</f>
        <v>1</v>
      </c>
      <c r="N2099" s="8" t="b">
        <f>AND(TrafficData[[#This Row],[disposedChallan]]&lt;=TrafficData[[#This Row],[totalChallan]],TrafficData[[#This Row],[pendingChallan]]&lt;=TrafficData[[#This Row],[totalChallan]])</f>
        <v>1</v>
      </c>
      <c r="O2099" s="8" t="b">
        <f>AND(TrafficData[[#This Row],[pendingAmount]]&lt;=TrafficData[[#This Row],[totalAmount]],TrafficData[[#This Row],[disposedAmount]]&lt;=TrafficData[[#This Row],[totalAmount]])</f>
        <v>1</v>
      </c>
      <c r="P2099" s="8" t="b">
        <f>AND(TrafficData[[#This Row],[pendingCourt]]&lt;=TrafficData[[#This Row],[totalCourt]],TrafficData[[#This Row],[disposedCourt]]&lt;=TrafficData[[#This Row],[totalCourt]])</f>
        <v>1</v>
      </c>
    </row>
    <row r="2100" spans="1:16">
      <c r="A2100" s="1">
        <v>44104</v>
      </c>
      <c r="B2100">
        <v>125335</v>
      </c>
      <c r="C2100">
        <v>62922</v>
      </c>
      <c r="D2100">
        <v>62413</v>
      </c>
      <c r="E2100">
        <v>69037141</v>
      </c>
      <c r="F2100">
        <v>87143348</v>
      </c>
      <c r="G2100">
        <v>156180489</v>
      </c>
      <c r="H2100">
        <v>30150</v>
      </c>
      <c r="I2100">
        <v>11257</v>
      </c>
      <c r="J2100">
        <v>41407</v>
      </c>
      <c r="K2100" t="b">
        <f>TrafficData[[#This Row],[disposedChallan]]+TrafficData[[#This Row],[pendingChallan]]=TrafficData[[#This Row],[totalChallan]]</f>
        <v>1</v>
      </c>
      <c r="L2100" t="b">
        <f>TrafficData[[#This Row],[pendingAmount]]+TrafficData[[#This Row],[disposedAmount]]=TrafficData[[#This Row],[totalAmount]]</f>
        <v>1</v>
      </c>
      <c r="M2100" t="b">
        <f>TrafficData[[#This Row],[pendingCourt]]+TrafficData[[#This Row],[disposedCourt]]=TrafficData[[#This Row],[totalCourt]]</f>
        <v>1</v>
      </c>
      <c r="N2100" s="8" t="b">
        <f>AND(TrafficData[[#This Row],[disposedChallan]]&lt;=TrafficData[[#This Row],[totalChallan]],TrafficData[[#This Row],[pendingChallan]]&lt;=TrafficData[[#This Row],[totalChallan]])</f>
        <v>1</v>
      </c>
      <c r="O2100" s="8" t="b">
        <f>AND(TrafficData[[#This Row],[pendingAmount]]&lt;=TrafficData[[#This Row],[totalAmount]],TrafficData[[#This Row],[disposedAmount]]&lt;=TrafficData[[#This Row],[totalAmount]])</f>
        <v>1</v>
      </c>
      <c r="P2100" s="8" t="b">
        <f>AND(TrafficData[[#This Row],[pendingCourt]]&lt;=TrafficData[[#This Row],[totalCourt]],TrafficData[[#This Row],[disposedCourt]]&lt;=TrafficData[[#This Row],[totalCourt]])</f>
        <v>1</v>
      </c>
    </row>
    <row r="2101" spans="1:16">
      <c r="A2101" s="1">
        <v>44105</v>
      </c>
      <c r="B2101">
        <v>122916</v>
      </c>
      <c r="C2101">
        <v>62406</v>
      </c>
      <c r="D2101">
        <v>60510</v>
      </c>
      <c r="E2101">
        <v>66093909</v>
      </c>
      <c r="F2101">
        <v>65740048</v>
      </c>
      <c r="G2101">
        <v>131833957</v>
      </c>
      <c r="H2101">
        <v>29056</v>
      </c>
      <c r="I2101">
        <v>11263</v>
      </c>
      <c r="J2101">
        <v>40319</v>
      </c>
      <c r="K2101" t="b">
        <f>TrafficData[[#This Row],[disposedChallan]]+TrafficData[[#This Row],[pendingChallan]]=TrafficData[[#This Row],[totalChallan]]</f>
        <v>1</v>
      </c>
      <c r="L2101" t="b">
        <f>TrafficData[[#This Row],[pendingAmount]]+TrafficData[[#This Row],[disposedAmount]]=TrafficData[[#This Row],[totalAmount]]</f>
        <v>1</v>
      </c>
      <c r="M2101" t="b">
        <f>TrafficData[[#This Row],[pendingCourt]]+TrafficData[[#This Row],[disposedCourt]]=TrafficData[[#This Row],[totalCourt]]</f>
        <v>1</v>
      </c>
      <c r="N2101" s="8" t="b">
        <f>AND(TrafficData[[#This Row],[disposedChallan]]&lt;=TrafficData[[#This Row],[totalChallan]],TrafficData[[#This Row],[pendingChallan]]&lt;=TrafficData[[#This Row],[totalChallan]])</f>
        <v>1</v>
      </c>
      <c r="O2101" s="8" t="b">
        <f>AND(TrafficData[[#This Row],[pendingAmount]]&lt;=TrafficData[[#This Row],[totalAmount]],TrafficData[[#This Row],[disposedAmount]]&lt;=TrafficData[[#This Row],[totalAmount]])</f>
        <v>1</v>
      </c>
      <c r="P2101" s="8" t="b">
        <f>AND(TrafficData[[#This Row],[pendingCourt]]&lt;=TrafficData[[#This Row],[totalCourt]],TrafficData[[#This Row],[disposedCourt]]&lt;=TrafficData[[#This Row],[totalCourt]])</f>
        <v>1</v>
      </c>
    </row>
    <row r="2102" spans="1:16">
      <c r="A2102" s="1">
        <v>44106</v>
      </c>
      <c r="B2102">
        <v>118775</v>
      </c>
      <c r="C2102">
        <v>58848</v>
      </c>
      <c r="D2102">
        <v>59927</v>
      </c>
      <c r="E2102">
        <v>61117765</v>
      </c>
      <c r="F2102">
        <v>55890601</v>
      </c>
      <c r="G2102">
        <v>117008366</v>
      </c>
      <c r="H2102">
        <v>27259</v>
      </c>
      <c r="I2102">
        <v>9973</v>
      </c>
      <c r="J2102">
        <v>37232</v>
      </c>
      <c r="K2102" t="b">
        <f>TrafficData[[#This Row],[disposedChallan]]+TrafficData[[#This Row],[pendingChallan]]=TrafficData[[#This Row],[totalChallan]]</f>
        <v>1</v>
      </c>
      <c r="L2102" t="b">
        <f>TrafficData[[#This Row],[pendingAmount]]+TrafficData[[#This Row],[disposedAmount]]=TrafficData[[#This Row],[totalAmount]]</f>
        <v>1</v>
      </c>
      <c r="M2102" t="b">
        <f>TrafficData[[#This Row],[pendingCourt]]+TrafficData[[#This Row],[disposedCourt]]=TrafficData[[#This Row],[totalCourt]]</f>
        <v>1</v>
      </c>
      <c r="N2102" s="8" t="b">
        <f>AND(TrafficData[[#This Row],[disposedChallan]]&lt;=TrafficData[[#This Row],[totalChallan]],TrafficData[[#This Row],[pendingChallan]]&lt;=TrafficData[[#This Row],[totalChallan]])</f>
        <v>1</v>
      </c>
      <c r="O2102" s="8" t="b">
        <f>AND(TrafficData[[#This Row],[pendingAmount]]&lt;=TrafficData[[#This Row],[totalAmount]],TrafficData[[#This Row],[disposedAmount]]&lt;=TrafficData[[#This Row],[totalAmount]])</f>
        <v>1</v>
      </c>
      <c r="P2102" s="8" t="b">
        <f>AND(TrafficData[[#This Row],[pendingCourt]]&lt;=TrafficData[[#This Row],[totalCourt]],TrafficData[[#This Row],[disposedCourt]]&lt;=TrafficData[[#This Row],[totalCourt]])</f>
        <v>1</v>
      </c>
    </row>
    <row r="2103" spans="1:16">
      <c r="A2103" s="1">
        <v>44107</v>
      </c>
      <c r="B2103">
        <v>123355</v>
      </c>
      <c r="C2103">
        <v>61497</v>
      </c>
      <c r="D2103">
        <v>61858</v>
      </c>
      <c r="E2103">
        <v>64638290</v>
      </c>
      <c r="F2103">
        <v>61639601</v>
      </c>
      <c r="G2103">
        <v>126277891</v>
      </c>
      <c r="H2103">
        <v>29780</v>
      </c>
      <c r="I2103">
        <v>8784</v>
      </c>
      <c r="J2103">
        <v>38564</v>
      </c>
      <c r="K2103" t="b">
        <f>TrafficData[[#This Row],[disposedChallan]]+TrafficData[[#This Row],[pendingChallan]]=TrafficData[[#This Row],[totalChallan]]</f>
        <v>1</v>
      </c>
      <c r="L2103" t="b">
        <f>TrafficData[[#This Row],[pendingAmount]]+TrafficData[[#This Row],[disposedAmount]]=TrafficData[[#This Row],[totalAmount]]</f>
        <v>1</v>
      </c>
      <c r="M2103" t="b">
        <f>TrafficData[[#This Row],[pendingCourt]]+TrafficData[[#This Row],[disposedCourt]]=TrafficData[[#This Row],[totalCourt]]</f>
        <v>1</v>
      </c>
      <c r="N2103" s="8" t="b">
        <f>AND(TrafficData[[#This Row],[disposedChallan]]&lt;=TrafficData[[#This Row],[totalChallan]],TrafficData[[#This Row],[pendingChallan]]&lt;=TrafficData[[#This Row],[totalChallan]])</f>
        <v>1</v>
      </c>
      <c r="O2103" s="8" t="b">
        <f>AND(TrafficData[[#This Row],[pendingAmount]]&lt;=TrafficData[[#This Row],[totalAmount]],TrafficData[[#This Row],[disposedAmount]]&lt;=TrafficData[[#This Row],[totalAmount]])</f>
        <v>1</v>
      </c>
      <c r="P2103" s="8" t="b">
        <f>AND(TrafficData[[#This Row],[pendingCourt]]&lt;=TrafficData[[#This Row],[totalCourt]],TrafficData[[#This Row],[disposedCourt]]&lt;=TrafficData[[#This Row],[totalCourt]])</f>
        <v>1</v>
      </c>
    </row>
    <row r="2104" spans="1:16">
      <c r="A2104" s="1">
        <v>44108</v>
      </c>
      <c r="B2104">
        <v>109302</v>
      </c>
      <c r="C2104">
        <v>50162</v>
      </c>
      <c r="D2104">
        <v>59140</v>
      </c>
      <c r="E2104">
        <v>59024078</v>
      </c>
      <c r="F2104">
        <v>48744176</v>
      </c>
      <c r="G2104">
        <v>107768254</v>
      </c>
      <c r="H2104">
        <v>27108</v>
      </c>
      <c r="I2104">
        <v>8828</v>
      </c>
      <c r="J2104">
        <v>35936</v>
      </c>
      <c r="K2104" t="b">
        <f>TrafficData[[#This Row],[disposedChallan]]+TrafficData[[#This Row],[pendingChallan]]=TrafficData[[#This Row],[totalChallan]]</f>
        <v>1</v>
      </c>
      <c r="L2104" t="b">
        <f>TrafficData[[#This Row],[pendingAmount]]+TrafficData[[#This Row],[disposedAmount]]=TrafficData[[#This Row],[totalAmount]]</f>
        <v>1</v>
      </c>
      <c r="M2104" t="b">
        <f>TrafficData[[#This Row],[pendingCourt]]+TrafficData[[#This Row],[disposedCourt]]=TrafficData[[#This Row],[totalCourt]]</f>
        <v>1</v>
      </c>
      <c r="N2104" s="8" t="b">
        <f>AND(TrafficData[[#This Row],[disposedChallan]]&lt;=TrafficData[[#This Row],[totalChallan]],TrafficData[[#This Row],[pendingChallan]]&lt;=TrafficData[[#This Row],[totalChallan]])</f>
        <v>1</v>
      </c>
      <c r="O2104" s="8" t="b">
        <f>AND(TrafficData[[#This Row],[pendingAmount]]&lt;=TrafficData[[#This Row],[totalAmount]],TrafficData[[#This Row],[disposedAmount]]&lt;=TrafficData[[#This Row],[totalAmount]])</f>
        <v>1</v>
      </c>
      <c r="P2104" s="8" t="b">
        <f>AND(TrafficData[[#This Row],[pendingCourt]]&lt;=TrafficData[[#This Row],[totalCourt]],TrafficData[[#This Row],[disposedCourt]]&lt;=TrafficData[[#This Row],[totalCourt]])</f>
        <v>1</v>
      </c>
    </row>
    <row r="2105" spans="1:16">
      <c r="A2105" s="1">
        <v>44109</v>
      </c>
      <c r="B2105">
        <v>120070</v>
      </c>
      <c r="C2105">
        <v>60434</v>
      </c>
      <c r="D2105">
        <v>59636</v>
      </c>
      <c r="E2105">
        <v>61271713</v>
      </c>
      <c r="F2105">
        <v>62321438</v>
      </c>
      <c r="G2105">
        <v>123593151</v>
      </c>
      <c r="H2105">
        <v>27765</v>
      </c>
      <c r="I2105">
        <v>8857</v>
      </c>
      <c r="J2105">
        <v>36622</v>
      </c>
      <c r="K2105" t="b">
        <f>TrafficData[[#This Row],[disposedChallan]]+TrafficData[[#This Row],[pendingChallan]]=TrafficData[[#This Row],[totalChallan]]</f>
        <v>1</v>
      </c>
      <c r="L2105" t="b">
        <f>TrafficData[[#This Row],[pendingAmount]]+TrafficData[[#This Row],[disposedAmount]]=TrafficData[[#This Row],[totalAmount]]</f>
        <v>1</v>
      </c>
      <c r="M2105" t="b">
        <f>TrafficData[[#This Row],[pendingCourt]]+TrafficData[[#This Row],[disposedCourt]]=TrafficData[[#This Row],[totalCourt]]</f>
        <v>1</v>
      </c>
      <c r="N2105" s="8" t="b">
        <f>AND(TrafficData[[#This Row],[disposedChallan]]&lt;=TrafficData[[#This Row],[totalChallan]],TrafficData[[#This Row],[pendingChallan]]&lt;=TrafficData[[#This Row],[totalChallan]])</f>
        <v>1</v>
      </c>
      <c r="O2105" s="8" t="b">
        <f>AND(TrafficData[[#This Row],[pendingAmount]]&lt;=TrafficData[[#This Row],[totalAmount]],TrafficData[[#This Row],[disposedAmount]]&lt;=TrafficData[[#This Row],[totalAmount]])</f>
        <v>1</v>
      </c>
      <c r="P2105" s="8" t="b">
        <f>AND(TrafficData[[#This Row],[pendingCourt]]&lt;=TrafficData[[#This Row],[totalCourt]],TrafficData[[#This Row],[disposedCourt]]&lt;=TrafficData[[#This Row],[totalCourt]])</f>
        <v>1</v>
      </c>
    </row>
    <row r="2106" spans="1:16">
      <c r="A2106" s="1">
        <v>44110</v>
      </c>
      <c r="B2106">
        <v>119231</v>
      </c>
      <c r="C2106">
        <v>59372</v>
      </c>
      <c r="D2106">
        <v>59859</v>
      </c>
      <c r="E2106">
        <v>64781462</v>
      </c>
      <c r="F2106">
        <v>65150031</v>
      </c>
      <c r="G2106">
        <v>129931493</v>
      </c>
      <c r="H2106">
        <v>29817</v>
      </c>
      <c r="I2106">
        <v>10984</v>
      </c>
      <c r="J2106">
        <v>40801</v>
      </c>
      <c r="K2106" t="b">
        <f>TrafficData[[#This Row],[disposedChallan]]+TrafficData[[#This Row],[pendingChallan]]=TrafficData[[#This Row],[totalChallan]]</f>
        <v>1</v>
      </c>
      <c r="L2106" t="b">
        <f>TrafficData[[#This Row],[pendingAmount]]+TrafficData[[#This Row],[disposedAmount]]=TrafficData[[#This Row],[totalAmount]]</f>
        <v>1</v>
      </c>
      <c r="M2106" t="b">
        <f>TrafficData[[#This Row],[pendingCourt]]+TrafficData[[#This Row],[disposedCourt]]=TrafficData[[#This Row],[totalCourt]]</f>
        <v>1</v>
      </c>
      <c r="N2106" s="8" t="b">
        <f>AND(TrafficData[[#This Row],[disposedChallan]]&lt;=TrafficData[[#This Row],[totalChallan]],TrafficData[[#This Row],[pendingChallan]]&lt;=TrafficData[[#This Row],[totalChallan]])</f>
        <v>1</v>
      </c>
      <c r="O2106" s="8" t="b">
        <f>AND(TrafficData[[#This Row],[pendingAmount]]&lt;=TrafficData[[#This Row],[totalAmount]],TrafficData[[#This Row],[disposedAmount]]&lt;=TrafficData[[#This Row],[totalAmount]])</f>
        <v>1</v>
      </c>
      <c r="P2106" s="8" t="b">
        <f>AND(TrafficData[[#This Row],[pendingCourt]]&lt;=TrafficData[[#This Row],[totalCourt]],TrafficData[[#This Row],[disposedCourt]]&lt;=TrafficData[[#This Row],[totalCourt]])</f>
        <v>1</v>
      </c>
    </row>
    <row r="2107" spans="1:16">
      <c r="A2107" s="1">
        <v>44111</v>
      </c>
      <c r="B2107">
        <v>125770</v>
      </c>
      <c r="C2107">
        <v>63169</v>
      </c>
      <c r="D2107">
        <v>62601</v>
      </c>
      <c r="E2107">
        <v>70154598</v>
      </c>
      <c r="F2107">
        <v>68689090</v>
      </c>
      <c r="G2107">
        <v>138843688</v>
      </c>
      <c r="H2107">
        <v>29796</v>
      </c>
      <c r="I2107">
        <v>11405</v>
      </c>
      <c r="J2107">
        <v>41201</v>
      </c>
      <c r="K2107" t="b">
        <f>TrafficData[[#This Row],[disposedChallan]]+TrafficData[[#This Row],[pendingChallan]]=TrafficData[[#This Row],[totalChallan]]</f>
        <v>1</v>
      </c>
      <c r="L2107" t="b">
        <f>TrafficData[[#This Row],[pendingAmount]]+TrafficData[[#This Row],[disposedAmount]]=TrafficData[[#This Row],[totalAmount]]</f>
        <v>1</v>
      </c>
      <c r="M2107" t="b">
        <f>TrafficData[[#This Row],[pendingCourt]]+TrafficData[[#This Row],[disposedCourt]]=TrafficData[[#This Row],[totalCourt]]</f>
        <v>1</v>
      </c>
      <c r="N2107" s="8" t="b">
        <f>AND(TrafficData[[#This Row],[disposedChallan]]&lt;=TrafficData[[#This Row],[totalChallan]],TrafficData[[#This Row],[pendingChallan]]&lt;=TrafficData[[#This Row],[totalChallan]])</f>
        <v>1</v>
      </c>
      <c r="O2107" s="8" t="b">
        <f>AND(TrafficData[[#This Row],[pendingAmount]]&lt;=TrafficData[[#This Row],[totalAmount]],TrafficData[[#This Row],[disposedAmount]]&lt;=TrafficData[[#This Row],[totalAmount]])</f>
        <v>1</v>
      </c>
      <c r="P2107" s="8" t="b">
        <f>AND(TrafficData[[#This Row],[pendingCourt]]&lt;=TrafficData[[#This Row],[totalCourt]],TrafficData[[#This Row],[disposedCourt]]&lt;=TrafficData[[#This Row],[totalCourt]])</f>
        <v>1</v>
      </c>
    </row>
    <row r="2108" spans="1:16">
      <c r="A2108" s="1">
        <v>44112</v>
      </c>
      <c r="B2108">
        <v>125874</v>
      </c>
      <c r="C2108">
        <v>62526</v>
      </c>
      <c r="D2108">
        <v>63348</v>
      </c>
      <c r="E2108">
        <v>71321935</v>
      </c>
      <c r="F2108">
        <v>75197983</v>
      </c>
      <c r="G2108">
        <v>146519918</v>
      </c>
      <c r="H2108">
        <v>20174</v>
      </c>
      <c r="I2108">
        <v>8842</v>
      </c>
      <c r="J2108">
        <v>29016</v>
      </c>
      <c r="K2108" t="b">
        <f>TrafficData[[#This Row],[disposedChallan]]+TrafficData[[#This Row],[pendingChallan]]=TrafficData[[#This Row],[totalChallan]]</f>
        <v>1</v>
      </c>
      <c r="L2108" t="b">
        <f>TrafficData[[#This Row],[pendingAmount]]+TrafficData[[#This Row],[disposedAmount]]=TrafficData[[#This Row],[totalAmount]]</f>
        <v>1</v>
      </c>
      <c r="M2108" t="b">
        <f>TrafficData[[#This Row],[pendingCourt]]+TrafficData[[#This Row],[disposedCourt]]=TrafficData[[#This Row],[totalCourt]]</f>
        <v>1</v>
      </c>
      <c r="N2108" s="8" t="b">
        <f>AND(TrafficData[[#This Row],[disposedChallan]]&lt;=TrafficData[[#This Row],[totalChallan]],TrafficData[[#This Row],[pendingChallan]]&lt;=TrafficData[[#This Row],[totalChallan]])</f>
        <v>1</v>
      </c>
      <c r="O2108" s="8" t="b">
        <f>AND(TrafficData[[#This Row],[pendingAmount]]&lt;=TrafficData[[#This Row],[totalAmount]],TrafficData[[#This Row],[disposedAmount]]&lt;=TrafficData[[#This Row],[totalAmount]])</f>
        <v>1</v>
      </c>
      <c r="P2108" s="8" t="b">
        <f>AND(TrafficData[[#This Row],[pendingCourt]]&lt;=TrafficData[[#This Row],[totalCourt]],TrafficData[[#This Row],[disposedCourt]]&lt;=TrafficData[[#This Row],[totalCourt]])</f>
        <v>1</v>
      </c>
    </row>
    <row r="2109" spans="1:16">
      <c r="A2109" s="1">
        <v>44113</v>
      </c>
      <c r="B2109">
        <v>118701</v>
      </c>
      <c r="C2109">
        <v>60240</v>
      </c>
      <c r="D2109">
        <v>58461</v>
      </c>
      <c r="E2109">
        <v>65106397</v>
      </c>
      <c r="F2109">
        <v>70002465</v>
      </c>
      <c r="G2109">
        <v>135108862</v>
      </c>
      <c r="H2109">
        <v>30280</v>
      </c>
      <c r="I2109">
        <v>11281</v>
      </c>
      <c r="J2109">
        <v>41561</v>
      </c>
      <c r="K2109" t="b">
        <f>TrafficData[[#This Row],[disposedChallan]]+TrafficData[[#This Row],[pendingChallan]]=TrafficData[[#This Row],[totalChallan]]</f>
        <v>1</v>
      </c>
      <c r="L2109" t="b">
        <f>TrafficData[[#This Row],[pendingAmount]]+TrafficData[[#This Row],[disposedAmount]]=TrafficData[[#This Row],[totalAmount]]</f>
        <v>1</v>
      </c>
      <c r="M2109" t="b">
        <f>TrafficData[[#This Row],[pendingCourt]]+TrafficData[[#This Row],[disposedCourt]]=TrafficData[[#This Row],[totalCourt]]</f>
        <v>1</v>
      </c>
      <c r="N2109" s="8" t="b">
        <f>AND(TrafficData[[#This Row],[disposedChallan]]&lt;=TrafficData[[#This Row],[totalChallan]],TrafficData[[#This Row],[pendingChallan]]&lt;=TrafficData[[#This Row],[totalChallan]])</f>
        <v>1</v>
      </c>
      <c r="O2109" s="8" t="b">
        <f>AND(TrafficData[[#This Row],[pendingAmount]]&lt;=TrafficData[[#This Row],[totalAmount]],TrafficData[[#This Row],[disposedAmount]]&lt;=TrafficData[[#This Row],[totalAmount]])</f>
        <v>1</v>
      </c>
      <c r="P2109" s="8" t="b">
        <f>AND(TrafficData[[#This Row],[pendingCourt]]&lt;=TrafficData[[#This Row],[totalCourt]],TrafficData[[#This Row],[disposedCourt]]&lt;=TrafficData[[#This Row],[totalCourt]])</f>
        <v>1</v>
      </c>
    </row>
    <row r="2110" spans="1:16">
      <c r="A2110" s="1">
        <v>44114</v>
      </c>
      <c r="B2110">
        <v>123156</v>
      </c>
      <c r="C2110">
        <v>61741</v>
      </c>
      <c r="D2110">
        <v>61415</v>
      </c>
      <c r="E2110">
        <v>64291343</v>
      </c>
      <c r="F2110">
        <v>66155734</v>
      </c>
      <c r="G2110">
        <v>130447077</v>
      </c>
      <c r="H2110">
        <v>30263</v>
      </c>
      <c r="I2110">
        <v>10711</v>
      </c>
      <c r="J2110">
        <v>40974</v>
      </c>
      <c r="K2110" t="b">
        <f>TrafficData[[#This Row],[disposedChallan]]+TrafficData[[#This Row],[pendingChallan]]=TrafficData[[#This Row],[totalChallan]]</f>
        <v>1</v>
      </c>
      <c r="L2110" t="b">
        <f>TrafficData[[#This Row],[pendingAmount]]+TrafficData[[#This Row],[disposedAmount]]=TrafficData[[#This Row],[totalAmount]]</f>
        <v>1</v>
      </c>
      <c r="M2110" t="b">
        <f>TrafficData[[#This Row],[pendingCourt]]+TrafficData[[#This Row],[disposedCourt]]=TrafficData[[#This Row],[totalCourt]]</f>
        <v>1</v>
      </c>
      <c r="N2110" s="8" t="b">
        <f>AND(TrafficData[[#This Row],[disposedChallan]]&lt;=TrafficData[[#This Row],[totalChallan]],TrafficData[[#This Row],[pendingChallan]]&lt;=TrafficData[[#This Row],[totalChallan]])</f>
        <v>1</v>
      </c>
      <c r="O2110" s="8" t="b">
        <f>AND(TrafficData[[#This Row],[pendingAmount]]&lt;=TrafficData[[#This Row],[totalAmount]],TrafficData[[#This Row],[disposedAmount]]&lt;=TrafficData[[#This Row],[totalAmount]])</f>
        <v>1</v>
      </c>
      <c r="P2110" s="8" t="b">
        <f>AND(TrafficData[[#This Row],[pendingCourt]]&lt;=TrafficData[[#This Row],[totalCourt]],TrafficData[[#This Row],[disposedCourt]]&lt;=TrafficData[[#This Row],[totalCourt]])</f>
        <v>1</v>
      </c>
    </row>
    <row r="2111" spans="1:16">
      <c r="A2111" s="1">
        <v>44115</v>
      </c>
      <c r="B2111">
        <v>116814</v>
      </c>
      <c r="C2111">
        <v>55502</v>
      </c>
      <c r="D2111">
        <v>61312</v>
      </c>
      <c r="E2111">
        <v>66577103</v>
      </c>
      <c r="F2111">
        <v>58190580</v>
      </c>
      <c r="G2111">
        <v>124767683</v>
      </c>
      <c r="H2111">
        <v>28380</v>
      </c>
      <c r="I2111">
        <v>9903</v>
      </c>
      <c r="J2111">
        <v>38283</v>
      </c>
      <c r="K2111" t="b">
        <f>TrafficData[[#This Row],[disposedChallan]]+TrafficData[[#This Row],[pendingChallan]]=TrafficData[[#This Row],[totalChallan]]</f>
        <v>1</v>
      </c>
      <c r="L2111" t="b">
        <f>TrafficData[[#This Row],[pendingAmount]]+TrafficData[[#This Row],[disposedAmount]]=TrafficData[[#This Row],[totalAmount]]</f>
        <v>1</v>
      </c>
      <c r="M2111" t="b">
        <f>TrafficData[[#This Row],[pendingCourt]]+TrafficData[[#This Row],[disposedCourt]]=TrafficData[[#This Row],[totalCourt]]</f>
        <v>1</v>
      </c>
      <c r="N2111" s="8" t="b">
        <f>AND(TrafficData[[#This Row],[disposedChallan]]&lt;=TrafficData[[#This Row],[totalChallan]],TrafficData[[#This Row],[pendingChallan]]&lt;=TrafficData[[#This Row],[totalChallan]])</f>
        <v>1</v>
      </c>
      <c r="O2111" s="8" t="b">
        <f>AND(TrafficData[[#This Row],[pendingAmount]]&lt;=TrafficData[[#This Row],[totalAmount]],TrafficData[[#This Row],[disposedAmount]]&lt;=TrafficData[[#This Row],[totalAmount]])</f>
        <v>1</v>
      </c>
      <c r="P2111" s="8" t="b">
        <f>AND(TrafficData[[#This Row],[pendingCourt]]&lt;=TrafficData[[#This Row],[totalCourt]],TrafficData[[#This Row],[disposedCourt]]&lt;=TrafficData[[#This Row],[totalCourt]])</f>
        <v>1</v>
      </c>
    </row>
    <row r="2112" spans="1:16">
      <c r="A2112" s="1">
        <v>44116</v>
      </c>
      <c r="B2112">
        <v>119550</v>
      </c>
      <c r="C2112">
        <v>59414</v>
      </c>
      <c r="D2112">
        <v>60136</v>
      </c>
      <c r="E2112">
        <v>67890550</v>
      </c>
      <c r="F2112">
        <v>69767955</v>
      </c>
      <c r="G2112">
        <v>137658505</v>
      </c>
      <c r="H2112">
        <v>30190</v>
      </c>
      <c r="I2112">
        <v>8471</v>
      </c>
      <c r="J2112">
        <v>38661</v>
      </c>
      <c r="K2112" t="b">
        <f>TrafficData[[#This Row],[disposedChallan]]+TrafficData[[#This Row],[pendingChallan]]=TrafficData[[#This Row],[totalChallan]]</f>
        <v>1</v>
      </c>
      <c r="L2112" t="b">
        <f>TrafficData[[#This Row],[pendingAmount]]+TrafficData[[#This Row],[disposedAmount]]=TrafficData[[#This Row],[totalAmount]]</f>
        <v>1</v>
      </c>
      <c r="M2112" t="b">
        <f>TrafficData[[#This Row],[pendingCourt]]+TrafficData[[#This Row],[disposedCourt]]=TrafficData[[#This Row],[totalCourt]]</f>
        <v>1</v>
      </c>
      <c r="N2112" s="8" t="b">
        <f>AND(TrafficData[[#This Row],[disposedChallan]]&lt;=TrafficData[[#This Row],[totalChallan]],TrafficData[[#This Row],[pendingChallan]]&lt;=TrafficData[[#This Row],[totalChallan]])</f>
        <v>1</v>
      </c>
      <c r="O2112" s="8" t="b">
        <f>AND(TrafficData[[#This Row],[pendingAmount]]&lt;=TrafficData[[#This Row],[totalAmount]],TrafficData[[#This Row],[disposedAmount]]&lt;=TrafficData[[#This Row],[totalAmount]])</f>
        <v>1</v>
      </c>
      <c r="P2112" s="8" t="b">
        <f>AND(TrafficData[[#This Row],[pendingCourt]]&lt;=TrafficData[[#This Row],[totalCourt]],TrafficData[[#This Row],[disposedCourt]]&lt;=TrafficData[[#This Row],[totalCourt]])</f>
        <v>1</v>
      </c>
    </row>
    <row r="2113" spans="1:16">
      <c r="A2113" s="1">
        <v>44117</v>
      </c>
      <c r="B2113">
        <v>121306</v>
      </c>
      <c r="C2113">
        <v>61425</v>
      </c>
      <c r="D2113">
        <v>59881</v>
      </c>
      <c r="E2113">
        <v>70572955</v>
      </c>
      <c r="F2113">
        <v>78572956</v>
      </c>
      <c r="G2113">
        <v>149145911</v>
      </c>
      <c r="H2113">
        <v>29966</v>
      </c>
      <c r="I2113">
        <v>10362</v>
      </c>
      <c r="J2113">
        <v>40328</v>
      </c>
      <c r="K2113" t="b">
        <f>TrafficData[[#This Row],[disposedChallan]]+TrafficData[[#This Row],[pendingChallan]]=TrafficData[[#This Row],[totalChallan]]</f>
        <v>1</v>
      </c>
      <c r="L2113" t="b">
        <f>TrafficData[[#This Row],[pendingAmount]]+TrafficData[[#This Row],[disposedAmount]]=TrafficData[[#This Row],[totalAmount]]</f>
        <v>1</v>
      </c>
      <c r="M2113" t="b">
        <f>TrafficData[[#This Row],[pendingCourt]]+TrafficData[[#This Row],[disposedCourt]]=TrafficData[[#This Row],[totalCourt]]</f>
        <v>1</v>
      </c>
      <c r="N2113" s="8" t="b">
        <f>AND(TrafficData[[#This Row],[disposedChallan]]&lt;=TrafficData[[#This Row],[totalChallan]],TrafficData[[#This Row],[pendingChallan]]&lt;=TrafficData[[#This Row],[totalChallan]])</f>
        <v>1</v>
      </c>
      <c r="O2113" s="8" t="b">
        <f>AND(TrafficData[[#This Row],[pendingAmount]]&lt;=TrafficData[[#This Row],[totalAmount]],TrafficData[[#This Row],[disposedAmount]]&lt;=TrafficData[[#This Row],[totalAmount]])</f>
        <v>1</v>
      </c>
      <c r="P2113" s="8" t="b">
        <f>AND(TrafficData[[#This Row],[pendingCourt]]&lt;=TrafficData[[#This Row],[totalCourt]],TrafficData[[#This Row],[disposedCourt]]&lt;=TrafficData[[#This Row],[totalCourt]])</f>
        <v>1</v>
      </c>
    </row>
    <row r="2114" spans="1:16">
      <c r="A2114" s="1">
        <v>44118</v>
      </c>
      <c r="B2114">
        <v>123355</v>
      </c>
      <c r="C2114">
        <v>62002</v>
      </c>
      <c r="D2114">
        <v>61353</v>
      </c>
      <c r="E2114">
        <v>70160343</v>
      </c>
      <c r="F2114">
        <v>78292106</v>
      </c>
      <c r="G2114">
        <v>148452449</v>
      </c>
      <c r="H2114">
        <v>28862</v>
      </c>
      <c r="I2114">
        <v>8132</v>
      </c>
      <c r="J2114">
        <v>36994</v>
      </c>
      <c r="K2114" t="b">
        <f>TrafficData[[#This Row],[disposedChallan]]+TrafficData[[#This Row],[pendingChallan]]=TrafficData[[#This Row],[totalChallan]]</f>
        <v>1</v>
      </c>
      <c r="L2114" t="b">
        <f>TrafficData[[#This Row],[pendingAmount]]+TrafficData[[#This Row],[disposedAmount]]=TrafficData[[#This Row],[totalAmount]]</f>
        <v>1</v>
      </c>
      <c r="M2114" t="b">
        <f>TrafficData[[#This Row],[pendingCourt]]+TrafficData[[#This Row],[disposedCourt]]=TrafficData[[#This Row],[totalCourt]]</f>
        <v>1</v>
      </c>
      <c r="N2114" s="8" t="b">
        <f>AND(TrafficData[[#This Row],[disposedChallan]]&lt;=TrafficData[[#This Row],[totalChallan]],TrafficData[[#This Row],[pendingChallan]]&lt;=TrafficData[[#This Row],[totalChallan]])</f>
        <v>1</v>
      </c>
      <c r="O2114" s="8" t="b">
        <f>AND(TrafficData[[#This Row],[pendingAmount]]&lt;=TrafficData[[#This Row],[totalAmount]],TrafficData[[#This Row],[disposedAmount]]&lt;=TrafficData[[#This Row],[totalAmount]])</f>
        <v>1</v>
      </c>
      <c r="P2114" s="8" t="b">
        <f>AND(TrafficData[[#This Row],[pendingCourt]]&lt;=TrafficData[[#This Row],[totalCourt]],TrafficData[[#This Row],[disposedCourt]]&lt;=TrafficData[[#This Row],[totalCourt]])</f>
        <v>1</v>
      </c>
    </row>
    <row r="2115" spans="1:16">
      <c r="A2115" s="1">
        <v>44119</v>
      </c>
      <c r="B2115">
        <v>135583</v>
      </c>
      <c r="C2115">
        <v>64445</v>
      </c>
      <c r="D2115">
        <v>71138</v>
      </c>
      <c r="E2115">
        <v>73410238</v>
      </c>
      <c r="F2115">
        <v>71708764</v>
      </c>
      <c r="G2115">
        <v>145119002</v>
      </c>
      <c r="H2115">
        <v>25289</v>
      </c>
      <c r="I2115">
        <v>9488</v>
      </c>
      <c r="J2115">
        <v>34777</v>
      </c>
      <c r="K2115" t="b">
        <f>TrafficData[[#This Row],[disposedChallan]]+TrafficData[[#This Row],[pendingChallan]]=TrafficData[[#This Row],[totalChallan]]</f>
        <v>1</v>
      </c>
      <c r="L2115" t="b">
        <f>TrafficData[[#This Row],[pendingAmount]]+TrafficData[[#This Row],[disposedAmount]]=TrafficData[[#This Row],[totalAmount]]</f>
        <v>1</v>
      </c>
      <c r="M2115" t="b">
        <f>TrafficData[[#This Row],[pendingCourt]]+TrafficData[[#This Row],[disposedCourt]]=TrafficData[[#This Row],[totalCourt]]</f>
        <v>1</v>
      </c>
      <c r="N2115" s="8" t="b">
        <f>AND(TrafficData[[#This Row],[disposedChallan]]&lt;=TrafficData[[#This Row],[totalChallan]],TrafficData[[#This Row],[pendingChallan]]&lt;=TrafficData[[#This Row],[totalChallan]])</f>
        <v>1</v>
      </c>
      <c r="O2115" s="8" t="b">
        <f>AND(TrafficData[[#This Row],[pendingAmount]]&lt;=TrafficData[[#This Row],[totalAmount]],TrafficData[[#This Row],[disposedAmount]]&lt;=TrafficData[[#This Row],[totalAmount]])</f>
        <v>1</v>
      </c>
      <c r="P2115" s="8" t="b">
        <f>AND(TrafficData[[#This Row],[pendingCourt]]&lt;=TrafficData[[#This Row],[totalCourt]],TrafficData[[#This Row],[disposedCourt]]&lt;=TrafficData[[#This Row],[totalCourt]])</f>
        <v>1</v>
      </c>
    </row>
    <row r="2116" spans="1:16">
      <c r="A2116" s="1">
        <v>44120</v>
      </c>
      <c r="B2116">
        <v>124047</v>
      </c>
      <c r="C2116">
        <v>61489</v>
      </c>
      <c r="D2116">
        <v>62558</v>
      </c>
      <c r="E2116">
        <v>67683972</v>
      </c>
      <c r="F2116">
        <v>74860877</v>
      </c>
      <c r="G2116">
        <v>142544849</v>
      </c>
      <c r="H2116">
        <v>30391</v>
      </c>
      <c r="I2116">
        <v>10184</v>
      </c>
      <c r="J2116">
        <v>40575</v>
      </c>
      <c r="K2116" t="b">
        <f>TrafficData[[#This Row],[disposedChallan]]+TrafficData[[#This Row],[pendingChallan]]=TrafficData[[#This Row],[totalChallan]]</f>
        <v>1</v>
      </c>
      <c r="L2116" t="b">
        <f>TrafficData[[#This Row],[pendingAmount]]+TrafficData[[#This Row],[disposedAmount]]=TrafficData[[#This Row],[totalAmount]]</f>
        <v>1</v>
      </c>
      <c r="M2116" t="b">
        <f>TrafficData[[#This Row],[pendingCourt]]+TrafficData[[#This Row],[disposedCourt]]=TrafficData[[#This Row],[totalCourt]]</f>
        <v>1</v>
      </c>
      <c r="N2116" s="8" t="b">
        <f>AND(TrafficData[[#This Row],[disposedChallan]]&lt;=TrafficData[[#This Row],[totalChallan]],TrafficData[[#This Row],[pendingChallan]]&lt;=TrafficData[[#This Row],[totalChallan]])</f>
        <v>1</v>
      </c>
      <c r="O2116" s="8" t="b">
        <f>AND(TrafficData[[#This Row],[pendingAmount]]&lt;=TrafficData[[#This Row],[totalAmount]],TrafficData[[#This Row],[disposedAmount]]&lt;=TrafficData[[#This Row],[totalAmount]])</f>
        <v>1</v>
      </c>
      <c r="P2116" s="8" t="b">
        <f>AND(TrafficData[[#This Row],[pendingCourt]]&lt;=TrafficData[[#This Row],[totalCourt]],TrafficData[[#This Row],[disposedCourt]]&lt;=TrafficData[[#This Row],[totalCourt]])</f>
        <v>1</v>
      </c>
    </row>
    <row r="2117" spans="1:16">
      <c r="A2117" s="1">
        <v>44121</v>
      </c>
      <c r="B2117">
        <v>118427</v>
      </c>
      <c r="C2117">
        <v>58869</v>
      </c>
      <c r="D2117">
        <v>59558</v>
      </c>
      <c r="E2117">
        <v>65586968</v>
      </c>
      <c r="F2117">
        <v>65378302</v>
      </c>
      <c r="G2117">
        <v>130965270</v>
      </c>
      <c r="H2117">
        <v>28375</v>
      </c>
      <c r="I2117">
        <v>9555</v>
      </c>
      <c r="J2117">
        <v>37930</v>
      </c>
      <c r="K2117" t="b">
        <f>TrafficData[[#This Row],[disposedChallan]]+TrafficData[[#This Row],[pendingChallan]]=TrafficData[[#This Row],[totalChallan]]</f>
        <v>1</v>
      </c>
      <c r="L2117" t="b">
        <f>TrafficData[[#This Row],[pendingAmount]]+TrafficData[[#This Row],[disposedAmount]]=TrafficData[[#This Row],[totalAmount]]</f>
        <v>1</v>
      </c>
      <c r="M2117" t="b">
        <f>TrafficData[[#This Row],[pendingCourt]]+TrafficData[[#This Row],[disposedCourt]]=TrafficData[[#This Row],[totalCourt]]</f>
        <v>1</v>
      </c>
      <c r="N2117" s="8" t="b">
        <f>AND(TrafficData[[#This Row],[disposedChallan]]&lt;=TrafficData[[#This Row],[totalChallan]],TrafficData[[#This Row],[pendingChallan]]&lt;=TrafficData[[#This Row],[totalChallan]])</f>
        <v>1</v>
      </c>
      <c r="O2117" s="8" t="b">
        <f>AND(TrafficData[[#This Row],[pendingAmount]]&lt;=TrafficData[[#This Row],[totalAmount]],TrafficData[[#This Row],[disposedAmount]]&lt;=TrafficData[[#This Row],[totalAmount]])</f>
        <v>1</v>
      </c>
      <c r="P2117" s="8" t="b">
        <f>AND(TrafficData[[#This Row],[pendingCourt]]&lt;=TrafficData[[#This Row],[totalCourt]],TrafficData[[#This Row],[disposedCourt]]&lt;=TrafficData[[#This Row],[totalCourt]])</f>
        <v>1</v>
      </c>
    </row>
    <row r="2118" spans="1:16">
      <c r="A2118" s="1">
        <v>44122</v>
      </c>
      <c r="B2118">
        <v>99600</v>
      </c>
      <c r="C2118">
        <v>46939</v>
      </c>
      <c r="D2118">
        <v>52661</v>
      </c>
      <c r="E2118">
        <v>55462049</v>
      </c>
      <c r="F2118">
        <v>50796232</v>
      </c>
      <c r="G2118">
        <v>106258281</v>
      </c>
      <c r="H2118">
        <v>24402</v>
      </c>
      <c r="I2118">
        <v>6138</v>
      </c>
      <c r="J2118">
        <v>30540</v>
      </c>
      <c r="K2118" t="b">
        <f>TrafficData[[#This Row],[disposedChallan]]+TrafficData[[#This Row],[pendingChallan]]=TrafficData[[#This Row],[totalChallan]]</f>
        <v>1</v>
      </c>
      <c r="L2118" t="b">
        <f>TrafficData[[#This Row],[pendingAmount]]+TrafficData[[#This Row],[disposedAmount]]=TrafficData[[#This Row],[totalAmount]]</f>
        <v>1</v>
      </c>
      <c r="M2118" t="b">
        <f>TrafficData[[#This Row],[pendingCourt]]+TrafficData[[#This Row],[disposedCourt]]=TrafficData[[#This Row],[totalCourt]]</f>
        <v>1</v>
      </c>
      <c r="N2118" s="8" t="b">
        <f>AND(TrafficData[[#This Row],[disposedChallan]]&lt;=TrafficData[[#This Row],[totalChallan]],TrafficData[[#This Row],[pendingChallan]]&lt;=TrafficData[[#This Row],[totalChallan]])</f>
        <v>1</v>
      </c>
      <c r="O2118" s="8" t="b">
        <f>AND(TrafficData[[#This Row],[pendingAmount]]&lt;=TrafficData[[#This Row],[totalAmount]],TrafficData[[#This Row],[disposedAmount]]&lt;=TrafficData[[#This Row],[totalAmount]])</f>
        <v>1</v>
      </c>
      <c r="P2118" s="8" t="b">
        <f>AND(TrafficData[[#This Row],[pendingCourt]]&lt;=TrafficData[[#This Row],[totalCourt]],TrafficData[[#This Row],[disposedCourt]]&lt;=TrafficData[[#This Row],[totalCourt]])</f>
        <v>1</v>
      </c>
    </row>
    <row r="2119" spans="1:16">
      <c r="A2119" s="1">
        <v>44123</v>
      </c>
      <c r="B2119">
        <v>116524</v>
      </c>
      <c r="C2119">
        <v>58545</v>
      </c>
      <c r="D2119">
        <v>57979</v>
      </c>
      <c r="E2119">
        <v>61402702</v>
      </c>
      <c r="F2119">
        <v>60870226</v>
      </c>
      <c r="G2119">
        <v>122272928</v>
      </c>
      <c r="H2119">
        <v>27705</v>
      </c>
      <c r="I2119">
        <v>9763</v>
      </c>
      <c r="J2119">
        <v>37468</v>
      </c>
      <c r="K2119" t="b">
        <f>TrafficData[[#This Row],[disposedChallan]]+TrafficData[[#This Row],[pendingChallan]]=TrafficData[[#This Row],[totalChallan]]</f>
        <v>1</v>
      </c>
      <c r="L2119" t="b">
        <f>TrafficData[[#This Row],[pendingAmount]]+TrafficData[[#This Row],[disposedAmount]]=TrafficData[[#This Row],[totalAmount]]</f>
        <v>1</v>
      </c>
      <c r="M2119" t="b">
        <f>TrafficData[[#This Row],[pendingCourt]]+TrafficData[[#This Row],[disposedCourt]]=TrafficData[[#This Row],[totalCourt]]</f>
        <v>1</v>
      </c>
      <c r="N2119" s="8" t="b">
        <f>AND(TrafficData[[#This Row],[disposedChallan]]&lt;=TrafficData[[#This Row],[totalChallan]],TrafficData[[#This Row],[pendingChallan]]&lt;=TrafficData[[#This Row],[totalChallan]])</f>
        <v>1</v>
      </c>
      <c r="O2119" s="8" t="b">
        <f>AND(TrafficData[[#This Row],[pendingAmount]]&lt;=TrafficData[[#This Row],[totalAmount]],TrafficData[[#This Row],[disposedAmount]]&lt;=TrafficData[[#This Row],[totalAmount]])</f>
        <v>1</v>
      </c>
      <c r="P2119" s="8" t="b">
        <f>AND(TrafficData[[#This Row],[pendingCourt]]&lt;=TrafficData[[#This Row],[totalCourt]],TrafficData[[#This Row],[disposedCourt]]&lt;=TrafficData[[#This Row],[totalCourt]])</f>
        <v>1</v>
      </c>
    </row>
    <row r="2120" spans="1:16">
      <c r="A2120" s="1">
        <v>44124</v>
      </c>
      <c r="B2120">
        <v>116546</v>
      </c>
      <c r="C2120">
        <v>57700</v>
      </c>
      <c r="D2120">
        <v>58846</v>
      </c>
      <c r="E2120">
        <v>64519418</v>
      </c>
      <c r="F2120">
        <v>65839269</v>
      </c>
      <c r="G2120">
        <v>130358687</v>
      </c>
      <c r="H2120">
        <v>27917</v>
      </c>
      <c r="I2120">
        <v>9782</v>
      </c>
      <c r="J2120">
        <v>37699</v>
      </c>
      <c r="K2120" t="b">
        <f>TrafficData[[#This Row],[disposedChallan]]+TrafficData[[#This Row],[pendingChallan]]=TrafficData[[#This Row],[totalChallan]]</f>
        <v>1</v>
      </c>
      <c r="L2120" t="b">
        <f>TrafficData[[#This Row],[pendingAmount]]+TrafficData[[#This Row],[disposedAmount]]=TrafficData[[#This Row],[totalAmount]]</f>
        <v>1</v>
      </c>
      <c r="M2120" t="b">
        <f>TrafficData[[#This Row],[pendingCourt]]+TrafficData[[#This Row],[disposedCourt]]=TrafficData[[#This Row],[totalCourt]]</f>
        <v>1</v>
      </c>
      <c r="N2120" s="8" t="b">
        <f>AND(TrafficData[[#This Row],[disposedChallan]]&lt;=TrafficData[[#This Row],[totalChallan]],TrafficData[[#This Row],[pendingChallan]]&lt;=TrafficData[[#This Row],[totalChallan]])</f>
        <v>1</v>
      </c>
      <c r="O2120" s="8" t="b">
        <f>AND(TrafficData[[#This Row],[pendingAmount]]&lt;=TrafficData[[#This Row],[totalAmount]],TrafficData[[#This Row],[disposedAmount]]&lt;=TrafficData[[#This Row],[totalAmount]])</f>
        <v>1</v>
      </c>
      <c r="P2120" s="8" t="b">
        <f>AND(TrafficData[[#This Row],[pendingCourt]]&lt;=TrafficData[[#This Row],[totalCourt]],TrafficData[[#This Row],[disposedCourt]]&lt;=TrafficData[[#This Row],[totalCourt]])</f>
        <v>1</v>
      </c>
    </row>
    <row r="2121" spans="1:16">
      <c r="A2121" s="1">
        <v>44125</v>
      </c>
      <c r="B2121">
        <v>113646</v>
      </c>
      <c r="C2121">
        <v>57612</v>
      </c>
      <c r="D2121">
        <v>56034</v>
      </c>
      <c r="E2121">
        <v>65121665</v>
      </c>
      <c r="F2121">
        <v>65762477</v>
      </c>
      <c r="G2121">
        <v>130884142</v>
      </c>
      <c r="H2121">
        <v>26368</v>
      </c>
      <c r="I2121">
        <v>9321</v>
      </c>
      <c r="J2121">
        <v>35689</v>
      </c>
      <c r="K2121" t="b">
        <f>TrafficData[[#This Row],[disposedChallan]]+TrafficData[[#This Row],[pendingChallan]]=TrafficData[[#This Row],[totalChallan]]</f>
        <v>1</v>
      </c>
      <c r="L2121" t="b">
        <f>TrafficData[[#This Row],[pendingAmount]]+TrafficData[[#This Row],[disposedAmount]]=TrafficData[[#This Row],[totalAmount]]</f>
        <v>1</v>
      </c>
      <c r="M2121" t="b">
        <f>TrafficData[[#This Row],[pendingCourt]]+TrafficData[[#This Row],[disposedCourt]]=TrafficData[[#This Row],[totalCourt]]</f>
        <v>1</v>
      </c>
      <c r="N2121" s="8" t="b">
        <f>AND(TrafficData[[#This Row],[disposedChallan]]&lt;=TrafficData[[#This Row],[totalChallan]],TrafficData[[#This Row],[pendingChallan]]&lt;=TrafficData[[#This Row],[totalChallan]])</f>
        <v>1</v>
      </c>
      <c r="O2121" s="8" t="b">
        <f>AND(TrafficData[[#This Row],[pendingAmount]]&lt;=TrafficData[[#This Row],[totalAmount]],TrafficData[[#This Row],[disposedAmount]]&lt;=TrafficData[[#This Row],[totalAmount]])</f>
        <v>1</v>
      </c>
      <c r="P2121" s="8" t="b">
        <f>AND(TrafficData[[#This Row],[pendingCourt]]&lt;=TrafficData[[#This Row],[totalCourt]],TrafficData[[#This Row],[disposedCourt]]&lt;=TrafficData[[#This Row],[totalCourt]])</f>
        <v>1</v>
      </c>
    </row>
    <row r="2122" spans="1:16">
      <c r="A2122" s="1">
        <v>44126</v>
      </c>
      <c r="B2122">
        <v>114959</v>
      </c>
      <c r="C2122">
        <v>57625</v>
      </c>
      <c r="D2122">
        <v>57334</v>
      </c>
      <c r="E2122">
        <v>64265241</v>
      </c>
      <c r="F2122">
        <v>58293033</v>
      </c>
      <c r="G2122">
        <v>122558274</v>
      </c>
      <c r="H2122">
        <v>26675</v>
      </c>
      <c r="I2122">
        <v>9267</v>
      </c>
      <c r="J2122">
        <v>35942</v>
      </c>
      <c r="K2122" t="b">
        <f>TrafficData[[#This Row],[disposedChallan]]+TrafficData[[#This Row],[pendingChallan]]=TrafficData[[#This Row],[totalChallan]]</f>
        <v>1</v>
      </c>
      <c r="L2122" t="b">
        <f>TrafficData[[#This Row],[pendingAmount]]+TrafficData[[#This Row],[disposedAmount]]=TrafficData[[#This Row],[totalAmount]]</f>
        <v>1</v>
      </c>
      <c r="M2122" t="b">
        <f>TrafficData[[#This Row],[pendingCourt]]+TrafficData[[#This Row],[disposedCourt]]=TrafficData[[#This Row],[totalCourt]]</f>
        <v>1</v>
      </c>
      <c r="N2122" s="8" t="b">
        <f>AND(TrafficData[[#This Row],[disposedChallan]]&lt;=TrafficData[[#This Row],[totalChallan]],TrafficData[[#This Row],[pendingChallan]]&lt;=TrafficData[[#This Row],[totalChallan]])</f>
        <v>1</v>
      </c>
      <c r="O2122" s="8" t="b">
        <f>AND(TrafficData[[#This Row],[pendingAmount]]&lt;=TrafficData[[#This Row],[totalAmount]],TrafficData[[#This Row],[disposedAmount]]&lt;=TrafficData[[#This Row],[totalAmount]])</f>
        <v>1</v>
      </c>
      <c r="P2122" s="8" t="b">
        <f>AND(TrafficData[[#This Row],[pendingCourt]]&lt;=TrafficData[[#This Row],[totalCourt]],TrafficData[[#This Row],[disposedCourt]]&lt;=TrafficData[[#This Row],[totalCourt]])</f>
        <v>1</v>
      </c>
    </row>
    <row r="2123" spans="1:16">
      <c r="A2123" s="1">
        <v>44127</v>
      </c>
      <c r="B2123">
        <v>111235</v>
      </c>
      <c r="C2123">
        <v>56295</v>
      </c>
      <c r="D2123">
        <v>54940</v>
      </c>
      <c r="E2123">
        <v>62206870</v>
      </c>
      <c r="F2123">
        <v>58358686</v>
      </c>
      <c r="G2123">
        <v>120565556</v>
      </c>
      <c r="H2123">
        <v>24063</v>
      </c>
      <c r="I2123">
        <v>8777</v>
      </c>
      <c r="J2123">
        <v>32840</v>
      </c>
      <c r="K2123" t="b">
        <f>TrafficData[[#This Row],[disposedChallan]]+TrafficData[[#This Row],[pendingChallan]]=TrafficData[[#This Row],[totalChallan]]</f>
        <v>1</v>
      </c>
      <c r="L2123" t="b">
        <f>TrafficData[[#This Row],[pendingAmount]]+TrafficData[[#This Row],[disposedAmount]]=TrafficData[[#This Row],[totalAmount]]</f>
        <v>1</v>
      </c>
      <c r="M2123" t="b">
        <f>TrafficData[[#This Row],[pendingCourt]]+TrafficData[[#This Row],[disposedCourt]]=TrafficData[[#This Row],[totalCourt]]</f>
        <v>1</v>
      </c>
      <c r="N2123" s="8" t="b">
        <f>AND(TrafficData[[#This Row],[disposedChallan]]&lt;=TrafficData[[#This Row],[totalChallan]],TrafficData[[#This Row],[pendingChallan]]&lt;=TrafficData[[#This Row],[totalChallan]])</f>
        <v>1</v>
      </c>
      <c r="O2123" s="8" t="b">
        <f>AND(TrafficData[[#This Row],[pendingAmount]]&lt;=TrafficData[[#This Row],[totalAmount]],TrafficData[[#This Row],[disposedAmount]]&lt;=TrafficData[[#This Row],[totalAmount]])</f>
        <v>1</v>
      </c>
      <c r="P2123" s="8" t="b">
        <f>AND(TrafficData[[#This Row],[pendingCourt]]&lt;=TrafficData[[#This Row],[totalCourt]],TrafficData[[#This Row],[disposedCourt]]&lt;=TrafficData[[#This Row],[totalCourt]])</f>
        <v>1</v>
      </c>
    </row>
    <row r="2124" spans="1:16">
      <c r="A2124" s="1">
        <v>44128</v>
      </c>
      <c r="B2124">
        <v>111086</v>
      </c>
      <c r="C2124">
        <v>55081</v>
      </c>
      <c r="D2124">
        <v>56005</v>
      </c>
      <c r="E2124">
        <v>64389153</v>
      </c>
      <c r="F2124">
        <v>50412480</v>
      </c>
      <c r="G2124">
        <v>114801633</v>
      </c>
      <c r="H2124">
        <v>28533</v>
      </c>
      <c r="I2124">
        <v>9919</v>
      </c>
      <c r="J2124">
        <v>38452</v>
      </c>
      <c r="K2124" t="b">
        <f>TrafficData[[#This Row],[disposedChallan]]+TrafficData[[#This Row],[pendingChallan]]=TrafficData[[#This Row],[totalChallan]]</f>
        <v>1</v>
      </c>
      <c r="L2124" t="b">
        <f>TrafficData[[#This Row],[pendingAmount]]+TrafficData[[#This Row],[disposedAmount]]=TrafficData[[#This Row],[totalAmount]]</f>
        <v>1</v>
      </c>
      <c r="M2124" t="b">
        <f>TrafficData[[#This Row],[pendingCourt]]+TrafficData[[#This Row],[disposedCourt]]=TrafficData[[#This Row],[totalCourt]]</f>
        <v>1</v>
      </c>
      <c r="N2124" s="8" t="b">
        <f>AND(TrafficData[[#This Row],[disposedChallan]]&lt;=TrafficData[[#This Row],[totalChallan]],TrafficData[[#This Row],[pendingChallan]]&lt;=TrafficData[[#This Row],[totalChallan]])</f>
        <v>1</v>
      </c>
      <c r="O2124" s="8" t="b">
        <f>AND(TrafficData[[#This Row],[pendingAmount]]&lt;=TrafficData[[#This Row],[totalAmount]],TrafficData[[#This Row],[disposedAmount]]&lt;=TrafficData[[#This Row],[totalAmount]])</f>
        <v>1</v>
      </c>
      <c r="P2124" s="8" t="b">
        <f>AND(TrafficData[[#This Row],[pendingCourt]]&lt;=TrafficData[[#This Row],[totalCourt]],TrafficData[[#This Row],[disposedCourt]]&lt;=TrafficData[[#This Row],[totalCourt]])</f>
        <v>1</v>
      </c>
    </row>
    <row r="2125" spans="1:16">
      <c r="A2125" s="1">
        <v>44129</v>
      </c>
      <c r="B2125">
        <v>100295</v>
      </c>
      <c r="C2125">
        <v>45816</v>
      </c>
      <c r="D2125">
        <v>54479</v>
      </c>
      <c r="E2125">
        <v>61743236</v>
      </c>
      <c r="F2125">
        <v>39113339</v>
      </c>
      <c r="G2125">
        <v>100856575</v>
      </c>
      <c r="H2125">
        <v>26465</v>
      </c>
      <c r="I2125">
        <v>8652</v>
      </c>
      <c r="J2125">
        <v>35117</v>
      </c>
      <c r="K2125" t="b">
        <f>TrafficData[[#This Row],[disposedChallan]]+TrafficData[[#This Row],[pendingChallan]]=TrafficData[[#This Row],[totalChallan]]</f>
        <v>1</v>
      </c>
      <c r="L2125" t="b">
        <f>TrafficData[[#This Row],[pendingAmount]]+TrafficData[[#This Row],[disposedAmount]]=TrafficData[[#This Row],[totalAmount]]</f>
        <v>1</v>
      </c>
      <c r="M2125" t="b">
        <f>TrafficData[[#This Row],[pendingCourt]]+TrafficData[[#This Row],[disposedCourt]]=TrafficData[[#This Row],[totalCourt]]</f>
        <v>1</v>
      </c>
      <c r="N2125" s="8" t="b">
        <f>AND(TrafficData[[#This Row],[disposedChallan]]&lt;=TrafficData[[#This Row],[totalChallan]],TrafficData[[#This Row],[pendingChallan]]&lt;=TrafficData[[#This Row],[totalChallan]])</f>
        <v>1</v>
      </c>
      <c r="O2125" s="8" t="b">
        <f>AND(TrafficData[[#This Row],[pendingAmount]]&lt;=TrafficData[[#This Row],[totalAmount]],TrafficData[[#This Row],[disposedAmount]]&lt;=TrafficData[[#This Row],[totalAmount]])</f>
        <v>1</v>
      </c>
      <c r="P2125" s="8" t="b">
        <f>AND(TrafficData[[#This Row],[pendingCourt]]&lt;=TrafficData[[#This Row],[totalCourt]],TrafficData[[#This Row],[disposedCourt]]&lt;=TrafficData[[#This Row],[totalCourt]])</f>
        <v>1</v>
      </c>
    </row>
    <row r="2126" spans="1:16">
      <c r="A2126" s="1">
        <v>44130</v>
      </c>
      <c r="B2126">
        <v>112405</v>
      </c>
      <c r="C2126">
        <v>55542</v>
      </c>
      <c r="D2126">
        <v>56863</v>
      </c>
      <c r="E2126">
        <v>65501969</v>
      </c>
      <c r="F2126">
        <v>50298001</v>
      </c>
      <c r="G2126">
        <v>115799970</v>
      </c>
      <c r="H2126">
        <v>28403</v>
      </c>
      <c r="I2126">
        <v>7255</v>
      </c>
      <c r="J2126">
        <v>35658</v>
      </c>
      <c r="K2126" t="b">
        <f>TrafficData[[#This Row],[disposedChallan]]+TrafficData[[#This Row],[pendingChallan]]=TrafficData[[#This Row],[totalChallan]]</f>
        <v>1</v>
      </c>
      <c r="L2126" t="b">
        <f>TrafficData[[#This Row],[pendingAmount]]+TrafficData[[#This Row],[disposedAmount]]=TrafficData[[#This Row],[totalAmount]]</f>
        <v>1</v>
      </c>
      <c r="M2126" t="b">
        <f>TrafficData[[#This Row],[pendingCourt]]+TrafficData[[#This Row],[disposedCourt]]=TrafficData[[#This Row],[totalCourt]]</f>
        <v>1</v>
      </c>
      <c r="N2126" s="8" t="b">
        <f>AND(TrafficData[[#This Row],[disposedChallan]]&lt;=TrafficData[[#This Row],[totalChallan]],TrafficData[[#This Row],[pendingChallan]]&lt;=TrafficData[[#This Row],[totalChallan]])</f>
        <v>1</v>
      </c>
      <c r="O2126" s="8" t="b">
        <f>AND(TrafficData[[#This Row],[pendingAmount]]&lt;=TrafficData[[#This Row],[totalAmount]],TrafficData[[#This Row],[disposedAmount]]&lt;=TrafficData[[#This Row],[totalAmount]])</f>
        <v>1</v>
      </c>
      <c r="P2126" s="8" t="b">
        <f>AND(TrafficData[[#This Row],[pendingCourt]]&lt;=TrafficData[[#This Row],[totalCourt]],TrafficData[[#This Row],[disposedCourt]]&lt;=TrafficData[[#This Row],[totalCourt]])</f>
        <v>1</v>
      </c>
    </row>
    <row r="2127" spans="1:16">
      <c r="A2127" s="1">
        <v>44131</v>
      </c>
      <c r="B2127">
        <v>108336</v>
      </c>
      <c r="C2127">
        <v>55059</v>
      </c>
      <c r="D2127">
        <v>53277</v>
      </c>
      <c r="E2127">
        <v>66407566</v>
      </c>
      <c r="F2127">
        <v>58909960</v>
      </c>
      <c r="G2127">
        <v>125317526</v>
      </c>
      <c r="H2127">
        <v>25806</v>
      </c>
      <c r="I2127">
        <v>9794</v>
      </c>
      <c r="J2127">
        <v>35600</v>
      </c>
      <c r="K2127" t="b">
        <f>TrafficData[[#This Row],[disposedChallan]]+TrafficData[[#This Row],[pendingChallan]]=TrafficData[[#This Row],[totalChallan]]</f>
        <v>1</v>
      </c>
      <c r="L2127" t="b">
        <f>TrafficData[[#This Row],[pendingAmount]]+TrafficData[[#This Row],[disposedAmount]]=TrafficData[[#This Row],[totalAmount]]</f>
        <v>1</v>
      </c>
      <c r="M2127" t="b">
        <f>TrafficData[[#This Row],[pendingCourt]]+TrafficData[[#This Row],[disposedCourt]]=TrafficData[[#This Row],[totalCourt]]</f>
        <v>1</v>
      </c>
      <c r="N2127" s="8" t="b">
        <f>AND(TrafficData[[#This Row],[disposedChallan]]&lt;=TrafficData[[#This Row],[totalChallan]],TrafficData[[#This Row],[pendingChallan]]&lt;=TrafficData[[#This Row],[totalChallan]])</f>
        <v>1</v>
      </c>
      <c r="O2127" s="8" t="b">
        <f>AND(TrafficData[[#This Row],[pendingAmount]]&lt;=TrafficData[[#This Row],[totalAmount]],TrafficData[[#This Row],[disposedAmount]]&lt;=TrafficData[[#This Row],[totalAmount]])</f>
        <v>1</v>
      </c>
      <c r="P2127" s="8" t="b">
        <f>AND(TrafficData[[#This Row],[pendingCourt]]&lt;=TrafficData[[#This Row],[totalCourt]],TrafficData[[#This Row],[disposedCourt]]&lt;=TrafficData[[#This Row],[totalCourt]])</f>
        <v>1</v>
      </c>
    </row>
    <row r="2128" spans="1:16">
      <c r="A2128" s="1">
        <v>44132</v>
      </c>
      <c r="B2128">
        <v>114961</v>
      </c>
      <c r="C2128">
        <v>57769</v>
      </c>
      <c r="D2128">
        <v>57192</v>
      </c>
      <c r="E2128">
        <v>71290574</v>
      </c>
      <c r="F2128">
        <v>61212642</v>
      </c>
      <c r="G2128">
        <v>132503216</v>
      </c>
      <c r="H2128">
        <v>30120</v>
      </c>
      <c r="I2128">
        <v>10315</v>
      </c>
      <c r="J2128">
        <v>40435</v>
      </c>
      <c r="K2128" t="b">
        <f>TrafficData[[#This Row],[disposedChallan]]+TrafficData[[#This Row],[pendingChallan]]=TrafficData[[#This Row],[totalChallan]]</f>
        <v>1</v>
      </c>
      <c r="L2128" t="b">
        <f>TrafficData[[#This Row],[pendingAmount]]+TrafficData[[#This Row],[disposedAmount]]=TrafficData[[#This Row],[totalAmount]]</f>
        <v>1</v>
      </c>
      <c r="M2128" t="b">
        <f>TrafficData[[#This Row],[pendingCourt]]+TrafficData[[#This Row],[disposedCourt]]=TrafficData[[#This Row],[totalCourt]]</f>
        <v>1</v>
      </c>
      <c r="N2128" s="8" t="b">
        <f>AND(TrafficData[[#This Row],[disposedChallan]]&lt;=TrafficData[[#This Row],[totalChallan]],TrafficData[[#This Row],[pendingChallan]]&lt;=TrafficData[[#This Row],[totalChallan]])</f>
        <v>1</v>
      </c>
      <c r="O2128" s="8" t="b">
        <f>AND(TrafficData[[#This Row],[pendingAmount]]&lt;=TrafficData[[#This Row],[totalAmount]],TrafficData[[#This Row],[disposedAmount]]&lt;=TrafficData[[#This Row],[totalAmount]])</f>
        <v>1</v>
      </c>
      <c r="P2128" s="8" t="b">
        <f>AND(TrafficData[[#This Row],[pendingCourt]]&lt;=TrafficData[[#This Row],[totalCourt]],TrafficData[[#This Row],[disposedCourt]]&lt;=TrafficData[[#This Row],[totalCourt]])</f>
        <v>1</v>
      </c>
    </row>
    <row r="2129" spans="1:16">
      <c r="A2129" s="1">
        <v>44133</v>
      </c>
      <c r="B2129">
        <v>102729</v>
      </c>
      <c r="C2129">
        <v>50993</v>
      </c>
      <c r="D2129">
        <v>51736</v>
      </c>
      <c r="E2129">
        <v>66162945</v>
      </c>
      <c r="F2129">
        <v>59117187</v>
      </c>
      <c r="G2129">
        <v>125280132</v>
      </c>
      <c r="H2129">
        <v>27773</v>
      </c>
      <c r="I2129">
        <v>7303</v>
      </c>
      <c r="J2129">
        <v>35076</v>
      </c>
      <c r="K2129" t="b">
        <f>TrafficData[[#This Row],[disposedChallan]]+TrafficData[[#This Row],[pendingChallan]]=TrafficData[[#This Row],[totalChallan]]</f>
        <v>1</v>
      </c>
      <c r="L2129" t="b">
        <f>TrafficData[[#This Row],[pendingAmount]]+TrafficData[[#This Row],[disposedAmount]]=TrafficData[[#This Row],[totalAmount]]</f>
        <v>1</v>
      </c>
      <c r="M2129" t="b">
        <f>TrafficData[[#This Row],[pendingCourt]]+TrafficData[[#This Row],[disposedCourt]]=TrafficData[[#This Row],[totalCourt]]</f>
        <v>1</v>
      </c>
      <c r="N2129" s="8" t="b">
        <f>AND(TrafficData[[#This Row],[disposedChallan]]&lt;=TrafficData[[#This Row],[totalChallan]],TrafficData[[#This Row],[pendingChallan]]&lt;=TrafficData[[#This Row],[totalChallan]])</f>
        <v>1</v>
      </c>
      <c r="O2129" s="8" t="b">
        <f>AND(TrafficData[[#This Row],[pendingAmount]]&lt;=TrafficData[[#This Row],[totalAmount]],TrafficData[[#This Row],[disposedAmount]]&lt;=TrafficData[[#This Row],[totalAmount]])</f>
        <v>1</v>
      </c>
      <c r="P2129" s="8" t="b">
        <f>AND(TrafficData[[#This Row],[pendingCourt]]&lt;=TrafficData[[#This Row],[totalCourt]],TrafficData[[#This Row],[disposedCourt]]&lt;=TrafficData[[#This Row],[totalCourt]])</f>
        <v>1</v>
      </c>
    </row>
    <row r="2130" spans="1:16">
      <c r="A2130" s="1">
        <v>44134</v>
      </c>
      <c r="B2130">
        <v>106478</v>
      </c>
      <c r="C2130">
        <v>54035</v>
      </c>
      <c r="D2130">
        <v>52443</v>
      </c>
      <c r="E2130">
        <v>71720834</v>
      </c>
      <c r="F2130">
        <v>59746773</v>
      </c>
      <c r="G2130">
        <v>131467607</v>
      </c>
      <c r="H2130">
        <v>28920</v>
      </c>
      <c r="I2130">
        <v>9695</v>
      </c>
      <c r="J2130">
        <v>38615</v>
      </c>
      <c r="K2130" t="b">
        <f>TrafficData[[#This Row],[disposedChallan]]+TrafficData[[#This Row],[pendingChallan]]=TrafficData[[#This Row],[totalChallan]]</f>
        <v>1</v>
      </c>
      <c r="L2130" t="b">
        <f>TrafficData[[#This Row],[pendingAmount]]+TrafficData[[#This Row],[disposedAmount]]=TrafficData[[#This Row],[totalAmount]]</f>
        <v>1</v>
      </c>
      <c r="M2130" t="b">
        <f>TrafficData[[#This Row],[pendingCourt]]+TrafficData[[#This Row],[disposedCourt]]=TrafficData[[#This Row],[totalCourt]]</f>
        <v>1</v>
      </c>
      <c r="N2130" s="8" t="b">
        <f>AND(TrafficData[[#This Row],[disposedChallan]]&lt;=TrafficData[[#This Row],[totalChallan]],TrafficData[[#This Row],[pendingChallan]]&lt;=TrafficData[[#This Row],[totalChallan]])</f>
        <v>1</v>
      </c>
      <c r="O2130" s="8" t="b">
        <f>AND(TrafficData[[#This Row],[pendingAmount]]&lt;=TrafficData[[#This Row],[totalAmount]],TrafficData[[#This Row],[disposedAmount]]&lt;=TrafficData[[#This Row],[totalAmount]])</f>
        <v>1</v>
      </c>
      <c r="P2130" s="8" t="b">
        <f>AND(TrafficData[[#This Row],[pendingCourt]]&lt;=TrafficData[[#This Row],[totalCourt]],TrafficData[[#This Row],[disposedCourt]]&lt;=TrafficData[[#This Row],[totalCourt]])</f>
        <v>1</v>
      </c>
    </row>
    <row r="2131" spans="1:16">
      <c r="A2131" s="1">
        <v>44135</v>
      </c>
      <c r="B2131">
        <v>109003</v>
      </c>
      <c r="C2131">
        <v>55066</v>
      </c>
      <c r="D2131">
        <v>53937</v>
      </c>
      <c r="E2131">
        <v>67561246</v>
      </c>
      <c r="F2131">
        <v>59603767</v>
      </c>
      <c r="G2131">
        <v>127165013</v>
      </c>
      <c r="H2131">
        <v>25478</v>
      </c>
      <c r="I2131">
        <v>8897</v>
      </c>
      <c r="J2131">
        <v>34375</v>
      </c>
      <c r="K2131" t="b">
        <f>TrafficData[[#This Row],[disposedChallan]]+TrafficData[[#This Row],[pendingChallan]]=TrafficData[[#This Row],[totalChallan]]</f>
        <v>1</v>
      </c>
      <c r="L2131" t="b">
        <f>TrafficData[[#This Row],[pendingAmount]]+TrafficData[[#This Row],[disposedAmount]]=TrafficData[[#This Row],[totalAmount]]</f>
        <v>1</v>
      </c>
      <c r="M2131" t="b">
        <f>TrafficData[[#This Row],[pendingCourt]]+TrafficData[[#This Row],[disposedCourt]]=TrafficData[[#This Row],[totalCourt]]</f>
        <v>1</v>
      </c>
      <c r="N2131" s="8" t="b">
        <f>AND(TrafficData[[#This Row],[disposedChallan]]&lt;=TrafficData[[#This Row],[totalChallan]],TrafficData[[#This Row],[pendingChallan]]&lt;=TrafficData[[#This Row],[totalChallan]])</f>
        <v>1</v>
      </c>
      <c r="O2131" s="8" t="b">
        <f>AND(TrafficData[[#This Row],[pendingAmount]]&lt;=TrafficData[[#This Row],[totalAmount]],TrafficData[[#This Row],[disposedAmount]]&lt;=TrafficData[[#This Row],[totalAmount]])</f>
        <v>1</v>
      </c>
      <c r="P2131" s="8" t="b">
        <f>AND(TrafficData[[#This Row],[pendingCourt]]&lt;=TrafficData[[#This Row],[totalCourt]],TrafficData[[#This Row],[disposedCourt]]&lt;=TrafficData[[#This Row],[totalCourt]])</f>
        <v>1</v>
      </c>
    </row>
    <row r="2132" spans="1:16">
      <c r="A2132" s="1">
        <v>44136</v>
      </c>
      <c r="B2132">
        <v>109331</v>
      </c>
      <c r="C2132">
        <v>52008</v>
      </c>
      <c r="D2132">
        <v>57323</v>
      </c>
      <c r="E2132">
        <v>60618130</v>
      </c>
      <c r="F2132">
        <v>48116242</v>
      </c>
      <c r="G2132">
        <v>108734372</v>
      </c>
      <c r="H2132">
        <v>23180</v>
      </c>
      <c r="I2132">
        <v>7479</v>
      </c>
      <c r="J2132">
        <v>30659</v>
      </c>
      <c r="K2132" t="b">
        <f>TrafficData[[#This Row],[disposedChallan]]+TrafficData[[#This Row],[pendingChallan]]=TrafficData[[#This Row],[totalChallan]]</f>
        <v>1</v>
      </c>
      <c r="L2132" t="b">
        <f>TrafficData[[#This Row],[pendingAmount]]+TrafficData[[#This Row],[disposedAmount]]=TrafficData[[#This Row],[totalAmount]]</f>
        <v>1</v>
      </c>
      <c r="M2132" t="b">
        <f>TrafficData[[#This Row],[pendingCourt]]+TrafficData[[#This Row],[disposedCourt]]=TrafficData[[#This Row],[totalCourt]]</f>
        <v>1</v>
      </c>
      <c r="N2132" s="8" t="b">
        <f>AND(TrafficData[[#This Row],[disposedChallan]]&lt;=TrafficData[[#This Row],[totalChallan]],TrafficData[[#This Row],[pendingChallan]]&lt;=TrafficData[[#This Row],[totalChallan]])</f>
        <v>1</v>
      </c>
      <c r="O2132" s="8" t="b">
        <f>AND(TrafficData[[#This Row],[pendingAmount]]&lt;=TrafficData[[#This Row],[totalAmount]],TrafficData[[#This Row],[disposedAmount]]&lt;=TrafficData[[#This Row],[totalAmount]])</f>
        <v>1</v>
      </c>
      <c r="P2132" s="8" t="b">
        <f>AND(TrafficData[[#This Row],[pendingCourt]]&lt;=TrafficData[[#This Row],[totalCourt]],TrafficData[[#This Row],[disposedCourt]]&lt;=TrafficData[[#This Row],[totalCourt]])</f>
        <v>1</v>
      </c>
    </row>
    <row r="2133" spans="1:16">
      <c r="A2133" s="1">
        <v>44137</v>
      </c>
      <c r="B2133">
        <v>130710</v>
      </c>
      <c r="C2133">
        <v>63977</v>
      </c>
      <c r="D2133">
        <v>66733</v>
      </c>
      <c r="E2133">
        <v>75626836</v>
      </c>
      <c r="F2133">
        <v>64569217</v>
      </c>
      <c r="G2133">
        <v>140196053</v>
      </c>
      <c r="H2133">
        <v>26981</v>
      </c>
      <c r="I2133">
        <v>12144</v>
      </c>
      <c r="J2133">
        <v>39125</v>
      </c>
      <c r="K2133" t="b">
        <f>TrafficData[[#This Row],[disposedChallan]]+TrafficData[[#This Row],[pendingChallan]]=TrafficData[[#This Row],[totalChallan]]</f>
        <v>1</v>
      </c>
      <c r="L2133" t="b">
        <f>TrafficData[[#This Row],[pendingAmount]]+TrafficData[[#This Row],[disposedAmount]]=TrafficData[[#This Row],[totalAmount]]</f>
        <v>1</v>
      </c>
      <c r="M2133" t="b">
        <f>TrafficData[[#This Row],[pendingCourt]]+TrafficData[[#This Row],[disposedCourt]]=TrafficData[[#This Row],[totalCourt]]</f>
        <v>1</v>
      </c>
      <c r="N2133" s="8" t="b">
        <f>AND(TrafficData[[#This Row],[disposedChallan]]&lt;=TrafficData[[#This Row],[totalChallan]],TrafficData[[#This Row],[pendingChallan]]&lt;=TrafficData[[#This Row],[totalChallan]])</f>
        <v>1</v>
      </c>
      <c r="O2133" s="8" t="b">
        <f>AND(TrafficData[[#This Row],[pendingAmount]]&lt;=TrafficData[[#This Row],[totalAmount]],TrafficData[[#This Row],[disposedAmount]]&lt;=TrafficData[[#This Row],[totalAmount]])</f>
        <v>1</v>
      </c>
      <c r="P2133" s="8" t="b">
        <f>AND(TrafficData[[#This Row],[pendingCourt]]&lt;=TrafficData[[#This Row],[totalCourt]],TrafficData[[#This Row],[disposedCourt]]&lt;=TrafficData[[#This Row],[totalCourt]])</f>
        <v>1</v>
      </c>
    </row>
    <row r="2134" spans="1:16">
      <c r="A2134" s="1">
        <v>44138</v>
      </c>
      <c r="B2134">
        <v>132588</v>
      </c>
      <c r="C2134">
        <v>65314</v>
      </c>
      <c r="D2134">
        <v>67274</v>
      </c>
      <c r="E2134">
        <v>75205421</v>
      </c>
      <c r="F2134">
        <v>67399456</v>
      </c>
      <c r="G2134">
        <v>142604877</v>
      </c>
      <c r="H2134">
        <v>26498</v>
      </c>
      <c r="I2134">
        <v>11816</v>
      </c>
      <c r="J2134">
        <v>38314</v>
      </c>
      <c r="K2134" t="b">
        <f>TrafficData[[#This Row],[disposedChallan]]+TrafficData[[#This Row],[pendingChallan]]=TrafficData[[#This Row],[totalChallan]]</f>
        <v>1</v>
      </c>
      <c r="L2134" t="b">
        <f>TrafficData[[#This Row],[pendingAmount]]+TrafficData[[#This Row],[disposedAmount]]=TrafficData[[#This Row],[totalAmount]]</f>
        <v>1</v>
      </c>
      <c r="M2134" t="b">
        <f>TrafficData[[#This Row],[pendingCourt]]+TrafficData[[#This Row],[disposedCourt]]=TrafficData[[#This Row],[totalCourt]]</f>
        <v>1</v>
      </c>
      <c r="N2134" s="8" t="b">
        <f>AND(TrafficData[[#This Row],[disposedChallan]]&lt;=TrafficData[[#This Row],[totalChallan]],TrafficData[[#This Row],[pendingChallan]]&lt;=TrafficData[[#This Row],[totalChallan]])</f>
        <v>1</v>
      </c>
      <c r="O2134" s="8" t="b">
        <f>AND(TrafficData[[#This Row],[pendingAmount]]&lt;=TrafficData[[#This Row],[totalAmount]],TrafficData[[#This Row],[disposedAmount]]&lt;=TrafficData[[#This Row],[totalAmount]])</f>
        <v>1</v>
      </c>
      <c r="P2134" s="8" t="b">
        <f>AND(TrafficData[[#This Row],[pendingCourt]]&lt;=TrafficData[[#This Row],[totalCourt]],TrafficData[[#This Row],[disposedCourt]]&lt;=TrafficData[[#This Row],[totalCourt]])</f>
        <v>1</v>
      </c>
    </row>
    <row r="2135" spans="1:16">
      <c r="A2135" s="1">
        <v>44139</v>
      </c>
      <c r="B2135">
        <v>123886</v>
      </c>
      <c r="C2135">
        <v>63007</v>
      </c>
      <c r="D2135">
        <v>60879</v>
      </c>
      <c r="E2135">
        <v>71520607</v>
      </c>
      <c r="F2135">
        <v>72893993</v>
      </c>
      <c r="G2135">
        <v>144414600</v>
      </c>
      <c r="H2135">
        <v>29275</v>
      </c>
      <c r="I2135">
        <v>12100</v>
      </c>
      <c r="J2135">
        <v>41375</v>
      </c>
      <c r="K2135" t="b">
        <f>TrafficData[[#This Row],[disposedChallan]]+TrafficData[[#This Row],[pendingChallan]]=TrafficData[[#This Row],[totalChallan]]</f>
        <v>1</v>
      </c>
      <c r="L2135" t="b">
        <f>TrafficData[[#This Row],[pendingAmount]]+TrafficData[[#This Row],[disposedAmount]]=TrafficData[[#This Row],[totalAmount]]</f>
        <v>1</v>
      </c>
      <c r="M2135" t="b">
        <f>TrafficData[[#This Row],[pendingCourt]]+TrafficData[[#This Row],[disposedCourt]]=TrafficData[[#This Row],[totalCourt]]</f>
        <v>1</v>
      </c>
      <c r="N2135" s="8" t="b">
        <f>AND(TrafficData[[#This Row],[disposedChallan]]&lt;=TrafficData[[#This Row],[totalChallan]],TrafficData[[#This Row],[pendingChallan]]&lt;=TrafficData[[#This Row],[totalChallan]])</f>
        <v>1</v>
      </c>
      <c r="O2135" s="8" t="b">
        <f>AND(TrafficData[[#This Row],[pendingAmount]]&lt;=TrafficData[[#This Row],[totalAmount]],TrafficData[[#This Row],[disposedAmount]]&lt;=TrafficData[[#This Row],[totalAmount]])</f>
        <v>1</v>
      </c>
      <c r="P2135" s="8" t="b">
        <f>AND(TrafficData[[#This Row],[pendingCourt]]&lt;=TrafficData[[#This Row],[totalCourt]],TrafficData[[#This Row],[disposedCourt]]&lt;=TrafficData[[#This Row],[totalCourt]])</f>
        <v>1</v>
      </c>
    </row>
    <row r="2136" spans="1:16">
      <c r="A2136" s="1">
        <v>44140</v>
      </c>
      <c r="B2136">
        <v>124225</v>
      </c>
      <c r="C2136">
        <v>64054</v>
      </c>
      <c r="D2136">
        <v>60171</v>
      </c>
      <c r="E2136">
        <v>68491617</v>
      </c>
      <c r="F2136">
        <v>92000010</v>
      </c>
      <c r="G2136">
        <v>160491627</v>
      </c>
      <c r="H2136">
        <v>32400</v>
      </c>
      <c r="I2136">
        <v>13342</v>
      </c>
      <c r="J2136">
        <v>45742</v>
      </c>
      <c r="K2136" t="b">
        <f>TrafficData[[#This Row],[disposedChallan]]+TrafficData[[#This Row],[pendingChallan]]=TrafficData[[#This Row],[totalChallan]]</f>
        <v>1</v>
      </c>
      <c r="L2136" t="b">
        <f>TrafficData[[#This Row],[pendingAmount]]+TrafficData[[#This Row],[disposedAmount]]=TrafficData[[#This Row],[totalAmount]]</f>
        <v>1</v>
      </c>
      <c r="M2136" t="b">
        <f>TrafficData[[#This Row],[pendingCourt]]+TrafficData[[#This Row],[disposedCourt]]=TrafficData[[#This Row],[totalCourt]]</f>
        <v>1</v>
      </c>
      <c r="N2136" s="8" t="b">
        <f>AND(TrafficData[[#This Row],[disposedChallan]]&lt;=TrafficData[[#This Row],[totalChallan]],TrafficData[[#This Row],[pendingChallan]]&lt;=TrafficData[[#This Row],[totalChallan]])</f>
        <v>1</v>
      </c>
      <c r="O2136" s="8" t="b">
        <f>AND(TrafficData[[#This Row],[pendingAmount]]&lt;=TrafficData[[#This Row],[totalAmount]],TrafficData[[#This Row],[disposedAmount]]&lt;=TrafficData[[#This Row],[totalAmount]])</f>
        <v>1</v>
      </c>
      <c r="P2136" s="8" t="b">
        <f>AND(TrafficData[[#This Row],[pendingCourt]]&lt;=TrafficData[[#This Row],[totalCourt]],TrafficData[[#This Row],[disposedCourt]]&lt;=TrafficData[[#This Row],[totalCourt]])</f>
        <v>1</v>
      </c>
    </row>
    <row r="2137" spans="1:16">
      <c r="A2137" s="1">
        <v>44141</v>
      </c>
      <c r="B2137">
        <v>122206</v>
      </c>
      <c r="C2137">
        <v>64031</v>
      </c>
      <c r="D2137">
        <v>58175</v>
      </c>
      <c r="E2137">
        <v>73952865</v>
      </c>
      <c r="F2137">
        <v>74335866</v>
      </c>
      <c r="G2137">
        <v>148288731</v>
      </c>
      <c r="H2137">
        <v>30942</v>
      </c>
      <c r="I2137">
        <v>12638</v>
      </c>
      <c r="J2137">
        <v>43580</v>
      </c>
      <c r="K2137" t="b">
        <f>TrafficData[[#This Row],[disposedChallan]]+TrafficData[[#This Row],[pendingChallan]]=TrafficData[[#This Row],[totalChallan]]</f>
        <v>1</v>
      </c>
      <c r="L2137" t="b">
        <f>TrafficData[[#This Row],[pendingAmount]]+TrafficData[[#This Row],[disposedAmount]]=TrafficData[[#This Row],[totalAmount]]</f>
        <v>1</v>
      </c>
      <c r="M2137" t="b">
        <f>TrafficData[[#This Row],[pendingCourt]]+TrafficData[[#This Row],[disposedCourt]]=TrafficData[[#This Row],[totalCourt]]</f>
        <v>1</v>
      </c>
      <c r="N2137" s="8" t="b">
        <f>AND(TrafficData[[#This Row],[disposedChallan]]&lt;=TrafficData[[#This Row],[totalChallan]],TrafficData[[#This Row],[pendingChallan]]&lt;=TrafficData[[#This Row],[totalChallan]])</f>
        <v>1</v>
      </c>
      <c r="O2137" s="8" t="b">
        <f>AND(TrafficData[[#This Row],[pendingAmount]]&lt;=TrafficData[[#This Row],[totalAmount]],TrafficData[[#This Row],[disposedAmount]]&lt;=TrafficData[[#This Row],[totalAmount]])</f>
        <v>1</v>
      </c>
      <c r="P2137" s="8" t="b">
        <f>AND(TrafficData[[#This Row],[pendingCourt]]&lt;=TrafficData[[#This Row],[totalCourt]],TrafficData[[#This Row],[disposedCourt]]&lt;=TrafficData[[#This Row],[totalCourt]])</f>
        <v>1</v>
      </c>
    </row>
    <row r="2138" spans="1:16">
      <c r="A2138" s="1">
        <v>44142</v>
      </c>
      <c r="B2138">
        <v>138539</v>
      </c>
      <c r="C2138">
        <v>68266</v>
      </c>
      <c r="D2138">
        <v>70273</v>
      </c>
      <c r="E2138">
        <v>81012030</v>
      </c>
      <c r="F2138">
        <v>75489264</v>
      </c>
      <c r="G2138">
        <v>156501294</v>
      </c>
      <c r="H2138">
        <v>32849</v>
      </c>
      <c r="I2138">
        <v>13471</v>
      </c>
      <c r="J2138">
        <v>46320</v>
      </c>
      <c r="K2138" t="b">
        <f>TrafficData[[#This Row],[disposedChallan]]+TrafficData[[#This Row],[pendingChallan]]=TrafficData[[#This Row],[totalChallan]]</f>
        <v>1</v>
      </c>
      <c r="L2138" t="b">
        <f>TrafficData[[#This Row],[pendingAmount]]+TrafficData[[#This Row],[disposedAmount]]=TrafficData[[#This Row],[totalAmount]]</f>
        <v>1</v>
      </c>
      <c r="M2138" t="b">
        <f>TrafficData[[#This Row],[pendingCourt]]+TrafficData[[#This Row],[disposedCourt]]=TrafficData[[#This Row],[totalCourt]]</f>
        <v>1</v>
      </c>
      <c r="N2138" s="8" t="b">
        <f>AND(TrafficData[[#This Row],[disposedChallan]]&lt;=TrafficData[[#This Row],[totalChallan]],TrafficData[[#This Row],[pendingChallan]]&lt;=TrafficData[[#This Row],[totalChallan]])</f>
        <v>1</v>
      </c>
      <c r="O2138" s="8" t="b">
        <f>AND(TrafficData[[#This Row],[pendingAmount]]&lt;=TrafficData[[#This Row],[totalAmount]],TrafficData[[#This Row],[disposedAmount]]&lt;=TrafficData[[#This Row],[totalAmount]])</f>
        <v>1</v>
      </c>
      <c r="P2138" s="8" t="b">
        <f>AND(TrafficData[[#This Row],[pendingCourt]]&lt;=TrafficData[[#This Row],[totalCourt]],TrafficData[[#This Row],[disposedCourt]]&lt;=TrafficData[[#This Row],[totalCourt]])</f>
        <v>1</v>
      </c>
    </row>
    <row r="2139" spans="1:16">
      <c r="A2139" s="1">
        <v>44143</v>
      </c>
      <c r="B2139">
        <v>128224</v>
      </c>
      <c r="C2139">
        <v>61198</v>
      </c>
      <c r="D2139">
        <v>67026</v>
      </c>
      <c r="E2139">
        <v>78276135</v>
      </c>
      <c r="F2139">
        <v>61269322</v>
      </c>
      <c r="G2139">
        <v>139545457</v>
      </c>
      <c r="H2139">
        <v>33285</v>
      </c>
      <c r="I2139">
        <v>12873</v>
      </c>
      <c r="J2139">
        <v>46158</v>
      </c>
      <c r="K2139" t="b">
        <f>TrafficData[[#This Row],[disposedChallan]]+TrafficData[[#This Row],[pendingChallan]]=TrafficData[[#This Row],[totalChallan]]</f>
        <v>1</v>
      </c>
      <c r="L2139" t="b">
        <f>TrafficData[[#This Row],[pendingAmount]]+TrafficData[[#This Row],[disposedAmount]]=TrafficData[[#This Row],[totalAmount]]</f>
        <v>1</v>
      </c>
      <c r="M2139" t="b">
        <f>TrafficData[[#This Row],[pendingCourt]]+TrafficData[[#This Row],[disposedCourt]]=TrafficData[[#This Row],[totalCourt]]</f>
        <v>1</v>
      </c>
      <c r="N2139" s="8" t="b">
        <f>AND(TrafficData[[#This Row],[disposedChallan]]&lt;=TrafficData[[#This Row],[totalChallan]],TrafficData[[#This Row],[pendingChallan]]&lt;=TrafficData[[#This Row],[totalChallan]])</f>
        <v>1</v>
      </c>
      <c r="O2139" s="8" t="b">
        <f>AND(TrafficData[[#This Row],[pendingAmount]]&lt;=TrafficData[[#This Row],[totalAmount]],TrafficData[[#This Row],[disposedAmount]]&lt;=TrafficData[[#This Row],[totalAmount]])</f>
        <v>1</v>
      </c>
      <c r="P2139" s="8" t="b">
        <f>AND(TrafficData[[#This Row],[pendingCourt]]&lt;=TrafficData[[#This Row],[totalCourt]],TrafficData[[#This Row],[disposedCourt]]&lt;=TrafficData[[#This Row],[totalCourt]])</f>
        <v>1</v>
      </c>
    </row>
    <row r="2140" spans="1:16">
      <c r="A2140" s="1">
        <v>44144</v>
      </c>
      <c r="B2140">
        <v>137320</v>
      </c>
      <c r="C2140">
        <v>68192</v>
      </c>
      <c r="D2140">
        <v>69128</v>
      </c>
      <c r="E2140">
        <v>88240549</v>
      </c>
      <c r="F2140">
        <v>75358938</v>
      </c>
      <c r="G2140">
        <v>163599487</v>
      </c>
      <c r="H2140">
        <v>38051</v>
      </c>
      <c r="I2140">
        <v>14370</v>
      </c>
      <c r="J2140">
        <v>52421</v>
      </c>
      <c r="K2140" t="b">
        <f>TrafficData[[#This Row],[disposedChallan]]+TrafficData[[#This Row],[pendingChallan]]=TrafficData[[#This Row],[totalChallan]]</f>
        <v>1</v>
      </c>
      <c r="L2140" t="b">
        <f>TrafficData[[#This Row],[pendingAmount]]+TrafficData[[#This Row],[disposedAmount]]=TrafficData[[#This Row],[totalAmount]]</f>
        <v>1</v>
      </c>
      <c r="M2140" t="b">
        <f>TrafficData[[#This Row],[pendingCourt]]+TrafficData[[#This Row],[disposedCourt]]=TrafficData[[#This Row],[totalCourt]]</f>
        <v>1</v>
      </c>
      <c r="N2140" s="8" t="b">
        <f>AND(TrafficData[[#This Row],[disposedChallan]]&lt;=TrafficData[[#This Row],[totalChallan]],TrafficData[[#This Row],[pendingChallan]]&lt;=TrafficData[[#This Row],[totalChallan]])</f>
        <v>1</v>
      </c>
      <c r="O2140" s="8" t="b">
        <f>AND(TrafficData[[#This Row],[pendingAmount]]&lt;=TrafficData[[#This Row],[totalAmount]],TrafficData[[#This Row],[disposedAmount]]&lt;=TrafficData[[#This Row],[totalAmount]])</f>
        <v>1</v>
      </c>
      <c r="P2140" s="8" t="b">
        <f>AND(TrafficData[[#This Row],[pendingCourt]]&lt;=TrafficData[[#This Row],[totalCourt]],TrafficData[[#This Row],[disposedCourt]]&lt;=TrafficData[[#This Row],[totalCourt]])</f>
        <v>1</v>
      </c>
    </row>
    <row r="2141" spans="1:16">
      <c r="A2141" s="1">
        <v>44145</v>
      </c>
      <c r="B2141">
        <v>139932</v>
      </c>
      <c r="C2141">
        <v>68261</v>
      </c>
      <c r="D2141">
        <v>71671</v>
      </c>
      <c r="E2141">
        <v>92726912</v>
      </c>
      <c r="F2141">
        <v>78717883</v>
      </c>
      <c r="G2141">
        <v>171444795</v>
      </c>
      <c r="H2141">
        <v>34784</v>
      </c>
      <c r="I2141">
        <v>13121</v>
      </c>
      <c r="J2141">
        <v>47905</v>
      </c>
      <c r="K2141" t="b">
        <f>TrafficData[[#This Row],[disposedChallan]]+TrafficData[[#This Row],[pendingChallan]]=TrafficData[[#This Row],[totalChallan]]</f>
        <v>1</v>
      </c>
      <c r="L2141" t="b">
        <f>TrafficData[[#This Row],[pendingAmount]]+TrafficData[[#This Row],[disposedAmount]]=TrafficData[[#This Row],[totalAmount]]</f>
        <v>1</v>
      </c>
      <c r="M2141" t="b">
        <f>TrafficData[[#This Row],[pendingCourt]]+TrafficData[[#This Row],[disposedCourt]]=TrafficData[[#This Row],[totalCourt]]</f>
        <v>1</v>
      </c>
      <c r="N2141" s="8" t="b">
        <f>AND(TrafficData[[#This Row],[disposedChallan]]&lt;=TrafficData[[#This Row],[totalChallan]],TrafficData[[#This Row],[pendingChallan]]&lt;=TrafficData[[#This Row],[totalChallan]])</f>
        <v>1</v>
      </c>
      <c r="O2141" s="8" t="b">
        <f>AND(TrafficData[[#This Row],[pendingAmount]]&lt;=TrafficData[[#This Row],[totalAmount]],TrafficData[[#This Row],[disposedAmount]]&lt;=TrafficData[[#This Row],[totalAmount]])</f>
        <v>1</v>
      </c>
      <c r="P2141" s="8" t="b">
        <f>AND(TrafficData[[#This Row],[pendingCourt]]&lt;=TrafficData[[#This Row],[totalCourt]],TrafficData[[#This Row],[disposedCourt]]&lt;=TrafficData[[#This Row],[totalCourt]])</f>
        <v>1</v>
      </c>
    </row>
    <row r="2142" spans="1:16">
      <c r="A2142" s="1">
        <v>44146</v>
      </c>
      <c r="B2142">
        <v>135810</v>
      </c>
      <c r="C2142">
        <v>65273</v>
      </c>
      <c r="D2142">
        <v>70537</v>
      </c>
      <c r="E2142">
        <v>89471902</v>
      </c>
      <c r="F2142">
        <v>82030147</v>
      </c>
      <c r="G2142">
        <v>171502049</v>
      </c>
      <c r="H2142">
        <v>32093</v>
      </c>
      <c r="I2142">
        <v>12511</v>
      </c>
      <c r="J2142">
        <v>44604</v>
      </c>
      <c r="K2142" t="b">
        <f>TrafficData[[#This Row],[disposedChallan]]+TrafficData[[#This Row],[pendingChallan]]=TrafficData[[#This Row],[totalChallan]]</f>
        <v>1</v>
      </c>
      <c r="L2142" t="b">
        <f>TrafficData[[#This Row],[pendingAmount]]+TrafficData[[#This Row],[disposedAmount]]=TrafficData[[#This Row],[totalAmount]]</f>
        <v>1</v>
      </c>
      <c r="M2142" t="b">
        <f>TrafficData[[#This Row],[pendingCourt]]+TrafficData[[#This Row],[disposedCourt]]=TrafficData[[#This Row],[totalCourt]]</f>
        <v>1</v>
      </c>
      <c r="N2142" s="8" t="b">
        <f>AND(TrafficData[[#This Row],[disposedChallan]]&lt;=TrafficData[[#This Row],[totalChallan]],TrafficData[[#This Row],[pendingChallan]]&lt;=TrafficData[[#This Row],[totalChallan]])</f>
        <v>1</v>
      </c>
      <c r="O2142" s="8" t="b">
        <f>AND(TrafficData[[#This Row],[pendingAmount]]&lt;=TrafficData[[#This Row],[totalAmount]],TrafficData[[#This Row],[disposedAmount]]&lt;=TrafficData[[#This Row],[totalAmount]])</f>
        <v>1</v>
      </c>
      <c r="P2142" s="8" t="b">
        <f>AND(TrafficData[[#This Row],[pendingCourt]]&lt;=TrafficData[[#This Row],[totalCourt]],TrafficData[[#This Row],[disposedCourt]]&lt;=TrafficData[[#This Row],[totalCourt]])</f>
        <v>1</v>
      </c>
    </row>
    <row r="2143" spans="1:16">
      <c r="A2143" s="1">
        <v>44147</v>
      </c>
      <c r="B2143">
        <v>130525</v>
      </c>
      <c r="C2143">
        <v>61074</v>
      </c>
      <c r="D2143">
        <v>69451</v>
      </c>
      <c r="E2143">
        <v>82295644</v>
      </c>
      <c r="F2143">
        <v>74940328</v>
      </c>
      <c r="G2143">
        <v>157235972</v>
      </c>
      <c r="H2143">
        <v>24829</v>
      </c>
      <c r="I2143">
        <v>10408</v>
      </c>
      <c r="J2143">
        <v>35237</v>
      </c>
      <c r="K2143" t="b">
        <f>TrafficData[[#This Row],[disposedChallan]]+TrafficData[[#This Row],[pendingChallan]]=TrafficData[[#This Row],[totalChallan]]</f>
        <v>1</v>
      </c>
      <c r="L2143" t="b">
        <f>TrafficData[[#This Row],[pendingAmount]]+TrafficData[[#This Row],[disposedAmount]]=TrafficData[[#This Row],[totalAmount]]</f>
        <v>1</v>
      </c>
      <c r="M2143" t="b">
        <f>TrafficData[[#This Row],[pendingCourt]]+TrafficData[[#This Row],[disposedCourt]]=TrafficData[[#This Row],[totalCourt]]</f>
        <v>1</v>
      </c>
      <c r="N2143" s="8" t="b">
        <f>AND(TrafficData[[#This Row],[disposedChallan]]&lt;=TrafficData[[#This Row],[totalChallan]],TrafficData[[#This Row],[pendingChallan]]&lt;=TrafficData[[#This Row],[totalChallan]])</f>
        <v>1</v>
      </c>
      <c r="O2143" s="8" t="b">
        <f>AND(TrafficData[[#This Row],[pendingAmount]]&lt;=TrafficData[[#This Row],[totalAmount]],TrafficData[[#This Row],[disposedAmount]]&lt;=TrafficData[[#This Row],[totalAmount]])</f>
        <v>1</v>
      </c>
      <c r="P2143" s="8" t="b">
        <f>AND(TrafficData[[#This Row],[pendingCourt]]&lt;=TrafficData[[#This Row],[totalCourt]],TrafficData[[#This Row],[disposedCourt]]&lt;=TrafficData[[#This Row],[totalCourt]])</f>
        <v>1</v>
      </c>
    </row>
    <row r="2144" spans="1:16">
      <c r="A2144" s="1">
        <v>44148</v>
      </c>
      <c r="B2144">
        <v>106601</v>
      </c>
      <c r="C2144">
        <v>48618</v>
      </c>
      <c r="D2144">
        <v>57983</v>
      </c>
      <c r="E2144">
        <v>71763194</v>
      </c>
      <c r="F2144">
        <v>52469413</v>
      </c>
      <c r="G2144">
        <v>124232607</v>
      </c>
      <c r="H2144">
        <v>20974</v>
      </c>
      <c r="I2144">
        <v>9378</v>
      </c>
      <c r="J2144">
        <v>30352</v>
      </c>
      <c r="K2144" t="b">
        <f>TrafficData[[#This Row],[disposedChallan]]+TrafficData[[#This Row],[pendingChallan]]=TrafficData[[#This Row],[totalChallan]]</f>
        <v>1</v>
      </c>
      <c r="L2144" t="b">
        <f>TrafficData[[#This Row],[pendingAmount]]+TrafficData[[#This Row],[disposedAmount]]=TrafficData[[#This Row],[totalAmount]]</f>
        <v>1</v>
      </c>
      <c r="M2144" t="b">
        <f>TrafficData[[#This Row],[pendingCourt]]+TrafficData[[#This Row],[disposedCourt]]=TrafficData[[#This Row],[totalCourt]]</f>
        <v>1</v>
      </c>
      <c r="N2144" s="8" t="b">
        <f>AND(TrafficData[[#This Row],[disposedChallan]]&lt;=TrafficData[[#This Row],[totalChallan]],TrafficData[[#This Row],[pendingChallan]]&lt;=TrafficData[[#This Row],[totalChallan]])</f>
        <v>1</v>
      </c>
      <c r="O2144" s="8" t="b">
        <f>AND(TrafficData[[#This Row],[pendingAmount]]&lt;=TrafficData[[#This Row],[totalAmount]],TrafficData[[#This Row],[disposedAmount]]&lt;=TrafficData[[#This Row],[totalAmount]])</f>
        <v>1</v>
      </c>
      <c r="P2144" s="8" t="b">
        <f>AND(TrafficData[[#This Row],[pendingCourt]]&lt;=TrafficData[[#This Row],[totalCourt]],TrafficData[[#This Row],[disposedCourt]]&lt;=TrafficData[[#This Row],[totalCourt]])</f>
        <v>1</v>
      </c>
    </row>
    <row r="2145" spans="1:16">
      <c r="A2145" s="1">
        <v>44149</v>
      </c>
      <c r="B2145">
        <v>66273</v>
      </c>
      <c r="C2145">
        <v>24456</v>
      </c>
      <c r="D2145">
        <v>41817</v>
      </c>
      <c r="E2145">
        <v>49412246</v>
      </c>
      <c r="F2145">
        <v>24333772</v>
      </c>
      <c r="G2145">
        <v>73746018</v>
      </c>
      <c r="H2145">
        <v>10069</v>
      </c>
      <c r="I2145">
        <v>4100</v>
      </c>
      <c r="J2145">
        <v>14169</v>
      </c>
      <c r="K2145" t="b">
        <f>TrafficData[[#This Row],[disposedChallan]]+TrafficData[[#This Row],[pendingChallan]]=TrafficData[[#This Row],[totalChallan]]</f>
        <v>1</v>
      </c>
      <c r="L2145" t="b">
        <f>TrafficData[[#This Row],[pendingAmount]]+TrafficData[[#This Row],[disposedAmount]]=TrafficData[[#This Row],[totalAmount]]</f>
        <v>1</v>
      </c>
      <c r="M2145" t="b">
        <f>TrafficData[[#This Row],[pendingCourt]]+TrafficData[[#This Row],[disposedCourt]]=TrafficData[[#This Row],[totalCourt]]</f>
        <v>1</v>
      </c>
      <c r="N2145" s="8" t="b">
        <f>AND(TrafficData[[#This Row],[disposedChallan]]&lt;=TrafficData[[#This Row],[totalChallan]],TrafficData[[#This Row],[pendingChallan]]&lt;=TrafficData[[#This Row],[totalChallan]])</f>
        <v>1</v>
      </c>
      <c r="O2145" s="8" t="b">
        <f>AND(TrafficData[[#This Row],[pendingAmount]]&lt;=TrafficData[[#This Row],[totalAmount]],TrafficData[[#This Row],[disposedAmount]]&lt;=TrafficData[[#This Row],[totalAmount]])</f>
        <v>1</v>
      </c>
      <c r="P2145" s="8" t="b">
        <f>AND(TrafficData[[#This Row],[pendingCourt]]&lt;=TrafficData[[#This Row],[totalCourt]],TrafficData[[#This Row],[disposedCourt]]&lt;=TrafficData[[#This Row],[totalCourt]])</f>
        <v>1</v>
      </c>
    </row>
    <row r="2146" spans="1:16">
      <c r="A2146" s="1">
        <v>44150</v>
      </c>
      <c r="B2146">
        <v>86365</v>
      </c>
      <c r="C2146">
        <v>36885</v>
      </c>
      <c r="D2146">
        <v>49480</v>
      </c>
      <c r="E2146">
        <v>50280198</v>
      </c>
      <c r="F2146">
        <v>26704456</v>
      </c>
      <c r="G2146">
        <v>76984654</v>
      </c>
      <c r="H2146">
        <v>11949</v>
      </c>
      <c r="I2146">
        <v>4729</v>
      </c>
      <c r="J2146">
        <v>16678</v>
      </c>
      <c r="K2146" t="b">
        <f>TrafficData[[#This Row],[disposedChallan]]+TrafficData[[#This Row],[pendingChallan]]=TrafficData[[#This Row],[totalChallan]]</f>
        <v>1</v>
      </c>
      <c r="L2146" t="b">
        <f>TrafficData[[#This Row],[pendingAmount]]+TrafficData[[#This Row],[disposedAmount]]=TrafficData[[#This Row],[totalAmount]]</f>
        <v>1</v>
      </c>
      <c r="M2146" t="b">
        <f>TrafficData[[#This Row],[pendingCourt]]+TrafficData[[#This Row],[disposedCourt]]=TrafficData[[#This Row],[totalCourt]]</f>
        <v>1</v>
      </c>
      <c r="N2146" s="8" t="b">
        <f>AND(TrafficData[[#This Row],[disposedChallan]]&lt;=TrafficData[[#This Row],[totalChallan]],TrafficData[[#This Row],[pendingChallan]]&lt;=TrafficData[[#This Row],[totalChallan]])</f>
        <v>1</v>
      </c>
      <c r="O2146" s="8" t="b">
        <f>AND(TrafficData[[#This Row],[pendingAmount]]&lt;=TrafficData[[#This Row],[totalAmount]],TrafficData[[#This Row],[disposedAmount]]&lt;=TrafficData[[#This Row],[totalAmount]])</f>
        <v>1</v>
      </c>
      <c r="P2146" s="8" t="b">
        <f>AND(TrafficData[[#This Row],[pendingCourt]]&lt;=TrafficData[[#This Row],[totalCourt]],TrafficData[[#This Row],[disposedCourt]]&lt;=TrafficData[[#This Row],[totalCourt]])</f>
        <v>1</v>
      </c>
    </row>
    <row r="2147" spans="1:16">
      <c r="A2147" s="1">
        <v>44151</v>
      </c>
      <c r="B2147">
        <v>100429</v>
      </c>
      <c r="C2147">
        <v>45920</v>
      </c>
      <c r="D2147">
        <v>54509</v>
      </c>
      <c r="E2147">
        <v>63787892</v>
      </c>
      <c r="F2147">
        <v>38794066</v>
      </c>
      <c r="G2147">
        <v>102581958</v>
      </c>
      <c r="H2147">
        <v>19024</v>
      </c>
      <c r="I2147">
        <v>7675</v>
      </c>
      <c r="J2147">
        <v>26699</v>
      </c>
      <c r="K2147" t="b">
        <f>TrafficData[[#This Row],[disposedChallan]]+TrafficData[[#This Row],[pendingChallan]]=TrafficData[[#This Row],[totalChallan]]</f>
        <v>1</v>
      </c>
      <c r="L2147" t="b">
        <f>TrafficData[[#This Row],[pendingAmount]]+TrafficData[[#This Row],[disposedAmount]]=TrafficData[[#This Row],[totalAmount]]</f>
        <v>1</v>
      </c>
      <c r="M2147" t="b">
        <f>TrafficData[[#This Row],[pendingCourt]]+TrafficData[[#This Row],[disposedCourt]]=TrafficData[[#This Row],[totalCourt]]</f>
        <v>1</v>
      </c>
      <c r="N2147" s="8" t="b">
        <f>AND(TrafficData[[#This Row],[disposedChallan]]&lt;=TrafficData[[#This Row],[totalChallan]],TrafficData[[#This Row],[pendingChallan]]&lt;=TrafficData[[#This Row],[totalChallan]])</f>
        <v>1</v>
      </c>
      <c r="O2147" s="8" t="b">
        <f>AND(TrafficData[[#This Row],[pendingAmount]]&lt;=TrafficData[[#This Row],[totalAmount]],TrafficData[[#This Row],[disposedAmount]]&lt;=TrafficData[[#This Row],[totalAmount]])</f>
        <v>1</v>
      </c>
      <c r="P2147" s="8" t="b">
        <f>AND(TrafficData[[#This Row],[pendingCourt]]&lt;=TrafficData[[#This Row],[totalCourt]],TrafficData[[#This Row],[disposedCourt]]&lt;=TrafficData[[#This Row],[totalCourt]])</f>
        <v>1</v>
      </c>
    </row>
    <row r="2148" spans="1:16">
      <c r="A2148" s="1">
        <v>44152</v>
      </c>
      <c r="B2148">
        <v>123214</v>
      </c>
      <c r="C2148">
        <v>58991</v>
      </c>
      <c r="D2148">
        <v>64223</v>
      </c>
      <c r="E2148">
        <v>76574520</v>
      </c>
      <c r="F2148">
        <v>52736525</v>
      </c>
      <c r="G2148">
        <v>129311045</v>
      </c>
      <c r="H2148">
        <v>29573</v>
      </c>
      <c r="I2148">
        <v>11124</v>
      </c>
      <c r="J2148">
        <v>40697</v>
      </c>
      <c r="K2148" t="b">
        <f>TrafficData[[#This Row],[disposedChallan]]+TrafficData[[#This Row],[pendingChallan]]=TrafficData[[#This Row],[totalChallan]]</f>
        <v>1</v>
      </c>
      <c r="L2148" t="b">
        <f>TrafficData[[#This Row],[pendingAmount]]+TrafficData[[#This Row],[disposedAmount]]=TrafficData[[#This Row],[totalAmount]]</f>
        <v>1</v>
      </c>
      <c r="M2148" t="b">
        <f>TrafficData[[#This Row],[pendingCourt]]+TrafficData[[#This Row],[disposedCourt]]=TrafficData[[#This Row],[totalCourt]]</f>
        <v>1</v>
      </c>
      <c r="N2148" s="8" t="b">
        <f>AND(TrafficData[[#This Row],[disposedChallan]]&lt;=TrafficData[[#This Row],[totalChallan]],TrafficData[[#This Row],[pendingChallan]]&lt;=TrafficData[[#This Row],[totalChallan]])</f>
        <v>1</v>
      </c>
      <c r="O2148" s="8" t="b">
        <f>AND(TrafficData[[#This Row],[pendingAmount]]&lt;=TrafficData[[#This Row],[totalAmount]],TrafficData[[#This Row],[disposedAmount]]&lt;=TrafficData[[#This Row],[totalAmount]])</f>
        <v>1</v>
      </c>
      <c r="P2148" s="8" t="b">
        <f>AND(TrafficData[[#This Row],[pendingCourt]]&lt;=TrafficData[[#This Row],[totalCourt]],TrafficData[[#This Row],[disposedCourt]]&lt;=TrafficData[[#This Row],[totalCourt]])</f>
        <v>1</v>
      </c>
    </row>
    <row r="2149" spans="1:16">
      <c r="A2149" s="1">
        <v>44153</v>
      </c>
      <c r="B2149">
        <v>129113</v>
      </c>
      <c r="C2149">
        <v>63164</v>
      </c>
      <c r="D2149">
        <v>65949</v>
      </c>
      <c r="E2149">
        <v>80794394</v>
      </c>
      <c r="F2149">
        <v>71515458</v>
      </c>
      <c r="G2149">
        <v>152309852</v>
      </c>
      <c r="H2149">
        <v>35349</v>
      </c>
      <c r="I2149">
        <v>12303</v>
      </c>
      <c r="J2149">
        <v>47652</v>
      </c>
      <c r="K2149" t="b">
        <f>TrafficData[[#This Row],[disposedChallan]]+TrafficData[[#This Row],[pendingChallan]]=TrafficData[[#This Row],[totalChallan]]</f>
        <v>1</v>
      </c>
      <c r="L2149" t="b">
        <f>TrafficData[[#This Row],[pendingAmount]]+TrafficData[[#This Row],[disposedAmount]]=TrafficData[[#This Row],[totalAmount]]</f>
        <v>1</v>
      </c>
      <c r="M2149" t="b">
        <f>TrafficData[[#This Row],[pendingCourt]]+TrafficData[[#This Row],[disposedCourt]]=TrafficData[[#This Row],[totalCourt]]</f>
        <v>1</v>
      </c>
      <c r="N2149" s="8" t="b">
        <f>AND(TrafficData[[#This Row],[disposedChallan]]&lt;=TrafficData[[#This Row],[totalChallan]],TrafficData[[#This Row],[pendingChallan]]&lt;=TrafficData[[#This Row],[totalChallan]])</f>
        <v>1</v>
      </c>
      <c r="O2149" s="8" t="b">
        <f>AND(TrafficData[[#This Row],[pendingAmount]]&lt;=TrafficData[[#This Row],[totalAmount]],TrafficData[[#This Row],[disposedAmount]]&lt;=TrafficData[[#This Row],[totalAmount]])</f>
        <v>1</v>
      </c>
      <c r="P2149" s="8" t="b">
        <f>AND(TrafficData[[#This Row],[pendingCourt]]&lt;=TrafficData[[#This Row],[totalCourt]],TrafficData[[#This Row],[disposedCourt]]&lt;=TrafficData[[#This Row],[totalCourt]])</f>
        <v>1</v>
      </c>
    </row>
    <row r="2150" spans="1:16">
      <c r="A2150" s="1">
        <v>44154</v>
      </c>
      <c r="B2150">
        <v>134338</v>
      </c>
      <c r="C2150">
        <v>66494</v>
      </c>
      <c r="D2150">
        <v>67844</v>
      </c>
      <c r="E2150">
        <v>85626638</v>
      </c>
      <c r="F2150">
        <v>76088783</v>
      </c>
      <c r="G2150">
        <v>161715421</v>
      </c>
      <c r="H2150">
        <v>32199</v>
      </c>
      <c r="I2150">
        <v>12117</v>
      </c>
      <c r="J2150">
        <v>44316</v>
      </c>
      <c r="K2150" t="b">
        <f>TrafficData[[#This Row],[disposedChallan]]+TrafficData[[#This Row],[pendingChallan]]=TrafficData[[#This Row],[totalChallan]]</f>
        <v>1</v>
      </c>
      <c r="L2150" t="b">
        <f>TrafficData[[#This Row],[pendingAmount]]+TrafficData[[#This Row],[disposedAmount]]=TrafficData[[#This Row],[totalAmount]]</f>
        <v>1</v>
      </c>
      <c r="M2150" t="b">
        <f>TrafficData[[#This Row],[pendingCourt]]+TrafficData[[#This Row],[disposedCourt]]=TrafficData[[#This Row],[totalCourt]]</f>
        <v>1</v>
      </c>
      <c r="N2150" s="8" t="b">
        <f>AND(TrafficData[[#This Row],[disposedChallan]]&lt;=TrafficData[[#This Row],[totalChallan]],TrafficData[[#This Row],[pendingChallan]]&lt;=TrafficData[[#This Row],[totalChallan]])</f>
        <v>1</v>
      </c>
      <c r="O2150" s="8" t="b">
        <f>AND(TrafficData[[#This Row],[pendingAmount]]&lt;=TrafficData[[#This Row],[totalAmount]],TrafficData[[#This Row],[disposedAmount]]&lt;=TrafficData[[#This Row],[totalAmount]])</f>
        <v>1</v>
      </c>
      <c r="P2150" s="8" t="b">
        <f>AND(TrafficData[[#This Row],[pendingCourt]]&lt;=TrafficData[[#This Row],[totalCourt]],TrafficData[[#This Row],[disposedCourt]]&lt;=TrafficData[[#This Row],[totalCourt]])</f>
        <v>1</v>
      </c>
    </row>
    <row r="2151" spans="1:16">
      <c r="A2151" s="1">
        <v>44155</v>
      </c>
      <c r="B2151">
        <v>121988</v>
      </c>
      <c r="C2151">
        <v>61459</v>
      </c>
      <c r="D2151">
        <v>60529</v>
      </c>
      <c r="E2151">
        <v>82174340</v>
      </c>
      <c r="F2151">
        <v>70953341</v>
      </c>
      <c r="G2151">
        <v>153127681</v>
      </c>
      <c r="H2151">
        <v>36865</v>
      </c>
      <c r="I2151">
        <v>12409</v>
      </c>
      <c r="J2151">
        <v>49274</v>
      </c>
      <c r="K2151" t="b">
        <f>TrafficData[[#This Row],[disposedChallan]]+TrafficData[[#This Row],[pendingChallan]]=TrafficData[[#This Row],[totalChallan]]</f>
        <v>1</v>
      </c>
      <c r="L2151" t="b">
        <f>TrafficData[[#This Row],[pendingAmount]]+TrafficData[[#This Row],[disposedAmount]]=TrafficData[[#This Row],[totalAmount]]</f>
        <v>1</v>
      </c>
      <c r="M2151" t="b">
        <f>TrafficData[[#This Row],[pendingCourt]]+TrafficData[[#This Row],[disposedCourt]]=TrafficData[[#This Row],[totalCourt]]</f>
        <v>1</v>
      </c>
      <c r="N2151" s="8" t="b">
        <f>AND(TrafficData[[#This Row],[disposedChallan]]&lt;=TrafficData[[#This Row],[totalChallan]],TrafficData[[#This Row],[pendingChallan]]&lt;=TrafficData[[#This Row],[totalChallan]])</f>
        <v>1</v>
      </c>
      <c r="O2151" s="8" t="b">
        <f>AND(TrafficData[[#This Row],[pendingAmount]]&lt;=TrafficData[[#This Row],[totalAmount]],TrafficData[[#This Row],[disposedAmount]]&lt;=TrafficData[[#This Row],[totalAmount]])</f>
        <v>1</v>
      </c>
      <c r="P2151" s="8" t="b">
        <f>AND(TrafficData[[#This Row],[pendingCourt]]&lt;=TrafficData[[#This Row],[totalCourt]],TrafficData[[#This Row],[disposedCourt]]&lt;=TrafficData[[#This Row],[totalCourt]])</f>
        <v>1</v>
      </c>
    </row>
    <row r="2152" spans="1:16">
      <c r="A2152" s="1">
        <v>44156</v>
      </c>
      <c r="B2152">
        <v>132669</v>
      </c>
      <c r="C2152">
        <v>66673</v>
      </c>
      <c r="D2152">
        <v>65996</v>
      </c>
      <c r="E2152">
        <v>77652201</v>
      </c>
      <c r="F2152">
        <v>66770470</v>
      </c>
      <c r="G2152">
        <v>144422671</v>
      </c>
      <c r="H2152">
        <v>37383</v>
      </c>
      <c r="I2152">
        <v>12423</v>
      </c>
      <c r="J2152">
        <v>49806</v>
      </c>
      <c r="K2152" t="b">
        <f>TrafficData[[#This Row],[disposedChallan]]+TrafficData[[#This Row],[pendingChallan]]=TrafficData[[#This Row],[totalChallan]]</f>
        <v>1</v>
      </c>
      <c r="L2152" t="b">
        <f>TrafficData[[#This Row],[pendingAmount]]+TrafficData[[#This Row],[disposedAmount]]=TrafficData[[#This Row],[totalAmount]]</f>
        <v>1</v>
      </c>
      <c r="M2152" t="b">
        <f>TrafficData[[#This Row],[pendingCourt]]+TrafficData[[#This Row],[disposedCourt]]=TrafficData[[#This Row],[totalCourt]]</f>
        <v>1</v>
      </c>
      <c r="N2152" s="8" t="b">
        <f>AND(TrafficData[[#This Row],[disposedChallan]]&lt;=TrafficData[[#This Row],[totalChallan]],TrafficData[[#This Row],[pendingChallan]]&lt;=TrafficData[[#This Row],[totalChallan]])</f>
        <v>1</v>
      </c>
      <c r="O2152" s="8" t="b">
        <f>AND(TrafficData[[#This Row],[pendingAmount]]&lt;=TrafficData[[#This Row],[totalAmount]],TrafficData[[#This Row],[disposedAmount]]&lt;=TrafficData[[#This Row],[totalAmount]])</f>
        <v>1</v>
      </c>
      <c r="P2152" s="8" t="b">
        <f>AND(TrafficData[[#This Row],[pendingCourt]]&lt;=TrafficData[[#This Row],[totalCourt]],TrafficData[[#This Row],[disposedCourt]]&lt;=TrafficData[[#This Row],[totalCourt]])</f>
        <v>1</v>
      </c>
    </row>
    <row r="2153" spans="1:16">
      <c r="A2153" s="1">
        <v>44157</v>
      </c>
      <c r="B2153">
        <v>124249</v>
      </c>
      <c r="C2153">
        <v>60231</v>
      </c>
      <c r="D2153">
        <v>64018</v>
      </c>
      <c r="E2153">
        <v>75097911</v>
      </c>
      <c r="F2153">
        <v>60474444</v>
      </c>
      <c r="G2153">
        <v>135572355</v>
      </c>
      <c r="H2153">
        <v>30709</v>
      </c>
      <c r="I2153">
        <v>10687</v>
      </c>
      <c r="J2153">
        <v>41396</v>
      </c>
      <c r="K2153" t="b">
        <f>TrafficData[[#This Row],[disposedChallan]]+TrafficData[[#This Row],[pendingChallan]]=TrafficData[[#This Row],[totalChallan]]</f>
        <v>1</v>
      </c>
      <c r="L2153" t="b">
        <f>TrafficData[[#This Row],[pendingAmount]]+TrafficData[[#This Row],[disposedAmount]]=TrafficData[[#This Row],[totalAmount]]</f>
        <v>1</v>
      </c>
      <c r="M2153" t="b">
        <f>TrafficData[[#This Row],[pendingCourt]]+TrafficData[[#This Row],[disposedCourt]]=TrafficData[[#This Row],[totalCourt]]</f>
        <v>1</v>
      </c>
      <c r="N2153" s="8" t="b">
        <f>AND(TrafficData[[#This Row],[disposedChallan]]&lt;=TrafficData[[#This Row],[totalChallan]],TrafficData[[#This Row],[pendingChallan]]&lt;=TrafficData[[#This Row],[totalChallan]])</f>
        <v>1</v>
      </c>
      <c r="O2153" s="8" t="b">
        <f>AND(TrafficData[[#This Row],[pendingAmount]]&lt;=TrafficData[[#This Row],[totalAmount]],TrafficData[[#This Row],[disposedAmount]]&lt;=TrafficData[[#This Row],[totalAmount]])</f>
        <v>1</v>
      </c>
      <c r="P2153" s="8" t="b">
        <f>AND(TrafficData[[#This Row],[pendingCourt]]&lt;=TrafficData[[#This Row],[totalCourt]],TrafficData[[#This Row],[disposedCourt]]&lt;=TrafficData[[#This Row],[totalCourt]])</f>
        <v>1</v>
      </c>
    </row>
    <row r="2154" spans="1:16">
      <c r="A2154" s="1">
        <v>44158</v>
      </c>
      <c r="B2154">
        <v>138247</v>
      </c>
      <c r="C2154">
        <v>68789</v>
      </c>
      <c r="D2154">
        <v>69458</v>
      </c>
      <c r="E2154">
        <v>80002132</v>
      </c>
      <c r="F2154">
        <v>69534719</v>
      </c>
      <c r="G2154">
        <v>149536851</v>
      </c>
      <c r="H2154">
        <v>39496</v>
      </c>
      <c r="I2154">
        <v>12384</v>
      </c>
      <c r="J2154">
        <v>51880</v>
      </c>
      <c r="K2154" t="b">
        <f>TrafficData[[#This Row],[disposedChallan]]+TrafficData[[#This Row],[pendingChallan]]=TrafficData[[#This Row],[totalChallan]]</f>
        <v>1</v>
      </c>
      <c r="L2154" t="b">
        <f>TrafficData[[#This Row],[pendingAmount]]+TrafficData[[#This Row],[disposedAmount]]=TrafficData[[#This Row],[totalAmount]]</f>
        <v>1</v>
      </c>
      <c r="M2154" t="b">
        <f>TrafficData[[#This Row],[pendingCourt]]+TrafficData[[#This Row],[disposedCourt]]=TrafficData[[#This Row],[totalCourt]]</f>
        <v>1</v>
      </c>
      <c r="N2154" s="8" t="b">
        <f>AND(TrafficData[[#This Row],[disposedChallan]]&lt;=TrafficData[[#This Row],[totalChallan]],TrafficData[[#This Row],[pendingChallan]]&lt;=TrafficData[[#This Row],[totalChallan]])</f>
        <v>1</v>
      </c>
      <c r="O2154" s="8" t="b">
        <f>AND(TrafficData[[#This Row],[pendingAmount]]&lt;=TrafficData[[#This Row],[totalAmount]],TrafficData[[#This Row],[disposedAmount]]&lt;=TrafficData[[#This Row],[totalAmount]])</f>
        <v>1</v>
      </c>
      <c r="P2154" s="8" t="b">
        <f>AND(TrafficData[[#This Row],[pendingCourt]]&lt;=TrafficData[[#This Row],[totalCourt]],TrafficData[[#This Row],[disposedCourt]]&lt;=TrafficData[[#This Row],[totalCourt]])</f>
        <v>1</v>
      </c>
    </row>
    <row r="2155" spans="1:16">
      <c r="A2155" s="1">
        <v>44159</v>
      </c>
      <c r="B2155">
        <v>120891</v>
      </c>
      <c r="C2155">
        <v>59761</v>
      </c>
      <c r="D2155">
        <v>61130</v>
      </c>
      <c r="E2155">
        <v>89004324</v>
      </c>
      <c r="F2155">
        <v>77268781</v>
      </c>
      <c r="G2155">
        <v>166273105</v>
      </c>
      <c r="H2155">
        <v>36613</v>
      </c>
      <c r="I2155">
        <v>11686</v>
      </c>
      <c r="J2155">
        <v>48299</v>
      </c>
      <c r="K2155" t="b">
        <f>TrafficData[[#This Row],[disposedChallan]]+TrafficData[[#This Row],[pendingChallan]]=TrafficData[[#This Row],[totalChallan]]</f>
        <v>1</v>
      </c>
      <c r="L2155" t="b">
        <f>TrafficData[[#This Row],[pendingAmount]]+TrafficData[[#This Row],[disposedAmount]]=TrafficData[[#This Row],[totalAmount]]</f>
        <v>1</v>
      </c>
      <c r="M2155" t="b">
        <f>TrafficData[[#This Row],[pendingCourt]]+TrafficData[[#This Row],[disposedCourt]]=TrafficData[[#This Row],[totalCourt]]</f>
        <v>1</v>
      </c>
      <c r="N2155" s="8" t="b">
        <f>AND(TrafficData[[#This Row],[disposedChallan]]&lt;=TrafficData[[#This Row],[totalChallan]],TrafficData[[#This Row],[pendingChallan]]&lt;=TrafficData[[#This Row],[totalChallan]])</f>
        <v>1</v>
      </c>
      <c r="O2155" s="8" t="b">
        <f>AND(TrafficData[[#This Row],[pendingAmount]]&lt;=TrafficData[[#This Row],[totalAmount]],TrafficData[[#This Row],[disposedAmount]]&lt;=TrafficData[[#This Row],[totalAmount]])</f>
        <v>1</v>
      </c>
      <c r="P2155" s="8" t="b">
        <f>AND(TrafficData[[#This Row],[pendingCourt]]&lt;=TrafficData[[#This Row],[totalCourt]],TrafficData[[#This Row],[disposedCourt]]&lt;=TrafficData[[#This Row],[totalCourt]])</f>
        <v>1</v>
      </c>
    </row>
    <row r="2156" spans="1:16">
      <c r="A2156" s="1">
        <v>44160</v>
      </c>
      <c r="B2156">
        <v>113843</v>
      </c>
      <c r="C2156">
        <v>54287</v>
      </c>
      <c r="D2156">
        <v>59556</v>
      </c>
      <c r="E2156">
        <v>79876992</v>
      </c>
      <c r="F2156">
        <v>74123977</v>
      </c>
      <c r="G2156">
        <v>154000969</v>
      </c>
      <c r="H2156">
        <v>37893</v>
      </c>
      <c r="I2156">
        <v>11226</v>
      </c>
      <c r="J2156">
        <v>49119</v>
      </c>
      <c r="K2156" t="b">
        <f>TrafficData[[#This Row],[disposedChallan]]+TrafficData[[#This Row],[pendingChallan]]=TrafficData[[#This Row],[totalChallan]]</f>
        <v>1</v>
      </c>
      <c r="L2156" t="b">
        <f>TrafficData[[#This Row],[pendingAmount]]+TrafficData[[#This Row],[disposedAmount]]=TrafficData[[#This Row],[totalAmount]]</f>
        <v>1</v>
      </c>
      <c r="M2156" t="b">
        <f>TrafficData[[#This Row],[pendingCourt]]+TrafficData[[#This Row],[disposedCourt]]=TrafficData[[#This Row],[totalCourt]]</f>
        <v>1</v>
      </c>
      <c r="N2156" s="8" t="b">
        <f>AND(TrafficData[[#This Row],[disposedChallan]]&lt;=TrafficData[[#This Row],[totalChallan]],TrafficData[[#This Row],[pendingChallan]]&lt;=TrafficData[[#This Row],[totalChallan]])</f>
        <v>1</v>
      </c>
      <c r="O2156" s="8" t="b">
        <f>AND(TrafficData[[#This Row],[pendingAmount]]&lt;=TrafficData[[#This Row],[totalAmount]],TrafficData[[#This Row],[disposedAmount]]&lt;=TrafficData[[#This Row],[totalAmount]])</f>
        <v>1</v>
      </c>
      <c r="P2156" s="8" t="b">
        <f>AND(TrafficData[[#This Row],[pendingCourt]]&lt;=TrafficData[[#This Row],[totalCourt]],TrafficData[[#This Row],[disposedCourt]]&lt;=TrafficData[[#This Row],[totalCourt]])</f>
        <v>1</v>
      </c>
    </row>
    <row r="2157" spans="1:16">
      <c r="A2157" s="1">
        <v>44161</v>
      </c>
      <c r="B2157">
        <v>98698</v>
      </c>
      <c r="C2157">
        <v>45602</v>
      </c>
      <c r="D2157">
        <v>53096</v>
      </c>
      <c r="E2157">
        <v>71345211</v>
      </c>
      <c r="F2157">
        <v>63251908</v>
      </c>
      <c r="G2157">
        <v>134597119</v>
      </c>
      <c r="H2157">
        <v>32716</v>
      </c>
      <c r="I2157">
        <v>9426</v>
      </c>
      <c r="J2157">
        <v>42142</v>
      </c>
      <c r="K2157" t="b">
        <f>TrafficData[[#This Row],[disposedChallan]]+TrafficData[[#This Row],[pendingChallan]]=TrafficData[[#This Row],[totalChallan]]</f>
        <v>1</v>
      </c>
      <c r="L2157" t="b">
        <f>TrafficData[[#This Row],[pendingAmount]]+TrafficData[[#This Row],[disposedAmount]]=TrafficData[[#This Row],[totalAmount]]</f>
        <v>1</v>
      </c>
      <c r="M2157" t="b">
        <f>TrafficData[[#This Row],[pendingCourt]]+TrafficData[[#This Row],[disposedCourt]]=TrafficData[[#This Row],[totalCourt]]</f>
        <v>1</v>
      </c>
      <c r="N2157" s="8" t="b">
        <f>AND(TrafficData[[#This Row],[disposedChallan]]&lt;=TrafficData[[#This Row],[totalChallan]],TrafficData[[#This Row],[pendingChallan]]&lt;=TrafficData[[#This Row],[totalChallan]])</f>
        <v>1</v>
      </c>
      <c r="O2157" s="8" t="b">
        <f>AND(TrafficData[[#This Row],[pendingAmount]]&lt;=TrafficData[[#This Row],[totalAmount]],TrafficData[[#This Row],[disposedAmount]]&lt;=TrafficData[[#This Row],[totalAmount]])</f>
        <v>1</v>
      </c>
      <c r="P2157" s="8" t="b">
        <f>AND(TrafficData[[#This Row],[pendingCourt]]&lt;=TrafficData[[#This Row],[totalCourt]],TrafficData[[#This Row],[disposedCourt]]&lt;=TrafficData[[#This Row],[totalCourt]])</f>
        <v>1</v>
      </c>
    </row>
    <row r="2158" spans="1:16">
      <c r="A2158" s="1">
        <v>44162</v>
      </c>
      <c r="B2158">
        <v>118436</v>
      </c>
      <c r="C2158">
        <v>58727</v>
      </c>
      <c r="D2158">
        <v>59709</v>
      </c>
      <c r="E2158">
        <v>73996579</v>
      </c>
      <c r="F2158">
        <v>70026293</v>
      </c>
      <c r="G2158">
        <v>144022872</v>
      </c>
      <c r="H2158">
        <v>33113</v>
      </c>
      <c r="I2158">
        <v>9569</v>
      </c>
      <c r="J2158">
        <v>42682</v>
      </c>
      <c r="K2158" t="b">
        <f>TrafficData[[#This Row],[disposedChallan]]+TrafficData[[#This Row],[pendingChallan]]=TrafficData[[#This Row],[totalChallan]]</f>
        <v>1</v>
      </c>
      <c r="L2158" t="b">
        <f>TrafficData[[#This Row],[pendingAmount]]+TrafficData[[#This Row],[disposedAmount]]=TrafficData[[#This Row],[totalAmount]]</f>
        <v>1</v>
      </c>
      <c r="M2158" t="b">
        <f>TrafficData[[#This Row],[pendingCourt]]+TrafficData[[#This Row],[disposedCourt]]=TrafficData[[#This Row],[totalCourt]]</f>
        <v>1</v>
      </c>
      <c r="N2158" s="8" t="b">
        <f>AND(TrafficData[[#This Row],[disposedChallan]]&lt;=TrafficData[[#This Row],[totalChallan]],TrafficData[[#This Row],[pendingChallan]]&lt;=TrafficData[[#This Row],[totalChallan]])</f>
        <v>1</v>
      </c>
      <c r="O2158" s="8" t="b">
        <f>AND(TrafficData[[#This Row],[pendingAmount]]&lt;=TrafficData[[#This Row],[totalAmount]],TrafficData[[#This Row],[disposedAmount]]&lt;=TrafficData[[#This Row],[totalAmount]])</f>
        <v>1</v>
      </c>
      <c r="P2158" s="8" t="b">
        <f>AND(TrafficData[[#This Row],[pendingCourt]]&lt;=TrafficData[[#This Row],[totalCourt]],TrafficData[[#This Row],[disposedCourt]]&lt;=TrafficData[[#This Row],[totalCourt]])</f>
        <v>1</v>
      </c>
    </row>
    <row r="2159" spans="1:16">
      <c r="A2159" s="1">
        <v>44163</v>
      </c>
      <c r="B2159">
        <v>123441</v>
      </c>
      <c r="C2159">
        <v>62946</v>
      </c>
      <c r="D2159">
        <v>60495</v>
      </c>
      <c r="E2159">
        <v>74353996</v>
      </c>
      <c r="F2159">
        <v>70010101</v>
      </c>
      <c r="G2159">
        <v>144364097</v>
      </c>
      <c r="H2159">
        <v>32689</v>
      </c>
      <c r="I2159">
        <v>9645</v>
      </c>
      <c r="J2159">
        <v>42334</v>
      </c>
      <c r="K2159" t="b">
        <f>TrafficData[[#This Row],[disposedChallan]]+TrafficData[[#This Row],[pendingChallan]]=TrafficData[[#This Row],[totalChallan]]</f>
        <v>1</v>
      </c>
      <c r="L2159" t="b">
        <f>TrafficData[[#This Row],[pendingAmount]]+TrafficData[[#This Row],[disposedAmount]]=TrafficData[[#This Row],[totalAmount]]</f>
        <v>1</v>
      </c>
      <c r="M2159" t="b">
        <f>TrafficData[[#This Row],[pendingCourt]]+TrafficData[[#This Row],[disposedCourt]]=TrafficData[[#This Row],[totalCourt]]</f>
        <v>1</v>
      </c>
      <c r="N2159" s="8" t="b">
        <f>AND(TrafficData[[#This Row],[disposedChallan]]&lt;=TrafficData[[#This Row],[totalChallan]],TrafficData[[#This Row],[pendingChallan]]&lt;=TrafficData[[#This Row],[totalChallan]])</f>
        <v>1</v>
      </c>
      <c r="O2159" s="8" t="b">
        <f>AND(TrafficData[[#This Row],[pendingAmount]]&lt;=TrafficData[[#This Row],[totalAmount]],TrafficData[[#This Row],[disposedAmount]]&lt;=TrafficData[[#This Row],[totalAmount]])</f>
        <v>1</v>
      </c>
      <c r="P2159" s="8" t="b">
        <f>AND(TrafficData[[#This Row],[pendingCourt]]&lt;=TrafficData[[#This Row],[totalCourt]],TrafficData[[#This Row],[disposedCourt]]&lt;=TrafficData[[#This Row],[totalCourt]])</f>
        <v>1</v>
      </c>
    </row>
    <row r="2160" spans="1:16">
      <c r="A2160" s="1">
        <v>44164</v>
      </c>
      <c r="B2160">
        <v>114761</v>
      </c>
      <c r="C2160">
        <v>56025</v>
      </c>
      <c r="D2160">
        <v>58736</v>
      </c>
      <c r="E2160">
        <v>68843414</v>
      </c>
      <c r="F2160">
        <v>55811775</v>
      </c>
      <c r="G2160">
        <v>124655189</v>
      </c>
      <c r="H2160">
        <v>32180</v>
      </c>
      <c r="I2160">
        <v>8997</v>
      </c>
      <c r="J2160">
        <v>41177</v>
      </c>
      <c r="K2160" t="b">
        <f>TrafficData[[#This Row],[disposedChallan]]+TrafficData[[#This Row],[pendingChallan]]=TrafficData[[#This Row],[totalChallan]]</f>
        <v>1</v>
      </c>
      <c r="L2160" t="b">
        <f>TrafficData[[#This Row],[pendingAmount]]+TrafficData[[#This Row],[disposedAmount]]=TrafficData[[#This Row],[totalAmount]]</f>
        <v>1</v>
      </c>
      <c r="M2160" t="b">
        <f>TrafficData[[#This Row],[pendingCourt]]+TrafficData[[#This Row],[disposedCourt]]=TrafficData[[#This Row],[totalCourt]]</f>
        <v>1</v>
      </c>
      <c r="N2160" s="8" t="b">
        <f>AND(TrafficData[[#This Row],[disposedChallan]]&lt;=TrafficData[[#This Row],[totalChallan]],TrafficData[[#This Row],[pendingChallan]]&lt;=TrafficData[[#This Row],[totalChallan]])</f>
        <v>1</v>
      </c>
      <c r="O2160" s="8" t="b">
        <f>AND(TrafficData[[#This Row],[pendingAmount]]&lt;=TrafficData[[#This Row],[totalAmount]],TrafficData[[#This Row],[disposedAmount]]&lt;=TrafficData[[#This Row],[totalAmount]])</f>
        <v>1</v>
      </c>
      <c r="P2160" s="8" t="b">
        <f>AND(TrafficData[[#This Row],[pendingCourt]]&lt;=TrafficData[[#This Row],[totalCourt]],TrafficData[[#This Row],[disposedCourt]]&lt;=TrafficData[[#This Row],[totalCourt]])</f>
        <v>1</v>
      </c>
    </row>
    <row r="2161" spans="1:16">
      <c r="A2161" s="1">
        <v>44165</v>
      </c>
      <c r="B2161">
        <v>107681</v>
      </c>
      <c r="C2161">
        <v>55235</v>
      </c>
      <c r="D2161">
        <v>52446</v>
      </c>
      <c r="E2161">
        <v>60821472</v>
      </c>
      <c r="F2161">
        <v>56356822</v>
      </c>
      <c r="G2161">
        <v>117178294</v>
      </c>
      <c r="H2161">
        <v>27688</v>
      </c>
      <c r="I2161">
        <v>7452</v>
      </c>
      <c r="J2161">
        <v>35140</v>
      </c>
      <c r="K2161" t="b">
        <f>TrafficData[[#This Row],[disposedChallan]]+TrafficData[[#This Row],[pendingChallan]]=TrafficData[[#This Row],[totalChallan]]</f>
        <v>1</v>
      </c>
      <c r="L2161" t="b">
        <f>TrafficData[[#This Row],[pendingAmount]]+TrafficData[[#This Row],[disposedAmount]]=TrafficData[[#This Row],[totalAmount]]</f>
        <v>1</v>
      </c>
      <c r="M2161" t="b">
        <f>TrafficData[[#This Row],[pendingCourt]]+TrafficData[[#This Row],[disposedCourt]]=TrafficData[[#This Row],[totalCourt]]</f>
        <v>1</v>
      </c>
      <c r="N2161" s="8" t="b">
        <f>AND(TrafficData[[#This Row],[disposedChallan]]&lt;=TrafficData[[#This Row],[totalChallan]],TrafficData[[#This Row],[pendingChallan]]&lt;=TrafficData[[#This Row],[totalChallan]])</f>
        <v>1</v>
      </c>
      <c r="O2161" s="8" t="b">
        <f>AND(TrafficData[[#This Row],[pendingAmount]]&lt;=TrafficData[[#This Row],[totalAmount]],TrafficData[[#This Row],[disposedAmount]]&lt;=TrafficData[[#This Row],[totalAmount]])</f>
        <v>1</v>
      </c>
      <c r="P2161" s="8" t="b">
        <f>AND(TrafficData[[#This Row],[pendingCourt]]&lt;=TrafficData[[#This Row],[totalCourt]],TrafficData[[#This Row],[disposedCourt]]&lt;=TrafficData[[#This Row],[totalCourt]])</f>
        <v>1</v>
      </c>
    </row>
    <row r="2162" spans="1:16">
      <c r="A2162" s="1">
        <v>44166</v>
      </c>
      <c r="B2162">
        <v>105159</v>
      </c>
      <c r="C2162">
        <v>55808</v>
      </c>
      <c r="D2162">
        <v>49351</v>
      </c>
      <c r="E2162">
        <v>57800316</v>
      </c>
      <c r="F2162">
        <v>67719317</v>
      </c>
      <c r="G2162">
        <v>125519633</v>
      </c>
      <c r="H2162">
        <v>23109</v>
      </c>
      <c r="I2162">
        <v>7599</v>
      </c>
      <c r="J2162">
        <v>30708</v>
      </c>
      <c r="K2162" t="b">
        <f>TrafficData[[#This Row],[disposedChallan]]+TrafficData[[#This Row],[pendingChallan]]=TrafficData[[#This Row],[totalChallan]]</f>
        <v>1</v>
      </c>
      <c r="L2162" t="b">
        <f>TrafficData[[#This Row],[pendingAmount]]+TrafficData[[#This Row],[disposedAmount]]=TrafficData[[#This Row],[totalAmount]]</f>
        <v>1</v>
      </c>
      <c r="M2162" t="b">
        <f>TrafficData[[#This Row],[pendingCourt]]+TrafficData[[#This Row],[disposedCourt]]=TrafficData[[#This Row],[totalCourt]]</f>
        <v>1</v>
      </c>
      <c r="N2162" s="8" t="b">
        <f>AND(TrafficData[[#This Row],[disposedChallan]]&lt;=TrafficData[[#This Row],[totalChallan]],TrafficData[[#This Row],[pendingChallan]]&lt;=TrafficData[[#This Row],[totalChallan]])</f>
        <v>1</v>
      </c>
      <c r="O2162" s="8" t="b">
        <f>AND(TrafficData[[#This Row],[pendingAmount]]&lt;=TrafficData[[#This Row],[totalAmount]],TrafficData[[#This Row],[disposedAmount]]&lt;=TrafficData[[#This Row],[totalAmount]])</f>
        <v>1</v>
      </c>
      <c r="P2162" s="8" t="b">
        <f>AND(TrafficData[[#This Row],[pendingCourt]]&lt;=TrafficData[[#This Row],[totalCourt]],TrafficData[[#This Row],[disposedCourt]]&lt;=TrafficData[[#This Row],[totalCourt]])</f>
        <v>1</v>
      </c>
    </row>
    <row r="2163" spans="1:16">
      <c r="A2163" s="1">
        <v>44167</v>
      </c>
      <c r="B2163">
        <v>106017</v>
      </c>
      <c r="C2163">
        <v>57180</v>
      </c>
      <c r="D2163">
        <v>48837</v>
      </c>
      <c r="E2163">
        <v>64678242</v>
      </c>
      <c r="F2163">
        <v>76934016</v>
      </c>
      <c r="G2163">
        <v>141612258</v>
      </c>
      <c r="H2163">
        <v>24206</v>
      </c>
      <c r="I2163">
        <v>8459</v>
      </c>
      <c r="J2163">
        <v>32665</v>
      </c>
      <c r="K2163" t="b">
        <f>TrafficData[[#This Row],[disposedChallan]]+TrafficData[[#This Row],[pendingChallan]]=TrafficData[[#This Row],[totalChallan]]</f>
        <v>1</v>
      </c>
      <c r="L2163" t="b">
        <f>TrafficData[[#This Row],[pendingAmount]]+TrafficData[[#This Row],[disposedAmount]]=TrafficData[[#This Row],[totalAmount]]</f>
        <v>1</v>
      </c>
      <c r="M2163" t="b">
        <f>TrafficData[[#This Row],[pendingCourt]]+TrafficData[[#This Row],[disposedCourt]]=TrafficData[[#This Row],[totalCourt]]</f>
        <v>1</v>
      </c>
      <c r="N2163" s="8" t="b">
        <f>AND(TrafficData[[#This Row],[disposedChallan]]&lt;=TrafficData[[#This Row],[totalChallan]],TrafficData[[#This Row],[pendingChallan]]&lt;=TrafficData[[#This Row],[totalChallan]])</f>
        <v>1</v>
      </c>
      <c r="O2163" s="8" t="b">
        <f>AND(TrafficData[[#This Row],[pendingAmount]]&lt;=TrafficData[[#This Row],[totalAmount]],TrafficData[[#This Row],[disposedAmount]]&lt;=TrafficData[[#This Row],[totalAmount]])</f>
        <v>1</v>
      </c>
      <c r="P2163" s="8" t="b">
        <f>AND(TrafficData[[#This Row],[pendingCourt]]&lt;=TrafficData[[#This Row],[totalCourt]],TrafficData[[#This Row],[disposedCourt]]&lt;=TrafficData[[#This Row],[totalCourt]])</f>
        <v>1</v>
      </c>
    </row>
    <row r="2164" spans="1:16">
      <c r="A2164" s="1">
        <v>44168</v>
      </c>
      <c r="B2164">
        <v>99578</v>
      </c>
      <c r="C2164">
        <v>51915</v>
      </c>
      <c r="D2164">
        <v>47663</v>
      </c>
      <c r="E2164">
        <v>64356630</v>
      </c>
      <c r="F2164">
        <v>78025214</v>
      </c>
      <c r="G2164">
        <v>142381844</v>
      </c>
      <c r="H2164">
        <v>26737</v>
      </c>
      <c r="I2164">
        <v>8961</v>
      </c>
      <c r="J2164">
        <v>35698</v>
      </c>
      <c r="K2164" t="b">
        <f>TrafficData[[#This Row],[disposedChallan]]+TrafficData[[#This Row],[pendingChallan]]=TrafficData[[#This Row],[totalChallan]]</f>
        <v>1</v>
      </c>
      <c r="L2164" t="b">
        <f>TrafficData[[#This Row],[pendingAmount]]+TrafficData[[#This Row],[disposedAmount]]=TrafficData[[#This Row],[totalAmount]]</f>
        <v>1</v>
      </c>
      <c r="M2164" t="b">
        <f>TrafficData[[#This Row],[pendingCourt]]+TrafficData[[#This Row],[disposedCourt]]=TrafficData[[#This Row],[totalCourt]]</f>
        <v>1</v>
      </c>
      <c r="N2164" s="8" t="b">
        <f>AND(TrafficData[[#This Row],[disposedChallan]]&lt;=TrafficData[[#This Row],[totalChallan]],TrafficData[[#This Row],[pendingChallan]]&lt;=TrafficData[[#This Row],[totalChallan]])</f>
        <v>1</v>
      </c>
      <c r="O2164" s="8" t="b">
        <f>AND(TrafficData[[#This Row],[pendingAmount]]&lt;=TrafficData[[#This Row],[totalAmount]],TrafficData[[#This Row],[disposedAmount]]&lt;=TrafficData[[#This Row],[totalAmount]])</f>
        <v>1</v>
      </c>
      <c r="P2164" s="8" t="b">
        <f>AND(TrafficData[[#This Row],[pendingCourt]]&lt;=TrafficData[[#This Row],[totalCourt]],TrafficData[[#This Row],[disposedCourt]]&lt;=TrafficData[[#This Row],[totalCourt]])</f>
        <v>1</v>
      </c>
    </row>
    <row r="2165" spans="1:16">
      <c r="A2165" s="1">
        <v>44169</v>
      </c>
      <c r="B2165">
        <v>95239</v>
      </c>
      <c r="C2165">
        <v>49737</v>
      </c>
      <c r="D2165">
        <v>45502</v>
      </c>
      <c r="E2165">
        <v>63660165</v>
      </c>
      <c r="F2165">
        <v>75553834</v>
      </c>
      <c r="G2165">
        <v>139213999</v>
      </c>
      <c r="H2165">
        <v>25116</v>
      </c>
      <c r="I2165">
        <v>8820</v>
      </c>
      <c r="J2165">
        <v>33936</v>
      </c>
      <c r="K2165" t="b">
        <f>TrafficData[[#This Row],[disposedChallan]]+TrafficData[[#This Row],[pendingChallan]]=TrafficData[[#This Row],[totalChallan]]</f>
        <v>1</v>
      </c>
      <c r="L2165" t="b">
        <f>TrafficData[[#This Row],[pendingAmount]]+TrafficData[[#This Row],[disposedAmount]]=TrafficData[[#This Row],[totalAmount]]</f>
        <v>1</v>
      </c>
      <c r="M2165" t="b">
        <f>TrafficData[[#This Row],[pendingCourt]]+TrafficData[[#This Row],[disposedCourt]]=TrafficData[[#This Row],[totalCourt]]</f>
        <v>1</v>
      </c>
      <c r="N2165" s="8" t="b">
        <f>AND(TrafficData[[#This Row],[disposedChallan]]&lt;=TrafficData[[#This Row],[totalChallan]],TrafficData[[#This Row],[pendingChallan]]&lt;=TrafficData[[#This Row],[totalChallan]])</f>
        <v>1</v>
      </c>
      <c r="O2165" s="8" t="b">
        <f>AND(TrafficData[[#This Row],[pendingAmount]]&lt;=TrafficData[[#This Row],[totalAmount]],TrafficData[[#This Row],[disposedAmount]]&lt;=TrafficData[[#This Row],[totalAmount]])</f>
        <v>1</v>
      </c>
      <c r="P2165" s="8" t="b">
        <f>AND(TrafficData[[#This Row],[pendingCourt]]&lt;=TrafficData[[#This Row],[totalCourt]],TrafficData[[#This Row],[disposedCourt]]&lt;=TrafficData[[#This Row],[totalCourt]])</f>
        <v>1</v>
      </c>
    </row>
    <row r="2166" spans="1:16">
      <c r="A2166" s="1">
        <v>44170</v>
      </c>
      <c r="B2166">
        <v>106705</v>
      </c>
      <c r="C2166">
        <v>56543</v>
      </c>
      <c r="D2166">
        <v>50162</v>
      </c>
      <c r="E2166">
        <v>65980418</v>
      </c>
      <c r="F2166">
        <v>74956336</v>
      </c>
      <c r="G2166">
        <v>140936754</v>
      </c>
      <c r="H2166">
        <v>25075</v>
      </c>
      <c r="I2166">
        <v>8418</v>
      </c>
      <c r="J2166">
        <v>33493</v>
      </c>
      <c r="K2166" t="b">
        <f>TrafficData[[#This Row],[disposedChallan]]+TrafficData[[#This Row],[pendingChallan]]=TrafficData[[#This Row],[totalChallan]]</f>
        <v>1</v>
      </c>
      <c r="L2166" t="b">
        <f>TrafficData[[#This Row],[pendingAmount]]+TrafficData[[#This Row],[disposedAmount]]=TrafficData[[#This Row],[totalAmount]]</f>
        <v>1</v>
      </c>
      <c r="M2166" t="b">
        <f>TrafficData[[#This Row],[pendingCourt]]+TrafficData[[#This Row],[disposedCourt]]=TrafficData[[#This Row],[totalCourt]]</f>
        <v>1</v>
      </c>
      <c r="N2166" s="8" t="b">
        <f>AND(TrafficData[[#This Row],[disposedChallan]]&lt;=TrafficData[[#This Row],[totalChallan]],TrafficData[[#This Row],[pendingChallan]]&lt;=TrafficData[[#This Row],[totalChallan]])</f>
        <v>1</v>
      </c>
      <c r="O2166" s="8" t="b">
        <f>AND(TrafficData[[#This Row],[pendingAmount]]&lt;=TrafficData[[#This Row],[totalAmount]],TrafficData[[#This Row],[disposedAmount]]&lt;=TrafficData[[#This Row],[totalAmount]])</f>
        <v>1</v>
      </c>
      <c r="P2166" s="8" t="b">
        <f>AND(TrafficData[[#This Row],[pendingCourt]]&lt;=TrafficData[[#This Row],[totalCourt]],TrafficData[[#This Row],[disposedCourt]]&lt;=TrafficData[[#This Row],[totalCourt]])</f>
        <v>1</v>
      </c>
    </row>
    <row r="2167" spans="1:16">
      <c r="A2167" s="1">
        <v>44171</v>
      </c>
      <c r="B2167">
        <v>98600</v>
      </c>
      <c r="C2167">
        <v>49621</v>
      </c>
      <c r="D2167">
        <v>48979</v>
      </c>
      <c r="E2167">
        <v>59333409</v>
      </c>
      <c r="F2167">
        <v>54609605</v>
      </c>
      <c r="G2167">
        <v>113943014</v>
      </c>
      <c r="H2167">
        <v>21510</v>
      </c>
      <c r="I2167">
        <v>7227</v>
      </c>
      <c r="J2167">
        <v>28737</v>
      </c>
      <c r="K2167" t="b">
        <f>TrafficData[[#This Row],[disposedChallan]]+TrafficData[[#This Row],[pendingChallan]]=TrafficData[[#This Row],[totalChallan]]</f>
        <v>1</v>
      </c>
      <c r="L2167" t="b">
        <f>TrafficData[[#This Row],[pendingAmount]]+TrafficData[[#This Row],[disposedAmount]]=TrafficData[[#This Row],[totalAmount]]</f>
        <v>1</v>
      </c>
      <c r="M2167" t="b">
        <f>TrafficData[[#This Row],[pendingCourt]]+TrafficData[[#This Row],[disposedCourt]]=TrafficData[[#This Row],[totalCourt]]</f>
        <v>1</v>
      </c>
      <c r="N2167" s="8" t="b">
        <f>AND(TrafficData[[#This Row],[disposedChallan]]&lt;=TrafficData[[#This Row],[totalChallan]],TrafficData[[#This Row],[pendingChallan]]&lt;=TrafficData[[#This Row],[totalChallan]])</f>
        <v>1</v>
      </c>
      <c r="O2167" s="8" t="b">
        <f>AND(TrafficData[[#This Row],[pendingAmount]]&lt;=TrafficData[[#This Row],[totalAmount]],TrafficData[[#This Row],[disposedAmount]]&lt;=TrafficData[[#This Row],[totalAmount]])</f>
        <v>1</v>
      </c>
      <c r="P2167" s="8" t="b">
        <f>AND(TrafficData[[#This Row],[pendingCourt]]&lt;=TrafficData[[#This Row],[totalCourt]],TrafficData[[#This Row],[disposedCourt]]&lt;=TrafficData[[#This Row],[totalCourt]])</f>
        <v>1</v>
      </c>
    </row>
    <row r="2168" spans="1:16">
      <c r="A2168" s="1">
        <v>44172</v>
      </c>
      <c r="B2168">
        <v>103122</v>
      </c>
      <c r="C2168">
        <v>53930</v>
      </c>
      <c r="D2168">
        <v>49192</v>
      </c>
      <c r="E2168">
        <v>60342753</v>
      </c>
      <c r="F2168">
        <v>58869074</v>
      </c>
      <c r="G2168">
        <v>119211827</v>
      </c>
      <c r="H2168">
        <v>23809</v>
      </c>
      <c r="I2168">
        <v>8140</v>
      </c>
      <c r="J2168">
        <v>31949</v>
      </c>
      <c r="K2168" t="b">
        <f>TrafficData[[#This Row],[disposedChallan]]+TrafficData[[#This Row],[pendingChallan]]=TrafficData[[#This Row],[totalChallan]]</f>
        <v>1</v>
      </c>
      <c r="L2168" t="b">
        <f>TrafficData[[#This Row],[pendingAmount]]+TrafficData[[#This Row],[disposedAmount]]=TrafficData[[#This Row],[totalAmount]]</f>
        <v>1</v>
      </c>
      <c r="M2168" t="b">
        <f>TrafficData[[#This Row],[pendingCourt]]+TrafficData[[#This Row],[disposedCourt]]=TrafficData[[#This Row],[totalCourt]]</f>
        <v>1</v>
      </c>
      <c r="N2168" s="8" t="b">
        <f>AND(TrafficData[[#This Row],[disposedChallan]]&lt;=TrafficData[[#This Row],[totalChallan]],TrafficData[[#This Row],[pendingChallan]]&lt;=TrafficData[[#This Row],[totalChallan]])</f>
        <v>1</v>
      </c>
      <c r="O2168" s="8" t="b">
        <f>AND(TrafficData[[#This Row],[pendingAmount]]&lt;=TrafficData[[#This Row],[totalAmount]],TrafficData[[#This Row],[disposedAmount]]&lt;=TrafficData[[#This Row],[totalAmount]])</f>
        <v>1</v>
      </c>
      <c r="P2168" s="8" t="b">
        <f>AND(TrafficData[[#This Row],[pendingCourt]]&lt;=TrafficData[[#This Row],[totalCourt]],TrafficData[[#This Row],[disposedCourt]]&lt;=TrafficData[[#This Row],[totalCourt]])</f>
        <v>1</v>
      </c>
    </row>
    <row r="2169" spans="1:16">
      <c r="A2169" s="1">
        <v>44173</v>
      </c>
      <c r="B2169">
        <v>83861</v>
      </c>
      <c r="C2169">
        <v>42071</v>
      </c>
      <c r="D2169">
        <v>41790</v>
      </c>
      <c r="E2169">
        <v>55192001</v>
      </c>
      <c r="F2169">
        <v>50337651</v>
      </c>
      <c r="G2169">
        <v>105529652</v>
      </c>
      <c r="H2169">
        <v>19883</v>
      </c>
      <c r="I2169">
        <v>6241</v>
      </c>
      <c r="J2169">
        <v>26124</v>
      </c>
      <c r="K2169" t="b">
        <f>TrafficData[[#This Row],[disposedChallan]]+TrafficData[[#This Row],[pendingChallan]]=TrafficData[[#This Row],[totalChallan]]</f>
        <v>1</v>
      </c>
      <c r="L2169" t="b">
        <f>TrafficData[[#This Row],[pendingAmount]]+TrafficData[[#This Row],[disposedAmount]]=TrafficData[[#This Row],[totalAmount]]</f>
        <v>1</v>
      </c>
      <c r="M2169" t="b">
        <f>TrafficData[[#This Row],[pendingCourt]]+TrafficData[[#This Row],[disposedCourt]]=TrafficData[[#This Row],[totalCourt]]</f>
        <v>1</v>
      </c>
      <c r="N2169" s="8" t="b">
        <f>AND(TrafficData[[#This Row],[disposedChallan]]&lt;=TrafficData[[#This Row],[totalChallan]],TrafficData[[#This Row],[pendingChallan]]&lt;=TrafficData[[#This Row],[totalChallan]])</f>
        <v>1</v>
      </c>
      <c r="O2169" s="8" t="b">
        <f>AND(TrafficData[[#This Row],[pendingAmount]]&lt;=TrafficData[[#This Row],[totalAmount]],TrafficData[[#This Row],[disposedAmount]]&lt;=TrafficData[[#This Row],[totalAmount]])</f>
        <v>1</v>
      </c>
      <c r="P2169" s="8" t="b">
        <f>AND(TrafficData[[#This Row],[pendingCourt]]&lt;=TrafficData[[#This Row],[totalCourt]],TrafficData[[#This Row],[disposedCourt]]&lt;=TrafficData[[#This Row],[totalCourt]])</f>
        <v>1</v>
      </c>
    </row>
    <row r="2170" spans="1:16">
      <c r="A2170" s="1">
        <v>44174</v>
      </c>
      <c r="B2170">
        <v>105828</v>
      </c>
      <c r="C2170">
        <v>53467</v>
      </c>
      <c r="D2170">
        <v>52361</v>
      </c>
      <c r="E2170">
        <v>62509589</v>
      </c>
      <c r="F2170">
        <v>66089028</v>
      </c>
      <c r="G2170">
        <v>128598617</v>
      </c>
      <c r="H2170">
        <v>24165</v>
      </c>
      <c r="I2170">
        <v>7959</v>
      </c>
      <c r="J2170">
        <v>32124</v>
      </c>
      <c r="K2170" t="b">
        <f>TrafficData[[#This Row],[disposedChallan]]+TrafficData[[#This Row],[pendingChallan]]=TrafficData[[#This Row],[totalChallan]]</f>
        <v>1</v>
      </c>
      <c r="L2170" t="b">
        <f>TrafficData[[#This Row],[pendingAmount]]+TrafficData[[#This Row],[disposedAmount]]=TrafficData[[#This Row],[totalAmount]]</f>
        <v>1</v>
      </c>
      <c r="M2170" t="b">
        <f>TrafficData[[#This Row],[pendingCourt]]+TrafficData[[#This Row],[disposedCourt]]=TrafficData[[#This Row],[totalCourt]]</f>
        <v>1</v>
      </c>
      <c r="N2170" s="8" t="b">
        <f>AND(TrafficData[[#This Row],[disposedChallan]]&lt;=TrafficData[[#This Row],[totalChallan]],TrafficData[[#This Row],[pendingChallan]]&lt;=TrafficData[[#This Row],[totalChallan]])</f>
        <v>1</v>
      </c>
      <c r="O2170" s="8" t="b">
        <f>AND(TrafficData[[#This Row],[pendingAmount]]&lt;=TrafficData[[#This Row],[totalAmount]],TrafficData[[#This Row],[disposedAmount]]&lt;=TrafficData[[#This Row],[totalAmount]])</f>
        <v>1</v>
      </c>
      <c r="P2170" s="8" t="b">
        <f>AND(TrafficData[[#This Row],[pendingCourt]]&lt;=TrafficData[[#This Row],[totalCourt]],TrafficData[[#This Row],[disposedCourt]]&lt;=TrafficData[[#This Row],[totalCourt]])</f>
        <v>1</v>
      </c>
    </row>
    <row r="2171" spans="1:16">
      <c r="A2171" s="1">
        <v>44175</v>
      </c>
      <c r="B2171">
        <v>109781</v>
      </c>
      <c r="C2171">
        <v>55258</v>
      </c>
      <c r="D2171">
        <v>54523</v>
      </c>
      <c r="E2171">
        <v>70460410</v>
      </c>
      <c r="F2171">
        <v>73544546</v>
      </c>
      <c r="G2171">
        <v>144004956</v>
      </c>
      <c r="H2171">
        <v>25427</v>
      </c>
      <c r="I2171">
        <v>8563</v>
      </c>
      <c r="J2171">
        <v>33990</v>
      </c>
      <c r="K2171" t="b">
        <f>TrafficData[[#This Row],[disposedChallan]]+TrafficData[[#This Row],[pendingChallan]]=TrafficData[[#This Row],[totalChallan]]</f>
        <v>1</v>
      </c>
      <c r="L2171" t="b">
        <f>TrafficData[[#This Row],[pendingAmount]]+TrafficData[[#This Row],[disposedAmount]]=TrafficData[[#This Row],[totalAmount]]</f>
        <v>1</v>
      </c>
      <c r="M2171" t="b">
        <f>TrafficData[[#This Row],[pendingCourt]]+TrafficData[[#This Row],[disposedCourt]]=TrafficData[[#This Row],[totalCourt]]</f>
        <v>1</v>
      </c>
      <c r="N2171" s="8" t="b">
        <f>AND(TrafficData[[#This Row],[disposedChallan]]&lt;=TrafficData[[#This Row],[totalChallan]],TrafficData[[#This Row],[pendingChallan]]&lt;=TrafficData[[#This Row],[totalChallan]])</f>
        <v>1</v>
      </c>
      <c r="O2171" s="8" t="b">
        <f>AND(TrafficData[[#This Row],[pendingAmount]]&lt;=TrafficData[[#This Row],[totalAmount]],TrafficData[[#This Row],[disposedAmount]]&lt;=TrafficData[[#This Row],[totalAmount]])</f>
        <v>1</v>
      </c>
      <c r="P2171" s="8" t="b">
        <f>AND(TrafficData[[#This Row],[pendingCourt]]&lt;=TrafficData[[#This Row],[totalCourt]],TrafficData[[#This Row],[disposedCourt]]&lt;=TrafficData[[#This Row],[totalCourt]])</f>
        <v>1</v>
      </c>
    </row>
    <row r="2172" spans="1:16">
      <c r="A2172" s="1">
        <v>44176</v>
      </c>
      <c r="B2172">
        <v>103282</v>
      </c>
      <c r="C2172">
        <v>52230</v>
      </c>
      <c r="D2172">
        <v>51052</v>
      </c>
      <c r="E2172">
        <v>67155271</v>
      </c>
      <c r="F2172">
        <v>70115828</v>
      </c>
      <c r="G2172">
        <v>137271099</v>
      </c>
      <c r="H2172">
        <v>25186</v>
      </c>
      <c r="I2172">
        <v>8374</v>
      </c>
      <c r="J2172">
        <v>33560</v>
      </c>
      <c r="K2172" t="b">
        <f>TrafficData[[#This Row],[disposedChallan]]+TrafficData[[#This Row],[pendingChallan]]=TrafficData[[#This Row],[totalChallan]]</f>
        <v>1</v>
      </c>
      <c r="L2172" t="b">
        <f>TrafficData[[#This Row],[pendingAmount]]+TrafficData[[#This Row],[disposedAmount]]=TrafficData[[#This Row],[totalAmount]]</f>
        <v>1</v>
      </c>
      <c r="M2172" t="b">
        <f>TrafficData[[#This Row],[pendingCourt]]+TrafficData[[#This Row],[disposedCourt]]=TrafficData[[#This Row],[totalCourt]]</f>
        <v>1</v>
      </c>
      <c r="N2172" s="8" t="b">
        <f>AND(TrafficData[[#This Row],[disposedChallan]]&lt;=TrafficData[[#This Row],[totalChallan]],TrafficData[[#This Row],[pendingChallan]]&lt;=TrafficData[[#This Row],[totalChallan]])</f>
        <v>1</v>
      </c>
      <c r="O2172" s="8" t="b">
        <f>AND(TrafficData[[#This Row],[pendingAmount]]&lt;=TrafficData[[#This Row],[totalAmount]],TrafficData[[#This Row],[disposedAmount]]&lt;=TrafficData[[#This Row],[totalAmount]])</f>
        <v>1</v>
      </c>
      <c r="P2172" s="8" t="b">
        <f>AND(TrafficData[[#This Row],[pendingCourt]]&lt;=TrafficData[[#This Row],[totalCourt]],TrafficData[[#This Row],[disposedCourt]]&lt;=TrafficData[[#This Row],[totalCourt]])</f>
        <v>1</v>
      </c>
    </row>
    <row r="2173" spans="1:16">
      <c r="A2173" s="1">
        <v>44177</v>
      </c>
      <c r="B2173">
        <v>75497</v>
      </c>
      <c r="C2173">
        <v>39795</v>
      </c>
      <c r="D2173">
        <v>35702</v>
      </c>
      <c r="E2173">
        <v>54865113</v>
      </c>
      <c r="F2173">
        <v>72769215</v>
      </c>
      <c r="G2173">
        <v>127634328</v>
      </c>
      <c r="H2173">
        <v>22198</v>
      </c>
      <c r="I2173">
        <v>7581</v>
      </c>
      <c r="J2173">
        <v>29779</v>
      </c>
      <c r="K2173" t="b">
        <f>TrafficData[[#This Row],[disposedChallan]]+TrafficData[[#This Row],[pendingChallan]]=TrafficData[[#This Row],[totalChallan]]</f>
        <v>1</v>
      </c>
      <c r="L2173" t="b">
        <f>TrafficData[[#This Row],[pendingAmount]]+TrafficData[[#This Row],[disposedAmount]]=TrafficData[[#This Row],[totalAmount]]</f>
        <v>1</v>
      </c>
      <c r="M2173" t="b">
        <f>TrafficData[[#This Row],[pendingCourt]]+TrafficData[[#This Row],[disposedCourt]]=TrafficData[[#This Row],[totalCourt]]</f>
        <v>1</v>
      </c>
      <c r="N2173" s="8" t="b">
        <f>AND(TrafficData[[#This Row],[disposedChallan]]&lt;=TrafficData[[#This Row],[totalChallan]],TrafficData[[#This Row],[pendingChallan]]&lt;=TrafficData[[#This Row],[totalChallan]])</f>
        <v>1</v>
      </c>
      <c r="O2173" s="8" t="b">
        <f>AND(TrafficData[[#This Row],[pendingAmount]]&lt;=TrafficData[[#This Row],[totalAmount]],TrafficData[[#This Row],[disposedAmount]]&lt;=TrafficData[[#This Row],[totalAmount]])</f>
        <v>1</v>
      </c>
      <c r="P2173" s="8" t="b">
        <f>AND(TrafficData[[#This Row],[pendingCourt]]&lt;=TrafficData[[#This Row],[totalCourt]],TrafficData[[#This Row],[disposedCourt]]&lt;=TrafficData[[#This Row],[totalCourt]])</f>
        <v>1</v>
      </c>
    </row>
    <row r="2174" spans="1:16">
      <c r="A2174" s="1">
        <v>44178</v>
      </c>
      <c r="B2174">
        <v>70696</v>
      </c>
      <c r="C2174">
        <v>36046</v>
      </c>
      <c r="D2174">
        <v>34650</v>
      </c>
      <c r="E2174">
        <v>51475882</v>
      </c>
      <c r="F2174">
        <v>47383196</v>
      </c>
      <c r="G2174">
        <v>98859078</v>
      </c>
      <c r="H2174">
        <v>23450</v>
      </c>
      <c r="I2174">
        <v>7698</v>
      </c>
      <c r="J2174">
        <v>31148</v>
      </c>
      <c r="K2174" t="b">
        <f>TrafficData[[#This Row],[disposedChallan]]+TrafficData[[#This Row],[pendingChallan]]=TrafficData[[#This Row],[totalChallan]]</f>
        <v>1</v>
      </c>
      <c r="L2174" t="b">
        <f>TrafficData[[#This Row],[pendingAmount]]+TrafficData[[#This Row],[disposedAmount]]=TrafficData[[#This Row],[totalAmount]]</f>
        <v>1</v>
      </c>
      <c r="M2174" t="b">
        <f>TrafficData[[#This Row],[pendingCourt]]+TrafficData[[#This Row],[disposedCourt]]=TrafficData[[#This Row],[totalCourt]]</f>
        <v>1</v>
      </c>
      <c r="N2174" s="8" t="b">
        <f>AND(TrafficData[[#This Row],[disposedChallan]]&lt;=TrafficData[[#This Row],[totalChallan]],TrafficData[[#This Row],[pendingChallan]]&lt;=TrafficData[[#This Row],[totalChallan]])</f>
        <v>1</v>
      </c>
      <c r="O2174" s="8" t="b">
        <f>AND(TrafficData[[#This Row],[pendingAmount]]&lt;=TrafficData[[#This Row],[totalAmount]],TrafficData[[#This Row],[disposedAmount]]&lt;=TrafficData[[#This Row],[totalAmount]])</f>
        <v>1</v>
      </c>
      <c r="P2174" s="8" t="b">
        <f>AND(TrafficData[[#This Row],[pendingCourt]]&lt;=TrafficData[[#This Row],[totalCourt]],TrafficData[[#This Row],[disposedCourt]]&lt;=TrafficData[[#This Row],[totalCourt]])</f>
        <v>1</v>
      </c>
    </row>
    <row r="2175" spans="1:16">
      <c r="A2175" s="1">
        <v>44179</v>
      </c>
      <c r="B2175">
        <v>104989</v>
      </c>
      <c r="C2175">
        <v>53237</v>
      </c>
      <c r="D2175">
        <v>51752</v>
      </c>
      <c r="E2175">
        <v>63777765</v>
      </c>
      <c r="F2175">
        <v>63694297</v>
      </c>
      <c r="G2175">
        <v>127472062</v>
      </c>
      <c r="H2175">
        <v>26148</v>
      </c>
      <c r="I2175">
        <v>8315</v>
      </c>
      <c r="J2175">
        <v>34463</v>
      </c>
      <c r="K2175" t="b">
        <f>TrafficData[[#This Row],[disposedChallan]]+TrafficData[[#This Row],[pendingChallan]]=TrafficData[[#This Row],[totalChallan]]</f>
        <v>1</v>
      </c>
      <c r="L2175" t="b">
        <f>TrafficData[[#This Row],[pendingAmount]]+TrafficData[[#This Row],[disposedAmount]]=TrafficData[[#This Row],[totalAmount]]</f>
        <v>1</v>
      </c>
      <c r="M2175" t="b">
        <f>TrafficData[[#This Row],[pendingCourt]]+TrafficData[[#This Row],[disposedCourt]]=TrafficData[[#This Row],[totalCourt]]</f>
        <v>1</v>
      </c>
      <c r="N2175" s="8" t="b">
        <f>AND(TrafficData[[#This Row],[disposedChallan]]&lt;=TrafficData[[#This Row],[totalChallan]],TrafficData[[#This Row],[pendingChallan]]&lt;=TrafficData[[#This Row],[totalChallan]])</f>
        <v>1</v>
      </c>
      <c r="O2175" s="8" t="b">
        <f>AND(TrafficData[[#This Row],[pendingAmount]]&lt;=TrafficData[[#This Row],[totalAmount]],TrafficData[[#This Row],[disposedAmount]]&lt;=TrafficData[[#This Row],[totalAmount]])</f>
        <v>1</v>
      </c>
      <c r="P2175" s="8" t="b">
        <f>AND(TrafficData[[#This Row],[pendingCourt]]&lt;=TrafficData[[#This Row],[totalCourt]],TrafficData[[#This Row],[disposedCourt]]&lt;=TrafficData[[#This Row],[totalCourt]])</f>
        <v>1</v>
      </c>
    </row>
    <row r="2176" spans="1:16">
      <c r="A2176" s="1">
        <v>44180</v>
      </c>
      <c r="B2176">
        <v>108586</v>
      </c>
      <c r="C2176">
        <v>57253</v>
      </c>
      <c r="D2176">
        <v>51333</v>
      </c>
      <c r="E2176">
        <v>63969794</v>
      </c>
      <c r="F2176">
        <v>71702750</v>
      </c>
      <c r="G2176">
        <v>135672544</v>
      </c>
      <c r="H2176">
        <v>22827</v>
      </c>
      <c r="I2176">
        <v>7913</v>
      </c>
      <c r="J2176">
        <v>30740</v>
      </c>
      <c r="K2176" t="b">
        <f>TrafficData[[#This Row],[disposedChallan]]+TrafficData[[#This Row],[pendingChallan]]=TrafficData[[#This Row],[totalChallan]]</f>
        <v>1</v>
      </c>
      <c r="L2176" t="b">
        <f>TrafficData[[#This Row],[pendingAmount]]+TrafficData[[#This Row],[disposedAmount]]=TrafficData[[#This Row],[totalAmount]]</f>
        <v>1</v>
      </c>
      <c r="M2176" t="b">
        <f>TrafficData[[#This Row],[pendingCourt]]+TrafficData[[#This Row],[disposedCourt]]=TrafficData[[#This Row],[totalCourt]]</f>
        <v>1</v>
      </c>
      <c r="N2176" s="8" t="b">
        <f>AND(TrafficData[[#This Row],[disposedChallan]]&lt;=TrafficData[[#This Row],[totalChallan]],TrafficData[[#This Row],[pendingChallan]]&lt;=TrafficData[[#This Row],[totalChallan]])</f>
        <v>1</v>
      </c>
      <c r="O2176" s="8" t="b">
        <f>AND(TrafficData[[#This Row],[pendingAmount]]&lt;=TrafficData[[#This Row],[totalAmount]],TrafficData[[#This Row],[disposedAmount]]&lt;=TrafficData[[#This Row],[totalAmount]])</f>
        <v>1</v>
      </c>
      <c r="P2176" s="8" t="b">
        <f>AND(TrafficData[[#This Row],[pendingCourt]]&lt;=TrafficData[[#This Row],[totalCourt]],TrafficData[[#This Row],[disposedCourt]]&lt;=TrafficData[[#This Row],[totalCourt]])</f>
        <v>1</v>
      </c>
    </row>
    <row r="2177" spans="1:16">
      <c r="A2177" s="1">
        <v>44181</v>
      </c>
      <c r="B2177">
        <v>107096</v>
      </c>
      <c r="C2177">
        <v>55409</v>
      </c>
      <c r="D2177">
        <v>51687</v>
      </c>
      <c r="E2177">
        <v>68877712</v>
      </c>
      <c r="F2177">
        <v>72801697</v>
      </c>
      <c r="G2177">
        <v>141679409</v>
      </c>
      <c r="H2177">
        <v>26495</v>
      </c>
      <c r="I2177">
        <v>8516</v>
      </c>
      <c r="J2177">
        <v>35011</v>
      </c>
      <c r="K2177" t="b">
        <f>TrafficData[[#This Row],[disposedChallan]]+TrafficData[[#This Row],[pendingChallan]]=TrafficData[[#This Row],[totalChallan]]</f>
        <v>1</v>
      </c>
      <c r="L2177" t="b">
        <f>TrafficData[[#This Row],[pendingAmount]]+TrafficData[[#This Row],[disposedAmount]]=TrafficData[[#This Row],[totalAmount]]</f>
        <v>1</v>
      </c>
      <c r="M2177" t="b">
        <f>TrafficData[[#This Row],[pendingCourt]]+TrafficData[[#This Row],[disposedCourt]]=TrafficData[[#This Row],[totalCourt]]</f>
        <v>1</v>
      </c>
      <c r="N2177" s="8" t="b">
        <f>AND(TrafficData[[#This Row],[disposedChallan]]&lt;=TrafficData[[#This Row],[totalChallan]],TrafficData[[#This Row],[pendingChallan]]&lt;=TrafficData[[#This Row],[totalChallan]])</f>
        <v>1</v>
      </c>
      <c r="O2177" s="8" t="b">
        <f>AND(TrafficData[[#This Row],[pendingAmount]]&lt;=TrafficData[[#This Row],[totalAmount]],TrafficData[[#This Row],[disposedAmount]]&lt;=TrafficData[[#This Row],[totalAmount]])</f>
        <v>1</v>
      </c>
      <c r="P2177" s="8" t="b">
        <f>AND(TrafficData[[#This Row],[pendingCourt]]&lt;=TrafficData[[#This Row],[totalCourt]],TrafficData[[#This Row],[disposedCourt]]&lt;=TrafficData[[#This Row],[totalCourt]])</f>
        <v>1</v>
      </c>
    </row>
    <row r="2178" spans="1:16">
      <c r="A2178" s="1">
        <v>44182</v>
      </c>
      <c r="B2178">
        <v>106763</v>
      </c>
      <c r="C2178">
        <v>55791</v>
      </c>
      <c r="D2178">
        <v>50972</v>
      </c>
      <c r="E2178">
        <v>67560706</v>
      </c>
      <c r="F2178">
        <v>75209276</v>
      </c>
      <c r="G2178">
        <v>142769982</v>
      </c>
      <c r="H2178">
        <v>24211</v>
      </c>
      <c r="I2178">
        <v>8088</v>
      </c>
      <c r="J2178">
        <v>32299</v>
      </c>
      <c r="K2178" t="b">
        <f>TrafficData[[#This Row],[disposedChallan]]+TrafficData[[#This Row],[pendingChallan]]=TrafficData[[#This Row],[totalChallan]]</f>
        <v>1</v>
      </c>
      <c r="L2178" t="b">
        <f>TrafficData[[#This Row],[pendingAmount]]+TrafficData[[#This Row],[disposedAmount]]=TrafficData[[#This Row],[totalAmount]]</f>
        <v>1</v>
      </c>
      <c r="M2178" t="b">
        <f>TrafficData[[#This Row],[pendingCourt]]+TrafficData[[#This Row],[disposedCourt]]=TrafficData[[#This Row],[totalCourt]]</f>
        <v>1</v>
      </c>
      <c r="N2178" s="8" t="b">
        <f>AND(TrafficData[[#This Row],[disposedChallan]]&lt;=TrafficData[[#This Row],[totalChallan]],TrafficData[[#This Row],[pendingChallan]]&lt;=TrafficData[[#This Row],[totalChallan]])</f>
        <v>1</v>
      </c>
      <c r="O2178" s="8" t="b">
        <f>AND(TrafficData[[#This Row],[pendingAmount]]&lt;=TrafficData[[#This Row],[totalAmount]],TrafficData[[#This Row],[disposedAmount]]&lt;=TrafficData[[#This Row],[totalAmount]])</f>
        <v>1</v>
      </c>
      <c r="P2178" s="8" t="b">
        <f>AND(TrafficData[[#This Row],[pendingCourt]]&lt;=TrafficData[[#This Row],[totalCourt]],TrafficData[[#This Row],[disposedCourt]]&lt;=TrafficData[[#This Row],[totalCourt]])</f>
        <v>1</v>
      </c>
    </row>
    <row r="2179" spans="1:16">
      <c r="A2179" s="1">
        <v>44183</v>
      </c>
      <c r="B2179">
        <v>112334</v>
      </c>
      <c r="C2179">
        <v>57499</v>
      </c>
      <c r="D2179">
        <v>54835</v>
      </c>
      <c r="E2179">
        <v>74705365</v>
      </c>
      <c r="F2179">
        <v>77563431</v>
      </c>
      <c r="G2179">
        <v>152268796</v>
      </c>
      <c r="H2179">
        <v>26710</v>
      </c>
      <c r="I2179">
        <v>8805</v>
      </c>
      <c r="J2179">
        <v>35515</v>
      </c>
      <c r="K2179" t="b">
        <f>TrafficData[[#This Row],[disposedChallan]]+TrafficData[[#This Row],[pendingChallan]]=TrafficData[[#This Row],[totalChallan]]</f>
        <v>1</v>
      </c>
      <c r="L2179" t="b">
        <f>TrafficData[[#This Row],[pendingAmount]]+TrafficData[[#This Row],[disposedAmount]]=TrafficData[[#This Row],[totalAmount]]</f>
        <v>1</v>
      </c>
      <c r="M2179" t="b">
        <f>TrafficData[[#This Row],[pendingCourt]]+TrafficData[[#This Row],[disposedCourt]]=TrafficData[[#This Row],[totalCourt]]</f>
        <v>1</v>
      </c>
      <c r="N2179" s="8" t="b">
        <f>AND(TrafficData[[#This Row],[disposedChallan]]&lt;=TrafficData[[#This Row],[totalChallan]],TrafficData[[#This Row],[pendingChallan]]&lt;=TrafficData[[#This Row],[totalChallan]])</f>
        <v>1</v>
      </c>
      <c r="O2179" s="8" t="b">
        <f>AND(TrafficData[[#This Row],[pendingAmount]]&lt;=TrafficData[[#This Row],[totalAmount]],TrafficData[[#This Row],[disposedAmount]]&lt;=TrafficData[[#This Row],[totalAmount]])</f>
        <v>1</v>
      </c>
      <c r="P2179" s="8" t="b">
        <f>AND(TrafficData[[#This Row],[pendingCourt]]&lt;=TrafficData[[#This Row],[totalCourt]],TrafficData[[#This Row],[disposedCourt]]&lt;=TrafficData[[#This Row],[totalCourt]])</f>
        <v>1</v>
      </c>
    </row>
    <row r="2180" spans="1:16">
      <c r="A2180" s="1">
        <v>44184</v>
      </c>
      <c r="B2180">
        <v>116092</v>
      </c>
      <c r="C2180">
        <v>59654</v>
      </c>
      <c r="D2180">
        <v>56438</v>
      </c>
      <c r="E2180">
        <v>69896245</v>
      </c>
      <c r="F2180">
        <v>79677168</v>
      </c>
      <c r="G2180">
        <v>149573413</v>
      </c>
      <c r="H2180">
        <v>26919</v>
      </c>
      <c r="I2180">
        <v>8989</v>
      </c>
      <c r="J2180">
        <v>35908</v>
      </c>
      <c r="K2180" t="b">
        <f>TrafficData[[#This Row],[disposedChallan]]+TrafficData[[#This Row],[pendingChallan]]=TrafficData[[#This Row],[totalChallan]]</f>
        <v>1</v>
      </c>
      <c r="L2180" t="b">
        <f>TrafficData[[#This Row],[pendingAmount]]+TrafficData[[#This Row],[disposedAmount]]=TrafficData[[#This Row],[totalAmount]]</f>
        <v>1</v>
      </c>
      <c r="M2180" t="b">
        <f>TrafficData[[#This Row],[pendingCourt]]+TrafficData[[#This Row],[disposedCourt]]=TrafficData[[#This Row],[totalCourt]]</f>
        <v>1</v>
      </c>
      <c r="N2180" s="8" t="b">
        <f>AND(TrafficData[[#This Row],[disposedChallan]]&lt;=TrafficData[[#This Row],[totalChallan]],TrafficData[[#This Row],[pendingChallan]]&lt;=TrafficData[[#This Row],[totalChallan]])</f>
        <v>1</v>
      </c>
      <c r="O2180" s="8" t="b">
        <f>AND(TrafficData[[#This Row],[pendingAmount]]&lt;=TrafficData[[#This Row],[totalAmount]],TrafficData[[#This Row],[disposedAmount]]&lt;=TrafficData[[#This Row],[totalAmount]])</f>
        <v>1</v>
      </c>
      <c r="P2180" s="8" t="b">
        <f>AND(TrafficData[[#This Row],[pendingCourt]]&lt;=TrafficData[[#This Row],[totalCourt]],TrafficData[[#This Row],[disposedCourt]]&lt;=TrafficData[[#This Row],[totalCourt]])</f>
        <v>1</v>
      </c>
    </row>
    <row r="2181" spans="1:16">
      <c r="A2181" s="1">
        <v>44185</v>
      </c>
      <c r="B2181">
        <v>106099</v>
      </c>
      <c r="C2181">
        <v>52659</v>
      </c>
      <c r="D2181">
        <v>53440</v>
      </c>
      <c r="E2181">
        <v>61009187</v>
      </c>
      <c r="F2181">
        <v>63871401</v>
      </c>
      <c r="G2181">
        <v>124880588</v>
      </c>
      <c r="H2181">
        <v>24669</v>
      </c>
      <c r="I2181">
        <v>7588</v>
      </c>
      <c r="J2181">
        <v>32257</v>
      </c>
      <c r="K2181" t="b">
        <f>TrafficData[[#This Row],[disposedChallan]]+TrafficData[[#This Row],[pendingChallan]]=TrafficData[[#This Row],[totalChallan]]</f>
        <v>1</v>
      </c>
      <c r="L2181" t="b">
        <f>TrafficData[[#This Row],[pendingAmount]]+TrafficData[[#This Row],[disposedAmount]]=TrafficData[[#This Row],[totalAmount]]</f>
        <v>1</v>
      </c>
      <c r="M2181" t="b">
        <f>TrafficData[[#This Row],[pendingCourt]]+TrafficData[[#This Row],[disposedCourt]]=TrafficData[[#This Row],[totalCourt]]</f>
        <v>1</v>
      </c>
      <c r="N2181" s="8" t="b">
        <f>AND(TrafficData[[#This Row],[disposedChallan]]&lt;=TrafficData[[#This Row],[totalChallan]],TrafficData[[#This Row],[pendingChallan]]&lt;=TrafficData[[#This Row],[totalChallan]])</f>
        <v>1</v>
      </c>
      <c r="O2181" s="8" t="b">
        <f>AND(TrafficData[[#This Row],[pendingAmount]]&lt;=TrafficData[[#This Row],[totalAmount]],TrafficData[[#This Row],[disposedAmount]]&lt;=TrafficData[[#This Row],[totalAmount]])</f>
        <v>1</v>
      </c>
      <c r="P2181" s="8" t="b">
        <f>AND(TrafficData[[#This Row],[pendingCourt]]&lt;=TrafficData[[#This Row],[totalCourt]],TrafficData[[#This Row],[disposedCourt]]&lt;=TrafficData[[#This Row],[totalCourt]])</f>
        <v>1</v>
      </c>
    </row>
    <row r="2182" spans="1:16">
      <c r="A2182" s="1">
        <v>44186</v>
      </c>
      <c r="B2182">
        <v>111447</v>
      </c>
      <c r="C2182">
        <v>59228</v>
      </c>
      <c r="D2182">
        <v>52219</v>
      </c>
      <c r="E2182">
        <v>74243809</v>
      </c>
      <c r="F2182">
        <v>74731244</v>
      </c>
      <c r="G2182">
        <v>148975053</v>
      </c>
      <c r="H2182">
        <v>26412</v>
      </c>
      <c r="I2182">
        <v>8578</v>
      </c>
      <c r="J2182">
        <v>34990</v>
      </c>
      <c r="K2182" t="b">
        <f>TrafficData[[#This Row],[disposedChallan]]+TrafficData[[#This Row],[pendingChallan]]=TrafficData[[#This Row],[totalChallan]]</f>
        <v>1</v>
      </c>
      <c r="L2182" t="b">
        <f>TrafficData[[#This Row],[pendingAmount]]+TrafficData[[#This Row],[disposedAmount]]=TrafficData[[#This Row],[totalAmount]]</f>
        <v>1</v>
      </c>
      <c r="M2182" t="b">
        <f>TrafficData[[#This Row],[pendingCourt]]+TrafficData[[#This Row],[disposedCourt]]=TrafficData[[#This Row],[totalCourt]]</f>
        <v>1</v>
      </c>
      <c r="N2182" s="8" t="b">
        <f>AND(TrafficData[[#This Row],[disposedChallan]]&lt;=TrafficData[[#This Row],[totalChallan]],TrafficData[[#This Row],[pendingChallan]]&lt;=TrafficData[[#This Row],[totalChallan]])</f>
        <v>1</v>
      </c>
      <c r="O2182" s="8" t="b">
        <f>AND(TrafficData[[#This Row],[pendingAmount]]&lt;=TrafficData[[#This Row],[totalAmount]],TrafficData[[#This Row],[disposedAmount]]&lt;=TrafficData[[#This Row],[totalAmount]])</f>
        <v>1</v>
      </c>
      <c r="P2182" s="8" t="b">
        <f>AND(TrafficData[[#This Row],[pendingCourt]]&lt;=TrafficData[[#This Row],[totalCourt]],TrafficData[[#This Row],[disposedCourt]]&lt;=TrafficData[[#This Row],[totalCourt]])</f>
        <v>1</v>
      </c>
    </row>
    <row r="2183" spans="1:16">
      <c r="A2183" s="1">
        <v>44187</v>
      </c>
      <c r="B2183">
        <v>117894</v>
      </c>
      <c r="C2183">
        <v>62092</v>
      </c>
      <c r="D2183">
        <v>55802</v>
      </c>
      <c r="E2183">
        <v>79846768</v>
      </c>
      <c r="F2183">
        <v>85555130</v>
      </c>
      <c r="G2183">
        <v>165401898</v>
      </c>
      <c r="H2183">
        <v>25655</v>
      </c>
      <c r="I2183">
        <v>9000</v>
      </c>
      <c r="J2183">
        <v>34655</v>
      </c>
      <c r="K2183" t="b">
        <f>TrafficData[[#This Row],[disposedChallan]]+TrafficData[[#This Row],[pendingChallan]]=TrafficData[[#This Row],[totalChallan]]</f>
        <v>1</v>
      </c>
      <c r="L2183" t="b">
        <f>TrafficData[[#This Row],[pendingAmount]]+TrafficData[[#This Row],[disposedAmount]]=TrafficData[[#This Row],[totalAmount]]</f>
        <v>1</v>
      </c>
      <c r="M2183" t="b">
        <f>TrafficData[[#This Row],[pendingCourt]]+TrafficData[[#This Row],[disposedCourt]]=TrafficData[[#This Row],[totalCourt]]</f>
        <v>1</v>
      </c>
      <c r="N2183" s="8" t="b">
        <f>AND(TrafficData[[#This Row],[disposedChallan]]&lt;=TrafficData[[#This Row],[totalChallan]],TrafficData[[#This Row],[pendingChallan]]&lt;=TrafficData[[#This Row],[totalChallan]])</f>
        <v>1</v>
      </c>
      <c r="O2183" s="8" t="b">
        <f>AND(TrafficData[[#This Row],[pendingAmount]]&lt;=TrafficData[[#This Row],[totalAmount]],TrafficData[[#This Row],[disposedAmount]]&lt;=TrafficData[[#This Row],[totalAmount]])</f>
        <v>1</v>
      </c>
      <c r="P2183" s="8" t="b">
        <f>AND(TrafficData[[#This Row],[pendingCourt]]&lt;=TrafficData[[#This Row],[totalCourt]],TrafficData[[#This Row],[disposedCourt]]&lt;=TrafficData[[#This Row],[totalCourt]])</f>
        <v>1</v>
      </c>
    </row>
    <row r="2184" spans="1:16">
      <c r="A2184" s="1">
        <v>44188</v>
      </c>
      <c r="B2184">
        <v>115322</v>
      </c>
      <c r="C2184">
        <v>60511</v>
      </c>
      <c r="D2184">
        <v>54811</v>
      </c>
      <c r="E2184">
        <v>73927457</v>
      </c>
      <c r="F2184">
        <v>86747653</v>
      </c>
      <c r="G2184">
        <v>160675110</v>
      </c>
      <c r="H2184">
        <v>21120</v>
      </c>
      <c r="I2184">
        <v>8505</v>
      </c>
      <c r="J2184">
        <v>29625</v>
      </c>
      <c r="K2184" t="b">
        <f>TrafficData[[#This Row],[disposedChallan]]+TrafficData[[#This Row],[pendingChallan]]=TrafficData[[#This Row],[totalChallan]]</f>
        <v>1</v>
      </c>
      <c r="L2184" t="b">
        <f>TrafficData[[#This Row],[pendingAmount]]+TrafficData[[#This Row],[disposedAmount]]=TrafficData[[#This Row],[totalAmount]]</f>
        <v>1</v>
      </c>
      <c r="M2184" t="b">
        <f>TrafficData[[#This Row],[pendingCourt]]+TrafficData[[#This Row],[disposedCourt]]=TrafficData[[#This Row],[totalCourt]]</f>
        <v>1</v>
      </c>
      <c r="N2184" s="8" t="b">
        <f>AND(TrafficData[[#This Row],[disposedChallan]]&lt;=TrafficData[[#This Row],[totalChallan]],TrafficData[[#This Row],[pendingChallan]]&lt;=TrafficData[[#This Row],[totalChallan]])</f>
        <v>1</v>
      </c>
      <c r="O2184" s="8" t="b">
        <f>AND(TrafficData[[#This Row],[pendingAmount]]&lt;=TrafficData[[#This Row],[totalAmount]],TrafficData[[#This Row],[disposedAmount]]&lt;=TrafficData[[#This Row],[totalAmount]])</f>
        <v>1</v>
      </c>
      <c r="P2184" s="8" t="b">
        <f>AND(TrafficData[[#This Row],[pendingCourt]]&lt;=TrafficData[[#This Row],[totalCourt]],TrafficData[[#This Row],[disposedCourt]]&lt;=TrafficData[[#This Row],[totalCourt]])</f>
        <v>1</v>
      </c>
    </row>
    <row r="2185" spans="1:16">
      <c r="A2185" s="1">
        <v>44189</v>
      </c>
      <c r="B2185">
        <v>117871</v>
      </c>
      <c r="C2185">
        <v>61232</v>
      </c>
      <c r="D2185">
        <v>56639</v>
      </c>
      <c r="E2185">
        <v>74774981</v>
      </c>
      <c r="F2185">
        <v>77287086</v>
      </c>
      <c r="G2185">
        <v>152062067</v>
      </c>
      <c r="H2185">
        <v>15579</v>
      </c>
      <c r="I2185">
        <v>8788</v>
      </c>
      <c r="J2185">
        <v>24367</v>
      </c>
      <c r="K2185" t="b">
        <f>TrafficData[[#This Row],[disposedChallan]]+TrafficData[[#This Row],[pendingChallan]]=TrafficData[[#This Row],[totalChallan]]</f>
        <v>1</v>
      </c>
      <c r="L2185" t="b">
        <f>TrafficData[[#This Row],[pendingAmount]]+TrafficData[[#This Row],[disposedAmount]]=TrafficData[[#This Row],[totalAmount]]</f>
        <v>1</v>
      </c>
      <c r="M2185" t="b">
        <f>TrafficData[[#This Row],[pendingCourt]]+TrafficData[[#This Row],[disposedCourt]]=TrafficData[[#This Row],[totalCourt]]</f>
        <v>1</v>
      </c>
      <c r="N2185" s="8" t="b">
        <f>AND(TrafficData[[#This Row],[disposedChallan]]&lt;=TrafficData[[#This Row],[totalChallan]],TrafficData[[#This Row],[pendingChallan]]&lt;=TrafficData[[#This Row],[totalChallan]])</f>
        <v>1</v>
      </c>
      <c r="O2185" s="8" t="b">
        <f>AND(TrafficData[[#This Row],[pendingAmount]]&lt;=TrafficData[[#This Row],[totalAmount]],TrafficData[[#This Row],[disposedAmount]]&lt;=TrafficData[[#This Row],[totalAmount]])</f>
        <v>1</v>
      </c>
      <c r="P2185" s="8" t="b">
        <f>AND(TrafficData[[#This Row],[pendingCourt]]&lt;=TrafficData[[#This Row],[totalCourt]],TrafficData[[#This Row],[disposedCourt]]&lt;=TrafficData[[#This Row],[totalCourt]])</f>
        <v>1</v>
      </c>
    </row>
    <row r="2186" spans="1:16">
      <c r="A2186" s="1">
        <v>44190</v>
      </c>
      <c r="B2186">
        <v>106254</v>
      </c>
      <c r="C2186">
        <v>54763</v>
      </c>
      <c r="D2186">
        <v>51491</v>
      </c>
      <c r="E2186">
        <v>63562231</v>
      </c>
      <c r="F2186">
        <v>63720109</v>
      </c>
      <c r="G2186">
        <v>127282340</v>
      </c>
      <c r="H2186">
        <v>23823</v>
      </c>
      <c r="I2186">
        <v>8034</v>
      </c>
      <c r="J2186">
        <v>31857</v>
      </c>
      <c r="K2186" t="b">
        <f>TrafficData[[#This Row],[disposedChallan]]+TrafficData[[#This Row],[pendingChallan]]=TrafficData[[#This Row],[totalChallan]]</f>
        <v>1</v>
      </c>
      <c r="L2186" t="b">
        <f>TrafficData[[#This Row],[pendingAmount]]+TrafficData[[#This Row],[disposedAmount]]=TrafficData[[#This Row],[totalAmount]]</f>
        <v>1</v>
      </c>
      <c r="M2186" t="b">
        <f>TrafficData[[#This Row],[pendingCourt]]+TrafficData[[#This Row],[disposedCourt]]=TrafficData[[#This Row],[totalCourt]]</f>
        <v>1</v>
      </c>
      <c r="N2186" s="8" t="b">
        <f>AND(TrafficData[[#This Row],[disposedChallan]]&lt;=TrafficData[[#This Row],[totalChallan]],TrafficData[[#This Row],[pendingChallan]]&lt;=TrafficData[[#This Row],[totalChallan]])</f>
        <v>1</v>
      </c>
      <c r="O2186" s="8" t="b">
        <f>AND(TrafficData[[#This Row],[pendingAmount]]&lt;=TrafficData[[#This Row],[totalAmount]],TrafficData[[#This Row],[disposedAmount]]&lt;=TrafficData[[#This Row],[totalAmount]])</f>
        <v>1</v>
      </c>
      <c r="P2186" s="8" t="b">
        <f>AND(TrafficData[[#This Row],[pendingCourt]]&lt;=TrafficData[[#This Row],[totalCourt]],TrafficData[[#This Row],[disposedCourt]]&lt;=TrafficData[[#This Row],[totalCourt]])</f>
        <v>1</v>
      </c>
    </row>
    <row r="2187" spans="1:16">
      <c r="A2187" s="1">
        <v>44191</v>
      </c>
      <c r="B2187">
        <v>117988</v>
      </c>
      <c r="C2187">
        <v>62472</v>
      </c>
      <c r="D2187">
        <v>55516</v>
      </c>
      <c r="E2187">
        <v>63505503</v>
      </c>
      <c r="F2187">
        <v>69480792</v>
      </c>
      <c r="G2187">
        <v>132986295</v>
      </c>
      <c r="H2187">
        <v>26880</v>
      </c>
      <c r="I2187">
        <v>8962</v>
      </c>
      <c r="J2187">
        <v>35842</v>
      </c>
      <c r="K2187" t="b">
        <f>TrafficData[[#This Row],[disposedChallan]]+TrafficData[[#This Row],[pendingChallan]]=TrafficData[[#This Row],[totalChallan]]</f>
        <v>1</v>
      </c>
      <c r="L2187" t="b">
        <f>TrafficData[[#This Row],[pendingAmount]]+TrafficData[[#This Row],[disposedAmount]]=TrafficData[[#This Row],[totalAmount]]</f>
        <v>1</v>
      </c>
      <c r="M2187" t="b">
        <f>TrafficData[[#This Row],[pendingCourt]]+TrafficData[[#This Row],[disposedCourt]]=TrafficData[[#This Row],[totalCourt]]</f>
        <v>1</v>
      </c>
      <c r="N2187" s="8" t="b">
        <f>AND(TrafficData[[#This Row],[disposedChallan]]&lt;=TrafficData[[#This Row],[totalChallan]],TrafficData[[#This Row],[pendingChallan]]&lt;=TrafficData[[#This Row],[totalChallan]])</f>
        <v>1</v>
      </c>
      <c r="O2187" s="8" t="b">
        <f>AND(TrafficData[[#This Row],[pendingAmount]]&lt;=TrafficData[[#This Row],[totalAmount]],TrafficData[[#This Row],[disposedAmount]]&lt;=TrafficData[[#This Row],[totalAmount]])</f>
        <v>1</v>
      </c>
      <c r="P2187" s="8" t="b">
        <f>AND(TrafficData[[#This Row],[pendingCourt]]&lt;=TrafficData[[#This Row],[totalCourt]],TrafficData[[#This Row],[disposedCourt]]&lt;=TrafficData[[#This Row],[totalCourt]])</f>
        <v>1</v>
      </c>
    </row>
    <row r="2188" spans="1:16">
      <c r="A2188" s="1">
        <v>44192</v>
      </c>
      <c r="B2188">
        <v>103830</v>
      </c>
      <c r="C2188">
        <v>51965</v>
      </c>
      <c r="D2188">
        <v>51865</v>
      </c>
      <c r="E2188">
        <v>62553421</v>
      </c>
      <c r="F2188">
        <v>52115933</v>
      </c>
      <c r="G2188">
        <v>114669354</v>
      </c>
      <c r="H2188">
        <v>25487</v>
      </c>
      <c r="I2188">
        <v>7337</v>
      </c>
      <c r="J2188">
        <v>32824</v>
      </c>
      <c r="K2188" t="b">
        <f>TrafficData[[#This Row],[disposedChallan]]+TrafficData[[#This Row],[pendingChallan]]=TrafficData[[#This Row],[totalChallan]]</f>
        <v>1</v>
      </c>
      <c r="L2188" t="b">
        <f>TrafficData[[#This Row],[pendingAmount]]+TrafficData[[#This Row],[disposedAmount]]=TrafficData[[#This Row],[totalAmount]]</f>
        <v>1</v>
      </c>
      <c r="M2188" t="b">
        <f>TrafficData[[#This Row],[pendingCourt]]+TrafficData[[#This Row],[disposedCourt]]=TrafficData[[#This Row],[totalCourt]]</f>
        <v>1</v>
      </c>
      <c r="N2188" s="8" t="b">
        <f>AND(TrafficData[[#This Row],[disposedChallan]]&lt;=TrafficData[[#This Row],[totalChallan]],TrafficData[[#This Row],[pendingChallan]]&lt;=TrafficData[[#This Row],[totalChallan]])</f>
        <v>1</v>
      </c>
      <c r="O2188" s="8" t="b">
        <f>AND(TrafficData[[#This Row],[pendingAmount]]&lt;=TrafficData[[#This Row],[totalAmount]],TrafficData[[#This Row],[disposedAmount]]&lt;=TrafficData[[#This Row],[totalAmount]])</f>
        <v>1</v>
      </c>
      <c r="P2188" s="8" t="b">
        <f>AND(TrafficData[[#This Row],[pendingCourt]]&lt;=TrafficData[[#This Row],[totalCourt]],TrafficData[[#This Row],[disposedCourt]]&lt;=TrafficData[[#This Row],[totalCourt]])</f>
        <v>1</v>
      </c>
    </row>
    <row r="2189" spans="1:16">
      <c r="A2189" s="1">
        <v>44193</v>
      </c>
      <c r="B2189">
        <v>107341</v>
      </c>
      <c r="C2189">
        <v>56350</v>
      </c>
      <c r="D2189">
        <v>50991</v>
      </c>
      <c r="E2189">
        <v>65276688</v>
      </c>
      <c r="F2189">
        <v>69075368</v>
      </c>
      <c r="G2189">
        <v>134352056</v>
      </c>
      <c r="H2189">
        <v>25633</v>
      </c>
      <c r="I2189">
        <v>8568</v>
      </c>
      <c r="J2189">
        <v>34201</v>
      </c>
      <c r="K2189" t="b">
        <f>TrafficData[[#This Row],[disposedChallan]]+TrafficData[[#This Row],[pendingChallan]]=TrafficData[[#This Row],[totalChallan]]</f>
        <v>1</v>
      </c>
      <c r="L2189" t="b">
        <f>TrafficData[[#This Row],[pendingAmount]]+TrafficData[[#This Row],[disposedAmount]]=TrafficData[[#This Row],[totalAmount]]</f>
        <v>1</v>
      </c>
      <c r="M2189" t="b">
        <f>TrafficData[[#This Row],[pendingCourt]]+TrafficData[[#This Row],[disposedCourt]]=TrafficData[[#This Row],[totalCourt]]</f>
        <v>1</v>
      </c>
      <c r="N2189" s="8" t="b">
        <f>AND(TrafficData[[#This Row],[disposedChallan]]&lt;=TrafficData[[#This Row],[totalChallan]],TrafficData[[#This Row],[pendingChallan]]&lt;=TrafficData[[#This Row],[totalChallan]])</f>
        <v>1</v>
      </c>
      <c r="O2189" s="8" t="b">
        <f>AND(TrafficData[[#This Row],[pendingAmount]]&lt;=TrafficData[[#This Row],[totalAmount]],TrafficData[[#This Row],[disposedAmount]]&lt;=TrafficData[[#This Row],[totalAmount]])</f>
        <v>1</v>
      </c>
      <c r="P2189" s="8" t="b">
        <f>AND(TrafficData[[#This Row],[pendingCourt]]&lt;=TrafficData[[#This Row],[totalCourt]],TrafficData[[#This Row],[disposedCourt]]&lt;=TrafficData[[#This Row],[totalCourt]])</f>
        <v>1</v>
      </c>
    </row>
    <row r="2190" spans="1:16">
      <c r="A2190" s="1">
        <v>44194</v>
      </c>
      <c r="B2190">
        <v>113621</v>
      </c>
      <c r="C2190">
        <v>58996</v>
      </c>
      <c r="D2190">
        <v>54625</v>
      </c>
      <c r="E2190">
        <v>72102262</v>
      </c>
      <c r="F2190">
        <v>75008763</v>
      </c>
      <c r="G2190">
        <v>147111025</v>
      </c>
      <c r="H2190">
        <v>27575</v>
      </c>
      <c r="I2190">
        <v>8889</v>
      </c>
      <c r="J2190">
        <v>36464</v>
      </c>
      <c r="K2190" t="b">
        <f>TrafficData[[#This Row],[disposedChallan]]+TrafficData[[#This Row],[pendingChallan]]=TrafficData[[#This Row],[totalChallan]]</f>
        <v>1</v>
      </c>
      <c r="L2190" t="b">
        <f>TrafficData[[#This Row],[pendingAmount]]+TrafficData[[#This Row],[disposedAmount]]=TrafficData[[#This Row],[totalAmount]]</f>
        <v>1</v>
      </c>
      <c r="M2190" t="b">
        <f>TrafficData[[#This Row],[pendingCourt]]+TrafficData[[#This Row],[disposedCourt]]=TrafficData[[#This Row],[totalCourt]]</f>
        <v>1</v>
      </c>
      <c r="N2190" s="8" t="b">
        <f>AND(TrafficData[[#This Row],[disposedChallan]]&lt;=TrafficData[[#This Row],[totalChallan]],TrafficData[[#This Row],[pendingChallan]]&lt;=TrafficData[[#This Row],[totalChallan]])</f>
        <v>1</v>
      </c>
      <c r="O2190" s="8" t="b">
        <f>AND(TrafficData[[#This Row],[pendingAmount]]&lt;=TrafficData[[#This Row],[totalAmount]],TrafficData[[#This Row],[disposedAmount]]&lt;=TrafficData[[#This Row],[totalAmount]])</f>
        <v>1</v>
      </c>
      <c r="P2190" s="8" t="b">
        <f>AND(TrafficData[[#This Row],[pendingCourt]]&lt;=TrafficData[[#This Row],[totalCourt]],TrafficData[[#This Row],[disposedCourt]]&lt;=TrafficData[[#This Row],[totalCourt]])</f>
        <v>1</v>
      </c>
    </row>
    <row r="2191" spans="1:16">
      <c r="A2191" s="1">
        <v>44195</v>
      </c>
      <c r="B2191">
        <v>113563</v>
      </c>
      <c r="C2191">
        <v>58336</v>
      </c>
      <c r="D2191">
        <v>55227</v>
      </c>
      <c r="E2191">
        <v>73726300</v>
      </c>
      <c r="F2191">
        <v>66705357</v>
      </c>
      <c r="G2191">
        <v>140431657</v>
      </c>
      <c r="H2191">
        <v>27937</v>
      </c>
      <c r="I2191">
        <v>8853</v>
      </c>
      <c r="J2191">
        <v>36790</v>
      </c>
      <c r="K2191" t="b">
        <f>TrafficData[[#This Row],[disposedChallan]]+TrafficData[[#This Row],[pendingChallan]]=TrafficData[[#This Row],[totalChallan]]</f>
        <v>1</v>
      </c>
      <c r="L2191" t="b">
        <f>TrafficData[[#This Row],[pendingAmount]]+TrafficData[[#This Row],[disposedAmount]]=TrafficData[[#This Row],[totalAmount]]</f>
        <v>1</v>
      </c>
      <c r="M2191" t="b">
        <f>TrafficData[[#This Row],[pendingCourt]]+TrafficData[[#This Row],[disposedCourt]]=TrafficData[[#This Row],[totalCourt]]</f>
        <v>1</v>
      </c>
      <c r="N2191" s="8" t="b">
        <f>AND(TrafficData[[#This Row],[disposedChallan]]&lt;=TrafficData[[#This Row],[totalChallan]],TrafficData[[#This Row],[pendingChallan]]&lt;=TrafficData[[#This Row],[totalChallan]])</f>
        <v>1</v>
      </c>
      <c r="O2191" s="8" t="b">
        <f>AND(TrafficData[[#This Row],[pendingAmount]]&lt;=TrafficData[[#This Row],[totalAmount]],TrafficData[[#This Row],[disposedAmount]]&lt;=TrafficData[[#This Row],[totalAmount]])</f>
        <v>1</v>
      </c>
      <c r="P2191" s="8" t="b">
        <f>AND(TrafficData[[#This Row],[pendingCourt]]&lt;=TrafficData[[#This Row],[totalCourt]],TrafficData[[#This Row],[disposedCourt]]&lt;=TrafficData[[#This Row],[totalCourt]])</f>
        <v>1</v>
      </c>
    </row>
    <row r="2192" spans="1:16">
      <c r="A2192" s="1">
        <v>44196</v>
      </c>
      <c r="B2192">
        <v>106056</v>
      </c>
      <c r="C2192">
        <v>53637</v>
      </c>
      <c r="D2192">
        <v>52419</v>
      </c>
      <c r="E2192">
        <v>69900465</v>
      </c>
      <c r="F2192">
        <v>62335377</v>
      </c>
      <c r="G2192">
        <v>132235842</v>
      </c>
      <c r="H2192">
        <v>26810</v>
      </c>
      <c r="I2192">
        <v>8610</v>
      </c>
      <c r="J2192">
        <v>35420</v>
      </c>
      <c r="K2192" t="b">
        <f>TrafficData[[#This Row],[disposedChallan]]+TrafficData[[#This Row],[pendingChallan]]=TrafficData[[#This Row],[totalChallan]]</f>
        <v>1</v>
      </c>
      <c r="L2192" t="b">
        <f>TrafficData[[#This Row],[pendingAmount]]+TrafficData[[#This Row],[disposedAmount]]=TrafficData[[#This Row],[totalAmount]]</f>
        <v>1</v>
      </c>
      <c r="M2192" t="b">
        <f>TrafficData[[#This Row],[pendingCourt]]+TrafficData[[#This Row],[disposedCourt]]=TrafficData[[#This Row],[totalCourt]]</f>
        <v>1</v>
      </c>
      <c r="N2192" s="8" t="b">
        <f>AND(TrafficData[[#This Row],[disposedChallan]]&lt;=TrafficData[[#This Row],[totalChallan]],TrafficData[[#This Row],[pendingChallan]]&lt;=TrafficData[[#This Row],[totalChallan]])</f>
        <v>1</v>
      </c>
      <c r="O2192" s="8" t="b">
        <f>AND(TrafficData[[#This Row],[pendingAmount]]&lt;=TrafficData[[#This Row],[totalAmount]],TrafficData[[#This Row],[disposedAmount]]&lt;=TrafficData[[#This Row],[totalAmount]])</f>
        <v>1</v>
      </c>
      <c r="P2192" s="8" t="b">
        <f>AND(TrafficData[[#This Row],[pendingCourt]]&lt;=TrafficData[[#This Row],[totalCourt]],TrafficData[[#This Row],[disposedCourt]]&lt;=TrafficData[[#This Row],[totalCourt]])</f>
        <v>1</v>
      </c>
    </row>
    <row r="2193" spans="1:16">
      <c r="A2193" s="1">
        <v>44197</v>
      </c>
      <c r="B2193">
        <v>78633</v>
      </c>
      <c r="C2193">
        <v>39445</v>
      </c>
      <c r="D2193">
        <v>39188</v>
      </c>
      <c r="E2193">
        <v>46483380</v>
      </c>
      <c r="F2193">
        <v>44075346</v>
      </c>
      <c r="G2193">
        <v>90558726</v>
      </c>
      <c r="H2193">
        <v>22604</v>
      </c>
      <c r="I2193">
        <v>7868</v>
      </c>
      <c r="J2193">
        <v>30472</v>
      </c>
      <c r="K2193" t="b">
        <f>TrafficData[[#This Row],[disposedChallan]]+TrafficData[[#This Row],[pendingChallan]]=TrafficData[[#This Row],[totalChallan]]</f>
        <v>1</v>
      </c>
      <c r="L2193" t="b">
        <f>TrafficData[[#This Row],[pendingAmount]]+TrafficData[[#This Row],[disposedAmount]]=TrafficData[[#This Row],[totalAmount]]</f>
        <v>1</v>
      </c>
      <c r="M2193" t="b">
        <f>TrafficData[[#This Row],[pendingCourt]]+TrafficData[[#This Row],[disposedCourt]]=TrafficData[[#This Row],[totalCourt]]</f>
        <v>1</v>
      </c>
      <c r="N2193" s="8" t="b">
        <f>AND(TrafficData[[#This Row],[disposedChallan]]&lt;=TrafficData[[#This Row],[totalChallan]],TrafficData[[#This Row],[pendingChallan]]&lt;=TrafficData[[#This Row],[totalChallan]])</f>
        <v>1</v>
      </c>
      <c r="O2193" s="8" t="b">
        <f>AND(TrafficData[[#This Row],[pendingAmount]]&lt;=TrafficData[[#This Row],[totalAmount]],TrafficData[[#This Row],[disposedAmount]]&lt;=TrafficData[[#This Row],[totalAmount]])</f>
        <v>1</v>
      </c>
      <c r="P2193" s="8" t="b">
        <f>AND(TrafficData[[#This Row],[pendingCourt]]&lt;=TrafficData[[#This Row],[totalCourt]],TrafficData[[#This Row],[disposedCourt]]&lt;=TrafficData[[#This Row],[totalCourt]])</f>
        <v>1</v>
      </c>
    </row>
    <row r="2194" spans="1:16">
      <c r="A2194" s="1">
        <v>44198</v>
      </c>
      <c r="B2194">
        <v>112216</v>
      </c>
      <c r="C2194">
        <v>61166</v>
      </c>
      <c r="D2194">
        <v>51050</v>
      </c>
      <c r="E2194">
        <v>60235429</v>
      </c>
      <c r="F2194">
        <v>63031674</v>
      </c>
      <c r="G2194">
        <v>123267103</v>
      </c>
      <c r="H2194">
        <v>26076</v>
      </c>
      <c r="I2194">
        <v>10216</v>
      </c>
      <c r="J2194">
        <v>36292</v>
      </c>
      <c r="K2194" t="b">
        <f>TrafficData[[#This Row],[disposedChallan]]+TrafficData[[#This Row],[pendingChallan]]=TrafficData[[#This Row],[totalChallan]]</f>
        <v>1</v>
      </c>
      <c r="L2194" t="b">
        <f>TrafficData[[#This Row],[pendingAmount]]+TrafficData[[#This Row],[disposedAmount]]=TrafficData[[#This Row],[totalAmount]]</f>
        <v>1</v>
      </c>
      <c r="M2194" t="b">
        <f>TrafficData[[#This Row],[pendingCourt]]+TrafficData[[#This Row],[disposedCourt]]=TrafficData[[#This Row],[totalCourt]]</f>
        <v>1</v>
      </c>
      <c r="N2194" s="8" t="b">
        <f>AND(TrafficData[[#This Row],[disposedChallan]]&lt;=TrafficData[[#This Row],[totalChallan]],TrafficData[[#This Row],[pendingChallan]]&lt;=TrafficData[[#This Row],[totalChallan]])</f>
        <v>1</v>
      </c>
      <c r="O2194" s="8" t="b">
        <f>AND(TrafficData[[#This Row],[pendingAmount]]&lt;=TrafficData[[#This Row],[totalAmount]],TrafficData[[#This Row],[disposedAmount]]&lt;=TrafficData[[#This Row],[totalAmount]])</f>
        <v>1</v>
      </c>
      <c r="P2194" s="8" t="b">
        <f>AND(TrafficData[[#This Row],[pendingCourt]]&lt;=TrafficData[[#This Row],[totalCourt]],TrafficData[[#This Row],[disposedCourt]]&lt;=TrafficData[[#This Row],[totalCourt]])</f>
        <v>1</v>
      </c>
    </row>
    <row r="2195" spans="1:16">
      <c r="A2195" s="1">
        <v>44199</v>
      </c>
      <c r="B2195">
        <v>90811</v>
      </c>
      <c r="C2195">
        <v>48750</v>
      </c>
      <c r="D2195">
        <v>42061</v>
      </c>
      <c r="E2195">
        <v>43540839</v>
      </c>
      <c r="F2195">
        <v>46328770</v>
      </c>
      <c r="G2195">
        <v>89869609</v>
      </c>
      <c r="H2195">
        <v>18686</v>
      </c>
      <c r="I2195">
        <v>7229</v>
      </c>
      <c r="J2195">
        <v>25915</v>
      </c>
      <c r="K2195" t="b">
        <f>TrafficData[[#This Row],[disposedChallan]]+TrafficData[[#This Row],[pendingChallan]]=TrafficData[[#This Row],[totalChallan]]</f>
        <v>1</v>
      </c>
      <c r="L2195" t="b">
        <f>TrafficData[[#This Row],[pendingAmount]]+TrafficData[[#This Row],[disposedAmount]]=TrafficData[[#This Row],[totalAmount]]</f>
        <v>1</v>
      </c>
      <c r="M2195" t="b">
        <f>TrafficData[[#This Row],[pendingCourt]]+TrafficData[[#This Row],[disposedCourt]]=TrafficData[[#This Row],[totalCourt]]</f>
        <v>1</v>
      </c>
      <c r="N2195" s="8" t="b">
        <f>AND(TrafficData[[#This Row],[disposedChallan]]&lt;=TrafficData[[#This Row],[totalChallan]],TrafficData[[#This Row],[pendingChallan]]&lt;=TrafficData[[#This Row],[totalChallan]])</f>
        <v>1</v>
      </c>
      <c r="O2195" s="8" t="b">
        <f>AND(TrafficData[[#This Row],[pendingAmount]]&lt;=TrafficData[[#This Row],[totalAmount]],TrafficData[[#This Row],[disposedAmount]]&lt;=TrafficData[[#This Row],[totalAmount]])</f>
        <v>1</v>
      </c>
      <c r="P2195" s="8" t="b">
        <f>AND(TrafficData[[#This Row],[pendingCourt]]&lt;=TrafficData[[#This Row],[totalCourt]],TrafficData[[#This Row],[disposedCourt]]&lt;=TrafficData[[#This Row],[totalCourt]])</f>
        <v>1</v>
      </c>
    </row>
    <row r="2196" spans="1:16">
      <c r="A2196" s="1">
        <v>44200</v>
      </c>
      <c r="B2196">
        <v>106092</v>
      </c>
      <c r="C2196">
        <v>59440</v>
      </c>
      <c r="D2196">
        <v>46652</v>
      </c>
      <c r="E2196">
        <v>57581087</v>
      </c>
      <c r="F2196">
        <v>68273571</v>
      </c>
      <c r="G2196">
        <v>125854658</v>
      </c>
      <c r="H2196">
        <v>22684</v>
      </c>
      <c r="I2196">
        <v>9242</v>
      </c>
      <c r="J2196">
        <v>31926</v>
      </c>
      <c r="K2196" t="b">
        <f>TrafficData[[#This Row],[disposedChallan]]+TrafficData[[#This Row],[pendingChallan]]=TrafficData[[#This Row],[totalChallan]]</f>
        <v>1</v>
      </c>
      <c r="L2196" t="b">
        <f>TrafficData[[#This Row],[pendingAmount]]+TrafficData[[#This Row],[disposedAmount]]=TrafficData[[#This Row],[totalAmount]]</f>
        <v>1</v>
      </c>
      <c r="M2196" t="b">
        <f>TrafficData[[#This Row],[pendingCourt]]+TrafficData[[#This Row],[disposedCourt]]=TrafficData[[#This Row],[totalCourt]]</f>
        <v>1</v>
      </c>
      <c r="N2196" s="8" t="b">
        <f>AND(TrafficData[[#This Row],[disposedChallan]]&lt;=TrafficData[[#This Row],[totalChallan]],TrafficData[[#This Row],[pendingChallan]]&lt;=TrafficData[[#This Row],[totalChallan]])</f>
        <v>1</v>
      </c>
      <c r="O2196" s="8" t="b">
        <f>AND(TrafficData[[#This Row],[pendingAmount]]&lt;=TrafficData[[#This Row],[totalAmount]],TrafficData[[#This Row],[disposedAmount]]&lt;=TrafficData[[#This Row],[totalAmount]])</f>
        <v>1</v>
      </c>
      <c r="P2196" s="8" t="b">
        <f>AND(TrafficData[[#This Row],[pendingCourt]]&lt;=TrafficData[[#This Row],[totalCourt]],TrafficData[[#This Row],[disposedCourt]]&lt;=TrafficData[[#This Row],[totalCourt]])</f>
        <v>1</v>
      </c>
    </row>
    <row r="2197" spans="1:16">
      <c r="A2197" s="1">
        <v>44201</v>
      </c>
      <c r="B2197">
        <v>105653</v>
      </c>
      <c r="C2197">
        <v>55620</v>
      </c>
      <c r="D2197">
        <v>50033</v>
      </c>
      <c r="E2197">
        <v>61921782</v>
      </c>
      <c r="F2197">
        <v>80345813</v>
      </c>
      <c r="G2197">
        <v>142267595</v>
      </c>
      <c r="H2197">
        <v>24115</v>
      </c>
      <c r="I2197">
        <v>9274</v>
      </c>
      <c r="J2197">
        <v>33389</v>
      </c>
      <c r="K2197" t="b">
        <f>TrafficData[[#This Row],[disposedChallan]]+TrafficData[[#This Row],[pendingChallan]]=TrafficData[[#This Row],[totalChallan]]</f>
        <v>1</v>
      </c>
      <c r="L2197" t="b">
        <f>TrafficData[[#This Row],[pendingAmount]]+TrafficData[[#This Row],[disposedAmount]]=TrafficData[[#This Row],[totalAmount]]</f>
        <v>1</v>
      </c>
      <c r="M2197" t="b">
        <f>TrafficData[[#This Row],[pendingCourt]]+TrafficData[[#This Row],[disposedCourt]]=TrafficData[[#This Row],[totalCourt]]</f>
        <v>1</v>
      </c>
      <c r="N2197" s="8" t="b">
        <f>AND(TrafficData[[#This Row],[disposedChallan]]&lt;=TrafficData[[#This Row],[totalChallan]],TrafficData[[#This Row],[pendingChallan]]&lt;=TrafficData[[#This Row],[totalChallan]])</f>
        <v>1</v>
      </c>
      <c r="O2197" s="8" t="b">
        <f>AND(TrafficData[[#This Row],[pendingAmount]]&lt;=TrafficData[[#This Row],[totalAmount]],TrafficData[[#This Row],[disposedAmount]]&lt;=TrafficData[[#This Row],[totalAmount]])</f>
        <v>1</v>
      </c>
      <c r="P2197" s="8" t="b">
        <f>AND(TrafficData[[#This Row],[pendingCourt]]&lt;=TrafficData[[#This Row],[totalCourt]],TrafficData[[#This Row],[disposedCourt]]&lt;=TrafficData[[#This Row],[totalCourt]])</f>
        <v>1</v>
      </c>
    </row>
    <row r="2198" spans="1:16">
      <c r="A2198" s="1">
        <v>44202</v>
      </c>
      <c r="B2198">
        <v>108392</v>
      </c>
      <c r="C2198">
        <v>60140</v>
      </c>
      <c r="D2198">
        <v>48252</v>
      </c>
      <c r="E2198">
        <v>64550447</v>
      </c>
      <c r="F2198">
        <v>83660141</v>
      </c>
      <c r="G2198">
        <v>148210588</v>
      </c>
      <c r="H2198">
        <v>23966</v>
      </c>
      <c r="I2198">
        <v>7951</v>
      </c>
      <c r="J2198">
        <v>31917</v>
      </c>
      <c r="K2198" t="b">
        <f>TrafficData[[#This Row],[disposedChallan]]+TrafficData[[#This Row],[pendingChallan]]=TrafficData[[#This Row],[totalChallan]]</f>
        <v>1</v>
      </c>
      <c r="L2198" t="b">
        <f>TrafficData[[#This Row],[pendingAmount]]+TrafficData[[#This Row],[disposedAmount]]=TrafficData[[#This Row],[totalAmount]]</f>
        <v>1</v>
      </c>
      <c r="M2198" t="b">
        <f>TrafficData[[#This Row],[pendingCourt]]+TrafficData[[#This Row],[disposedCourt]]=TrafficData[[#This Row],[totalCourt]]</f>
        <v>1</v>
      </c>
      <c r="N2198" s="8" t="b">
        <f>AND(TrafficData[[#This Row],[disposedChallan]]&lt;=TrafficData[[#This Row],[totalChallan]],TrafficData[[#This Row],[pendingChallan]]&lt;=TrafficData[[#This Row],[totalChallan]])</f>
        <v>1</v>
      </c>
      <c r="O2198" s="8" t="b">
        <f>AND(TrafficData[[#This Row],[pendingAmount]]&lt;=TrafficData[[#This Row],[totalAmount]],TrafficData[[#This Row],[disposedAmount]]&lt;=TrafficData[[#This Row],[totalAmount]])</f>
        <v>1</v>
      </c>
      <c r="P2198" s="8" t="b">
        <f>AND(TrafficData[[#This Row],[pendingCourt]]&lt;=TrafficData[[#This Row],[totalCourt]],TrafficData[[#This Row],[disposedCourt]]&lt;=TrafficData[[#This Row],[totalCourt]])</f>
        <v>1</v>
      </c>
    </row>
    <row r="2199" spans="1:16">
      <c r="A2199" s="1">
        <v>44203</v>
      </c>
      <c r="B2199">
        <v>115399</v>
      </c>
      <c r="C2199">
        <v>63964</v>
      </c>
      <c r="D2199">
        <v>51435</v>
      </c>
      <c r="E2199">
        <v>65771272</v>
      </c>
      <c r="F2199">
        <v>82767638</v>
      </c>
      <c r="G2199">
        <v>148538910</v>
      </c>
      <c r="H2199">
        <v>23760</v>
      </c>
      <c r="I2199">
        <v>9901</v>
      </c>
      <c r="J2199">
        <v>33661</v>
      </c>
      <c r="K2199" t="b">
        <f>TrafficData[[#This Row],[disposedChallan]]+TrafficData[[#This Row],[pendingChallan]]=TrafficData[[#This Row],[totalChallan]]</f>
        <v>1</v>
      </c>
      <c r="L2199" t="b">
        <f>TrafficData[[#This Row],[pendingAmount]]+TrafficData[[#This Row],[disposedAmount]]=TrafficData[[#This Row],[totalAmount]]</f>
        <v>1</v>
      </c>
      <c r="M2199" t="b">
        <f>TrafficData[[#This Row],[pendingCourt]]+TrafficData[[#This Row],[disposedCourt]]=TrafficData[[#This Row],[totalCourt]]</f>
        <v>1</v>
      </c>
      <c r="N2199" s="8" t="b">
        <f>AND(TrafficData[[#This Row],[disposedChallan]]&lt;=TrafficData[[#This Row],[totalChallan]],TrafficData[[#This Row],[pendingChallan]]&lt;=TrafficData[[#This Row],[totalChallan]])</f>
        <v>1</v>
      </c>
      <c r="O2199" s="8" t="b">
        <f>AND(TrafficData[[#This Row],[pendingAmount]]&lt;=TrafficData[[#This Row],[totalAmount]],TrafficData[[#This Row],[disposedAmount]]&lt;=TrafficData[[#This Row],[totalAmount]])</f>
        <v>1</v>
      </c>
      <c r="P2199" s="8" t="b">
        <f>AND(TrafficData[[#This Row],[pendingCourt]]&lt;=TrafficData[[#This Row],[totalCourt]],TrafficData[[#This Row],[disposedCourt]]&lt;=TrafficData[[#This Row],[totalCourt]])</f>
        <v>1</v>
      </c>
    </row>
    <row r="2200" spans="1:16">
      <c r="A2200" s="1">
        <v>44204</v>
      </c>
      <c r="B2200">
        <v>115614</v>
      </c>
      <c r="C2200">
        <v>64062</v>
      </c>
      <c r="D2200">
        <v>51552</v>
      </c>
      <c r="E2200">
        <v>61312534</v>
      </c>
      <c r="F2200">
        <v>80516104</v>
      </c>
      <c r="G2200">
        <v>141828638</v>
      </c>
      <c r="H2200">
        <v>23123</v>
      </c>
      <c r="I2200">
        <v>10299</v>
      </c>
      <c r="J2200">
        <v>33422</v>
      </c>
      <c r="K2200" t="b">
        <f>TrafficData[[#This Row],[disposedChallan]]+TrafficData[[#This Row],[pendingChallan]]=TrafficData[[#This Row],[totalChallan]]</f>
        <v>1</v>
      </c>
      <c r="L2200" t="b">
        <f>TrafficData[[#This Row],[pendingAmount]]+TrafficData[[#This Row],[disposedAmount]]=TrafficData[[#This Row],[totalAmount]]</f>
        <v>1</v>
      </c>
      <c r="M2200" t="b">
        <f>TrafficData[[#This Row],[pendingCourt]]+TrafficData[[#This Row],[disposedCourt]]=TrafficData[[#This Row],[totalCourt]]</f>
        <v>1</v>
      </c>
      <c r="N2200" s="8" t="b">
        <f>AND(TrafficData[[#This Row],[disposedChallan]]&lt;=TrafficData[[#This Row],[totalChallan]],TrafficData[[#This Row],[pendingChallan]]&lt;=TrafficData[[#This Row],[totalChallan]])</f>
        <v>1</v>
      </c>
      <c r="O2200" s="8" t="b">
        <f>AND(TrafficData[[#This Row],[pendingAmount]]&lt;=TrafficData[[#This Row],[totalAmount]],TrafficData[[#This Row],[disposedAmount]]&lt;=TrafficData[[#This Row],[totalAmount]])</f>
        <v>1</v>
      </c>
      <c r="P2200" s="8" t="b">
        <f>AND(TrafficData[[#This Row],[pendingCourt]]&lt;=TrafficData[[#This Row],[totalCourt]],TrafficData[[#This Row],[disposedCourt]]&lt;=TrafficData[[#This Row],[totalCourt]])</f>
        <v>1</v>
      </c>
    </row>
    <row r="2201" spans="1:16">
      <c r="A2201" s="1">
        <v>44205</v>
      </c>
      <c r="B2201">
        <v>116432</v>
      </c>
      <c r="C2201">
        <v>63687</v>
      </c>
      <c r="D2201">
        <v>52745</v>
      </c>
      <c r="E2201">
        <v>60350812</v>
      </c>
      <c r="F2201">
        <v>77790872</v>
      </c>
      <c r="G2201">
        <v>138141684</v>
      </c>
      <c r="H2201">
        <v>23606</v>
      </c>
      <c r="I2201">
        <v>10301</v>
      </c>
      <c r="J2201">
        <v>33907</v>
      </c>
      <c r="K2201" t="b">
        <f>TrafficData[[#This Row],[disposedChallan]]+TrafficData[[#This Row],[pendingChallan]]=TrafficData[[#This Row],[totalChallan]]</f>
        <v>1</v>
      </c>
      <c r="L2201" t="b">
        <f>TrafficData[[#This Row],[pendingAmount]]+TrafficData[[#This Row],[disposedAmount]]=TrafficData[[#This Row],[totalAmount]]</f>
        <v>1</v>
      </c>
      <c r="M2201" t="b">
        <f>TrafficData[[#This Row],[pendingCourt]]+TrafficData[[#This Row],[disposedCourt]]=TrafficData[[#This Row],[totalCourt]]</f>
        <v>1</v>
      </c>
      <c r="N2201" s="8" t="b">
        <f>AND(TrafficData[[#This Row],[disposedChallan]]&lt;=TrafficData[[#This Row],[totalChallan]],TrafficData[[#This Row],[pendingChallan]]&lt;=TrafficData[[#This Row],[totalChallan]])</f>
        <v>1</v>
      </c>
      <c r="O2201" s="8" t="b">
        <f>AND(TrafficData[[#This Row],[pendingAmount]]&lt;=TrafficData[[#This Row],[totalAmount]],TrafficData[[#This Row],[disposedAmount]]&lt;=TrafficData[[#This Row],[totalAmount]])</f>
        <v>1</v>
      </c>
      <c r="P2201" s="8" t="b">
        <f>AND(TrafficData[[#This Row],[pendingCourt]]&lt;=TrafficData[[#This Row],[totalCourt]],TrafficData[[#This Row],[disposedCourt]]&lt;=TrafficData[[#This Row],[totalCourt]])</f>
        <v>1</v>
      </c>
    </row>
    <row r="2202" spans="1:16">
      <c r="A2202" s="1">
        <v>44206</v>
      </c>
      <c r="B2202">
        <v>105811</v>
      </c>
      <c r="C2202">
        <v>56133</v>
      </c>
      <c r="D2202">
        <v>49678</v>
      </c>
      <c r="E2202">
        <v>55849421</v>
      </c>
      <c r="F2202">
        <v>60177868</v>
      </c>
      <c r="G2202">
        <v>116027289</v>
      </c>
      <c r="H2202">
        <v>22658</v>
      </c>
      <c r="I2202">
        <v>9033</v>
      </c>
      <c r="J2202">
        <v>31691</v>
      </c>
      <c r="K2202" t="b">
        <f>TrafficData[[#This Row],[disposedChallan]]+TrafficData[[#This Row],[pendingChallan]]=TrafficData[[#This Row],[totalChallan]]</f>
        <v>1</v>
      </c>
      <c r="L2202" t="b">
        <f>TrafficData[[#This Row],[pendingAmount]]+TrafficData[[#This Row],[disposedAmount]]=TrafficData[[#This Row],[totalAmount]]</f>
        <v>1</v>
      </c>
      <c r="M2202" t="b">
        <f>TrafficData[[#This Row],[pendingCourt]]+TrafficData[[#This Row],[disposedCourt]]=TrafficData[[#This Row],[totalCourt]]</f>
        <v>1</v>
      </c>
      <c r="N2202" s="8" t="b">
        <f>AND(TrafficData[[#This Row],[disposedChallan]]&lt;=TrafficData[[#This Row],[totalChallan]],TrafficData[[#This Row],[pendingChallan]]&lt;=TrafficData[[#This Row],[totalChallan]])</f>
        <v>1</v>
      </c>
      <c r="O2202" s="8" t="b">
        <f>AND(TrafficData[[#This Row],[pendingAmount]]&lt;=TrafficData[[#This Row],[totalAmount]],TrafficData[[#This Row],[disposedAmount]]&lt;=TrafficData[[#This Row],[totalAmount]])</f>
        <v>1</v>
      </c>
      <c r="P2202" s="8" t="b">
        <f>AND(TrafficData[[#This Row],[pendingCourt]]&lt;=TrafficData[[#This Row],[totalCourt]],TrafficData[[#This Row],[disposedCourt]]&lt;=TrafficData[[#This Row],[totalCourt]])</f>
        <v>1</v>
      </c>
    </row>
    <row r="2203" spans="1:16">
      <c r="A2203" s="1">
        <v>44207</v>
      </c>
      <c r="B2203">
        <v>115165</v>
      </c>
      <c r="C2203">
        <v>64012</v>
      </c>
      <c r="D2203">
        <v>51153</v>
      </c>
      <c r="E2203">
        <v>61429246</v>
      </c>
      <c r="F2203">
        <v>79265360</v>
      </c>
      <c r="G2203">
        <v>140694606</v>
      </c>
      <c r="H2203">
        <v>22361</v>
      </c>
      <c r="I2203">
        <v>10563</v>
      </c>
      <c r="J2203">
        <v>32924</v>
      </c>
      <c r="K2203" t="b">
        <f>TrafficData[[#This Row],[disposedChallan]]+TrafficData[[#This Row],[pendingChallan]]=TrafficData[[#This Row],[totalChallan]]</f>
        <v>1</v>
      </c>
      <c r="L2203" t="b">
        <f>TrafficData[[#This Row],[pendingAmount]]+TrafficData[[#This Row],[disposedAmount]]=TrafficData[[#This Row],[totalAmount]]</f>
        <v>1</v>
      </c>
      <c r="M2203" t="b">
        <f>TrafficData[[#This Row],[pendingCourt]]+TrafficData[[#This Row],[disposedCourt]]=TrafficData[[#This Row],[totalCourt]]</f>
        <v>1</v>
      </c>
      <c r="N2203" s="8" t="b">
        <f>AND(TrafficData[[#This Row],[disposedChallan]]&lt;=TrafficData[[#This Row],[totalChallan]],TrafficData[[#This Row],[pendingChallan]]&lt;=TrafficData[[#This Row],[totalChallan]])</f>
        <v>1</v>
      </c>
      <c r="O2203" s="8" t="b">
        <f>AND(TrafficData[[#This Row],[pendingAmount]]&lt;=TrafficData[[#This Row],[totalAmount]],TrafficData[[#This Row],[disposedAmount]]&lt;=TrafficData[[#This Row],[totalAmount]])</f>
        <v>1</v>
      </c>
      <c r="P2203" s="8" t="b">
        <f>AND(TrafficData[[#This Row],[pendingCourt]]&lt;=TrafficData[[#This Row],[totalCourt]],TrafficData[[#This Row],[disposedCourt]]&lt;=TrafficData[[#This Row],[totalCourt]])</f>
        <v>1</v>
      </c>
    </row>
    <row r="2204" spans="1:16">
      <c r="A2204" s="1">
        <v>44208</v>
      </c>
      <c r="B2204">
        <v>111458</v>
      </c>
      <c r="C2204">
        <v>61964</v>
      </c>
      <c r="D2204">
        <v>49494</v>
      </c>
      <c r="E2204">
        <v>70459713</v>
      </c>
      <c r="F2204">
        <v>86118776</v>
      </c>
      <c r="G2204">
        <v>156578489</v>
      </c>
      <c r="H2204">
        <v>24759</v>
      </c>
      <c r="I2204">
        <v>10569</v>
      </c>
      <c r="J2204">
        <v>35328</v>
      </c>
      <c r="K2204" t="b">
        <f>TrafficData[[#This Row],[disposedChallan]]+TrafficData[[#This Row],[pendingChallan]]=TrafficData[[#This Row],[totalChallan]]</f>
        <v>1</v>
      </c>
      <c r="L2204" t="b">
        <f>TrafficData[[#This Row],[pendingAmount]]+TrafficData[[#This Row],[disposedAmount]]=TrafficData[[#This Row],[totalAmount]]</f>
        <v>1</v>
      </c>
      <c r="M2204" t="b">
        <f>TrafficData[[#This Row],[pendingCourt]]+TrafficData[[#This Row],[disposedCourt]]=TrafficData[[#This Row],[totalCourt]]</f>
        <v>1</v>
      </c>
      <c r="N2204" s="8" t="b">
        <f>AND(TrafficData[[#This Row],[disposedChallan]]&lt;=TrafficData[[#This Row],[totalChallan]],TrafficData[[#This Row],[pendingChallan]]&lt;=TrafficData[[#This Row],[totalChallan]])</f>
        <v>1</v>
      </c>
      <c r="O2204" s="8" t="b">
        <f>AND(TrafficData[[#This Row],[pendingAmount]]&lt;=TrafficData[[#This Row],[totalAmount]],TrafficData[[#This Row],[disposedAmount]]&lt;=TrafficData[[#This Row],[totalAmount]])</f>
        <v>1</v>
      </c>
      <c r="P2204" s="8" t="b">
        <f>AND(TrafficData[[#This Row],[pendingCourt]]&lt;=TrafficData[[#This Row],[totalCourt]],TrafficData[[#This Row],[disposedCourt]]&lt;=TrafficData[[#This Row],[totalCourt]])</f>
        <v>1</v>
      </c>
    </row>
    <row r="2205" spans="1:16">
      <c r="A2205" s="1">
        <v>44209</v>
      </c>
      <c r="B2205">
        <v>106066</v>
      </c>
      <c r="C2205">
        <v>59100</v>
      </c>
      <c r="D2205">
        <v>46966</v>
      </c>
      <c r="E2205">
        <v>67694191</v>
      </c>
      <c r="F2205">
        <v>81603579</v>
      </c>
      <c r="G2205">
        <v>149297770</v>
      </c>
      <c r="H2205">
        <v>24951</v>
      </c>
      <c r="I2205">
        <v>10673</v>
      </c>
      <c r="J2205">
        <v>35624</v>
      </c>
      <c r="K2205" t="b">
        <f>TrafficData[[#This Row],[disposedChallan]]+TrafficData[[#This Row],[pendingChallan]]=TrafficData[[#This Row],[totalChallan]]</f>
        <v>1</v>
      </c>
      <c r="L2205" t="b">
        <f>TrafficData[[#This Row],[pendingAmount]]+TrafficData[[#This Row],[disposedAmount]]=TrafficData[[#This Row],[totalAmount]]</f>
        <v>1</v>
      </c>
      <c r="M2205" t="b">
        <f>TrafficData[[#This Row],[pendingCourt]]+TrafficData[[#This Row],[disposedCourt]]=TrafficData[[#This Row],[totalCourt]]</f>
        <v>1</v>
      </c>
      <c r="N2205" s="8" t="b">
        <f>AND(TrafficData[[#This Row],[disposedChallan]]&lt;=TrafficData[[#This Row],[totalChallan]],TrafficData[[#This Row],[pendingChallan]]&lt;=TrafficData[[#This Row],[totalChallan]])</f>
        <v>1</v>
      </c>
      <c r="O2205" s="8" t="b">
        <f>AND(TrafficData[[#This Row],[pendingAmount]]&lt;=TrafficData[[#This Row],[totalAmount]],TrafficData[[#This Row],[disposedAmount]]&lt;=TrafficData[[#This Row],[totalAmount]])</f>
        <v>1</v>
      </c>
      <c r="P2205" s="8" t="b">
        <f>AND(TrafficData[[#This Row],[pendingCourt]]&lt;=TrafficData[[#This Row],[totalCourt]],TrafficData[[#This Row],[disposedCourt]]&lt;=TrafficData[[#This Row],[totalCourt]])</f>
        <v>1</v>
      </c>
    </row>
    <row r="2206" spans="1:16">
      <c r="A2206" s="1">
        <v>44210</v>
      </c>
      <c r="B2206">
        <v>87857</v>
      </c>
      <c r="C2206">
        <v>45575</v>
      </c>
      <c r="D2206">
        <v>42282</v>
      </c>
      <c r="E2206">
        <v>58779010</v>
      </c>
      <c r="F2206">
        <v>68875042</v>
      </c>
      <c r="G2206">
        <v>127654052</v>
      </c>
      <c r="H2206">
        <v>23244</v>
      </c>
      <c r="I2206">
        <v>9036</v>
      </c>
      <c r="J2206">
        <v>32280</v>
      </c>
      <c r="K2206" t="b">
        <f>TrafficData[[#This Row],[disposedChallan]]+TrafficData[[#This Row],[pendingChallan]]=TrafficData[[#This Row],[totalChallan]]</f>
        <v>1</v>
      </c>
      <c r="L2206" t="b">
        <f>TrafficData[[#This Row],[pendingAmount]]+TrafficData[[#This Row],[disposedAmount]]=TrafficData[[#This Row],[totalAmount]]</f>
        <v>1</v>
      </c>
      <c r="M2206" t="b">
        <f>TrafficData[[#This Row],[pendingCourt]]+TrafficData[[#This Row],[disposedCourt]]=TrafficData[[#This Row],[totalCourt]]</f>
        <v>1</v>
      </c>
      <c r="N2206" s="8" t="b">
        <f>AND(TrafficData[[#This Row],[disposedChallan]]&lt;=TrafficData[[#This Row],[totalChallan]],TrafficData[[#This Row],[pendingChallan]]&lt;=TrafficData[[#This Row],[totalChallan]])</f>
        <v>1</v>
      </c>
      <c r="O2206" s="8" t="b">
        <f>AND(TrafficData[[#This Row],[pendingAmount]]&lt;=TrafficData[[#This Row],[totalAmount]],TrafficData[[#This Row],[disposedAmount]]&lt;=TrafficData[[#This Row],[totalAmount]])</f>
        <v>1</v>
      </c>
      <c r="P2206" s="8" t="b">
        <f>AND(TrafficData[[#This Row],[pendingCourt]]&lt;=TrafficData[[#This Row],[totalCourt]],TrafficData[[#This Row],[disposedCourt]]&lt;=TrafficData[[#This Row],[totalCourt]])</f>
        <v>1</v>
      </c>
    </row>
    <row r="2207" spans="1:16">
      <c r="A2207" s="1">
        <v>44211</v>
      </c>
      <c r="B2207">
        <v>97804</v>
      </c>
      <c r="C2207">
        <v>50042</v>
      </c>
      <c r="D2207">
        <v>47762</v>
      </c>
      <c r="E2207">
        <v>62659234</v>
      </c>
      <c r="F2207">
        <v>67699744</v>
      </c>
      <c r="G2207">
        <v>130358978</v>
      </c>
      <c r="H2207">
        <v>25364</v>
      </c>
      <c r="I2207">
        <v>10009</v>
      </c>
      <c r="J2207">
        <v>35373</v>
      </c>
      <c r="K2207" t="b">
        <f>TrafficData[[#This Row],[disposedChallan]]+TrafficData[[#This Row],[pendingChallan]]=TrafficData[[#This Row],[totalChallan]]</f>
        <v>1</v>
      </c>
      <c r="L2207" t="b">
        <f>TrafficData[[#This Row],[pendingAmount]]+TrafficData[[#This Row],[disposedAmount]]=TrafficData[[#This Row],[totalAmount]]</f>
        <v>1</v>
      </c>
      <c r="M2207" t="b">
        <f>TrafficData[[#This Row],[pendingCourt]]+TrafficData[[#This Row],[disposedCourt]]=TrafficData[[#This Row],[totalCourt]]</f>
        <v>1</v>
      </c>
      <c r="N2207" s="8" t="b">
        <f>AND(TrafficData[[#This Row],[disposedChallan]]&lt;=TrafficData[[#This Row],[totalChallan]],TrafficData[[#This Row],[pendingChallan]]&lt;=TrafficData[[#This Row],[totalChallan]])</f>
        <v>1</v>
      </c>
      <c r="O2207" s="8" t="b">
        <f>AND(TrafficData[[#This Row],[pendingAmount]]&lt;=TrafficData[[#This Row],[totalAmount]],TrafficData[[#This Row],[disposedAmount]]&lt;=TrafficData[[#This Row],[totalAmount]])</f>
        <v>1</v>
      </c>
      <c r="P2207" s="8" t="b">
        <f>AND(TrafficData[[#This Row],[pendingCourt]]&lt;=TrafficData[[#This Row],[totalCourt]],TrafficData[[#This Row],[disposedCourt]]&lt;=TrafficData[[#This Row],[totalCourt]])</f>
        <v>1</v>
      </c>
    </row>
    <row r="2208" spans="1:16">
      <c r="A2208" s="1">
        <v>44212</v>
      </c>
      <c r="B2208">
        <v>100445</v>
      </c>
      <c r="C2208">
        <v>54850</v>
      </c>
      <c r="D2208">
        <v>45595</v>
      </c>
      <c r="E2208">
        <v>54947000</v>
      </c>
      <c r="F2208">
        <v>66368560</v>
      </c>
      <c r="G2208">
        <v>121315560</v>
      </c>
      <c r="H2208">
        <v>20297</v>
      </c>
      <c r="I2208">
        <v>7057</v>
      </c>
      <c r="J2208">
        <v>27354</v>
      </c>
      <c r="K2208" t="b">
        <f>TrafficData[[#This Row],[disposedChallan]]+TrafficData[[#This Row],[pendingChallan]]=TrafficData[[#This Row],[totalChallan]]</f>
        <v>1</v>
      </c>
      <c r="L2208" t="b">
        <f>TrafficData[[#This Row],[pendingAmount]]+TrafficData[[#This Row],[disposedAmount]]=TrafficData[[#This Row],[totalAmount]]</f>
        <v>1</v>
      </c>
      <c r="M2208" t="b">
        <f>TrafficData[[#This Row],[pendingCourt]]+TrafficData[[#This Row],[disposedCourt]]=TrafficData[[#This Row],[totalCourt]]</f>
        <v>1</v>
      </c>
      <c r="N2208" s="8" t="b">
        <f>AND(TrafficData[[#This Row],[disposedChallan]]&lt;=TrafficData[[#This Row],[totalChallan]],TrafficData[[#This Row],[pendingChallan]]&lt;=TrafficData[[#This Row],[totalChallan]])</f>
        <v>1</v>
      </c>
      <c r="O2208" s="8" t="b">
        <f>AND(TrafficData[[#This Row],[pendingAmount]]&lt;=TrafficData[[#This Row],[totalAmount]],TrafficData[[#This Row],[disposedAmount]]&lt;=TrafficData[[#This Row],[totalAmount]])</f>
        <v>1</v>
      </c>
      <c r="P2208" s="8" t="b">
        <f>AND(TrafficData[[#This Row],[pendingCourt]]&lt;=TrafficData[[#This Row],[totalCourt]],TrafficData[[#This Row],[disposedCourt]]&lt;=TrafficData[[#This Row],[totalCourt]])</f>
        <v>1</v>
      </c>
    </row>
    <row r="2209" spans="1:16">
      <c r="A2209" s="1">
        <v>44213</v>
      </c>
      <c r="B2209">
        <v>96828</v>
      </c>
      <c r="C2209">
        <v>51616</v>
      </c>
      <c r="D2209">
        <v>45212</v>
      </c>
      <c r="E2209">
        <v>49927577</v>
      </c>
      <c r="F2209">
        <v>55146833</v>
      </c>
      <c r="G2209">
        <v>105074410</v>
      </c>
      <c r="H2209">
        <v>20549</v>
      </c>
      <c r="I2209">
        <v>8085</v>
      </c>
      <c r="J2209">
        <v>28634</v>
      </c>
      <c r="K2209" t="b">
        <f>TrafficData[[#This Row],[disposedChallan]]+TrafficData[[#This Row],[pendingChallan]]=TrafficData[[#This Row],[totalChallan]]</f>
        <v>1</v>
      </c>
      <c r="L2209" t="b">
        <f>TrafficData[[#This Row],[pendingAmount]]+TrafficData[[#This Row],[disposedAmount]]=TrafficData[[#This Row],[totalAmount]]</f>
        <v>1</v>
      </c>
      <c r="M2209" t="b">
        <f>TrafficData[[#This Row],[pendingCourt]]+TrafficData[[#This Row],[disposedCourt]]=TrafficData[[#This Row],[totalCourt]]</f>
        <v>1</v>
      </c>
      <c r="N2209" s="8" t="b">
        <f>AND(TrafficData[[#This Row],[disposedChallan]]&lt;=TrafficData[[#This Row],[totalChallan]],TrafficData[[#This Row],[pendingChallan]]&lt;=TrafficData[[#This Row],[totalChallan]])</f>
        <v>1</v>
      </c>
      <c r="O2209" s="8" t="b">
        <f>AND(TrafficData[[#This Row],[pendingAmount]]&lt;=TrafficData[[#This Row],[totalAmount]],TrafficData[[#This Row],[disposedAmount]]&lt;=TrafficData[[#This Row],[totalAmount]])</f>
        <v>1</v>
      </c>
      <c r="P2209" s="8" t="b">
        <f>AND(TrafficData[[#This Row],[pendingCourt]]&lt;=TrafficData[[#This Row],[totalCourt]],TrafficData[[#This Row],[disposedCourt]]&lt;=TrafficData[[#This Row],[totalCourt]])</f>
        <v>1</v>
      </c>
    </row>
    <row r="2210" spans="1:16">
      <c r="A2210" s="1">
        <v>44214</v>
      </c>
      <c r="B2210">
        <v>109559</v>
      </c>
      <c r="C2210">
        <v>60330</v>
      </c>
      <c r="D2210">
        <v>49229</v>
      </c>
      <c r="E2210">
        <v>53978307</v>
      </c>
      <c r="F2210">
        <v>64683452</v>
      </c>
      <c r="G2210">
        <v>118661759</v>
      </c>
      <c r="H2210">
        <v>23337</v>
      </c>
      <c r="I2210">
        <v>9538</v>
      </c>
      <c r="J2210">
        <v>32875</v>
      </c>
      <c r="K2210" t="b">
        <f>TrafficData[[#This Row],[disposedChallan]]+TrafficData[[#This Row],[pendingChallan]]=TrafficData[[#This Row],[totalChallan]]</f>
        <v>1</v>
      </c>
      <c r="L2210" t="b">
        <f>TrafficData[[#This Row],[pendingAmount]]+TrafficData[[#This Row],[disposedAmount]]=TrafficData[[#This Row],[totalAmount]]</f>
        <v>1</v>
      </c>
      <c r="M2210" t="b">
        <f>TrafficData[[#This Row],[pendingCourt]]+TrafficData[[#This Row],[disposedCourt]]=TrafficData[[#This Row],[totalCourt]]</f>
        <v>1</v>
      </c>
      <c r="N2210" s="8" t="b">
        <f>AND(TrafficData[[#This Row],[disposedChallan]]&lt;=TrafficData[[#This Row],[totalChallan]],TrafficData[[#This Row],[pendingChallan]]&lt;=TrafficData[[#This Row],[totalChallan]])</f>
        <v>1</v>
      </c>
      <c r="O2210" s="8" t="b">
        <f>AND(TrafficData[[#This Row],[pendingAmount]]&lt;=TrafficData[[#This Row],[totalAmount]],TrafficData[[#This Row],[disposedAmount]]&lt;=TrafficData[[#This Row],[totalAmount]])</f>
        <v>1</v>
      </c>
      <c r="P2210" s="8" t="b">
        <f>AND(TrafficData[[#This Row],[pendingCourt]]&lt;=TrafficData[[#This Row],[totalCourt]],TrafficData[[#This Row],[disposedCourt]]&lt;=TrafficData[[#This Row],[totalCourt]])</f>
        <v>1</v>
      </c>
    </row>
    <row r="2211" spans="1:16">
      <c r="A2211" s="1">
        <v>44215</v>
      </c>
      <c r="B2211">
        <v>113771</v>
      </c>
      <c r="C2211">
        <v>63122</v>
      </c>
      <c r="D2211">
        <v>50649</v>
      </c>
      <c r="E2211">
        <v>62148022</v>
      </c>
      <c r="F2211">
        <v>77528659</v>
      </c>
      <c r="G2211">
        <v>139676681</v>
      </c>
      <c r="H2211">
        <v>24349</v>
      </c>
      <c r="I2211">
        <v>9662</v>
      </c>
      <c r="J2211">
        <v>34011</v>
      </c>
      <c r="K2211" t="b">
        <f>TrafficData[[#This Row],[disposedChallan]]+TrafficData[[#This Row],[pendingChallan]]=TrafficData[[#This Row],[totalChallan]]</f>
        <v>1</v>
      </c>
      <c r="L2211" t="b">
        <f>TrafficData[[#This Row],[pendingAmount]]+TrafficData[[#This Row],[disposedAmount]]=TrafficData[[#This Row],[totalAmount]]</f>
        <v>1</v>
      </c>
      <c r="M2211" t="b">
        <f>TrafficData[[#This Row],[pendingCourt]]+TrafficData[[#This Row],[disposedCourt]]=TrafficData[[#This Row],[totalCourt]]</f>
        <v>1</v>
      </c>
      <c r="N2211" s="8" t="b">
        <f>AND(TrafficData[[#This Row],[disposedChallan]]&lt;=TrafficData[[#This Row],[totalChallan]],TrafficData[[#This Row],[pendingChallan]]&lt;=TrafficData[[#This Row],[totalChallan]])</f>
        <v>1</v>
      </c>
      <c r="O2211" s="8" t="b">
        <f>AND(TrafficData[[#This Row],[pendingAmount]]&lt;=TrafficData[[#This Row],[totalAmount]],TrafficData[[#This Row],[disposedAmount]]&lt;=TrafficData[[#This Row],[totalAmount]])</f>
        <v>1</v>
      </c>
      <c r="P2211" s="8" t="b">
        <f>AND(TrafficData[[#This Row],[pendingCourt]]&lt;=TrafficData[[#This Row],[totalCourt]],TrafficData[[#This Row],[disposedCourt]]&lt;=TrafficData[[#This Row],[totalCourt]])</f>
        <v>1</v>
      </c>
    </row>
    <row r="2212" spans="1:16">
      <c r="A2212" s="1">
        <v>44216</v>
      </c>
      <c r="B2212">
        <v>110284</v>
      </c>
      <c r="C2212">
        <v>60970</v>
      </c>
      <c r="D2212">
        <v>49314</v>
      </c>
      <c r="E2212">
        <v>54736033</v>
      </c>
      <c r="F2212">
        <v>74540248</v>
      </c>
      <c r="G2212">
        <v>129276281</v>
      </c>
      <c r="H2212">
        <v>24478</v>
      </c>
      <c r="I2212">
        <v>8767</v>
      </c>
      <c r="J2212">
        <v>33245</v>
      </c>
      <c r="K2212" t="b">
        <f>TrafficData[[#This Row],[disposedChallan]]+TrafficData[[#This Row],[pendingChallan]]=TrafficData[[#This Row],[totalChallan]]</f>
        <v>1</v>
      </c>
      <c r="L2212" t="b">
        <f>TrafficData[[#This Row],[pendingAmount]]+TrafficData[[#This Row],[disposedAmount]]=TrafficData[[#This Row],[totalAmount]]</f>
        <v>1</v>
      </c>
      <c r="M2212" t="b">
        <f>TrafficData[[#This Row],[pendingCourt]]+TrafficData[[#This Row],[disposedCourt]]=TrafficData[[#This Row],[totalCourt]]</f>
        <v>1</v>
      </c>
      <c r="N2212" s="8" t="b">
        <f>AND(TrafficData[[#This Row],[disposedChallan]]&lt;=TrafficData[[#This Row],[totalChallan]],TrafficData[[#This Row],[pendingChallan]]&lt;=TrafficData[[#This Row],[totalChallan]])</f>
        <v>1</v>
      </c>
      <c r="O2212" s="8" t="b">
        <f>AND(TrafficData[[#This Row],[pendingAmount]]&lt;=TrafficData[[#This Row],[totalAmount]],TrafficData[[#This Row],[disposedAmount]]&lt;=TrafficData[[#This Row],[totalAmount]])</f>
        <v>1</v>
      </c>
      <c r="P2212" s="8" t="b">
        <f>AND(TrafficData[[#This Row],[pendingCourt]]&lt;=TrafficData[[#This Row],[totalCourt]],TrafficData[[#This Row],[disposedCourt]]&lt;=TrafficData[[#This Row],[totalCourt]])</f>
        <v>1</v>
      </c>
    </row>
    <row r="2213" spans="1:16">
      <c r="A2213" s="1">
        <v>44217</v>
      </c>
      <c r="B2213">
        <v>110628</v>
      </c>
      <c r="C2213">
        <v>61530</v>
      </c>
      <c r="D2213">
        <v>49098</v>
      </c>
      <c r="E2213">
        <v>57598067</v>
      </c>
      <c r="F2213">
        <v>75272573</v>
      </c>
      <c r="G2213">
        <v>132870640</v>
      </c>
      <c r="H2213">
        <v>22222</v>
      </c>
      <c r="I2213">
        <v>8610</v>
      </c>
      <c r="J2213">
        <v>30832</v>
      </c>
      <c r="K2213" t="b">
        <f>TrafficData[[#This Row],[disposedChallan]]+TrafficData[[#This Row],[pendingChallan]]=TrafficData[[#This Row],[totalChallan]]</f>
        <v>1</v>
      </c>
      <c r="L2213" t="b">
        <f>TrafficData[[#This Row],[pendingAmount]]+TrafficData[[#This Row],[disposedAmount]]=TrafficData[[#This Row],[totalAmount]]</f>
        <v>1</v>
      </c>
      <c r="M2213" t="b">
        <f>TrafficData[[#This Row],[pendingCourt]]+TrafficData[[#This Row],[disposedCourt]]=TrafficData[[#This Row],[totalCourt]]</f>
        <v>1</v>
      </c>
      <c r="N2213" s="8" t="b">
        <f>AND(TrafficData[[#This Row],[disposedChallan]]&lt;=TrafficData[[#This Row],[totalChallan]],TrafficData[[#This Row],[pendingChallan]]&lt;=TrafficData[[#This Row],[totalChallan]])</f>
        <v>1</v>
      </c>
      <c r="O2213" s="8" t="b">
        <f>AND(TrafficData[[#This Row],[pendingAmount]]&lt;=TrafficData[[#This Row],[totalAmount]],TrafficData[[#This Row],[disposedAmount]]&lt;=TrafficData[[#This Row],[totalAmount]])</f>
        <v>1</v>
      </c>
      <c r="P2213" s="8" t="b">
        <f>AND(TrafficData[[#This Row],[pendingCourt]]&lt;=TrafficData[[#This Row],[totalCourt]],TrafficData[[#This Row],[disposedCourt]]&lt;=TrafficData[[#This Row],[totalCourt]])</f>
        <v>1</v>
      </c>
    </row>
    <row r="2214" spans="1:16">
      <c r="A2214" s="1">
        <v>44218</v>
      </c>
      <c r="B2214">
        <v>110375</v>
      </c>
      <c r="C2214">
        <v>60545</v>
      </c>
      <c r="D2214">
        <v>49830</v>
      </c>
      <c r="E2214">
        <v>59682833</v>
      </c>
      <c r="F2214">
        <v>76741166</v>
      </c>
      <c r="G2214">
        <v>136423999</v>
      </c>
      <c r="H2214">
        <v>23016</v>
      </c>
      <c r="I2214">
        <v>9734</v>
      </c>
      <c r="J2214">
        <v>32750</v>
      </c>
      <c r="K2214" t="b">
        <f>TrafficData[[#This Row],[disposedChallan]]+TrafficData[[#This Row],[pendingChallan]]=TrafficData[[#This Row],[totalChallan]]</f>
        <v>1</v>
      </c>
      <c r="L2214" t="b">
        <f>TrafficData[[#This Row],[pendingAmount]]+TrafficData[[#This Row],[disposedAmount]]=TrafficData[[#This Row],[totalAmount]]</f>
        <v>1</v>
      </c>
      <c r="M2214" t="b">
        <f>TrafficData[[#This Row],[pendingCourt]]+TrafficData[[#This Row],[disposedCourt]]=TrafficData[[#This Row],[totalCourt]]</f>
        <v>1</v>
      </c>
      <c r="N2214" s="8" t="b">
        <f>AND(TrafficData[[#This Row],[disposedChallan]]&lt;=TrafficData[[#This Row],[totalChallan]],TrafficData[[#This Row],[pendingChallan]]&lt;=TrafficData[[#This Row],[totalChallan]])</f>
        <v>1</v>
      </c>
      <c r="O2214" s="8" t="b">
        <f>AND(TrafficData[[#This Row],[pendingAmount]]&lt;=TrafficData[[#This Row],[totalAmount]],TrafficData[[#This Row],[disposedAmount]]&lt;=TrafficData[[#This Row],[totalAmount]])</f>
        <v>1</v>
      </c>
      <c r="P2214" s="8" t="b">
        <f>AND(TrafficData[[#This Row],[pendingCourt]]&lt;=TrafficData[[#This Row],[totalCourt]],TrafficData[[#This Row],[disposedCourt]]&lt;=TrafficData[[#This Row],[totalCourt]])</f>
        <v>1</v>
      </c>
    </row>
    <row r="2215" spans="1:16">
      <c r="A2215" s="1">
        <v>44219</v>
      </c>
      <c r="B2215">
        <v>106238</v>
      </c>
      <c r="C2215">
        <v>59450</v>
      </c>
      <c r="D2215">
        <v>46788</v>
      </c>
      <c r="E2215">
        <v>56888622</v>
      </c>
      <c r="F2215">
        <v>71134663</v>
      </c>
      <c r="G2215">
        <v>128023285</v>
      </c>
      <c r="H2215">
        <v>22459</v>
      </c>
      <c r="I2215">
        <v>9417</v>
      </c>
      <c r="J2215">
        <v>31876</v>
      </c>
      <c r="K2215" t="b">
        <f>TrafficData[[#This Row],[disposedChallan]]+TrafficData[[#This Row],[pendingChallan]]=TrafficData[[#This Row],[totalChallan]]</f>
        <v>1</v>
      </c>
      <c r="L2215" t="b">
        <f>TrafficData[[#This Row],[pendingAmount]]+TrafficData[[#This Row],[disposedAmount]]=TrafficData[[#This Row],[totalAmount]]</f>
        <v>1</v>
      </c>
      <c r="M2215" t="b">
        <f>TrafficData[[#This Row],[pendingCourt]]+TrafficData[[#This Row],[disposedCourt]]=TrafficData[[#This Row],[totalCourt]]</f>
        <v>1</v>
      </c>
      <c r="N2215" s="8" t="b">
        <f>AND(TrafficData[[#This Row],[disposedChallan]]&lt;=TrafficData[[#This Row],[totalChallan]],TrafficData[[#This Row],[pendingChallan]]&lt;=TrafficData[[#This Row],[totalChallan]])</f>
        <v>1</v>
      </c>
      <c r="O2215" s="8" t="b">
        <f>AND(TrafficData[[#This Row],[pendingAmount]]&lt;=TrafficData[[#This Row],[totalAmount]],TrafficData[[#This Row],[disposedAmount]]&lt;=TrafficData[[#This Row],[totalAmount]])</f>
        <v>1</v>
      </c>
      <c r="P2215" s="8" t="b">
        <f>AND(TrafficData[[#This Row],[pendingCourt]]&lt;=TrafficData[[#This Row],[totalCourt]],TrafficData[[#This Row],[disposedCourt]]&lt;=TrafficData[[#This Row],[totalCourt]])</f>
        <v>1</v>
      </c>
    </row>
    <row r="2216" spans="1:16">
      <c r="A2216" s="1">
        <v>44220</v>
      </c>
      <c r="B2216">
        <v>97096</v>
      </c>
      <c r="C2216">
        <v>51701</v>
      </c>
      <c r="D2216">
        <v>45395</v>
      </c>
      <c r="E2216">
        <v>54532866</v>
      </c>
      <c r="F2216">
        <v>57184638</v>
      </c>
      <c r="G2216">
        <v>111717504</v>
      </c>
      <c r="H2216">
        <v>21881</v>
      </c>
      <c r="I2216">
        <v>8236</v>
      </c>
      <c r="J2216">
        <v>30117</v>
      </c>
      <c r="K2216" t="b">
        <f>TrafficData[[#This Row],[disposedChallan]]+TrafficData[[#This Row],[pendingChallan]]=TrafficData[[#This Row],[totalChallan]]</f>
        <v>1</v>
      </c>
      <c r="L2216" t="b">
        <f>TrafficData[[#This Row],[pendingAmount]]+TrafficData[[#This Row],[disposedAmount]]=TrafficData[[#This Row],[totalAmount]]</f>
        <v>1</v>
      </c>
      <c r="M2216" t="b">
        <f>TrafficData[[#This Row],[pendingCourt]]+TrafficData[[#This Row],[disposedCourt]]=TrafficData[[#This Row],[totalCourt]]</f>
        <v>1</v>
      </c>
      <c r="N2216" s="8" t="b">
        <f>AND(TrafficData[[#This Row],[disposedChallan]]&lt;=TrafficData[[#This Row],[totalChallan]],TrafficData[[#This Row],[pendingChallan]]&lt;=TrafficData[[#This Row],[totalChallan]])</f>
        <v>1</v>
      </c>
      <c r="O2216" s="8" t="b">
        <f>AND(TrafficData[[#This Row],[pendingAmount]]&lt;=TrafficData[[#This Row],[totalAmount]],TrafficData[[#This Row],[disposedAmount]]&lt;=TrafficData[[#This Row],[totalAmount]])</f>
        <v>1</v>
      </c>
      <c r="P2216" s="8" t="b">
        <f>AND(TrafficData[[#This Row],[pendingCourt]]&lt;=TrafficData[[#This Row],[totalCourt]],TrafficData[[#This Row],[disposedCourt]]&lt;=TrafficData[[#This Row],[totalCourt]])</f>
        <v>1</v>
      </c>
    </row>
    <row r="2217" spans="1:16">
      <c r="A2217" s="1">
        <v>44221</v>
      </c>
      <c r="B2217">
        <v>97296</v>
      </c>
      <c r="C2217">
        <v>54204</v>
      </c>
      <c r="D2217">
        <v>43092</v>
      </c>
      <c r="E2217">
        <v>58023051</v>
      </c>
      <c r="F2217">
        <v>63731381</v>
      </c>
      <c r="G2217">
        <v>121754432</v>
      </c>
      <c r="H2217">
        <v>24170</v>
      </c>
      <c r="I2217">
        <v>9341</v>
      </c>
      <c r="J2217">
        <v>33511</v>
      </c>
      <c r="K2217" t="b">
        <f>TrafficData[[#This Row],[disposedChallan]]+TrafficData[[#This Row],[pendingChallan]]=TrafficData[[#This Row],[totalChallan]]</f>
        <v>1</v>
      </c>
      <c r="L2217" t="b">
        <f>TrafficData[[#This Row],[pendingAmount]]+TrafficData[[#This Row],[disposedAmount]]=TrafficData[[#This Row],[totalAmount]]</f>
        <v>1</v>
      </c>
      <c r="M2217" t="b">
        <f>TrafficData[[#This Row],[pendingCourt]]+TrafficData[[#This Row],[disposedCourt]]=TrafficData[[#This Row],[totalCourt]]</f>
        <v>1</v>
      </c>
      <c r="N2217" s="8" t="b">
        <f>AND(TrafficData[[#This Row],[disposedChallan]]&lt;=TrafficData[[#This Row],[totalChallan]],TrafficData[[#This Row],[pendingChallan]]&lt;=TrafficData[[#This Row],[totalChallan]])</f>
        <v>1</v>
      </c>
      <c r="O2217" s="8" t="b">
        <f>AND(TrafficData[[#This Row],[pendingAmount]]&lt;=TrafficData[[#This Row],[totalAmount]],TrafficData[[#This Row],[disposedAmount]]&lt;=TrafficData[[#This Row],[totalAmount]])</f>
        <v>1</v>
      </c>
      <c r="P2217" s="8" t="b">
        <f>AND(TrafficData[[#This Row],[pendingCourt]]&lt;=TrafficData[[#This Row],[totalCourt]],TrafficData[[#This Row],[disposedCourt]]&lt;=TrafficData[[#This Row],[totalCourt]])</f>
        <v>1</v>
      </c>
    </row>
    <row r="2218" spans="1:16">
      <c r="A2218" s="1">
        <v>44222</v>
      </c>
      <c r="B2218">
        <v>74433</v>
      </c>
      <c r="C2218">
        <v>39323</v>
      </c>
      <c r="D2218">
        <v>35110</v>
      </c>
      <c r="E2218">
        <v>32772776</v>
      </c>
      <c r="F2218">
        <v>35676412</v>
      </c>
      <c r="G2218">
        <v>68449188</v>
      </c>
      <c r="H2218">
        <v>15305</v>
      </c>
      <c r="I2218">
        <v>4367</v>
      </c>
      <c r="J2218">
        <v>19672</v>
      </c>
      <c r="K2218" t="b">
        <f>TrafficData[[#This Row],[disposedChallan]]+TrafficData[[#This Row],[pendingChallan]]=TrafficData[[#This Row],[totalChallan]]</f>
        <v>1</v>
      </c>
      <c r="L2218" t="b">
        <f>TrafficData[[#This Row],[pendingAmount]]+TrafficData[[#This Row],[disposedAmount]]=TrafficData[[#This Row],[totalAmount]]</f>
        <v>1</v>
      </c>
      <c r="M2218" t="b">
        <f>TrafficData[[#This Row],[pendingCourt]]+TrafficData[[#This Row],[disposedCourt]]=TrafficData[[#This Row],[totalCourt]]</f>
        <v>1</v>
      </c>
      <c r="N2218" s="8" t="b">
        <f>AND(TrafficData[[#This Row],[disposedChallan]]&lt;=TrafficData[[#This Row],[totalChallan]],TrafficData[[#This Row],[pendingChallan]]&lt;=TrafficData[[#This Row],[totalChallan]])</f>
        <v>1</v>
      </c>
      <c r="O2218" s="8" t="b">
        <f>AND(TrafficData[[#This Row],[pendingAmount]]&lt;=TrafficData[[#This Row],[totalAmount]],TrafficData[[#This Row],[disposedAmount]]&lt;=TrafficData[[#This Row],[totalAmount]])</f>
        <v>1</v>
      </c>
      <c r="P2218" s="8" t="b">
        <f>AND(TrafficData[[#This Row],[pendingCourt]]&lt;=TrafficData[[#This Row],[totalCourt]],TrafficData[[#This Row],[disposedCourt]]&lt;=TrafficData[[#This Row],[totalCourt]])</f>
        <v>1</v>
      </c>
    </row>
    <row r="2219" spans="1:16">
      <c r="A2219" s="1">
        <v>44223</v>
      </c>
      <c r="B2219">
        <v>104376</v>
      </c>
      <c r="C2219">
        <v>56340</v>
      </c>
      <c r="D2219">
        <v>48036</v>
      </c>
      <c r="E2219">
        <v>62848448</v>
      </c>
      <c r="F2219">
        <v>68836028</v>
      </c>
      <c r="G2219">
        <v>131684476</v>
      </c>
      <c r="H2219">
        <v>26278</v>
      </c>
      <c r="I2219">
        <v>9496</v>
      </c>
      <c r="J2219">
        <v>35774</v>
      </c>
      <c r="K2219" t="b">
        <f>TrafficData[[#This Row],[disposedChallan]]+TrafficData[[#This Row],[pendingChallan]]=TrafficData[[#This Row],[totalChallan]]</f>
        <v>1</v>
      </c>
      <c r="L2219" t="b">
        <f>TrafficData[[#This Row],[pendingAmount]]+TrafficData[[#This Row],[disposedAmount]]=TrafficData[[#This Row],[totalAmount]]</f>
        <v>1</v>
      </c>
      <c r="M2219" t="b">
        <f>TrafficData[[#This Row],[pendingCourt]]+TrafficData[[#This Row],[disposedCourt]]=TrafficData[[#This Row],[totalCourt]]</f>
        <v>1</v>
      </c>
      <c r="N2219" s="8" t="b">
        <f>AND(TrafficData[[#This Row],[disposedChallan]]&lt;=TrafficData[[#This Row],[totalChallan]],TrafficData[[#This Row],[pendingChallan]]&lt;=TrafficData[[#This Row],[totalChallan]])</f>
        <v>1</v>
      </c>
      <c r="O2219" s="8" t="b">
        <f>AND(TrafficData[[#This Row],[pendingAmount]]&lt;=TrafficData[[#This Row],[totalAmount]],TrafficData[[#This Row],[disposedAmount]]&lt;=TrafficData[[#This Row],[totalAmount]])</f>
        <v>1</v>
      </c>
      <c r="P2219" s="8" t="b">
        <f>AND(TrafficData[[#This Row],[pendingCourt]]&lt;=TrafficData[[#This Row],[totalCourt]],TrafficData[[#This Row],[disposedCourt]]&lt;=TrafficData[[#This Row],[totalCourt]])</f>
        <v>1</v>
      </c>
    </row>
    <row r="2220" spans="1:16">
      <c r="A2220" s="1">
        <v>44224</v>
      </c>
      <c r="B2220">
        <v>109304</v>
      </c>
      <c r="C2220">
        <v>60043</v>
      </c>
      <c r="D2220">
        <v>49261</v>
      </c>
      <c r="E2220">
        <v>71289368</v>
      </c>
      <c r="F2220">
        <v>84213601</v>
      </c>
      <c r="G2220">
        <v>155502969</v>
      </c>
      <c r="H2220">
        <v>24507</v>
      </c>
      <c r="I2220">
        <v>9300</v>
      </c>
      <c r="J2220">
        <v>33807</v>
      </c>
      <c r="K2220" t="b">
        <f>TrafficData[[#This Row],[disposedChallan]]+TrafficData[[#This Row],[pendingChallan]]=TrafficData[[#This Row],[totalChallan]]</f>
        <v>1</v>
      </c>
      <c r="L2220" t="b">
        <f>TrafficData[[#This Row],[pendingAmount]]+TrafficData[[#This Row],[disposedAmount]]=TrafficData[[#This Row],[totalAmount]]</f>
        <v>1</v>
      </c>
      <c r="M2220" t="b">
        <f>TrafficData[[#This Row],[pendingCourt]]+TrafficData[[#This Row],[disposedCourt]]=TrafficData[[#This Row],[totalCourt]]</f>
        <v>1</v>
      </c>
      <c r="N2220" s="8" t="b">
        <f>AND(TrafficData[[#This Row],[disposedChallan]]&lt;=TrafficData[[#This Row],[totalChallan]],TrafficData[[#This Row],[pendingChallan]]&lt;=TrafficData[[#This Row],[totalChallan]])</f>
        <v>1</v>
      </c>
      <c r="O2220" s="8" t="b">
        <f>AND(TrafficData[[#This Row],[pendingAmount]]&lt;=TrafficData[[#This Row],[totalAmount]],TrafficData[[#This Row],[disposedAmount]]&lt;=TrafficData[[#This Row],[totalAmount]])</f>
        <v>1</v>
      </c>
      <c r="P2220" s="8" t="b">
        <f>AND(TrafficData[[#This Row],[pendingCourt]]&lt;=TrafficData[[#This Row],[totalCourt]],TrafficData[[#This Row],[disposedCourt]]&lt;=TrafficData[[#This Row],[totalCourt]])</f>
        <v>1</v>
      </c>
    </row>
    <row r="2221" spans="1:16">
      <c r="A2221" s="1">
        <v>44225</v>
      </c>
      <c r="B2221">
        <v>105376</v>
      </c>
      <c r="C2221">
        <v>58445</v>
      </c>
      <c r="D2221">
        <v>46931</v>
      </c>
      <c r="E2221">
        <v>58644599</v>
      </c>
      <c r="F2221">
        <v>69710437</v>
      </c>
      <c r="G2221">
        <v>128355036</v>
      </c>
      <c r="H2221">
        <v>23047</v>
      </c>
      <c r="I2221">
        <v>9357</v>
      </c>
      <c r="J2221">
        <v>32404</v>
      </c>
      <c r="K2221" t="b">
        <f>TrafficData[[#This Row],[disposedChallan]]+TrafficData[[#This Row],[pendingChallan]]=TrafficData[[#This Row],[totalChallan]]</f>
        <v>1</v>
      </c>
      <c r="L2221" t="b">
        <f>TrafficData[[#This Row],[pendingAmount]]+TrafficData[[#This Row],[disposedAmount]]=TrafficData[[#This Row],[totalAmount]]</f>
        <v>1</v>
      </c>
      <c r="M2221" t="b">
        <f>TrafficData[[#This Row],[pendingCourt]]+TrafficData[[#This Row],[disposedCourt]]=TrafficData[[#This Row],[totalCourt]]</f>
        <v>1</v>
      </c>
      <c r="N2221" s="8" t="b">
        <f>AND(TrafficData[[#This Row],[disposedChallan]]&lt;=TrafficData[[#This Row],[totalChallan]],TrafficData[[#This Row],[pendingChallan]]&lt;=TrafficData[[#This Row],[totalChallan]])</f>
        <v>1</v>
      </c>
      <c r="O2221" s="8" t="b">
        <f>AND(TrafficData[[#This Row],[pendingAmount]]&lt;=TrafficData[[#This Row],[totalAmount]],TrafficData[[#This Row],[disposedAmount]]&lt;=TrafficData[[#This Row],[totalAmount]])</f>
        <v>1</v>
      </c>
      <c r="P2221" s="8" t="b">
        <f>AND(TrafficData[[#This Row],[pendingCourt]]&lt;=TrafficData[[#This Row],[totalCourt]],TrafficData[[#This Row],[disposedCourt]]&lt;=TrafficData[[#This Row],[totalCourt]])</f>
        <v>1</v>
      </c>
    </row>
    <row r="2222" spans="1:16">
      <c r="A2222" s="1">
        <v>44226</v>
      </c>
      <c r="B2222">
        <v>114774</v>
      </c>
      <c r="C2222">
        <v>62237</v>
      </c>
      <c r="D2222">
        <v>52537</v>
      </c>
      <c r="E2222">
        <v>60796778</v>
      </c>
      <c r="F2222">
        <v>68290013</v>
      </c>
      <c r="G2222">
        <v>129086791</v>
      </c>
      <c r="H2222">
        <v>26381</v>
      </c>
      <c r="I2222">
        <v>10036</v>
      </c>
      <c r="J2222">
        <v>36417</v>
      </c>
      <c r="K2222" t="b">
        <f>TrafficData[[#This Row],[disposedChallan]]+TrafficData[[#This Row],[pendingChallan]]=TrafficData[[#This Row],[totalChallan]]</f>
        <v>1</v>
      </c>
      <c r="L2222" t="b">
        <f>TrafficData[[#This Row],[pendingAmount]]+TrafficData[[#This Row],[disposedAmount]]=TrafficData[[#This Row],[totalAmount]]</f>
        <v>1</v>
      </c>
      <c r="M2222" t="b">
        <f>TrafficData[[#This Row],[pendingCourt]]+TrafficData[[#This Row],[disposedCourt]]=TrafficData[[#This Row],[totalCourt]]</f>
        <v>1</v>
      </c>
      <c r="N2222" s="8" t="b">
        <f>AND(TrafficData[[#This Row],[disposedChallan]]&lt;=TrafficData[[#This Row],[totalChallan]],TrafficData[[#This Row],[pendingChallan]]&lt;=TrafficData[[#This Row],[totalChallan]])</f>
        <v>1</v>
      </c>
      <c r="O2222" s="8" t="b">
        <f>AND(TrafficData[[#This Row],[pendingAmount]]&lt;=TrafficData[[#This Row],[totalAmount]],TrafficData[[#This Row],[disposedAmount]]&lt;=TrafficData[[#This Row],[totalAmount]])</f>
        <v>1</v>
      </c>
      <c r="P2222" s="8" t="b">
        <f>AND(TrafficData[[#This Row],[pendingCourt]]&lt;=TrafficData[[#This Row],[totalCourt]],TrafficData[[#This Row],[disposedCourt]]&lt;=TrafficData[[#This Row],[totalCourt]])</f>
        <v>1</v>
      </c>
    </row>
    <row r="2223" spans="1:16">
      <c r="A2223" s="1">
        <v>44227</v>
      </c>
      <c r="B2223">
        <v>96810</v>
      </c>
      <c r="C2223">
        <v>50076</v>
      </c>
      <c r="D2223">
        <v>46734</v>
      </c>
      <c r="E2223">
        <v>52456572</v>
      </c>
      <c r="F2223">
        <v>48220250</v>
      </c>
      <c r="G2223">
        <v>100676822</v>
      </c>
      <c r="H2223">
        <v>22522</v>
      </c>
      <c r="I2223">
        <v>8246</v>
      </c>
      <c r="J2223">
        <v>30768</v>
      </c>
      <c r="K2223" t="b">
        <f>TrafficData[[#This Row],[disposedChallan]]+TrafficData[[#This Row],[pendingChallan]]=TrafficData[[#This Row],[totalChallan]]</f>
        <v>1</v>
      </c>
      <c r="L2223" t="b">
        <f>TrafficData[[#This Row],[pendingAmount]]+TrafficData[[#This Row],[disposedAmount]]=TrafficData[[#This Row],[totalAmount]]</f>
        <v>1</v>
      </c>
      <c r="M2223" t="b">
        <f>TrafficData[[#This Row],[pendingCourt]]+TrafficData[[#This Row],[disposedCourt]]=TrafficData[[#This Row],[totalCourt]]</f>
        <v>1</v>
      </c>
      <c r="N2223" s="8" t="b">
        <f>AND(TrafficData[[#This Row],[disposedChallan]]&lt;=TrafficData[[#This Row],[totalChallan]],TrafficData[[#This Row],[pendingChallan]]&lt;=TrafficData[[#This Row],[totalChallan]])</f>
        <v>1</v>
      </c>
      <c r="O2223" s="8" t="b">
        <f>AND(TrafficData[[#This Row],[pendingAmount]]&lt;=TrafficData[[#This Row],[totalAmount]],TrafficData[[#This Row],[disposedAmount]]&lt;=TrafficData[[#This Row],[totalAmount]])</f>
        <v>1</v>
      </c>
      <c r="P2223" s="8" t="b">
        <f>AND(TrafficData[[#This Row],[pendingCourt]]&lt;=TrafficData[[#This Row],[totalCourt]],TrafficData[[#This Row],[disposedCourt]]&lt;=TrafficData[[#This Row],[totalCourt]])</f>
        <v>1</v>
      </c>
    </row>
    <row r="2224" spans="1:16">
      <c r="A2224" s="1">
        <v>44228</v>
      </c>
      <c r="B2224">
        <v>116078</v>
      </c>
      <c r="C2224">
        <v>61666</v>
      </c>
      <c r="D2224">
        <v>54412</v>
      </c>
      <c r="E2224">
        <v>63686238</v>
      </c>
      <c r="F2224">
        <v>69081254</v>
      </c>
      <c r="G2224">
        <v>132767492</v>
      </c>
      <c r="H2224">
        <v>27527</v>
      </c>
      <c r="I2224">
        <v>10236</v>
      </c>
      <c r="J2224">
        <v>37763</v>
      </c>
      <c r="K2224" t="b">
        <f>TrafficData[[#This Row],[disposedChallan]]+TrafficData[[#This Row],[pendingChallan]]=TrafficData[[#This Row],[totalChallan]]</f>
        <v>1</v>
      </c>
      <c r="L2224" t="b">
        <f>TrafficData[[#This Row],[pendingAmount]]+TrafficData[[#This Row],[disposedAmount]]=TrafficData[[#This Row],[totalAmount]]</f>
        <v>1</v>
      </c>
      <c r="M2224" t="b">
        <f>TrafficData[[#This Row],[pendingCourt]]+TrafficData[[#This Row],[disposedCourt]]=TrafficData[[#This Row],[totalCourt]]</f>
        <v>1</v>
      </c>
      <c r="N2224" s="8" t="b">
        <f>AND(TrafficData[[#This Row],[disposedChallan]]&lt;=TrafficData[[#This Row],[totalChallan]],TrafficData[[#This Row],[pendingChallan]]&lt;=TrafficData[[#This Row],[totalChallan]])</f>
        <v>1</v>
      </c>
      <c r="O2224" s="8" t="b">
        <f>AND(TrafficData[[#This Row],[pendingAmount]]&lt;=TrafficData[[#This Row],[totalAmount]],TrafficData[[#This Row],[disposedAmount]]&lt;=TrafficData[[#This Row],[totalAmount]])</f>
        <v>1</v>
      </c>
      <c r="P2224" s="8" t="b">
        <f>AND(TrafficData[[#This Row],[pendingCourt]]&lt;=TrafficData[[#This Row],[totalCourt]],TrafficData[[#This Row],[disposedCourt]]&lt;=TrafficData[[#This Row],[totalCourt]])</f>
        <v>1</v>
      </c>
    </row>
    <row r="2225" spans="1:16">
      <c r="A2225" s="1">
        <v>44229</v>
      </c>
      <c r="B2225">
        <v>118770</v>
      </c>
      <c r="C2225">
        <v>65037</v>
      </c>
      <c r="D2225">
        <v>53733</v>
      </c>
      <c r="E2225">
        <v>69123715</v>
      </c>
      <c r="F2225">
        <v>80492145</v>
      </c>
      <c r="G2225">
        <v>149615860</v>
      </c>
      <c r="H2225">
        <v>27443</v>
      </c>
      <c r="I2225">
        <v>10650</v>
      </c>
      <c r="J2225">
        <v>38093</v>
      </c>
      <c r="K2225" t="b">
        <f>TrafficData[[#This Row],[disposedChallan]]+TrafficData[[#This Row],[pendingChallan]]=TrafficData[[#This Row],[totalChallan]]</f>
        <v>1</v>
      </c>
      <c r="L2225" t="b">
        <f>TrafficData[[#This Row],[pendingAmount]]+TrafficData[[#This Row],[disposedAmount]]=TrafficData[[#This Row],[totalAmount]]</f>
        <v>1</v>
      </c>
      <c r="M2225" t="b">
        <f>TrafficData[[#This Row],[pendingCourt]]+TrafficData[[#This Row],[disposedCourt]]=TrafficData[[#This Row],[totalCourt]]</f>
        <v>1</v>
      </c>
      <c r="N2225" s="8" t="b">
        <f>AND(TrafficData[[#This Row],[disposedChallan]]&lt;=TrafficData[[#This Row],[totalChallan]],TrafficData[[#This Row],[pendingChallan]]&lt;=TrafficData[[#This Row],[totalChallan]])</f>
        <v>1</v>
      </c>
      <c r="O2225" s="8" t="b">
        <f>AND(TrafficData[[#This Row],[pendingAmount]]&lt;=TrafficData[[#This Row],[totalAmount]],TrafficData[[#This Row],[disposedAmount]]&lt;=TrafficData[[#This Row],[totalAmount]])</f>
        <v>1</v>
      </c>
      <c r="P2225" s="8" t="b">
        <f>AND(TrafficData[[#This Row],[pendingCourt]]&lt;=TrafficData[[#This Row],[totalCourt]],TrafficData[[#This Row],[disposedCourt]]&lt;=TrafficData[[#This Row],[totalCourt]])</f>
        <v>1</v>
      </c>
    </row>
    <row r="2226" spans="1:16">
      <c r="A2226" s="1">
        <v>44230</v>
      </c>
      <c r="B2226">
        <v>118715</v>
      </c>
      <c r="C2226">
        <v>64462</v>
      </c>
      <c r="D2226">
        <v>54253</v>
      </c>
      <c r="E2226">
        <v>71174483</v>
      </c>
      <c r="F2226">
        <v>86471226</v>
      </c>
      <c r="G2226">
        <v>157645709</v>
      </c>
      <c r="H2226">
        <v>27808</v>
      </c>
      <c r="I2226">
        <v>10133</v>
      </c>
      <c r="J2226">
        <v>37941</v>
      </c>
      <c r="K2226" t="b">
        <f>TrafficData[[#This Row],[disposedChallan]]+TrafficData[[#This Row],[pendingChallan]]=TrafficData[[#This Row],[totalChallan]]</f>
        <v>1</v>
      </c>
      <c r="L2226" t="b">
        <f>TrafficData[[#This Row],[pendingAmount]]+TrafficData[[#This Row],[disposedAmount]]=TrafficData[[#This Row],[totalAmount]]</f>
        <v>1</v>
      </c>
      <c r="M2226" t="b">
        <f>TrafficData[[#This Row],[pendingCourt]]+TrafficData[[#This Row],[disposedCourt]]=TrafficData[[#This Row],[totalCourt]]</f>
        <v>1</v>
      </c>
      <c r="N2226" s="8" t="b">
        <f>AND(TrafficData[[#This Row],[disposedChallan]]&lt;=TrafficData[[#This Row],[totalChallan]],TrafficData[[#This Row],[pendingChallan]]&lt;=TrafficData[[#This Row],[totalChallan]])</f>
        <v>1</v>
      </c>
      <c r="O2226" s="8" t="b">
        <f>AND(TrafficData[[#This Row],[pendingAmount]]&lt;=TrafficData[[#This Row],[totalAmount]],TrafficData[[#This Row],[disposedAmount]]&lt;=TrafficData[[#This Row],[totalAmount]])</f>
        <v>1</v>
      </c>
      <c r="P2226" s="8" t="b">
        <f>AND(TrafficData[[#This Row],[pendingCourt]]&lt;=TrafficData[[#This Row],[totalCourt]],TrafficData[[#This Row],[disposedCourt]]&lt;=TrafficData[[#This Row],[totalCourt]])</f>
        <v>1</v>
      </c>
    </row>
    <row r="2227" spans="1:16">
      <c r="A2227" s="1">
        <v>44231</v>
      </c>
      <c r="B2227">
        <v>114989</v>
      </c>
      <c r="C2227">
        <v>62867</v>
      </c>
      <c r="D2227">
        <v>52122</v>
      </c>
      <c r="E2227">
        <v>64635949</v>
      </c>
      <c r="F2227">
        <v>85893353</v>
      </c>
      <c r="G2227">
        <v>150529302</v>
      </c>
      <c r="H2227">
        <v>23879</v>
      </c>
      <c r="I2227">
        <v>7767</v>
      </c>
      <c r="J2227">
        <v>31646</v>
      </c>
      <c r="K2227" t="b">
        <f>TrafficData[[#This Row],[disposedChallan]]+TrafficData[[#This Row],[pendingChallan]]=TrafficData[[#This Row],[totalChallan]]</f>
        <v>1</v>
      </c>
      <c r="L2227" t="b">
        <f>TrafficData[[#This Row],[pendingAmount]]+TrafficData[[#This Row],[disposedAmount]]=TrafficData[[#This Row],[totalAmount]]</f>
        <v>1</v>
      </c>
      <c r="M2227" t="b">
        <f>TrafficData[[#This Row],[pendingCourt]]+TrafficData[[#This Row],[disposedCourt]]=TrafficData[[#This Row],[totalCourt]]</f>
        <v>1</v>
      </c>
      <c r="N2227" s="8" t="b">
        <f>AND(TrafficData[[#This Row],[disposedChallan]]&lt;=TrafficData[[#This Row],[totalChallan]],TrafficData[[#This Row],[pendingChallan]]&lt;=TrafficData[[#This Row],[totalChallan]])</f>
        <v>1</v>
      </c>
      <c r="O2227" s="8" t="b">
        <f>AND(TrafficData[[#This Row],[pendingAmount]]&lt;=TrafficData[[#This Row],[totalAmount]],TrafficData[[#This Row],[disposedAmount]]&lt;=TrafficData[[#This Row],[totalAmount]])</f>
        <v>1</v>
      </c>
      <c r="P2227" s="8" t="b">
        <f>AND(TrafficData[[#This Row],[pendingCourt]]&lt;=TrafficData[[#This Row],[totalCourt]],TrafficData[[#This Row],[disposedCourt]]&lt;=TrafficData[[#This Row],[totalCourt]])</f>
        <v>1</v>
      </c>
    </row>
    <row r="2228" spans="1:16">
      <c r="A2228" s="1">
        <v>44232</v>
      </c>
      <c r="B2228">
        <v>122142</v>
      </c>
      <c r="C2228">
        <v>66160</v>
      </c>
      <c r="D2228">
        <v>55982</v>
      </c>
      <c r="E2228">
        <v>69219575</v>
      </c>
      <c r="F2228">
        <v>88804406</v>
      </c>
      <c r="G2228">
        <v>158023981</v>
      </c>
      <c r="H2228">
        <v>26199</v>
      </c>
      <c r="I2228">
        <v>10309</v>
      </c>
      <c r="J2228">
        <v>36508</v>
      </c>
      <c r="K2228" t="b">
        <f>TrafficData[[#This Row],[disposedChallan]]+TrafficData[[#This Row],[pendingChallan]]=TrafficData[[#This Row],[totalChallan]]</f>
        <v>1</v>
      </c>
      <c r="L2228" t="b">
        <f>TrafficData[[#This Row],[pendingAmount]]+TrafficData[[#This Row],[disposedAmount]]=TrafficData[[#This Row],[totalAmount]]</f>
        <v>1</v>
      </c>
      <c r="M2228" t="b">
        <f>TrafficData[[#This Row],[pendingCourt]]+TrafficData[[#This Row],[disposedCourt]]=TrafficData[[#This Row],[totalCourt]]</f>
        <v>1</v>
      </c>
      <c r="N2228" s="8" t="b">
        <f>AND(TrafficData[[#This Row],[disposedChallan]]&lt;=TrafficData[[#This Row],[totalChallan]],TrafficData[[#This Row],[pendingChallan]]&lt;=TrafficData[[#This Row],[totalChallan]])</f>
        <v>1</v>
      </c>
      <c r="O2228" s="8" t="b">
        <f>AND(TrafficData[[#This Row],[pendingAmount]]&lt;=TrafficData[[#This Row],[totalAmount]],TrafficData[[#This Row],[disposedAmount]]&lt;=TrafficData[[#This Row],[totalAmount]])</f>
        <v>1</v>
      </c>
      <c r="P2228" s="8" t="b">
        <f>AND(TrafficData[[#This Row],[pendingCourt]]&lt;=TrafficData[[#This Row],[totalCourt]],TrafficData[[#This Row],[disposedCourt]]&lt;=TrafficData[[#This Row],[totalCourt]])</f>
        <v>1</v>
      </c>
    </row>
    <row r="2229" spans="1:16">
      <c r="A2229" s="1">
        <v>44233</v>
      </c>
      <c r="B2229">
        <v>115621</v>
      </c>
      <c r="C2229">
        <v>62569</v>
      </c>
      <c r="D2229">
        <v>53052</v>
      </c>
      <c r="E2229">
        <v>59790451</v>
      </c>
      <c r="F2229">
        <v>80440032</v>
      </c>
      <c r="G2229">
        <v>140230483</v>
      </c>
      <c r="H2229">
        <v>24622</v>
      </c>
      <c r="I2229">
        <v>9646</v>
      </c>
      <c r="J2229">
        <v>34268</v>
      </c>
      <c r="K2229" t="b">
        <f>TrafficData[[#This Row],[disposedChallan]]+TrafficData[[#This Row],[pendingChallan]]=TrafficData[[#This Row],[totalChallan]]</f>
        <v>1</v>
      </c>
      <c r="L2229" t="b">
        <f>TrafficData[[#This Row],[pendingAmount]]+TrafficData[[#This Row],[disposedAmount]]=TrafficData[[#This Row],[totalAmount]]</f>
        <v>1</v>
      </c>
      <c r="M2229" t="b">
        <f>TrafficData[[#This Row],[pendingCourt]]+TrafficData[[#This Row],[disposedCourt]]=TrafficData[[#This Row],[totalCourt]]</f>
        <v>1</v>
      </c>
      <c r="N2229" s="8" t="b">
        <f>AND(TrafficData[[#This Row],[disposedChallan]]&lt;=TrafficData[[#This Row],[totalChallan]],TrafficData[[#This Row],[pendingChallan]]&lt;=TrafficData[[#This Row],[totalChallan]])</f>
        <v>1</v>
      </c>
      <c r="O2229" s="8" t="b">
        <f>AND(TrafficData[[#This Row],[pendingAmount]]&lt;=TrafficData[[#This Row],[totalAmount]],TrafficData[[#This Row],[disposedAmount]]&lt;=TrafficData[[#This Row],[totalAmount]])</f>
        <v>1</v>
      </c>
      <c r="P2229" s="8" t="b">
        <f>AND(TrafficData[[#This Row],[pendingCourt]]&lt;=TrafficData[[#This Row],[totalCourt]],TrafficData[[#This Row],[disposedCourt]]&lt;=TrafficData[[#This Row],[totalCourt]])</f>
        <v>1</v>
      </c>
    </row>
    <row r="2230" spans="1:16">
      <c r="A2230" s="1">
        <v>44234</v>
      </c>
      <c r="B2230">
        <v>100436</v>
      </c>
      <c r="C2230">
        <v>52222</v>
      </c>
      <c r="D2230">
        <v>48214</v>
      </c>
      <c r="E2230">
        <v>54739687</v>
      </c>
      <c r="F2230">
        <v>55857148</v>
      </c>
      <c r="G2230">
        <v>110596835</v>
      </c>
      <c r="H2230">
        <v>22820</v>
      </c>
      <c r="I2230">
        <v>8463</v>
      </c>
      <c r="J2230">
        <v>31283</v>
      </c>
      <c r="K2230" t="b">
        <f>TrafficData[[#This Row],[disposedChallan]]+TrafficData[[#This Row],[pendingChallan]]=TrafficData[[#This Row],[totalChallan]]</f>
        <v>1</v>
      </c>
      <c r="L2230" t="b">
        <f>TrafficData[[#This Row],[pendingAmount]]+TrafficData[[#This Row],[disposedAmount]]=TrafficData[[#This Row],[totalAmount]]</f>
        <v>1</v>
      </c>
      <c r="M2230" t="b">
        <f>TrafficData[[#This Row],[pendingCourt]]+TrafficData[[#This Row],[disposedCourt]]=TrafficData[[#This Row],[totalCourt]]</f>
        <v>1</v>
      </c>
      <c r="N2230" s="8" t="b">
        <f>AND(TrafficData[[#This Row],[disposedChallan]]&lt;=TrafficData[[#This Row],[totalChallan]],TrafficData[[#This Row],[pendingChallan]]&lt;=TrafficData[[#This Row],[totalChallan]])</f>
        <v>1</v>
      </c>
      <c r="O2230" s="8" t="b">
        <f>AND(TrafficData[[#This Row],[pendingAmount]]&lt;=TrafficData[[#This Row],[totalAmount]],TrafficData[[#This Row],[disposedAmount]]&lt;=TrafficData[[#This Row],[totalAmount]])</f>
        <v>1</v>
      </c>
      <c r="P2230" s="8" t="b">
        <f>AND(TrafficData[[#This Row],[pendingCourt]]&lt;=TrafficData[[#This Row],[totalCourt]],TrafficData[[#This Row],[disposedCourt]]&lt;=TrafficData[[#This Row],[totalCourt]])</f>
        <v>1</v>
      </c>
    </row>
    <row r="2231" spans="1:16">
      <c r="A2231" s="1">
        <v>44235</v>
      </c>
      <c r="B2231">
        <v>109963</v>
      </c>
      <c r="C2231">
        <v>60349</v>
      </c>
      <c r="D2231">
        <v>49614</v>
      </c>
      <c r="E2231">
        <v>65445466</v>
      </c>
      <c r="F2231">
        <v>79053131</v>
      </c>
      <c r="G2231">
        <v>144498597</v>
      </c>
      <c r="H2231">
        <v>26350</v>
      </c>
      <c r="I2231">
        <v>9938</v>
      </c>
      <c r="J2231">
        <v>36288</v>
      </c>
      <c r="K2231" t="b">
        <f>TrafficData[[#This Row],[disposedChallan]]+TrafficData[[#This Row],[pendingChallan]]=TrafficData[[#This Row],[totalChallan]]</f>
        <v>1</v>
      </c>
      <c r="L2231" t="b">
        <f>TrafficData[[#This Row],[pendingAmount]]+TrafficData[[#This Row],[disposedAmount]]=TrafficData[[#This Row],[totalAmount]]</f>
        <v>1</v>
      </c>
      <c r="M2231" t="b">
        <f>TrafficData[[#This Row],[pendingCourt]]+TrafficData[[#This Row],[disposedCourt]]=TrafficData[[#This Row],[totalCourt]]</f>
        <v>1</v>
      </c>
      <c r="N2231" s="8" t="b">
        <f>AND(TrafficData[[#This Row],[disposedChallan]]&lt;=TrafficData[[#This Row],[totalChallan]],TrafficData[[#This Row],[pendingChallan]]&lt;=TrafficData[[#This Row],[totalChallan]])</f>
        <v>1</v>
      </c>
      <c r="O2231" s="8" t="b">
        <f>AND(TrafficData[[#This Row],[pendingAmount]]&lt;=TrafficData[[#This Row],[totalAmount]],TrafficData[[#This Row],[disposedAmount]]&lt;=TrafficData[[#This Row],[totalAmount]])</f>
        <v>1</v>
      </c>
      <c r="P2231" s="8" t="b">
        <f>AND(TrafficData[[#This Row],[pendingCourt]]&lt;=TrafficData[[#This Row],[totalCourt]],TrafficData[[#This Row],[disposedCourt]]&lt;=TrafficData[[#This Row],[totalCourt]])</f>
        <v>1</v>
      </c>
    </row>
    <row r="2232" spans="1:16">
      <c r="A2232" s="1">
        <v>44236</v>
      </c>
      <c r="B2232">
        <v>112499</v>
      </c>
      <c r="C2232">
        <v>62981</v>
      </c>
      <c r="D2232">
        <v>49518</v>
      </c>
      <c r="E2232">
        <v>69558673</v>
      </c>
      <c r="F2232">
        <v>84959118</v>
      </c>
      <c r="G2232">
        <v>154517791</v>
      </c>
      <c r="H2232">
        <v>25499</v>
      </c>
      <c r="I2232">
        <v>10325</v>
      </c>
      <c r="J2232">
        <v>35824</v>
      </c>
      <c r="K2232" t="b">
        <f>TrafficData[[#This Row],[disposedChallan]]+TrafficData[[#This Row],[pendingChallan]]=TrafficData[[#This Row],[totalChallan]]</f>
        <v>1</v>
      </c>
      <c r="L2232" t="b">
        <f>TrafficData[[#This Row],[pendingAmount]]+TrafficData[[#This Row],[disposedAmount]]=TrafficData[[#This Row],[totalAmount]]</f>
        <v>1</v>
      </c>
      <c r="M2232" t="b">
        <f>TrafficData[[#This Row],[pendingCourt]]+TrafficData[[#This Row],[disposedCourt]]=TrafficData[[#This Row],[totalCourt]]</f>
        <v>1</v>
      </c>
      <c r="N2232" s="8" t="b">
        <f>AND(TrafficData[[#This Row],[disposedChallan]]&lt;=TrafficData[[#This Row],[totalChallan]],TrafficData[[#This Row],[pendingChallan]]&lt;=TrafficData[[#This Row],[totalChallan]])</f>
        <v>1</v>
      </c>
      <c r="O2232" s="8" t="b">
        <f>AND(TrafficData[[#This Row],[pendingAmount]]&lt;=TrafficData[[#This Row],[totalAmount]],TrafficData[[#This Row],[disposedAmount]]&lt;=TrafficData[[#This Row],[totalAmount]])</f>
        <v>1</v>
      </c>
      <c r="P2232" s="8" t="b">
        <f>AND(TrafficData[[#This Row],[pendingCourt]]&lt;=TrafficData[[#This Row],[totalCourt]],TrafficData[[#This Row],[disposedCourt]]&lt;=TrafficData[[#This Row],[totalCourt]])</f>
        <v>1</v>
      </c>
    </row>
    <row r="2233" spans="1:16">
      <c r="A2233" s="1">
        <v>44237</v>
      </c>
      <c r="B2233">
        <v>114897</v>
      </c>
      <c r="C2233">
        <v>64196</v>
      </c>
      <c r="D2233">
        <v>50701</v>
      </c>
      <c r="E2233">
        <v>64251874</v>
      </c>
      <c r="F2233">
        <v>83503188</v>
      </c>
      <c r="G2233">
        <v>147755062</v>
      </c>
      <c r="H2233">
        <v>25917</v>
      </c>
      <c r="I2233">
        <v>10696</v>
      </c>
      <c r="J2233">
        <v>36613</v>
      </c>
      <c r="K2233" t="b">
        <f>TrafficData[[#This Row],[disposedChallan]]+TrafficData[[#This Row],[pendingChallan]]=TrafficData[[#This Row],[totalChallan]]</f>
        <v>1</v>
      </c>
      <c r="L2233" t="b">
        <f>TrafficData[[#This Row],[pendingAmount]]+TrafficData[[#This Row],[disposedAmount]]=TrafficData[[#This Row],[totalAmount]]</f>
        <v>1</v>
      </c>
      <c r="M2233" t="b">
        <f>TrafficData[[#This Row],[pendingCourt]]+TrafficData[[#This Row],[disposedCourt]]=TrafficData[[#This Row],[totalCourt]]</f>
        <v>1</v>
      </c>
      <c r="N2233" s="8" t="b">
        <f>AND(TrafficData[[#This Row],[disposedChallan]]&lt;=TrafficData[[#This Row],[totalChallan]],TrafficData[[#This Row],[pendingChallan]]&lt;=TrafficData[[#This Row],[totalChallan]])</f>
        <v>1</v>
      </c>
      <c r="O2233" s="8" t="b">
        <f>AND(TrafficData[[#This Row],[pendingAmount]]&lt;=TrafficData[[#This Row],[totalAmount]],TrafficData[[#This Row],[disposedAmount]]&lt;=TrafficData[[#This Row],[totalAmount]])</f>
        <v>1</v>
      </c>
      <c r="P2233" s="8" t="b">
        <f>AND(TrafficData[[#This Row],[pendingCourt]]&lt;=TrafficData[[#This Row],[totalCourt]],TrafficData[[#This Row],[disposedCourt]]&lt;=TrafficData[[#This Row],[totalCourt]])</f>
        <v>1</v>
      </c>
    </row>
    <row r="2234" spans="1:16">
      <c r="A2234" s="1">
        <v>44238</v>
      </c>
      <c r="B2234">
        <v>118645</v>
      </c>
      <c r="C2234">
        <v>65345</v>
      </c>
      <c r="D2234">
        <v>53300</v>
      </c>
      <c r="E2234">
        <v>65441167</v>
      </c>
      <c r="F2234">
        <v>87073342</v>
      </c>
      <c r="G2234">
        <v>152514509</v>
      </c>
      <c r="H2234">
        <v>26172</v>
      </c>
      <c r="I2234">
        <v>9960</v>
      </c>
      <c r="J2234">
        <v>36132</v>
      </c>
      <c r="K2234" t="b">
        <f>TrafficData[[#This Row],[disposedChallan]]+TrafficData[[#This Row],[pendingChallan]]=TrafficData[[#This Row],[totalChallan]]</f>
        <v>1</v>
      </c>
      <c r="L2234" t="b">
        <f>TrafficData[[#This Row],[pendingAmount]]+TrafficData[[#This Row],[disposedAmount]]=TrafficData[[#This Row],[totalAmount]]</f>
        <v>1</v>
      </c>
      <c r="M2234" t="b">
        <f>TrafficData[[#This Row],[pendingCourt]]+TrafficData[[#This Row],[disposedCourt]]=TrafficData[[#This Row],[totalCourt]]</f>
        <v>1</v>
      </c>
      <c r="N2234" s="8" t="b">
        <f>AND(TrafficData[[#This Row],[disposedChallan]]&lt;=TrafficData[[#This Row],[totalChallan]],TrafficData[[#This Row],[pendingChallan]]&lt;=TrafficData[[#This Row],[totalChallan]])</f>
        <v>1</v>
      </c>
      <c r="O2234" s="8" t="b">
        <f>AND(TrafficData[[#This Row],[pendingAmount]]&lt;=TrafficData[[#This Row],[totalAmount]],TrafficData[[#This Row],[disposedAmount]]&lt;=TrafficData[[#This Row],[totalAmount]])</f>
        <v>1</v>
      </c>
      <c r="P2234" s="8" t="b">
        <f>AND(TrafficData[[#This Row],[pendingCourt]]&lt;=TrafficData[[#This Row],[totalCourt]],TrafficData[[#This Row],[disposedCourt]]&lt;=TrafficData[[#This Row],[totalCourt]])</f>
        <v>1</v>
      </c>
    </row>
    <row r="2235" spans="1:16">
      <c r="A2235" s="1">
        <v>44239</v>
      </c>
      <c r="B2235">
        <v>116353</v>
      </c>
      <c r="C2235">
        <v>63735</v>
      </c>
      <c r="D2235">
        <v>52618</v>
      </c>
      <c r="E2235">
        <v>62599829</v>
      </c>
      <c r="F2235">
        <v>84706706</v>
      </c>
      <c r="G2235">
        <v>147306535</v>
      </c>
      <c r="H2235">
        <v>26283</v>
      </c>
      <c r="I2235">
        <v>10111</v>
      </c>
      <c r="J2235">
        <v>36394</v>
      </c>
      <c r="K2235" t="b">
        <f>TrafficData[[#This Row],[disposedChallan]]+TrafficData[[#This Row],[pendingChallan]]=TrafficData[[#This Row],[totalChallan]]</f>
        <v>1</v>
      </c>
      <c r="L2235" t="b">
        <f>TrafficData[[#This Row],[pendingAmount]]+TrafficData[[#This Row],[disposedAmount]]=TrafficData[[#This Row],[totalAmount]]</f>
        <v>1</v>
      </c>
      <c r="M2235" t="b">
        <f>TrafficData[[#This Row],[pendingCourt]]+TrafficData[[#This Row],[disposedCourt]]=TrafficData[[#This Row],[totalCourt]]</f>
        <v>1</v>
      </c>
      <c r="N2235" s="8" t="b">
        <f>AND(TrafficData[[#This Row],[disposedChallan]]&lt;=TrafficData[[#This Row],[totalChallan]],TrafficData[[#This Row],[pendingChallan]]&lt;=TrafficData[[#This Row],[totalChallan]])</f>
        <v>1</v>
      </c>
      <c r="O2235" s="8" t="b">
        <f>AND(TrafficData[[#This Row],[pendingAmount]]&lt;=TrafficData[[#This Row],[totalAmount]],TrafficData[[#This Row],[disposedAmount]]&lt;=TrafficData[[#This Row],[totalAmount]])</f>
        <v>1</v>
      </c>
      <c r="P2235" s="8" t="b">
        <f>AND(TrafficData[[#This Row],[pendingCourt]]&lt;=TrafficData[[#This Row],[totalCourt]],TrafficData[[#This Row],[disposedCourt]]&lt;=TrafficData[[#This Row],[totalCourt]])</f>
        <v>1</v>
      </c>
    </row>
    <row r="2236" spans="1:16">
      <c r="A2236" s="1">
        <v>44240</v>
      </c>
      <c r="B2236">
        <v>114611</v>
      </c>
      <c r="C2236">
        <v>63272</v>
      </c>
      <c r="D2236">
        <v>51339</v>
      </c>
      <c r="E2236">
        <v>56999546</v>
      </c>
      <c r="F2236">
        <v>78582366</v>
      </c>
      <c r="G2236">
        <v>135581912</v>
      </c>
      <c r="H2236">
        <v>23942</v>
      </c>
      <c r="I2236">
        <v>10106</v>
      </c>
      <c r="J2236">
        <v>34048</v>
      </c>
      <c r="K2236" t="b">
        <f>TrafficData[[#This Row],[disposedChallan]]+TrafficData[[#This Row],[pendingChallan]]=TrafficData[[#This Row],[totalChallan]]</f>
        <v>1</v>
      </c>
      <c r="L2236" t="b">
        <f>TrafficData[[#This Row],[pendingAmount]]+TrafficData[[#This Row],[disposedAmount]]=TrafficData[[#This Row],[totalAmount]]</f>
        <v>1</v>
      </c>
      <c r="M2236" t="b">
        <f>TrafficData[[#This Row],[pendingCourt]]+TrafficData[[#This Row],[disposedCourt]]=TrafficData[[#This Row],[totalCourt]]</f>
        <v>1</v>
      </c>
      <c r="N2236" s="8" t="b">
        <f>AND(TrafficData[[#This Row],[disposedChallan]]&lt;=TrafficData[[#This Row],[totalChallan]],TrafficData[[#This Row],[pendingChallan]]&lt;=TrafficData[[#This Row],[totalChallan]])</f>
        <v>1</v>
      </c>
      <c r="O2236" s="8" t="b">
        <f>AND(TrafficData[[#This Row],[pendingAmount]]&lt;=TrafficData[[#This Row],[totalAmount]],TrafficData[[#This Row],[disposedAmount]]&lt;=TrafficData[[#This Row],[totalAmount]])</f>
        <v>1</v>
      </c>
      <c r="P2236" s="8" t="b">
        <f>AND(TrafficData[[#This Row],[pendingCourt]]&lt;=TrafficData[[#This Row],[totalCourt]],TrafficData[[#This Row],[disposedCourt]]&lt;=TrafficData[[#This Row],[totalCourt]])</f>
        <v>1</v>
      </c>
    </row>
    <row r="2237" spans="1:16">
      <c r="A2237" s="1">
        <v>44241</v>
      </c>
      <c r="B2237">
        <v>99911</v>
      </c>
      <c r="C2237">
        <v>51622</v>
      </c>
      <c r="D2237">
        <v>48289</v>
      </c>
      <c r="E2237">
        <v>50079050</v>
      </c>
      <c r="F2237">
        <v>60422295</v>
      </c>
      <c r="G2237">
        <v>110501345</v>
      </c>
      <c r="H2237">
        <v>21944</v>
      </c>
      <c r="I2237">
        <v>8690</v>
      </c>
      <c r="J2237">
        <v>30634</v>
      </c>
      <c r="K2237" t="b">
        <f>TrafficData[[#This Row],[disposedChallan]]+TrafficData[[#This Row],[pendingChallan]]=TrafficData[[#This Row],[totalChallan]]</f>
        <v>1</v>
      </c>
      <c r="L2237" t="b">
        <f>TrafficData[[#This Row],[pendingAmount]]+TrafficData[[#This Row],[disposedAmount]]=TrafficData[[#This Row],[totalAmount]]</f>
        <v>1</v>
      </c>
      <c r="M2237" t="b">
        <f>TrafficData[[#This Row],[pendingCourt]]+TrafficData[[#This Row],[disposedCourt]]=TrafficData[[#This Row],[totalCourt]]</f>
        <v>1</v>
      </c>
      <c r="N2237" s="8" t="b">
        <f>AND(TrafficData[[#This Row],[disposedChallan]]&lt;=TrafficData[[#This Row],[totalChallan]],TrafficData[[#This Row],[pendingChallan]]&lt;=TrafficData[[#This Row],[totalChallan]])</f>
        <v>1</v>
      </c>
      <c r="O2237" s="8" t="b">
        <f>AND(TrafficData[[#This Row],[pendingAmount]]&lt;=TrafficData[[#This Row],[totalAmount]],TrafficData[[#This Row],[disposedAmount]]&lt;=TrafficData[[#This Row],[totalAmount]])</f>
        <v>1</v>
      </c>
      <c r="P2237" s="8" t="b">
        <f>AND(TrafficData[[#This Row],[pendingCourt]]&lt;=TrafficData[[#This Row],[totalCourt]],TrafficData[[#This Row],[disposedCourt]]&lt;=TrafficData[[#This Row],[totalCourt]])</f>
        <v>1</v>
      </c>
    </row>
    <row r="2238" spans="1:16">
      <c r="A2238" s="1">
        <v>44242</v>
      </c>
      <c r="B2238">
        <v>110102</v>
      </c>
      <c r="C2238">
        <v>59738</v>
      </c>
      <c r="D2238">
        <v>50364</v>
      </c>
      <c r="E2238">
        <v>53966817</v>
      </c>
      <c r="F2238">
        <v>63935403</v>
      </c>
      <c r="G2238">
        <v>117902220</v>
      </c>
      <c r="H2238">
        <v>25396</v>
      </c>
      <c r="I2238">
        <v>9378</v>
      </c>
      <c r="J2238">
        <v>34774</v>
      </c>
      <c r="K2238" t="b">
        <f>TrafficData[[#This Row],[disposedChallan]]+TrafficData[[#This Row],[pendingChallan]]=TrafficData[[#This Row],[totalChallan]]</f>
        <v>1</v>
      </c>
      <c r="L2238" t="b">
        <f>TrafficData[[#This Row],[pendingAmount]]+TrafficData[[#This Row],[disposedAmount]]=TrafficData[[#This Row],[totalAmount]]</f>
        <v>1</v>
      </c>
      <c r="M2238" t="b">
        <f>TrafficData[[#This Row],[pendingCourt]]+TrafficData[[#This Row],[disposedCourt]]=TrafficData[[#This Row],[totalCourt]]</f>
        <v>1</v>
      </c>
      <c r="N2238" s="8" t="b">
        <f>AND(TrafficData[[#This Row],[disposedChallan]]&lt;=TrafficData[[#This Row],[totalChallan]],TrafficData[[#This Row],[pendingChallan]]&lt;=TrafficData[[#This Row],[totalChallan]])</f>
        <v>1</v>
      </c>
      <c r="O2238" s="8" t="b">
        <f>AND(TrafficData[[#This Row],[pendingAmount]]&lt;=TrafficData[[#This Row],[totalAmount]],TrafficData[[#This Row],[disposedAmount]]&lt;=TrafficData[[#This Row],[totalAmount]])</f>
        <v>1</v>
      </c>
      <c r="P2238" s="8" t="b">
        <f>AND(TrafficData[[#This Row],[pendingCourt]]&lt;=TrafficData[[#This Row],[totalCourt]],TrafficData[[#This Row],[disposedCourt]]&lt;=TrafficData[[#This Row],[totalCourt]])</f>
        <v>1</v>
      </c>
    </row>
    <row r="2239" spans="1:16">
      <c r="A2239" s="1">
        <v>44243</v>
      </c>
      <c r="B2239">
        <v>112327</v>
      </c>
      <c r="C2239">
        <v>61095</v>
      </c>
      <c r="D2239">
        <v>51232</v>
      </c>
      <c r="E2239">
        <v>58166840</v>
      </c>
      <c r="F2239">
        <v>76953900</v>
      </c>
      <c r="G2239">
        <v>135120740</v>
      </c>
      <c r="H2239">
        <v>24955</v>
      </c>
      <c r="I2239">
        <v>9260</v>
      </c>
      <c r="J2239">
        <v>34215</v>
      </c>
      <c r="K2239" t="b">
        <f>TrafficData[[#This Row],[disposedChallan]]+TrafficData[[#This Row],[pendingChallan]]=TrafficData[[#This Row],[totalChallan]]</f>
        <v>1</v>
      </c>
      <c r="L2239" t="b">
        <f>TrafficData[[#This Row],[pendingAmount]]+TrafficData[[#This Row],[disposedAmount]]=TrafficData[[#This Row],[totalAmount]]</f>
        <v>1</v>
      </c>
      <c r="M2239" t="b">
        <f>TrafficData[[#This Row],[pendingCourt]]+TrafficData[[#This Row],[disposedCourt]]=TrafficData[[#This Row],[totalCourt]]</f>
        <v>1</v>
      </c>
      <c r="N2239" s="8" t="b">
        <f>AND(TrafficData[[#This Row],[disposedChallan]]&lt;=TrafficData[[#This Row],[totalChallan]],TrafficData[[#This Row],[pendingChallan]]&lt;=TrafficData[[#This Row],[totalChallan]])</f>
        <v>1</v>
      </c>
      <c r="O2239" s="8" t="b">
        <f>AND(TrafficData[[#This Row],[pendingAmount]]&lt;=TrafficData[[#This Row],[totalAmount]],TrafficData[[#This Row],[disposedAmount]]&lt;=TrafficData[[#This Row],[totalAmount]])</f>
        <v>1</v>
      </c>
      <c r="P2239" s="8" t="b">
        <f>AND(TrafficData[[#This Row],[pendingCourt]]&lt;=TrafficData[[#This Row],[totalCourt]],TrafficData[[#This Row],[disposedCourt]]&lt;=TrafficData[[#This Row],[totalCourt]])</f>
        <v>1</v>
      </c>
    </row>
    <row r="2240" spans="1:16">
      <c r="A2240" s="1">
        <v>44244</v>
      </c>
      <c r="B2240">
        <v>115784</v>
      </c>
      <c r="C2240">
        <v>63667</v>
      </c>
      <c r="D2240">
        <v>52117</v>
      </c>
      <c r="E2240">
        <v>67381698</v>
      </c>
      <c r="F2240">
        <v>80283483</v>
      </c>
      <c r="G2240">
        <v>147665181</v>
      </c>
      <c r="H2240">
        <v>27038</v>
      </c>
      <c r="I2240">
        <v>9910</v>
      </c>
      <c r="J2240">
        <v>36948</v>
      </c>
      <c r="K2240" t="b">
        <f>TrafficData[[#This Row],[disposedChallan]]+TrafficData[[#This Row],[pendingChallan]]=TrafficData[[#This Row],[totalChallan]]</f>
        <v>1</v>
      </c>
      <c r="L2240" t="b">
        <f>TrafficData[[#This Row],[pendingAmount]]+TrafficData[[#This Row],[disposedAmount]]=TrafficData[[#This Row],[totalAmount]]</f>
        <v>1</v>
      </c>
      <c r="M2240" t="b">
        <f>TrafficData[[#This Row],[pendingCourt]]+TrafficData[[#This Row],[disposedCourt]]=TrafficData[[#This Row],[totalCourt]]</f>
        <v>1</v>
      </c>
      <c r="N2240" s="8" t="b">
        <f>AND(TrafficData[[#This Row],[disposedChallan]]&lt;=TrafficData[[#This Row],[totalChallan]],TrafficData[[#This Row],[pendingChallan]]&lt;=TrafficData[[#This Row],[totalChallan]])</f>
        <v>1</v>
      </c>
      <c r="O2240" s="8" t="b">
        <f>AND(TrafficData[[#This Row],[pendingAmount]]&lt;=TrafficData[[#This Row],[totalAmount]],TrafficData[[#This Row],[disposedAmount]]&lt;=TrafficData[[#This Row],[totalAmount]])</f>
        <v>1</v>
      </c>
      <c r="P2240" s="8" t="b">
        <f>AND(TrafficData[[#This Row],[pendingCourt]]&lt;=TrafficData[[#This Row],[totalCourt]],TrafficData[[#This Row],[disposedCourt]]&lt;=TrafficData[[#This Row],[totalCourt]])</f>
        <v>1</v>
      </c>
    </row>
    <row r="2241" spans="1:16">
      <c r="A2241" s="1">
        <v>44245</v>
      </c>
      <c r="B2241">
        <v>117933</v>
      </c>
      <c r="C2241">
        <v>65147</v>
      </c>
      <c r="D2241">
        <v>52786</v>
      </c>
      <c r="E2241">
        <v>62837574</v>
      </c>
      <c r="F2241">
        <v>84676433</v>
      </c>
      <c r="G2241">
        <v>147514007</v>
      </c>
      <c r="H2241">
        <v>25160</v>
      </c>
      <c r="I2241">
        <v>9959</v>
      </c>
      <c r="J2241">
        <v>35119</v>
      </c>
      <c r="K2241" t="b">
        <f>TrafficData[[#This Row],[disposedChallan]]+TrafficData[[#This Row],[pendingChallan]]=TrafficData[[#This Row],[totalChallan]]</f>
        <v>1</v>
      </c>
      <c r="L2241" t="b">
        <f>TrafficData[[#This Row],[pendingAmount]]+TrafficData[[#This Row],[disposedAmount]]=TrafficData[[#This Row],[totalAmount]]</f>
        <v>1</v>
      </c>
      <c r="M2241" t="b">
        <f>TrafficData[[#This Row],[pendingCourt]]+TrafficData[[#This Row],[disposedCourt]]=TrafficData[[#This Row],[totalCourt]]</f>
        <v>1</v>
      </c>
      <c r="N2241" s="8" t="b">
        <f>AND(TrafficData[[#This Row],[disposedChallan]]&lt;=TrafficData[[#This Row],[totalChallan]],TrafficData[[#This Row],[pendingChallan]]&lt;=TrafficData[[#This Row],[totalChallan]])</f>
        <v>1</v>
      </c>
      <c r="O2241" s="8" t="b">
        <f>AND(TrafficData[[#This Row],[pendingAmount]]&lt;=TrafficData[[#This Row],[totalAmount]],TrafficData[[#This Row],[disposedAmount]]&lt;=TrafficData[[#This Row],[totalAmount]])</f>
        <v>1</v>
      </c>
      <c r="P2241" s="8" t="b">
        <f>AND(TrafficData[[#This Row],[pendingCourt]]&lt;=TrafficData[[#This Row],[totalCourt]],TrafficData[[#This Row],[disposedCourt]]&lt;=TrafficData[[#This Row],[totalCourt]])</f>
        <v>1</v>
      </c>
    </row>
    <row r="2242" spans="1:16">
      <c r="A2242" s="1">
        <v>44246</v>
      </c>
      <c r="B2242">
        <v>119787</v>
      </c>
      <c r="C2242">
        <v>65415</v>
      </c>
      <c r="D2242">
        <v>54372</v>
      </c>
      <c r="E2242">
        <v>66278324</v>
      </c>
      <c r="F2242">
        <v>87122606</v>
      </c>
      <c r="G2242">
        <v>153400930</v>
      </c>
      <c r="H2242">
        <v>25780</v>
      </c>
      <c r="I2242">
        <v>10328</v>
      </c>
      <c r="J2242">
        <v>36108</v>
      </c>
      <c r="K2242" t="b">
        <f>TrafficData[[#This Row],[disposedChallan]]+TrafficData[[#This Row],[pendingChallan]]=TrafficData[[#This Row],[totalChallan]]</f>
        <v>1</v>
      </c>
      <c r="L2242" t="b">
        <f>TrafficData[[#This Row],[pendingAmount]]+TrafficData[[#This Row],[disposedAmount]]=TrafficData[[#This Row],[totalAmount]]</f>
        <v>1</v>
      </c>
      <c r="M2242" t="b">
        <f>TrafficData[[#This Row],[pendingCourt]]+TrafficData[[#This Row],[disposedCourt]]=TrafficData[[#This Row],[totalCourt]]</f>
        <v>1</v>
      </c>
      <c r="N2242" s="8" t="b">
        <f>AND(TrafficData[[#This Row],[disposedChallan]]&lt;=TrafficData[[#This Row],[totalChallan]],TrafficData[[#This Row],[pendingChallan]]&lt;=TrafficData[[#This Row],[totalChallan]])</f>
        <v>1</v>
      </c>
      <c r="O2242" s="8" t="b">
        <f>AND(TrafficData[[#This Row],[pendingAmount]]&lt;=TrafficData[[#This Row],[totalAmount]],TrafficData[[#This Row],[disposedAmount]]&lt;=TrafficData[[#This Row],[totalAmount]])</f>
        <v>1</v>
      </c>
      <c r="P2242" s="8" t="b">
        <f>AND(TrafficData[[#This Row],[pendingCourt]]&lt;=TrafficData[[#This Row],[totalCourt]],TrafficData[[#This Row],[disposedCourt]]&lt;=TrafficData[[#This Row],[totalCourt]])</f>
        <v>1</v>
      </c>
    </row>
    <row r="2243" spans="1:16">
      <c r="A2243" s="1">
        <v>44247</v>
      </c>
      <c r="B2243">
        <v>118470</v>
      </c>
      <c r="C2243">
        <v>65229</v>
      </c>
      <c r="D2243">
        <v>53241</v>
      </c>
      <c r="E2243">
        <v>62385263</v>
      </c>
      <c r="F2243">
        <v>79014675</v>
      </c>
      <c r="G2243">
        <v>141399938</v>
      </c>
      <c r="H2243">
        <v>26565</v>
      </c>
      <c r="I2243">
        <v>10172</v>
      </c>
      <c r="J2243">
        <v>36737</v>
      </c>
      <c r="K2243" t="b">
        <f>TrafficData[[#This Row],[disposedChallan]]+TrafficData[[#This Row],[pendingChallan]]=TrafficData[[#This Row],[totalChallan]]</f>
        <v>1</v>
      </c>
      <c r="L2243" t="b">
        <f>TrafficData[[#This Row],[pendingAmount]]+TrafficData[[#This Row],[disposedAmount]]=TrafficData[[#This Row],[totalAmount]]</f>
        <v>1</v>
      </c>
      <c r="M2243" t="b">
        <f>TrafficData[[#This Row],[pendingCourt]]+TrafficData[[#This Row],[disposedCourt]]=TrafficData[[#This Row],[totalCourt]]</f>
        <v>1</v>
      </c>
      <c r="N2243" s="8" t="b">
        <f>AND(TrafficData[[#This Row],[disposedChallan]]&lt;=TrafficData[[#This Row],[totalChallan]],TrafficData[[#This Row],[pendingChallan]]&lt;=TrafficData[[#This Row],[totalChallan]])</f>
        <v>1</v>
      </c>
      <c r="O2243" s="8" t="b">
        <f>AND(TrafficData[[#This Row],[pendingAmount]]&lt;=TrafficData[[#This Row],[totalAmount]],TrafficData[[#This Row],[disposedAmount]]&lt;=TrafficData[[#This Row],[totalAmount]])</f>
        <v>1</v>
      </c>
      <c r="P2243" s="8" t="b">
        <f>AND(TrafficData[[#This Row],[pendingCourt]]&lt;=TrafficData[[#This Row],[totalCourt]],TrafficData[[#This Row],[disposedCourt]]&lt;=TrafficData[[#This Row],[totalCourt]])</f>
        <v>1</v>
      </c>
    </row>
    <row r="2244" spans="1:16">
      <c r="A2244" s="1">
        <v>44248</v>
      </c>
      <c r="B2244">
        <v>101495</v>
      </c>
      <c r="C2244">
        <v>53338</v>
      </c>
      <c r="D2244">
        <v>48157</v>
      </c>
      <c r="E2244">
        <v>55349078</v>
      </c>
      <c r="F2244">
        <v>62600970</v>
      </c>
      <c r="G2244">
        <v>117950048</v>
      </c>
      <c r="H2244">
        <v>24547</v>
      </c>
      <c r="I2244">
        <v>8767</v>
      </c>
      <c r="J2244">
        <v>33314</v>
      </c>
      <c r="K2244" t="b">
        <f>TrafficData[[#This Row],[disposedChallan]]+TrafficData[[#This Row],[pendingChallan]]=TrafficData[[#This Row],[totalChallan]]</f>
        <v>1</v>
      </c>
      <c r="L2244" t="b">
        <f>TrafficData[[#This Row],[pendingAmount]]+TrafficData[[#This Row],[disposedAmount]]=TrafficData[[#This Row],[totalAmount]]</f>
        <v>1</v>
      </c>
      <c r="M2244" t="b">
        <f>TrafficData[[#This Row],[pendingCourt]]+TrafficData[[#This Row],[disposedCourt]]=TrafficData[[#This Row],[totalCourt]]</f>
        <v>1</v>
      </c>
      <c r="N2244" s="8" t="b">
        <f>AND(TrafficData[[#This Row],[disposedChallan]]&lt;=TrafficData[[#This Row],[totalChallan]],TrafficData[[#This Row],[pendingChallan]]&lt;=TrafficData[[#This Row],[totalChallan]])</f>
        <v>1</v>
      </c>
      <c r="O2244" s="8" t="b">
        <f>AND(TrafficData[[#This Row],[pendingAmount]]&lt;=TrafficData[[#This Row],[totalAmount]],TrafficData[[#This Row],[disposedAmount]]&lt;=TrafficData[[#This Row],[totalAmount]])</f>
        <v>1</v>
      </c>
      <c r="P2244" s="8" t="b">
        <f>AND(TrafficData[[#This Row],[pendingCourt]]&lt;=TrafficData[[#This Row],[totalCourt]],TrafficData[[#This Row],[disposedCourt]]&lt;=TrafficData[[#This Row],[totalCourt]])</f>
        <v>1</v>
      </c>
    </row>
    <row r="2245" spans="1:16">
      <c r="A2245" s="1">
        <v>44249</v>
      </c>
      <c r="B2245">
        <v>112743</v>
      </c>
      <c r="C2245">
        <v>61249</v>
      </c>
      <c r="D2245">
        <v>51494</v>
      </c>
      <c r="E2245">
        <v>65617772</v>
      </c>
      <c r="F2245">
        <v>82234135</v>
      </c>
      <c r="G2245">
        <v>147851907</v>
      </c>
      <c r="H2245">
        <v>26849</v>
      </c>
      <c r="I2245">
        <v>9896</v>
      </c>
      <c r="J2245">
        <v>36745</v>
      </c>
      <c r="K2245" t="b">
        <f>TrafficData[[#This Row],[disposedChallan]]+TrafficData[[#This Row],[pendingChallan]]=TrafficData[[#This Row],[totalChallan]]</f>
        <v>1</v>
      </c>
      <c r="L2245" t="b">
        <f>TrafficData[[#This Row],[pendingAmount]]+TrafficData[[#This Row],[disposedAmount]]=TrafficData[[#This Row],[totalAmount]]</f>
        <v>1</v>
      </c>
      <c r="M2245" t="b">
        <f>TrafficData[[#This Row],[pendingCourt]]+TrafficData[[#This Row],[disposedCourt]]=TrafficData[[#This Row],[totalCourt]]</f>
        <v>1</v>
      </c>
      <c r="N2245" s="8" t="b">
        <f>AND(TrafficData[[#This Row],[disposedChallan]]&lt;=TrafficData[[#This Row],[totalChallan]],TrafficData[[#This Row],[pendingChallan]]&lt;=TrafficData[[#This Row],[totalChallan]])</f>
        <v>1</v>
      </c>
      <c r="O2245" s="8" t="b">
        <f>AND(TrafficData[[#This Row],[pendingAmount]]&lt;=TrafficData[[#This Row],[totalAmount]],TrafficData[[#This Row],[disposedAmount]]&lt;=TrafficData[[#This Row],[totalAmount]])</f>
        <v>1</v>
      </c>
      <c r="P2245" s="8" t="b">
        <f>AND(TrafficData[[#This Row],[pendingCourt]]&lt;=TrafficData[[#This Row],[totalCourt]],TrafficData[[#This Row],[disposedCourt]]&lt;=TrafficData[[#This Row],[totalCourt]])</f>
        <v>1</v>
      </c>
    </row>
    <row r="2246" spans="1:16">
      <c r="A2246" s="1">
        <v>44250</v>
      </c>
      <c r="B2246">
        <v>117910</v>
      </c>
      <c r="C2246">
        <v>64320</v>
      </c>
      <c r="D2246">
        <v>53590</v>
      </c>
      <c r="E2246">
        <v>71600410</v>
      </c>
      <c r="F2246">
        <v>93520341</v>
      </c>
      <c r="G2246">
        <v>165120751</v>
      </c>
      <c r="H2246">
        <v>27790</v>
      </c>
      <c r="I2246">
        <v>10271</v>
      </c>
      <c r="J2246">
        <v>38061</v>
      </c>
      <c r="K2246" t="b">
        <f>TrafficData[[#This Row],[disposedChallan]]+TrafficData[[#This Row],[pendingChallan]]=TrafficData[[#This Row],[totalChallan]]</f>
        <v>1</v>
      </c>
      <c r="L2246" t="b">
        <f>TrafficData[[#This Row],[pendingAmount]]+TrafficData[[#This Row],[disposedAmount]]=TrafficData[[#This Row],[totalAmount]]</f>
        <v>1</v>
      </c>
      <c r="M2246" t="b">
        <f>TrafficData[[#This Row],[pendingCourt]]+TrafficData[[#This Row],[disposedCourt]]=TrafficData[[#This Row],[totalCourt]]</f>
        <v>1</v>
      </c>
      <c r="N2246" s="8" t="b">
        <f>AND(TrafficData[[#This Row],[disposedChallan]]&lt;=TrafficData[[#This Row],[totalChallan]],TrafficData[[#This Row],[pendingChallan]]&lt;=TrafficData[[#This Row],[totalChallan]])</f>
        <v>1</v>
      </c>
      <c r="O2246" s="8" t="b">
        <f>AND(TrafficData[[#This Row],[pendingAmount]]&lt;=TrafficData[[#This Row],[totalAmount]],TrafficData[[#This Row],[disposedAmount]]&lt;=TrafficData[[#This Row],[totalAmount]])</f>
        <v>1</v>
      </c>
      <c r="P2246" s="8" t="b">
        <f>AND(TrafficData[[#This Row],[pendingCourt]]&lt;=TrafficData[[#This Row],[totalCourt]],TrafficData[[#This Row],[disposedCourt]]&lt;=TrafficData[[#This Row],[totalCourt]])</f>
        <v>1</v>
      </c>
    </row>
    <row r="2247" spans="1:16">
      <c r="A2247" s="1">
        <v>44251</v>
      </c>
      <c r="B2247">
        <v>113540</v>
      </c>
      <c r="C2247">
        <v>62292</v>
      </c>
      <c r="D2247">
        <v>51248</v>
      </c>
      <c r="E2247">
        <v>68207984</v>
      </c>
      <c r="F2247">
        <v>91360882</v>
      </c>
      <c r="G2247">
        <v>159568866</v>
      </c>
      <c r="H2247">
        <v>27336</v>
      </c>
      <c r="I2247">
        <v>10305</v>
      </c>
      <c r="J2247">
        <v>37641</v>
      </c>
      <c r="K2247" t="b">
        <f>TrafficData[[#This Row],[disposedChallan]]+TrafficData[[#This Row],[pendingChallan]]=TrafficData[[#This Row],[totalChallan]]</f>
        <v>1</v>
      </c>
      <c r="L2247" t="b">
        <f>TrafficData[[#This Row],[pendingAmount]]+TrafficData[[#This Row],[disposedAmount]]=TrafficData[[#This Row],[totalAmount]]</f>
        <v>1</v>
      </c>
      <c r="M2247" t="b">
        <f>TrafficData[[#This Row],[pendingCourt]]+TrafficData[[#This Row],[disposedCourt]]=TrafficData[[#This Row],[totalCourt]]</f>
        <v>1</v>
      </c>
      <c r="N2247" s="8" t="b">
        <f>AND(TrafficData[[#This Row],[disposedChallan]]&lt;=TrafficData[[#This Row],[totalChallan]],TrafficData[[#This Row],[pendingChallan]]&lt;=TrafficData[[#This Row],[totalChallan]])</f>
        <v>1</v>
      </c>
      <c r="O2247" s="8" t="b">
        <f>AND(TrafficData[[#This Row],[pendingAmount]]&lt;=TrafficData[[#This Row],[totalAmount]],TrafficData[[#This Row],[disposedAmount]]&lt;=TrafficData[[#This Row],[totalAmount]])</f>
        <v>1</v>
      </c>
      <c r="P2247" s="8" t="b">
        <f>AND(TrafficData[[#This Row],[pendingCourt]]&lt;=TrafficData[[#This Row],[totalCourt]],TrafficData[[#This Row],[disposedCourt]]&lt;=TrafficData[[#This Row],[totalCourt]])</f>
        <v>1</v>
      </c>
    </row>
    <row r="2248" spans="1:16">
      <c r="A2248" s="1">
        <v>44252</v>
      </c>
      <c r="B2248">
        <v>113152</v>
      </c>
      <c r="C2248">
        <v>62018</v>
      </c>
      <c r="D2248">
        <v>51134</v>
      </c>
      <c r="E2248">
        <v>66910871</v>
      </c>
      <c r="F2248">
        <v>90246353</v>
      </c>
      <c r="G2248">
        <v>157157224</v>
      </c>
      <c r="H2248">
        <v>27150</v>
      </c>
      <c r="I2248">
        <v>10305</v>
      </c>
      <c r="J2248">
        <v>37455</v>
      </c>
      <c r="K2248" t="b">
        <f>TrafficData[[#This Row],[disposedChallan]]+TrafficData[[#This Row],[pendingChallan]]=TrafficData[[#This Row],[totalChallan]]</f>
        <v>1</v>
      </c>
      <c r="L2248" t="b">
        <f>TrafficData[[#This Row],[pendingAmount]]+TrafficData[[#This Row],[disposedAmount]]=TrafficData[[#This Row],[totalAmount]]</f>
        <v>1</v>
      </c>
      <c r="M2248" t="b">
        <f>TrafficData[[#This Row],[pendingCourt]]+TrafficData[[#This Row],[disposedCourt]]=TrafficData[[#This Row],[totalCourt]]</f>
        <v>1</v>
      </c>
      <c r="N2248" s="8" t="b">
        <f>AND(TrafficData[[#This Row],[disposedChallan]]&lt;=TrafficData[[#This Row],[totalChallan]],TrafficData[[#This Row],[pendingChallan]]&lt;=TrafficData[[#This Row],[totalChallan]])</f>
        <v>1</v>
      </c>
      <c r="O2248" s="8" t="b">
        <f>AND(TrafficData[[#This Row],[pendingAmount]]&lt;=TrafficData[[#This Row],[totalAmount]],TrafficData[[#This Row],[disposedAmount]]&lt;=TrafficData[[#This Row],[totalAmount]])</f>
        <v>1</v>
      </c>
      <c r="P2248" s="8" t="b">
        <f>AND(TrafficData[[#This Row],[pendingCourt]]&lt;=TrafficData[[#This Row],[totalCourt]],TrafficData[[#This Row],[disposedCourt]]&lt;=TrafficData[[#This Row],[totalCourt]])</f>
        <v>1</v>
      </c>
    </row>
    <row r="2249" spans="1:16">
      <c r="A2249" s="1">
        <v>44253</v>
      </c>
      <c r="B2249">
        <v>109067</v>
      </c>
      <c r="C2249">
        <v>59356</v>
      </c>
      <c r="D2249">
        <v>49711</v>
      </c>
      <c r="E2249">
        <v>60529276</v>
      </c>
      <c r="F2249">
        <v>70592523</v>
      </c>
      <c r="G2249">
        <v>131121799</v>
      </c>
      <c r="H2249">
        <v>25862</v>
      </c>
      <c r="I2249">
        <v>10037</v>
      </c>
      <c r="J2249">
        <v>35899</v>
      </c>
      <c r="K2249" t="b">
        <f>TrafficData[[#This Row],[disposedChallan]]+TrafficData[[#This Row],[pendingChallan]]=TrafficData[[#This Row],[totalChallan]]</f>
        <v>1</v>
      </c>
      <c r="L2249" t="b">
        <f>TrafficData[[#This Row],[pendingAmount]]+TrafficData[[#This Row],[disposedAmount]]=TrafficData[[#This Row],[totalAmount]]</f>
        <v>1</v>
      </c>
      <c r="M2249" t="b">
        <f>TrafficData[[#This Row],[pendingCourt]]+TrafficData[[#This Row],[disposedCourt]]=TrafficData[[#This Row],[totalCourt]]</f>
        <v>1</v>
      </c>
      <c r="N2249" s="8" t="b">
        <f>AND(TrafficData[[#This Row],[disposedChallan]]&lt;=TrafficData[[#This Row],[totalChallan]],TrafficData[[#This Row],[pendingChallan]]&lt;=TrafficData[[#This Row],[totalChallan]])</f>
        <v>1</v>
      </c>
      <c r="O2249" s="8" t="b">
        <f>AND(TrafficData[[#This Row],[pendingAmount]]&lt;=TrafficData[[#This Row],[totalAmount]],TrafficData[[#This Row],[disposedAmount]]&lt;=TrafficData[[#This Row],[totalAmount]])</f>
        <v>1</v>
      </c>
      <c r="P2249" s="8" t="b">
        <f>AND(TrafficData[[#This Row],[pendingCourt]]&lt;=TrafficData[[#This Row],[totalCourt]],TrafficData[[#This Row],[disposedCourt]]&lt;=TrafficData[[#This Row],[totalCourt]])</f>
        <v>1</v>
      </c>
    </row>
    <row r="2250" spans="1:16">
      <c r="A2250" s="1">
        <v>44254</v>
      </c>
      <c r="B2250">
        <v>108024</v>
      </c>
      <c r="C2250">
        <v>59111</v>
      </c>
      <c r="D2250">
        <v>48913</v>
      </c>
      <c r="E2250">
        <v>62593256</v>
      </c>
      <c r="F2250">
        <v>71140058</v>
      </c>
      <c r="G2250">
        <v>133733314</v>
      </c>
      <c r="H2250">
        <v>26540</v>
      </c>
      <c r="I2250">
        <v>9905</v>
      </c>
      <c r="J2250">
        <v>36445</v>
      </c>
      <c r="K2250" t="b">
        <f>TrafficData[[#This Row],[disposedChallan]]+TrafficData[[#This Row],[pendingChallan]]=TrafficData[[#This Row],[totalChallan]]</f>
        <v>1</v>
      </c>
      <c r="L2250" t="b">
        <f>TrafficData[[#This Row],[pendingAmount]]+TrafficData[[#This Row],[disposedAmount]]=TrafficData[[#This Row],[totalAmount]]</f>
        <v>1</v>
      </c>
      <c r="M2250" t="b">
        <f>TrafficData[[#This Row],[pendingCourt]]+TrafficData[[#This Row],[disposedCourt]]=TrafficData[[#This Row],[totalCourt]]</f>
        <v>1</v>
      </c>
      <c r="N2250" s="8" t="b">
        <f>AND(TrafficData[[#This Row],[disposedChallan]]&lt;=TrafficData[[#This Row],[totalChallan]],TrafficData[[#This Row],[pendingChallan]]&lt;=TrafficData[[#This Row],[totalChallan]])</f>
        <v>1</v>
      </c>
      <c r="O2250" s="8" t="b">
        <f>AND(TrafficData[[#This Row],[pendingAmount]]&lt;=TrafficData[[#This Row],[totalAmount]],TrafficData[[#This Row],[disposedAmount]]&lt;=TrafficData[[#This Row],[totalAmount]])</f>
        <v>1</v>
      </c>
      <c r="P2250" s="8" t="b">
        <f>AND(TrafficData[[#This Row],[pendingCourt]]&lt;=TrafficData[[#This Row],[totalCourt]],TrafficData[[#This Row],[disposedCourt]]&lt;=TrafficData[[#This Row],[totalCourt]])</f>
        <v>1</v>
      </c>
    </row>
    <row r="2251" spans="1:16">
      <c r="A2251" s="1">
        <v>44255</v>
      </c>
      <c r="B2251">
        <v>96880</v>
      </c>
      <c r="C2251">
        <v>51575</v>
      </c>
      <c r="D2251">
        <v>45305</v>
      </c>
      <c r="E2251">
        <v>55095714</v>
      </c>
      <c r="F2251">
        <v>59172982</v>
      </c>
      <c r="G2251">
        <v>114268696</v>
      </c>
      <c r="H2251">
        <v>24258</v>
      </c>
      <c r="I2251">
        <v>8989</v>
      </c>
      <c r="J2251">
        <v>33247</v>
      </c>
      <c r="K2251" t="b">
        <f>TrafficData[[#This Row],[disposedChallan]]+TrafficData[[#This Row],[pendingChallan]]=TrafficData[[#This Row],[totalChallan]]</f>
        <v>1</v>
      </c>
      <c r="L2251" t="b">
        <f>TrafficData[[#This Row],[pendingAmount]]+TrafficData[[#This Row],[disposedAmount]]=TrafficData[[#This Row],[totalAmount]]</f>
        <v>1</v>
      </c>
      <c r="M2251" t="b">
        <f>TrafficData[[#This Row],[pendingCourt]]+TrafficData[[#This Row],[disposedCourt]]=TrafficData[[#This Row],[totalCourt]]</f>
        <v>1</v>
      </c>
      <c r="N2251" s="8" t="b">
        <f>AND(TrafficData[[#This Row],[disposedChallan]]&lt;=TrafficData[[#This Row],[totalChallan]],TrafficData[[#This Row],[pendingChallan]]&lt;=TrafficData[[#This Row],[totalChallan]])</f>
        <v>1</v>
      </c>
      <c r="O2251" s="8" t="b">
        <f>AND(TrafficData[[#This Row],[pendingAmount]]&lt;=TrafficData[[#This Row],[totalAmount]],TrafficData[[#This Row],[disposedAmount]]&lt;=TrafficData[[#This Row],[totalAmount]])</f>
        <v>1</v>
      </c>
      <c r="P2251" s="8" t="b">
        <f>AND(TrafficData[[#This Row],[pendingCourt]]&lt;=TrafficData[[#This Row],[totalCourt]],TrafficData[[#This Row],[disposedCourt]]&lt;=TrafficData[[#This Row],[totalCourt]])</f>
        <v>1</v>
      </c>
    </row>
    <row r="2252" spans="1:16">
      <c r="A2252" s="1">
        <v>44256</v>
      </c>
      <c r="B2252">
        <v>113508</v>
      </c>
      <c r="C2252">
        <v>63997</v>
      </c>
      <c r="D2252">
        <v>49511</v>
      </c>
      <c r="E2252">
        <v>59569760</v>
      </c>
      <c r="F2252">
        <v>94792301</v>
      </c>
      <c r="G2252">
        <v>154362061</v>
      </c>
      <c r="H2252">
        <v>26019</v>
      </c>
      <c r="I2252">
        <v>9425</v>
      </c>
      <c r="J2252">
        <v>35444</v>
      </c>
      <c r="K2252" t="b">
        <f>TrafficData[[#This Row],[disposedChallan]]+TrafficData[[#This Row],[pendingChallan]]=TrafficData[[#This Row],[totalChallan]]</f>
        <v>1</v>
      </c>
      <c r="L2252" t="b">
        <f>TrafficData[[#This Row],[pendingAmount]]+TrafficData[[#This Row],[disposedAmount]]=TrafficData[[#This Row],[totalAmount]]</f>
        <v>1</v>
      </c>
      <c r="M2252" t="b">
        <f>TrafficData[[#This Row],[pendingCourt]]+TrafficData[[#This Row],[disposedCourt]]=TrafficData[[#This Row],[totalCourt]]</f>
        <v>1</v>
      </c>
      <c r="N2252" s="8" t="b">
        <f>AND(TrafficData[[#This Row],[disposedChallan]]&lt;=TrafficData[[#This Row],[totalChallan]],TrafficData[[#This Row],[pendingChallan]]&lt;=TrafficData[[#This Row],[totalChallan]])</f>
        <v>1</v>
      </c>
      <c r="O2252" s="8" t="b">
        <f>AND(TrafficData[[#This Row],[pendingAmount]]&lt;=TrafficData[[#This Row],[totalAmount]],TrafficData[[#This Row],[disposedAmount]]&lt;=TrafficData[[#This Row],[totalAmount]])</f>
        <v>1</v>
      </c>
      <c r="P2252" s="8" t="b">
        <f>AND(TrafficData[[#This Row],[pendingCourt]]&lt;=TrafficData[[#This Row],[totalCourt]],TrafficData[[#This Row],[disposedCourt]]&lt;=TrafficData[[#This Row],[totalCourt]])</f>
        <v>1</v>
      </c>
    </row>
    <row r="2253" spans="1:16">
      <c r="A2253" s="1">
        <v>44257</v>
      </c>
      <c r="B2253">
        <v>113174</v>
      </c>
      <c r="C2253">
        <v>63736</v>
      </c>
      <c r="D2253">
        <v>49438</v>
      </c>
      <c r="E2253">
        <v>62289329</v>
      </c>
      <c r="F2253">
        <v>105044611</v>
      </c>
      <c r="G2253">
        <v>167333940</v>
      </c>
      <c r="H2253">
        <v>24785</v>
      </c>
      <c r="I2253">
        <v>9472</v>
      </c>
      <c r="J2253">
        <v>34257</v>
      </c>
      <c r="K2253" t="b">
        <f>TrafficData[[#This Row],[disposedChallan]]+TrafficData[[#This Row],[pendingChallan]]=TrafficData[[#This Row],[totalChallan]]</f>
        <v>1</v>
      </c>
      <c r="L2253" t="b">
        <f>TrafficData[[#This Row],[pendingAmount]]+TrafficData[[#This Row],[disposedAmount]]=TrafficData[[#This Row],[totalAmount]]</f>
        <v>1</v>
      </c>
      <c r="M2253" t="b">
        <f>TrafficData[[#This Row],[pendingCourt]]+TrafficData[[#This Row],[disposedCourt]]=TrafficData[[#This Row],[totalCourt]]</f>
        <v>1</v>
      </c>
      <c r="N2253" s="8" t="b">
        <f>AND(TrafficData[[#This Row],[disposedChallan]]&lt;=TrafficData[[#This Row],[totalChallan]],TrafficData[[#This Row],[pendingChallan]]&lt;=TrafficData[[#This Row],[totalChallan]])</f>
        <v>1</v>
      </c>
      <c r="O2253" s="8" t="b">
        <f>AND(TrafficData[[#This Row],[pendingAmount]]&lt;=TrafficData[[#This Row],[totalAmount]],TrafficData[[#This Row],[disposedAmount]]&lt;=TrafficData[[#This Row],[totalAmount]])</f>
        <v>1</v>
      </c>
      <c r="P2253" s="8" t="b">
        <f>AND(TrafficData[[#This Row],[pendingCourt]]&lt;=TrafficData[[#This Row],[totalCourt]],TrafficData[[#This Row],[disposedCourt]]&lt;=TrafficData[[#This Row],[totalCourt]])</f>
        <v>1</v>
      </c>
    </row>
    <row r="2254" spans="1:16">
      <c r="A2254" s="1">
        <v>44258</v>
      </c>
      <c r="B2254">
        <v>118655</v>
      </c>
      <c r="C2254">
        <v>68257</v>
      </c>
      <c r="D2254">
        <v>50398</v>
      </c>
      <c r="E2254">
        <v>64433878</v>
      </c>
      <c r="F2254">
        <v>113857100</v>
      </c>
      <c r="G2254">
        <v>178290978</v>
      </c>
      <c r="H2254">
        <v>27290</v>
      </c>
      <c r="I2254">
        <v>10561</v>
      </c>
      <c r="J2254">
        <v>37851</v>
      </c>
      <c r="K2254" t="b">
        <f>TrafficData[[#This Row],[disposedChallan]]+TrafficData[[#This Row],[pendingChallan]]=TrafficData[[#This Row],[totalChallan]]</f>
        <v>1</v>
      </c>
      <c r="L2254" t="b">
        <f>TrafficData[[#This Row],[pendingAmount]]+TrafficData[[#This Row],[disposedAmount]]=TrafficData[[#This Row],[totalAmount]]</f>
        <v>1</v>
      </c>
      <c r="M2254" t="b">
        <f>TrafficData[[#This Row],[pendingCourt]]+TrafficData[[#This Row],[disposedCourt]]=TrafficData[[#This Row],[totalCourt]]</f>
        <v>1</v>
      </c>
      <c r="N2254" s="8" t="b">
        <f>AND(TrafficData[[#This Row],[disposedChallan]]&lt;=TrafficData[[#This Row],[totalChallan]],TrafficData[[#This Row],[pendingChallan]]&lt;=TrafficData[[#This Row],[totalChallan]])</f>
        <v>1</v>
      </c>
      <c r="O2254" s="8" t="b">
        <f>AND(TrafficData[[#This Row],[pendingAmount]]&lt;=TrafficData[[#This Row],[totalAmount]],TrafficData[[#This Row],[disposedAmount]]&lt;=TrafficData[[#This Row],[totalAmount]])</f>
        <v>1</v>
      </c>
      <c r="P2254" s="8" t="b">
        <f>AND(TrafficData[[#This Row],[pendingCourt]]&lt;=TrafficData[[#This Row],[totalCourt]],TrafficData[[#This Row],[disposedCourt]]&lt;=TrafficData[[#This Row],[totalCourt]])</f>
        <v>1</v>
      </c>
    </row>
    <row r="2255" spans="1:16">
      <c r="A2255" s="1">
        <v>44259</v>
      </c>
      <c r="B2255">
        <v>120980</v>
      </c>
      <c r="C2255">
        <v>68495</v>
      </c>
      <c r="D2255">
        <v>52485</v>
      </c>
      <c r="E2255">
        <v>65262150</v>
      </c>
      <c r="F2255">
        <v>116041622</v>
      </c>
      <c r="G2255">
        <v>181303772</v>
      </c>
      <c r="H2255">
        <v>25788</v>
      </c>
      <c r="I2255">
        <v>10203</v>
      </c>
      <c r="J2255">
        <v>35991</v>
      </c>
      <c r="K2255" t="b">
        <f>TrafficData[[#This Row],[disposedChallan]]+TrafficData[[#This Row],[pendingChallan]]=TrafficData[[#This Row],[totalChallan]]</f>
        <v>1</v>
      </c>
      <c r="L2255" t="b">
        <f>TrafficData[[#This Row],[pendingAmount]]+TrafficData[[#This Row],[disposedAmount]]=TrafficData[[#This Row],[totalAmount]]</f>
        <v>1</v>
      </c>
      <c r="M2255" t="b">
        <f>TrafficData[[#This Row],[pendingCourt]]+TrafficData[[#This Row],[disposedCourt]]=TrafficData[[#This Row],[totalCourt]]</f>
        <v>1</v>
      </c>
      <c r="N2255" s="8" t="b">
        <f>AND(TrafficData[[#This Row],[disposedChallan]]&lt;=TrafficData[[#This Row],[totalChallan]],TrafficData[[#This Row],[pendingChallan]]&lt;=TrafficData[[#This Row],[totalChallan]])</f>
        <v>1</v>
      </c>
      <c r="O2255" s="8" t="b">
        <f>AND(TrafficData[[#This Row],[pendingAmount]]&lt;=TrafficData[[#This Row],[totalAmount]],TrafficData[[#This Row],[disposedAmount]]&lt;=TrafficData[[#This Row],[totalAmount]])</f>
        <v>1</v>
      </c>
      <c r="P2255" s="8" t="b">
        <f>AND(TrafficData[[#This Row],[pendingCourt]]&lt;=TrafficData[[#This Row],[totalCourt]],TrafficData[[#This Row],[disposedCourt]]&lt;=TrafficData[[#This Row],[totalCourt]])</f>
        <v>1</v>
      </c>
    </row>
    <row r="2256" spans="1:16">
      <c r="A2256" s="1">
        <v>44260</v>
      </c>
      <c r="B2256">
        <v>118620</v>
      </c>
      <c r="C2256">
        <v>66920</v>
      </c>
      <c r="D2256">
        <v>51700</v>
      </c>
      <c r="E2256">
        <v>64640761</v>
      </c>
      <c r="F2256">
        <v>106898617</v>
      </c>
      <c r="G2256">
        <v>171539378</v>
      </c>
      <c r="H2256">
        <v>25685</v>
      </c>
      <c r="I2256">
        <v>9805</v>
      </c>
      <c r="J2256">
        <v>35490</v>
      </c>
      <c r="K2256" t="b">
        <f>TrafficData[[#This Row],[disposedChallan]]+TrafficData[[#This Row],[pendingChallan]]=TrafficData[[#This Row],[totalChallan]]</f>
        <v>1</v>
      </c>
      <c r="L2256" t="b">
        <f>TrafficData[[#This Row],[pendingAmount]]+TrafficData[[#This Row],[disposedAmount]]=TrafficData[[#This Row],[totalAmount]]</f>
        <v>1</v>
      </c>
      <c r="M2256" t="b">
        <f>TrafficData[[#This Row],[pendingCourt]]+TrafficData[[#This Row],[disposedCourt]]=TrafficData[[#This Row],[totalCourt]]</f>
        <v>1</v>
      </c>
      <c r="N2256" s="8" t="b">
        <f>AND(TrafficData[[#This Row],[disposedChallan]]&lt;=TrafficData[[#This Row],[totalChallan]],TrafficData[[#This Row],[pendingChallan]]&lt;=TrafficData[[#This Row],[totalChallan]])</f>
        <v>1</v>
      </c>
      <c r="O2256" s="8" t="b">
        <f>AND(TrafficData[[#This Row],[pendingAmount]]&lt;=TrafficData[[#This Row],[totalAmount]],TrafficData[[#This Row],[disposedAmount]]&lt;=TrafficData[[#This Row],[totalAmount]])</f>
        <v>1</v>
      </c>
      <c r="P2256" s="8" t="b">
        <f>AND(TrafficData[[#This Row],[pendingCourt]]&lt;=TrafficData[[#This Row],[totalCourt]],TrafficData[[#This Row],[disposedCourt]]&lt;=TrafficData[[#This Row],[totalCourt]])</f>
        <v>1</v>
      </c>
    </row>
    <row r="2257" spans="1:16">
      <c r="A2257" s="1">
        <v>44261</v>
      </c>
      <c r="B2257">
        <v>120326</v>
      </c>
      <c r="C2257">
        <v>68512</v>
      </c>
      <c r="D2257">
        <v>51814</v>
      </c>
      <c r="E2257">
        <v>65637331</v>
      </c>
      <c r="F2257">
        <v>106492991</v>
      </c>
      <c r="G2257">
        <v>172130322</v>
      </c>
      <c r="H2257">
        <v>26426</v>
      </c>
      <c r="I2257">
        <v>10659</v>
      </c>
      <c r="J2257">
        <v>37085</v>
      </c>
      <c r="K2257" t="b">
        <f>TrafficData[[#This Row],[disposedChallan]]+TrafficData[[#This Row],[pendingChallan]]=TrafficData[[#This Row],[totalChallan]]</f>
        <v>1</v>
      </c>
      <c r="L2257" t="b">
        <f>TrafficData[[#This Row],[pendingAmount]]+TrafficData[[#This Row],[disposedAmount]]=TrafficData[[#This Row],[totalAmount]]</f>
        <v>1</v>
      </c>
      <c r="M2257" t="b">
        <f>TrafficData[[#This Row],[pendingCourt]]+TrafficData[[#This Row],[disposedCourt]]=TrafficData[[#This Row],[totalCourt]]</f>
        <v>1</v>
      </c>
      <c r="N2257" s="8" t="b">
        <f>AND(TrafficData[[#This Row],[disposedChallan]]&lt;=TrafficData[[#This Row],[totalChallan]],TrafficData[[#This Row],[pendingChallan]]&lt;=TrafficData[[#This Row],[totalChallan]])</f>
        <v>1</v>
      </c>
      <c r="O2257" s="8" t="b">
        <f>AND(TrafficData[[#This Row],[pendingAmount]]&lt;=TrafficData[[#This Row],[totalAmount]],TrafficData[[#This Row],[disposedAmount]]&lt;=TrafficData[[#This Row],[totalAmount]])</f>
        <v>1</v>
      </c>
      <c r="P2257" s="8" t="b">
        <f>AND(TrafficData[[#This Row],[pendingCourt]]&lt;=TrafficData[[#This Row],[totalCourt]],TrafficData[[#This Row],[disposedCourt]]&lt;=TrafficData[[#This Row],[totalCourt]])</f>
        <v>1</v>
      </c>
    </row>
    <row r="2258" spans="1:16">
      <c r="A2258" s="1">
        <v>44262</v>
      </c>
      <c r="B2258">
        <v>105408</v>
      </c>
      <c r="C2258">
        <v>57201</v>
      </c>
      <c r="D2258">
        <v>48207</v>
      </c>
      <c r="E2258">
        <v>54223948</v>
      </c>
      <c r="F2258">
        <v>77119317</v>
      </c>
      <c r="G2258">
        <v>131343265</v>
      </c>
      <c r="H2258">
        <v>22936</v>
      </c>
      <c r="I2258">
        <v>9426</v>
      </c>
      <c r="J2258">
        <v>32362</v>
      </c>
      <c r="K2258" t="b">
        <f>TrafficData[[#This Row],[disposedChallan]]+TrafficData[[#This Row],[pendingChallan]]=TrafficData[[#This Row],[totalChallan]]</f>
        <v>1</v>
      </c>
      <c r="L2258" t="b">
        <f>TrafficData[[#This Row],[pendingAmount]]+TrafficData[[#This Row],[disposedAmount]]=TrafficData[[#This Row],[totalAmount]]</f>
        <v>1</v>
      </c>
      <c r="M2258" t="b">
        <f>TrafficData[[#This Row],[pendingCourt]]+TrafficData[[#This Row],[disposedCourt]]=TrafficData[[#This Row],[totalCourt]]</f>
        <v>1</v>
      </c>
      <c r="N2258" s="8" t="b">
        <f>AND(TrafficData[[#This Row],[disposedChallan]]&lt;=TrafficData[[#This Row],[totalChallan]],TrafficData[[#This Row],[pendingChallan]]&lt;=TrafficData[[#This Row],[totalChallan]])</f>
        <v>1</v>
      </c>
      <c r="O2258" s="8" t="b">
        <f>AND(TrafficData[[#This Row],[pendingAmount]]&lt;=TrafficData[[#This Row],[totalAmount]],TrafficData[[#This Row],[disposedAmount]]&lt;=TrafficData[[#This Row],[totalAmount]])</f>
        <v>1</v>
      </c>
      <c r="P2258" s="8" t="b">
        <f>AND(TrafficData[[#This Row],[pendingCourt]]&lt;=TrafficData[[#This Row],[totalCourt]],TrafficData[[#This Row],[disposedCourt]]&lt;=TrafficData[[#This Row],[totalCourt]])</f>
        <v>1</v>
      </c>
    </row>
    <row r="2259" spans="1:16">
      <c r="A2259" s="1">
        <v>44263</v>
      </c>
      <c r="B2259">
        <v>113649</v>
      </c>
      <c r="C2259">
        <v>64161</v>
      </c>
      <c r="D2259">
        <v>49488</v>
      </c>
      <c r="E2259">
        <v>61473852</v>
      </c>
      <c r="F2259">
        <v>89596176</v>
      </c>
      <c r="G2259">
        <v>151070028</v>
      </c>
      <c r="H2259">
        <v>25888</v>
      </c>
      <c r="I2259">
        <v>10652</v>
      </c>
      <c r="J2259">
        <v>36540</v>
      </c>
      <c r="K2259" t="b">
        <f>TrafficData[[#This Row],[disposedChallan]]+TrafficData[[#This Row],[pendingChallan]]=TrafficData[[#This Row],[totalChallan]]</f>
        <v>1</v>
      </c>
      <c r="L2259" t="b">
        <f>TrafficData[[#This Row],[pendingAmount]]+TrafficData[[#This Row],[disposedAmount]]=TrafficData[[#This Row],[totalAmount]]</f>
        <v>1</v>
      </c>
      <c r="M2259" t="b">
        <f>TrafficData[[#This Row],[pendingCourt]]+TrafficData[[#This Row],[disposedCourt]]=TrafficData[[#This Row],[totalCourt]]</f>
        <v>1</v>
      </c>
      <c r="N2259" s="8" t="b">
        <f>AND(TrafficData[[#This Row],[disposedChallan]]&lt;=TrafficData[[#This Row],[totalChallan]],TrafficData[[#This Row],[pendingChallan]]&lt;=TrafficData[[#This Row],[totalChallan]])</f>
        <v>1</v>
      </c>
      <c r="O2259" s="8" t="b">
        <f>AND(TrafficData[[#This Row],[pendingAmount]]&lt;=TrafficData[[#This Row],[totalAmount]],TrafficData[[#This Row],[disposedAmount]]&lt;=TrafficData[[#This Row],[totalAmount]])</f>
        <v>1</v>
      </c>
      <c r="P2259" s="8" t="b">
        <f>AND(TrafficData[[#This Row],[pendingCourt]]&lt;=TrafficData[[#This Row],[totalCourt]],TrafficData[[#This Row],[disposedCourt]]&lt;=TrafficData[[#This Row],[totalCourt]])</f>
        <v>1</v>
      </c>
    </row>
    <row r="2260" spans="1:16">
      <c r="A2260" s="1">
        <v>44264</v>
      </c>
      <c r="B2260">
        <v>119455</v>
      </c>
      <c r="C2260">
        <v>66383</v>
      </c>
      <c r="D2260">
        <v>53072</v>
      </c>
      <c r="E2260">
        <v>68816107</v>
      </c>
      <c r="F2260">
        <v>99877430</v>
      </c>
      <c r="G2260">
        <v>168693537</v>
      </c>
      <c r="H2260">
        <v>27426</v>
      </c>
      <c r="I2260">
        <v>10322</v>
      </c>
      <c r="J2260">
        <v>37748</v>
      </c>
      <c r="K2260" t="b">
        <f>TrafficData[[#This Row],[disposedChallan]]+TrafficData[[#This Row],[pendingChallan]]=TrafficData[[#This Row],[totalChallan]]</f>
        <v>1</v>
      </c>
      <c r="L2260" t="b">
        <f>TrafficData[[#This Row],[pendingAmount]]+TrafficData[[#This Row],[disposedAmount]]=TrafficData[[#This Row],[totalAmount]]</f>
        <v>1</v>
      </c>
      <c r="M2260" t="b">
        <f>TrafficData[[#This Row],[pendingCourt]]+TrafficData[[#This Row],[disposedCourt]]=TrafficData[[#This Row],[totalCourt]]</f>
        <v>1</v>
      </c>
      <c r="N2260" s="8" t="b">
        <f>AND(TrafficData[[#This Row],[disposedChallan]]&lt;=TrafficData[[#This Row],[totalChallan]],TrafficData[[#This Row],[pendingChallan]]&lt;=TrafficData[[#This Row],[totalChallan]])</f>
        <v>1</v>
      </c>
      <c r="O2260" s="8" t="b">
        <f>AND(TrafficData[[#This Row],[pendingAmount]]&lt;=TrafficData[[#This Row],[totalAmount]],TrafficData[[#This Row],[disposedAmount]]&lt;=TrafficData[[#This Row],[totalAmount]])</f>
        <v>1</v>
      </c>
      <c r="P2260" s="8" t="b">
        <f>AND(TrafficData[[#This Row],[pendingCourt]]&lt;=TrafficData[[#This Row],[totalCourt]],TrafficData[[#This Row],[disposedCourt]]&lt;=TrafficData[[#This Row],[totalCourt]])</f>
        <v>1</v>
      </c>
    </row>
    <row r="2261" spans="1:16">
      <c r="A2261" s="1">
        <v>44265</v>
      </c>
      <c r="B2261">
        <v>123743</v>
      </c>
      <c r="C2261">
        <v>67898</v>
      </c>
      <c r="D2261">
        <v>55845</v>
      </c>
      <c r="E2261">
        <v>67396099</v>
      </c>
      <c r="F2261">
        <v>96855506</v>
      </c>
      <c r="G2261">
        <v>164251605</v>
      </c>
      <c r="H2261">
        <v>27426</v>
      </c>
      <c r="I2261">
        <v>10523</v>
      </c>
      <c r="J2261">
        <v>37949</v>
      </c>
      <c r="K2261" t="b">
        <f>TrafficData[[#This Row],[disposedChallan]]+TrafficData[[#This Row],[pendingChallan]]=TrafficData[[#This Row],[totalChallan]]</f>
        <v>1</v>
      </c>
      <c r="L2261" t="b">
        <f>TrafficData[[#This Row],[pendingAmount]]+TrafficData[[#This Row],[disposedAmount]]=TrafficData[[#This Row],[totalAmount]]</f>
        <v>1</v>
      </c>
      <c r="M2261" t="b">
        <f>TrafficData[[#This Row],[pendingCourt]]+TrafficData[[#This Row],[disposedCourt]]=TrafficData[[#This Row],[totalCourt]]</f>
        <v>1</v>
      </c>
      <c r="N2261" s="8" t="b">
        <f>AND(TrafficData[[#This Row],[disposedChallan]]&lt;=TrafficData[[#This Row],[totalChallan]],TrafficData[[#This Row],[pendingChallan]]&lt;=TrafficData[[#This Row],[totalChallan]])</f>
        <v>1</v>
      </c>
      <c r="O2261" s="8" t="b">
        <f>AND(TrafficData[[#This Row],[pendingAmount]]&lt;=TrafficData[[#This Row],[totalAmount]],TrafficData[[#This Row],[disposedAmount]]&lt;=TrafficData[[#This Row],[totalAmount]])</f>
        <v>1</v>
      </c>
      <c r="P2261" s="8" t="b">
        <f>AND(TrafficData[[#This Row],[pendingCourt]]&lt;=TrafficData[[#This Row],[totalCourt]],TrafficData[[#This Row],[disposedCourt]]&lt;=TrafficData[[#This Row],[totalCourt]])</f>
        <v>1</v>
      </c>
    </row>
    <row r="2262" spans="1:16">
      <c r="A2262" s="1">
        <v>44266</v>
      </c>
      <c r="B2262">
        <v>108760</v>
      </c>
      <c r="C2262">
        <v>59449</v>
      </c>
      <c r="D2262">
        <v>49311</v>
      </c>
      <c r="E2262">
        <v>56841364</v>
      </c>
      <c r="F2262">
        <v>80562670</v>
      </c>
      <c r="G2262">
        <v>137404034</v>
      </c>
      <c r="H2262">
        <v>22460</v>
      </c>
      <c r="I2262">
        <v>8345</v>
      </c>
      <c r="J2262">
        <v>30805</v>
      </c>
      <c r="K2262" t="b">
        <f>TrafficData[[#This Row],[disposedChallan]]+TrafficData[[#This Row],[pendingChallan]]=TrafficData[[#This Row],[totalChallan]]</f>
        <v>1</v>
      </c>
      <c r="L2262" t="b">
        <f>TrafficData[[#This Row],[pendingAmount]]+TrafficData[[#This Row],[disposedAmount]]=TrafficData[[#This Row],[totalAmount]]</f>
        <v>1</v>
      </c>
      <c r="M2262" t="b">
        <f>TrafficData[[#This Row],[pendingCourt]]+TrafficData[[#This Row],[disposedCourt]]=TrafficData[[#This Row],[totalCourt]]</f>
        <v>1</v>
      </c>
      <c r="N2262" s="8" t="b">
        <f>AND(TrafficData[[#This Row],[disposedChallan]]&lt;=TrafficData[[#This Row],[totalChallan]],TrafficData[[#This Row],[pendingChallan]]&lt;=TrafficData[[#This Row],[totalChallan]])</f>
        <v>1</v>
      </c>
      <c r="O2262" s="8" t="b">
        <f>AND(TrafficData[[#This Row],[pendingAmount]]&lt;=TrafficData[[#This Row],[totalAmount]],TrafficData[[#This Row],[disposedAmount]]&lt;=TrafficData[[#This Row],[totalAmount]])</f>
        <v>1</v>
      </c>
      <c r="P2262" s="8" t="b">
        <f>AND(TrafficData[[#This Row],[pendingCourt]]&lt;=TrafficData[[#This Row],[totalCourt]],TrafficData[[#This Row],[disposedCourt]]&lt;=TrafficData[[#This Row],[totalCourt]])</f>
        <v>1</v>
      </c>
    </row>
    <row r="2263" spans="1:16">
      <c r="A2263" s="1">
        <v>44267</v>
      </c>
      <c r="B2263">
        <v>120241</v>
      </c>
      <c r="C2263">
        <v>64035</v>
      </c>
      <c r="D2263">
        <v>56206</v>
      </c>
      <c r="E2263">
        <v>68818585</v>
      </c>
      <c r="F2263">
        <v>90386445</v>
      </c>
      <c r="G2263">
        <v>159205030</v>
      </c>
      <c r="H2263">
        <v>27634</v>
      </c>
      <c r="I2263">
        <v>10276</v>
      </c>
      <c r="J2263">
        <v>37910</v>
      </c>
      <c r="K2263" t="b">
        <f>TrafficData[[#This Row],[disposedChallan]]+TrafficData[[#This Row],[pendingChallan]]=TrafficData[[#This Row],[totalChallan]]</f>
        <v>1</v>
      </c>
      <c r="L2263" t="b">
        <f>TrafficData[[#This Row],[pendingAmount]]+TrafficData[[#This Row],[disposedAmount]]=TrafficData[[#This Row],[totalAmount]]</f>
        <v>1</v>
      </c>
      <c r="M2263" t="b">
        <f>TrafficData[[#This Row],[pendingCourt]]+TrafficData[[#This Row],[disposedCourt]]=TrafficData[[#This Row],[totalCourt]]</f>
        <v>1</v>
      </c>
      <c r="N2263" s="8" t="b">
        <f>AND(TrafficData[[#This Row],[disposedChallan]]&lt;=TrafficData[[#This Row],[totalChallan]],TrafficData[[#This Row],[pendingChallan]]&lt;=TrafficData[[#This Row],[totalChallan]])</f>
        <v>1</v>
      </c>
      <c r="O2263" s="8" t="b">
        <f>AND(TrafficData[[#This Row],[pendingAmount]]&lt;=TrafficData[[#This Row],[totalAmount]],TrafficData[[#This Row],[disposedAmount]]&lt;=TrafficData[[#This Row],[totalAmount]])</f>
        <v>1</v>
      </c>
      <c r="P2263" s="8" t="b">
        <f>AND(TrafficData[[#This Row],[pendingCourt]]&lt;=TrafficData[[#This Row],[totalCourt]],TrafficData[[#This Row],[disposedCourt]]&lt;=TrafficData[[#This Row],[totalCourt]])</f>
        <v>1</v>
      </c>
    </row>
    <row r="2264" spans="1:16">
      <c r="A2264" s="1">
        <v>44268</v>
      </c>
      <c r="B2264">
        <v>127968</v>
      </c>
      <c r="C2264">
        <v>69171</v>
      </c>
      <c r="D2264">
        <v>58797</v>
      </c>
      <c r="E2264">
        <v>70711438</v>
      </c>
      <c r="F2264">
        <v>92989258</v>
      </c>
      <c r="G2264">
        <v>163700696</v>
      </c>
      <c r="H2264">
        <v>27346</v>
      </c>
      <c r="I2264">
        <v>10327</v>
      </c>
      <c r="J2264">
        <v>37673</v>
      </c>
      <c r="K2264" t="b">
        <f>TrafficData[[#This Row],[disposedChallan]]+TrafficData[[#This Row],[pendingChallan]]=TrafficData[[#This Row],[totalChallan]]</f>
        <v>1</v>
      </c>
      <c r="L2264" t="b">
        <f>TrafficData[[#This Row],[pendingAmount]]+TrafficData[[#This Row],[disposedAmount]]=TrafficData[[#This Row],[totalAmount]]</f>
        <v>1</v>
      </c>
      <c r="M2264" t="b">
        <f>TrafficData[[#This Row],[pendingCourt]]+TrafficData[[#This Row],[disposedCourt]]=TrafficData[[#This Row],[totalCourt]]</f>
        <v>1</v>
      </c>
      <c r="N2264" s="8" t="b">
        <f>AND(TrafficData[[#This Row],[disposedChallan]]&lt;=TrafficData[[#This Row],[totalChallan]],TrafficData[[#This Row],[pendingChallan]]&lt;=TrafficData[[#This Row],[totalChallan]])</f>
        <v>1</v>
      </c>
      <c r="O2264" s="8" t="b">
        <f>AND(TrafficData[[#This Row],[pendingAmount]]&lt;=TrafficData[[#This Row],[totalAmount]],TrafficData[[#This Row],[disposedAmount]]&lt;=TrafficData[[#This Row],[totalAmount]])</f>
        <v>1</v>
      </c>
      <c r="P2264" s="8" t="b">
        <f>AND(TrafficData[[#This Row],[pendingCourt]]&lt;=TrafficData[[#This Row],[totalCourt]],TrafficData[[#This Row],[disposedCourt]]&lt;=TrafficData[[#This Row],[totalCourt]])</f>
        <v>1</v>
      </c>
    </row>
    <row r="2265" spans="1:16">
      <c r="A2265" s="1">
        <v>44269</v>
      </c>
      <c r="B2265">
        <v>118738</v>
      </c>
      <c r="C2265">
        <v>60626</v>
      </c>
      <c r="D2265">
        <v>58112</v>
      </c>
      <c r="E2265">
        <v>65758857</v>
      </c>
      <c r="F2265">
        <v>74464068</v>
      </c>
      <c r="G2265">
        <v>140222925</v>
      </c>
      <c r="H2265">
        <v>26046</v>
      </c>
      <c r="I2265">
        <v>9324</v>
      </c>
      <c r="J2265">
        <v>35370</v>
      </c>
      <c r="K2265" t="b">
        <f>TrafficData[[#This Row],[disposedChallan]]+TrafficData[[#This Row],[pendingChallan]]=TrafficData[[#This Row],[totalChallan]]</f>
        <v>1</v>
      </c>
      <c r="L2265" t="b">
        <f>TrafficData[[#This Row],[pendingAmount]]+TrafficData[[#This Row],[disposedAmount]]=TrafficData[[#This Row],[totalAmount]]</f>
        <v>1</v>
      </c>
      <c r="M2265" t="b">
        <f>TrafficData[[#This Row],[pendingCourt]]+TrafficData[[#This Row],[disposedCourt]]=TrafficData[[#This Row],[totalCourt]]</f>
        <v>1</v>
      </c>
      <c r="N2265" s="8" t="b">
        <f>AND(TrafficData[[#This Row],[disposedChallan]]&lt;=TrafficData[[#This Row],[totalChallan]],TrafficData[[#This Row],[pendingChallan]]&lt;=TrafficData[[#This Row],[totalChallan]])</f>
        <v>1</v>
      </c>
      <c r="O2265" s="8" t="b">
        <f>AND(TrafficData[[#This Row],[pendingAmount]]&lt;=TrafficData[[#This Row],[totalAmount]],TrafficData[[#This Row],[disposedAmount]]&lt;=TrafficData[[#This Row],[totalAmount]])</f>
        <v>1</v>
      </c>
      <c r="P2265" s="8" t="b">
        <f>AND(TrafficData[[#This Row],[pendingCourt]]&lt;=TrafficData[[#This Row],[totalCourt]],TrafficData[[#This Row],[disposedCourt]]&lt;=TrafficData[[#This Row],[totalCourt]])</f>
        <v>1</v>
      </c>
    </row>
    <row r="2266" spans="1:16">
      <c r="A2266" s="1">
        <v>44270</v>
      </c>
      <c r="B2266">
        <v>120228</v>
      </c>
      <c r="C2266">
        <v>63273</v>
      </c>
      <c r="D2266">
        <v>56955</v>
      </c>
      <c r="E2266">
        <v>74358762</v>
      </c>
      <c r="F2266">
        <v>87094132</v>
      </c>
      <c r="G2266">
        <v>161452894</v>
      </c>
      <c r="H2266">
        <v>28672</v>
      </c>
      <c r="I2266">
        <v>10258</v>
      </c>
      <c r="J2266">
        <v>38930</v>
      </c>
      <c r="K2266" t="b">
        <f>TrafficData[[#This Row],[disposedChallan]]+TrafficData[[#This Row],[pendingChallan]]=TrafficData[[#This Row],[totalChallan]]</f>
        <v>1</v>
      </c>
      <c r="L2266" t="b">
        <f>TrafficData[[#This Row],[pendingAmount]]+TrafficData[[#This Row],[disposedAmount]]=TrafficData[[#This Row],[totalAmount]]</f>
        <v>1</v>
      </c>
      <c r="M2266" t="b">
        <f>TrafficData[[#This Row],[pendingCourt]]+TrafficData[[#This Row],[disposedCourt]]=TrafficData[[#This Row],[totalCourt]]</f>
        <v>1</v>
      </c>
      <c r="N2266" s="8" t="b">
        <f>AND(TrafficData[[#This Row],[disposedChallan]]&lt;=TrafficData[[#This Row],[totalChallan]],TrafficData[[#This Row],[pendingChallan]]&lt;=TrafficData[[#This Row],[totalChallan]])</f>
        <v>1</v>
      </c>
      <c r="O2266" s="8" t="b">
        <f>AND(TrafficData[[#This Row],[pendingAmount]]&lt;=TrafficData[[#This Row],[totalAmount]],TrafficData[[#This Row],[disposedAmount]]&lt;=TrafficData[[#This Row],[totalAmount]])</f>
        <v>1</v>
      </c>
      <c r="P2266" s="8" t="b">
        <f>AND(TrafficData[[#This Row],[pendingCourt]]&lt;=TrafficData[[#This Row],[totalCourt]],TrafficData[[#This Row],[disposedCourt]]&lt;=TrafficData[[#This Row],[totalCourt]])</f>
        <v>1</v>
      </c>
    </row>
    <row r="2267" spans="1:16">
      <c r="A2267" s="1">
        <v>44271</v>
      </c>
      <c r="B2267">
        <v>132054</v>
      </c>
      <c r="C2267">
        <v>68218</v>
      </c>
      <c r="D2267">
        <v>63836</v>
      </c>
      <c r="E2267">
        <v>86662329</v>
      </c>
      <c r="F2267">
        <v>92456088</v>
      </c>
      <c r="G2267">
        <v>179118417</v>
      </c>
      <c r="H2267">
        <v>25221</v>
      </c>
      <c r="I2267">
        <v>10068</v>
      </c>
      <c r="J2267">
        <v>35289</v>
      </c>
      <c r="K2267" t="b">
        <f>TrafficData[[#This Row],[disposedChallan]]+TrafficData[[#This Row],[pendingChallan]]=TrafficData[[#This Row],[totalChallan]]</f>
        <v>1</v>
      </c>
      <c r="L2267" t="b">
        <f>TrafficData[[#This Row],[pendingAmount]]+TrafficData[[#This Row],[disposedAmount]]=TrafficData[[#This Row],[totalAmount]]</f>
        <v>1</v>
      </c>
      <c r="M2267" t="b">
        <f>TrafficData[[#This Row],[pendingCourt]]+TrafficData[[#This Row],[disposedCourt]]=TrafficData[[#This Row],[totalCourt]]</f>
        <v>1</v>
      </c>
      <c r="N2267" s="8" t="b">
        <f>AND(TrafficData[[#This Row],[disposedChallan]]&lt;=TrafficData[[#This Row],[totalChallan]],TrafficData[[#This Row],[pendingChallan]]&lt;=TrafficData[[#This Row],[totalChallan]])</f>
        <v>1</v>
      </c>
      <c r="O2267" s="8" t="b">
        <f>AND(TrafficData[[#This Row],[pendingAmount]]&lt;=TrafficData[[#This Row],[totalAmount]],TrafficData[[#This Row],[disposedAmount]]&lt;=TrafficData[[#This Row],[totalAmount]])</f>
        <v>1</v>
      </c>
      <c r="P2267" s="8" t="b">
        <f>AND(TrafficData[[#This Row],[pendingCourt]]&lt;=TrafficData[[#This Row],[totalCourt]],TrafficData[[#This Row],[disposedCourt]]&lt;=TrafficData[[#This Row],[totalCourt]])</f>
        <v>1</v>
      </c>
    </row>
    <row r="2268" spans="1:16">
      <c r="A2268" s="1">
        <v>44272</v>
      </c>
      <c r="B2268">
        <v>126550</v>
      </c>
      <c r="C2268">
        <v>67967</v>
      </c>
      <c r="D2268">
        <v>58583</v>
      </c>
      <c r="E2268">
        <v>76425778</v>
      </c>
      <c r="F2268">
        <v>96170250</v>
      </c>
      <c r="G2268">
        <v>172596028</v>
      </c>
      <c r="H2268">
        <v>23845</v>
      </c>
      <c r="I2268">
        <v>9573</v>
      </c>
      <c r="J2268">
        <v>33418</v>
      </c>
      <c r="K2268" t="b">
        <f>TrafficData[[#This Row],[disposedChallan]]+TrafficData[[#This Row],[pendingChallan]]=TrafficData[[#This Row],[totalChallan]]</f>
        <v>1</v>
      </c>
      <c r="L2268" t="b">
        <f>TrafficData[[#This Row],[pendingAmount]]+TrafficData[[#This Row],[disposedAmount]]=TrafficData[[#This Row],[totalAmount]]</f>
        <v>1</v>
      </c>
      <c r="M2268" t="b">
        <f>TrafficData[[#This Row],[pendingCourt]]+TrafficData[[#This Row],[disposedCourt]]=TrafficData[[#This Row],[totalCourt]]</f>
        <v>1</v>
      </c>
      <c r="N2268" s="8" t="b">
        <f>AND(TrafficData[[#This Row],[disposedChallan]]&lt;=TrafficData[[#This Row],[totalChallan]],TrafficData[[#This Row],[pendingChallan]]&lt;=TrafficData[[#This Row],[totalChallan]])</f>
        <v>1</v>
      </c>
      <c r="O2268" s="8" t="b">
        <f>AND(TrafficData[[#This Row],[pendingAmount]]&lt;=TrafficData[[#This Row],[totalAmount]],TrafficData[[#This Row],[disposedAmount]]&lt;=TrafficData[[#This Row],[totalAmount]])</f>
        <v>1</v>
      </c>
      <c r="P2268" s="8" t="b">
        <f>AND(TrafficData[[#This Row],[pendingCourt]]&lt;=TrafficData[[#This Row],[totalCourt]],TrafficData[[#This Row],[disposedCourt]]&lt;=TrafficData[[#This Row],[totalCourt]])</f>
        <v>1</v>
      </c>
    </row>
    <row r="2269" spans="1:16">
      <c r="A2269" s="1">
        <v>44273</v>
      </c>
      <c r="B2269">
        <v>125787</v>
      </c>
      <c r="C2269">
        <v>67800</v>
      </c>
      <c r="D2269">
        <v>57987</v>
      </c>
      <c r="E2269">
        <v>74524173</v>
      </c>
      <c r="F2269">
        <v>97392713</v>
      </c>
      <c r="G2269">
        <v>171916886</v>
      </c>
      <c r="H2269">
        <v>22814</v>
      </c>
      <c r="I2269">
        <v>9481</v>
      </c>
      <c r="J2269">
        <v>32295</v>
      </c>
      <c r="K2269" t="b">
        <f>TrafficData[[#This Row],[disposedChallan]]+TrafficData[[#This Row],[pendingChallan]]=TrafficData[[#This Row],[totalChallan]]</f>
        <v>1</v>
      </c>
      <c r="L2269" t="b">
        <f>TrafficData[[#This Row],[pendingAmount]]+TrafficData[[#This Row],[disposedAmount]]=TrafficData[[#This Row],[totalAmount]]</f>
        <v>1</v>
      </c>
      <c r="M2269" t="b">
        <f>TrafficData[[#This Row],[pendingCourt]]+TrafficData[[#This Row],[disposedCourt]]=TrafficData[[#This Row],[totalCourt]]</f>
        <v>1</v>
      </c>
      <c r="N2269" s="8" t="b">
        <f>AND(TrafficData[[#This Row],[disposedChallan]]&lt;=TrafficData[[#This Row],[totalChallan]],TrafficData[[#This Row],[pendingChallan]]&lt;=TrafficData[[#This Row],[totalChallan]])</f>
        <v>1</v>
      </c>
      <c r="O2269" s="8" t="b">
        <f>AND(TrafficData[[#This Row],[pendingAmount]]&lt;=TrafficData[[#This Row],[totalAmount]],TrafficData[[#This Row],[disposedAmount]]&lt;=TrafficData[[#This Row],[totalAmount]])</f>
        <v>1</v>
      </c>
      <c r="P2269" s="8" t="b">
        <f>AND(TrafficData[[#This Row],[pendingCourt]]&lt;=TrafficData[[#This Row],[totalCourt]],TrafficData[[#This Row],[disposedCourt]]&lt;=TrafficData[[#This Row],[totalCourt]])</f>
        <v>1</v>
      </c>
    </row>
    <row r="2270" spans="1:16">
      <c r="A2270" s="1">
        <v>44274</v>
      </c>
      <c r="B2270">
        <v>118558</v>
      </c>
      <c r="C2270">
        <v>65744</v>
      </c>
      <c r="D2270">
        <v>52814</v>
      </c>
      <c r="E2270">
        <v>56937287</v>
      </c>
      <c r="F2270">
        <v>92544357</v>
      </c>
      <c r="G2270">
        <v>149481644</v>
      </c>
      <c r="H2270">
        <v>21735</v>
      </c>
      <c r="I2270">
        <v>9218</v>
      </c>
      <c r="J2270">
        <v>30953</v>
      </c>
      <c r="K2270" t="b">
        <f>TrafficData[[#This Row],[disposedChallan]]+TrafficData[[#This Row],[pendingChallan]]=TrafficData[[#This Row],[totalChallan]]</f>
        <v>1</v>
      </c>
      <c r="L2270" t="b">
        <f>TrafficData[[#This Row],[pendingAmount]]+TrafficData[[#This Row],[disposedAmount]]=TrafficData[[#This Row],[totalAmount]]</f>
        <v>1</v>
      </c>
      <c r="M2270" t="b">
        <f>TrafficData[[#This Row],[pendingCourt]]+TrafficData[[#This Row],[disposedCourt]]=TrafficData[[#This Row],[totalCourt]]</f>
        <v>1</v>
      </c>
      <c r="N2270" s="8" t="b">
        <f>AND(TrafficData[[#This Row],[disposedChallan]]&lt;=TrafficData[[#This Row],[totalChallan]],TrafficData[[#This Row],[pendingChallan]]&lt;=TrafficData[[#This Row],[totalChallan]])</f>
        <v>1</v>
      </c>
      <c r="O2270" s="8" t="b">
        <f>AND(TrafficData[[#This Row],[pendingAmount]]&lt;=TrafficData[[#This Row],[totalAmount]],TrafficData[[#This Row],[disposedAmount]]&lt;=TrafficData[[#This Row],[totalAmount]])</f>
        <v>1</v>
      </c>
      <c r="P2270" s="8" t="b">
        <f>AND(TrafficData[[#This Row],[pendingCourt]]&lt;=TrafficData[[#This Row],[totalCourt]],TrafficData[[#This Row],[disposedCourt]]&lt;=TrafficData[[#This Row],[totalCourt]])</f>
        <v>1</v>
      </c>
    </row>
    <row r="2271" spans="1:16">
      <c r="A2271" s="1">
        <v>44275</v>
      </c>
      <c r="B2271">
        <v>117246</v>
      </c>
      <c r="C2271">
        <v>66689</v>
      </c>
      <c r="D2271">
        <v>50557</v>
      </c>
      <c r="E2271">
        <v>57695071</v>
      </c>
      <c r="F2271">
        <v>86375062</v>
      </c>
      <c r="G2271">
        <v>144070133</v>
      </c>
      <c r="H2271">
        <v>18608</v>
      </c>
      <c r="I2271">
        <v>8536</v>
      </c>
      <c r="J2271">
        <v>27144</v>
      </c>
      <c r="K2271" t="b">
        <f>TrafficData[[#This Row],[disposedChallan]]+TrafficData[[#This Row],[pendingChallan]]=TrafficData[[#This Row],[totalChallan]]</f>
        <v>1</v>
      </c>
      <c r="L2271" t="b">
        <f>TrafficData[[#This Row],[pendingAmount]]+TrafficData[[#This Row],[disposedAmount]]=TrafficData[[#This Row],[totalAmount]]</f>
        <v>1</v>
      </c>
      <c r="M2271" t="b">
        <f>TrafficData[[#This Row],[pendingCourt]]+TrafficData[[#This Row],[disposedCourt]]=TrafficData[[#This Row],[totalCourt]]</f>
        <v>1</v>
      </c>
      <c r="N2271" s="8" t="b">
        <f>AND(TrafficData[[#This Row],[disposedChallan]]&lt;=TrafficData[[#This Row],[totalChallan]],TrafficData[[#This Row],[pendingChallan]]&lt;=TrafficData[[#This Row],[totalChallan]])</f>
        <v>1</v>
      </c>
      <c r="O2271" s="8" t="b">
        <f>AND(TrafficData[[#This Row],[pendingAmount]]&lt;=TrafficData[[#This Row],[totalAmount]],TrafficData[[#This Row],[disposedAmount]]&lt;=TrafficData[[#This Row],[totalAmount]])</f>
        <v>1</v>
      </c>
      <c r="P2271" s="8" t="b">
        <f>AND(TrafficData[[#This Row],[pendingCourt]]&lt;=TrafficData[[#This Row],[totalCourt]],TrafficData[[#This Row],[disposedCourt]]&lt;=TrafficData[[#This Row],[totalCourt]])</f>
        <v>1</v>
      </c>
    </row>
    <row r="2272" spans="1:16">
      <c r="A2272" s="1">
        <v>44276</v>
      </c>
      <c r="B2272">
        <v>115092</v>
      </c>
      <c r="C2272">
        <v>57905</v>
      </c>
      <c r="D2272">
        <v>57187</v>
      </c>
      <c r="E2272">
        <v>52425510</v>
      </c>
      <c r="F2272">
        <v>67318246</v>
      </c>
      <c r="G2272">
        <v>119743756</v>
      </c>
      <c r="H2272">
        <v>15574</v>
      </c>
      <c r="I2272">
        <v>7565</v>
      </c>
      <c r="J2272">
        <v>23139</v>
      </c>
      <c r="K2272" t="b">
        <f>TrafficData[[#This Row],[disposedChallan]]+TrafficData[[#This Row],[pendingChallan]]=TrafficData[[#This Row],[totalChallan]]</f>
        <v>1</v>
      </c>
      <c r="L2272" t="b">
        <f>TrafficData[[#This Row],[pendingAmount]]+TrafficData[[#This Row],[disposedAmount]]=TrafficData[[#This Row],[totalAmount]]</f>
        <v>1</v>
      </c>
      <c r="M2272" t="b">
        <f>TrafficData[[#This Row],[pendingCourt]]+TrafficData[[#This Row],[disposedCourt]]=TrafficData[[#This Row],[totalCourt]]</f>
        <v>1</v>
      </c>
      <c r="N2272" s="8" t="b">
        <f>AND(TrafficData[[#This Row],[disposedChallan]]&lt;=TrafficData[[#This Row],[totalChallan]],TrafficData[[#This Row],[pendingChallan]]&lt;=TrafficData[[#This Row],[totalChallan]])</f>
        <v>1</v>
      </c>
      <c r="O2272" s="8" t="b">
        <f>AND(TrafficData[[#This Row],[pendingAmount]]&lt;=TrafficData[[#This Row],[totalAmount]],TrafficData[[#This Row],[disposedAmount]]&lt;=TrafficData[[#This Row],[totalAmount]])</f>
        <v>1</v>
      </c>
      <c r="P2272" s="8" t="b">
        <f>AND(TrafficData[[#This Row],[pendingCourt]]&lt;=TrafficData[[#This Row],[totalCourt]],TrafficData[[#This Row],[disposedCourt]]&lt;=TrafficData[[#This Row],[totalCourt]])</f>
        <v>1</v>
      </c>
    </row>
    <row r="2273" spans="1:16">
      <c r="A2273" s="1">
        <v>44277</v>
      </c>
      <c r="B2273">
        <v>138077</v>
      </c>
      <c r="C2273">
        <v>69218</v>
      </c>
      <c r="D2273">
        <v>68859</v>
      </c>
      <c r="E2273">
        <v>75420913</v>
      </c>
      <c r="F2273">
        <v>79973579</v>
      </c>
      <c r="G2273">
        <v>155394492</v>
      </c>
      <c r="H2273">
        <v>21484</v>
      </c>
      <c r="I2273">
        <v>9939</v>
      </c>
      <c r="J2273">
        <v>31423</v>
      </c>
      <c r="K2273" t="b">
        <f>TrafficData[[#This Row],[disposedChallan]]+TrafficData[[#This Row],[pendingChallan]]=TrafficData[[#This Row],[totalChallan]]</f>
        <v>1</v>
      </c>
      <c r="L2273" t="b">
        <f>TrafficData[[#This Row],[pendingAmount]]+TrafficData[[#This Row],[disposedAmount]]=TrafficData[[#This Row],[totalAmount]]</f>
        <v>1</v>
      </c>
      <c r="M2273" t="b">
        <f>TrafficData[[#This Row],[pendingCourt]]+TrafficData[[#This Row],[disposedCourt]]=TrafficData[[#This Row],[totalCourt]]</f>
        <v>1</v>
      </c>
      <c r="N2273" s="8" t="b">
        <f>AND(TrafficData[[#This Row],[disposedChallan]]&lt;=TrafficData[[#This Row],[totalChallan]],TrafficData[[#This Row],[pendingChallan]]&lt;=TrafficData[[#This Row],[totalChallan]])</f>
        <v>1</v>
      </c>
      <c r="O2273" s="8" t="b">
        <f>AND(TrafficData[[#This Row],[pendingAmount]]&lt;=TrafficData[[#This Row],[totalAmount]],TrafficData[[#This Row],[disposedAmount]]&lt;=TrafficData[[#This Row],[totalAmount]])</f>
        <v>1</v>
      </c>
      <c r="P2273" s="8" t="b">
        <f>AND(TrafficData[[#This Row],[pendingCourt]]&lt;=TrafficData[[#This Row],[totalCourt]],TrafficData[[#This Row],[disposedCourt]]&lt;=TrafficData[[#This Row],[totalCourt]])</f>
        <v>1</v>
      </c>
    </row>
    <row r="2274" spans="1:16">
      <c r="A2274" s="1">
        <v>44278</v>
      </c>
      <c r="B2274">
        <v>124629</v>
      </c>
      <c r="C2274">
        <v>64057</v>
      </c>
      <c r="D2274">
        <v>60572</v>
      </c>
      <c r="E2274">
        <v>69449648</v>
      </c>
      <c r="F2274">
        <v>84498641</v>
      </c>
      <c r="G2274">
        <v>153948289</v>
      </c>
      <c r="H2274">
        <v>26306</v>
      </c>
      <c r="I2274">
        <v>10207</v>
      </c>
      <c r="J2274">
        <v>36513</v>
      </c>
      <c r="K2274" t="b">
        <f>TrafficData[[#This Row],[disposedChallan]]+TrafficData[[#This Row],[pendingChallan]]=TrafficData[[#This Row],[totalChallan]]</f>
        <v>1</v>
      </c>
      <c r="L2274" t="b">
        <f>TrafficData[[#This Row],[pendingAmount]]+TrafficData[[#This Row],[disposedAmount]]=TrafficData[[#This Row],[totalAmount]]</f>
        <v>1</v>
      </c>
      <c r="M2274" t="b">
        <f>TrafficData[[#This Row],[pendingCourt]]+TrafficData[[#This Row],[disposedCourt]]=TrafficData[[#This Row],[totalCourt]]</f>
        <v>1</v>
      </c>
      <c r="N2274" s="8" t="b">
        <f>AND(TrafficData[[#This Row],[disposedChallan]]&lt;=TrafficData[[#This Row],[totalChallan]],TrafficData[[#This Row],[pendingChallan]]&lt;=TrafficData[[#This Row],[totalChallan]])</f>
        <v>1</v>
      </c>
      <c r="O2274" s="8" t="b">
        <f>AND(TrafficData[[#This Row],[pendingAmount]]&lt;=TrafficData[[#This Row],[totalAmount]],TrafficData[[#This Row],[disposedAmount]]&lt;=TrafficData[[#This Row],[totalAmount]])</f>
        <v>1</v>
      </c>
      <c r="P2274" s="8" t="b">
        <f>AND(TrafficData[[#This Row],[pendingCourt]]&lt;=TrafficData[[#This Row],[totalCourt]],TrafficData[[#This Row],[disposedCourt]]&lt;=TrafficData[[#This Row],[totalCourt]])</f>
        <v>1</v>
      </c>
    </row>
    <row r="2275" spans="1:16">
      <c r="A2275" s="1">
        <v>44279</v>
      </c>
      <c r="B2275">
        <v>134742</v>
      </c>
      <c r="C2275">
        <v>69516</v>
      </c>
      <c r="D2275">
        <v>65226</v>
      </c>
      <c r="E2275">
        <v>69942513</v>
      </c>
      <c r="F2275">
        <v>86999645</v>
      </c>
      <c r="G2275">
        <v>156942158</v>
      </c>
      <c r="H2275">
        <v>28203</v>
      </c>
      <c r="I2275">
        <v>10902</v>
      </c>
      <c r="J2275">
        <v>39105</v>
      </c>
      <c r="K2275" t="b">
        <f>TrafficData[[#This Row],[disposedChallan]]+TrafficData[[#This Row],[pendingChallan]]=TrafficData[[#This Row],[totalChallan]]</f>
        <v>1</v>
      </c>
      <c r="L2275" t="b">
        <f>TrafficData[[#This Row],[pendingAmount]]+TrafficData[[#This Row],[disposedAmount]]=TrafficData[[#This Row],[totalAmount]]</f>
        <v>1</v>
      </c>
      <c r="M2275" t="b">
        <f>TrafficData[[#This Row],[pendingCourt]]+TrafficData[[#This Row],[disposedCourt]]=TrafficData[[#This Row],[totalCourt]]</f>
        <v>1</v>
      </c>
      <c r="N2275" s="8" t="b">
        <f>AND(TrafficData[[#This Row],[disposedChallan]]&lt;=TrafficData[[#This Row],[totalChallan]],TrafficData[[#This Row],[pendingChallan]]&lt;=TrafficData[[#This Row],[totalChallan]])</f>
        <v>1</v>
      </c>
      <c r="O2275" s="8" t="b">
        <f>AND(TrafficData[[#This Row],[pendingAmount]]&lt;=TrafficData[[#This Row],[totalAmount]],TrafficData[[#This Row],[disposedAmount]]&lt;=TrafficData[[#This Row],[totalAmount]])</f>
        <v>1</v>
      </c>
      <c r="P2275" s="8" t="b">
        <f>AND(TrafficData[[#This Row],[pendingCourt]]&lt;=TrafficData[[#This Row],[totalCourt]],TrafficData[[#This Row],[disposedCourt]]&lt;=TrafficData[[#This Row],[totalCourt]])</f>
        <v>1</v>
      </c>
    </row>
    <row r="2276" spans="1:16">
      <c r="A2276" s="1">
        <v>44280</v>
      </c>
      <c r="B2276">
        <v>130642</v>
      </c>
      <c r="C2276">
        <v>68291</v>
      </c>
      <c r="D2276">
        <v>62351</v>
      </c>
      <c r="E2276">
        <v>74472206</v>
      </c>
      <c r="F2276">
        <v>86245975</v>
      </c>
      <c r="G2276">
        <v>160718181</v>
      </c>
      <c r="H2276">
        <v>25333</v>
      </c>
      <c r="I2276">
        <v>11089</v>
      </c>
      <c r="J2276">
        <v>36422</v>
      </c>
      <c r="K2276" t="b">
        <f>TrafficData[[#This Row],[disposedChallan]]+TrafficData[[#This Row],[pendingChallan]]=TrafficData[[#This Row],[totalChallan]]</f>
        <v>1</v>
      </c>
      <c r="L2276" t="b">
        <f>TrafficData[[#This Row],[pendingAmount]]+TrafficData[[#This Row],[disposedAmount]]=TrafficData[[#This Row],[totalAmount]]</f>
        <v>1</v>
      </c>
      <c r="M2276" t="b">
        <f>TrafficData[[#This Row],[pendingCourt]]+TrafficData[[#This Row],[disposedCourt]]=TrafficData[[#This Row],[totalCourt]]</f>
        <v>1</v>
      </c>
      <c r="N2276" s="8" t="b">
        <f>AND(TrafficData[[#This Row],[disposedChallan]]&lt;=TrafficData[[#This Row],[totalChallan]],TrafficData[[#This Row],[pendingChallan]]&lt;=TrafficData[[#This Row],[totalChallan]])</f>
        <v>1</v>
      </c>
      <c r="O2276" s="8" t="b">
        <f>AND(TrafficData[[#This Row],[pendingAmount]]&lt;=TrafficData[[#This Row],[totalAmount]],TrafficData[[#This Row],[disposedAmount]]&lt;=TrafficData[[#This Row],[totalAmount]])</f>
        <v>1</v>
      </c>
      <c r="P2276" s="8" t="b">
        <f>AND(TrafficData[[#This Row],[pendingCourt]]&lt;=TrafficData[[#This Row],[totalCourt]],TrafficData[[#This Row],[disposedCourt]]&lt;=TrafficData[[#This Row],[totalCourt]])</f>
        <v>1</v>
      </c>
    </row>
    <row r="2277" spans="1:16">
      <c r="A2277" s="1">
        <v>44281</v>
      </c>
      <c r="B2277">
        <v>131191</v>
      </c>
      <c r="C2277">
        <v>64247</v>
      </c>
      <c r="D2277">
        <v>66944</v>
      </c>
      <c r="E2277">
        <v>76937096</v>
      </c>
      <c r="F2277">
        <v>74026897</v>
      </c>
      <c r="G2277">
        <v>150963993</v>
      </c>
      <c r="H2277">
        <v>28444</v>
      </c>
      <c r="I2277">
        <v>11000</v>
      </c>
      <c r="J2277">
        <v>39444</v>
      </c>
      <c r="K2277" t="b">
        <f>TrafficData[[#This Row],[disposedChallan]]+TrafficData[[#This Row],[pendingChallan]]=TrafficData[[#This Row],[totalChallan]]</f>
        <v>1</v>
      </c>
      <c r="L2277" t="b">
        <f>TrafficData[[#This Row],[pendingAmount]]+TrafficData[[#This Row],[disposedAmount]]=TrafficData[[#This Row],[totalAmount]]</f>
        <v>1</v>
      </c>
      <c r="M2277" t="b">
        <f>TrafficData[[#This Row],[pendingCourt]]+TrafficData[[#This Row],[disposedCourt]]=TrafficData[[#This Row],[totalCourt]]</f>
        <v>1</v>
      </c>
      <c r="N2277" s="8" t="b">
        <f>AND(TrafficData[[#This Row],[disposedChallan]]&lt;=TrafficData[[#This Row],[totalChallan]],TrafficData[[#This Row],[pendingChallan]]&lt;=TrafficData[[#This Row],[totalChallan]])</f>
        <v>1</v>
      </c>
      <c r="O2277" s="8" t="b">
        <f>AND(TrafficData[[#This Row],[pendingAmount]]&lt;=TrafficData[[#This Row],[totalAmount]],TrafficData[[#This Row],[disposedAmount]]&lt;=TrafficData[[#This Row],[totalAmount]])</f>
        <v>1</v>
      </c>
      <c r="P2277" s="8" t="b">
        <f>AND(TrafficData[[#This Row],[pendingCourt]]&lt;=TrafficData[[#This Row],[totalCourt]],TrafficData[[#This Row],[disposedCourt]]&lt;=TrafficData[[#This Row],[totalCourt]])</f>
        <v>1</v>
      </c>
    </row>
    <row r="2278" spans="1:16">
      <c r="A2278" s="1">
        <v>44282</v>
      </c>
      <c r="B2278">
        <v>134235</v>
      </c>
      <c r="C2278">
        <v>67133</v>
      </c>
      <c r="D2278">
        <v>67102</v>
      </c>
      <c r="E2278">
        <v>72886501</v>
      </c>
      <c r="F2278">
        <v>71339943</v>
      </c>
      <c r="G2278">
        <v>144226444</v>
      </c>
      <c r="H2278">
        <v>29716</v>
      </c>
      <c r="I2278">
        <v>9123</v>
      </c>
      <c r="J2278">
        <v>38839</v>
      </c>
      <c r="K2278" t="b">
        <f>TrafficData[[#This Row],[disposedChallan]]+TrafficData[[#This Row],[pendingChallan]]=TrafficData[[#This Row],[totalChallan]]</f>
        <v>1</v>
      </c>
      <c r="L2278" t="b">
        <f>TrafficData[[#This Row],[pendingAmount]]+TrafficData[[#This Row],[disposedAmount]]=TrafficData[[#This Row],[totalAmount]]</f>
        <v>1</v>
      </c>
      <c r="M2278" t="b">
        <f>TrafficData[[#This Row],[pendingCourt]]+TrafficData[[#This Row],[disposedCourt]]=TrafficData[[#This Row],[totalCourt]]</f>
        <v>1</v>
      </c>
      <c r="N2278" s="8" t="b">
        <f>AND(TrafficData[[#This Row],[disposedChallan]]&lt;=TrafficData[[#This Row],[totalChallan]],TrafficData[[#This Row],[pendingChallan]]&lt;=TrafficData[[#This Row],[totalChallan]])</f>
        <v>1</v>
      </c>
      <c r="O2278" s="8" t="b">
        <f>AND(TrafficData[[#This Row],[pendingAmount]]&lt;=TrafficData[[#This Row],[totalAmount]],TrafficData[[#This Row],[disposedAmount]]&lt;=TrafficData[[#This Row],[totalAmount]])</f>
        <v>1</v>
      </c>
      <c r="P2278" s="8" t="b">
        <f>AND(TrafficData[[#This Row],[pendingCourt]]&lt;=TrafficData[[#This Row],[totalCourt]],TrafficData[[#This Row],[disposedCourt]]&lt;=TrafficData[[#This Row],[totalCourt]])</f>
        <v>1</v>
      </c>
    </row>
    <row r="2279" spans="1:16">
      <c r="A2279" s="1">
        <v>44283</v>
      </c>
      <c r="B2279">
        <v>102682</v>
      </c>
      <c r="C2279">
        <v>44617</v>
      </c>
      <c r="D2279">
        <v>58065</v>
      </c>
      <c r="E2279">
        <v>63875990</v>
      </c>
      <c r="F2279">
        <v>39821444</v>
      </c>
      <c r="G2279">
        <v>103697434</v>
      </c>
      <c r="H2279">
        <v>20305</v>
      </c>
      <c r="I2279">
        <v>7301</v>
      </c>
      <c r="J2279">
        <v>27606</v>
      </c>
      <c r="K2279" t="b">
        <f>TrafficData[[#This Row],[disposedChallan]]+TrafficData[[#This Row],[pendingChallan]]=TrafficData[[#This Row],[totalChallan]]</f>
        <v>1</v>
      </c>
      <c r="L2279" t="b">
        <f>TrafficData[[#This Row],[pendingAmount]]+TrafficData[[#This Row],[disposedAmount]]=TrafficData[[#This Row],[totalAmount]]</f>
        <v>1</v>
      </c>
      <c r="M2279" t="b">
        <f>TrafficData[[#This Row],[pendingCourt]]+TrafficData[[#This Row],[disposedCourt]]=TrafficData[[#This Row],[totalCourt]]</f>
        <v>1</v>
      </c>
      <c r="N2279" s="8" t="b">
        <f>AND(TrafficData[[#This Row],[disposedChallan]]&lt;=TrafficData[[#This Row],[totalChallan]],TrafficData[[#This Row],[pendingChallan]]&lt;=TrafficData[[#This Row],[totalChallan]])</f>
        <v>1</v>
      </c>
      <c r="O2279" s="8" t="b">
        <f>AND(TrafficData[[#This Row],[pendingAmount]]&lt;=TrafficData[[#This Row],[totalAmount]],TrafficData[[#This Row],[disposedAmount]]&lt;=TrafficData[[#This Row],[totalAmount]])</f>
        <v>1</v>
      </c>
      <c r="P2279" s="8" t="b">
        <f>AND(TrafficData[[#This Row],[pendingCourt]]&lt;=TrafficData[[#This Row],[totalCourt]],TrafficData[[#This Row],[disposedCourt]]&lt;=TrafficData[[#This Row],[totalCourt]])</f>
        <v>1</v>
      </c>
    </row>
    <row r="2280" spans="1:16">
      <c r="A2280" s="1">
        <v>44284</v>
      </c>
      <c r="B2280">
        <v>93696</v>
      </c>
      <c r="C2280">
        <v>38794</v>
      </c>
      <c r="D2280">
        <v>54902</v>
      </c>
      <c r="E2280">
        <v>52147905</v>
      </c>
      <c r="F2280">
        <v>27351025</v>
      </c>
      <c r="G2280">
        <v>79498930</v>
      </c>
      <c r="H2280">
        <v>18299</v>
      </c>
      <c r="I2280">
        <v>5366</v>
      </c>
      <c r="J2280">
        <v>23665</v>
      </c>
      <c r="K2280" t="b">
        <f>TrafficData[[#This Row],[disposedChallan]]+TrafficData[[#This Row],[pendingChallan]]=TrafficData[[#This Row],[totalChallan]]</f>
        <v>1</v>
      </c>
      <c r="L2280" t="b">
        <f>TrafficData[[#This Row],[pendingAmount]]+TrafficData[[#This Row],[disposedAmount]]=TrafficData[[#This Row],[totalAmount]]</f>
        <v>1</v>
      </c>
      <c r="M2280" t="b">
        <f>TrafficData[[#This Row],[pendingCourt]]+TrafficData[[#This Row],[disposedCourt]]=TrafficData[[#This Row],[totalCourt]]</f>
        <v>1</v>
      </c>
      <c r="N2280" s="8" t="b">
        <f>AND(TrafficData[[#This Row],[disposedChallan]]&lt;=TrafficData[[#This Row],[totalChallan]],TrafficData[[#This Row],[pendingChallan]]&lt;=TrafficData[[#This Row],[totalChallan]])</f>
        <v>1</v>
      </c>
      <c r="O2280" s="8" t="b">
        <f>AND(TrafficData[[#This Row],[pendingAmount]]&lt;=TrafficData[[#This Row],[totalAmount]],TrafficData[[#This Row],[disposedAmount]]&lt;=TrafficData[[#This Row],[totalAmount]])</f>
        <v>1</v>
      </c>
      <c r="P2280" s="8" t="b">
        <f>AND(TrafficData[[#This Row],[pendingCourt]]&lt;=TrafficData[[#This Row],[totalCourt]],TrafficData[[#This Row],[disposedCourt]]&lt;=TrafficData[[#This Row],[totalCourt]])</f>
        <v>1</v>
      </c>
    </row>
    <row r="2281" spans="1:16">
      <c r="A2281" s="1">
        <v>44285</v>
      </c>
      <c r="B2281">
        <v>86904</v>
      </c>
      <c r="C2281">
        <v>46083</v>
      </c>
      <c r="D2281">
        <v>40821</v>
      </c>
      <c r="E2281">
        <v>33673119</v>
      </c>
      <c r="F2281">
        <v>38117130</v>
      </c>
      <c r="G2281">
        <v>71790249</v>
      </c>
      <c r="H2281">
        <v>13633</v>
      </c>
      <c r="I2281">
        <v>5819</v>
      </c>
      <c r="J2281">
        <v>19452</v>
      </c>
      <c r="K2281" t="b">
        <f>TrafficData[[#This Row],[disposedChallan]]+TrafficData[[#This Row],[pendingChallan]]=TrafficData[[#This Row],[totalChallan]]</f>
        <v>1</v>
      </c>
      <c r="L2281" t="b">
        <f>TrafficData[[#This Row],[pendingAmount]]+TrafficData[[#This Row],[disposedAmount]]=TrafficData[[#This Row],[totalAmount]]</f>
        <v>1</v>
      </c>
      <c r="M2281" t="b">
        <f>TrafficData[[#This Row],[pendingCourt]]+TrafficData[[#This Row],[disposedCourt]]=TrafficData[[#This Row],[totalCourt]]</f>
        <v>1</v>
      </c>
      <c r="N2281" s="8" t="b">
        <f>AND(TrafficData[[#This Row],[disposedChallan]]&lt;=TrafficData[[#This Row],[totalChallan]],TrafficData[[#This Row],[pendingChallan]]&lt;=TrafficData[[#This Row],[totalChallan]])</f>
        <v>1</v>
      </c>
      <c r="O2281" s="8" t="b">
        <f>AND(TrafficData[[#This Row],[pendingAmount]]&lt;=TrafficData[[#This Row],[totalAmount]],TrafficData[[#This Row],[disposedAmount]]&lt;=TrafficData[[#This Row],[totalAmount]])</f>
        <v>1</v>
      </c>
      <c r="P2281" s="8" t="b">
        <f>AND(TrafficData[[#This Row],[pendingCourt]]&lt;=TrafficData[[#This Row],[totalCourt]],TrafficData[[#This Row],[disposedCourt]]&lt;=TrafficData[[#This Row],[totalCourt]])</f>
        <v>1</v>
      </c>
    </row>
    <row r="2282" spans="1:16">
      <c r="A2282" s="1">
        <v>44286</v>
      </c>
      <c r="B2282">
        <v>97380</v>
      </c>
      <c r="C2282">
        <v>52702</v>
      </c>
      <c r="D2282">
        <v>44678</v>
      </c>
      <c r="E2282">
        <v>49602941</v>
      </c>
      <c r="F2282">
        <v>51190518</v>
      </c>
      <c r="G2282">
        <v>100793459</v>
      </c>
      <c r="H2282">
        <v>21511</v>
      </c>
      <c r="I2282">
        <v>9501</v>
      </c>
      <c r="J2282">
        <v>31012</v>
      </c>
      <c r="K2282" t="b">
        <f>TrafficData[[#This Row],[disposedChallan]]+TrafficData[[#This Row],[pendingChallan]]=TrafficData[[#This Row],[totalChallan]]</f>
        <v>1</v>
      </c>
      <c r="L2282" t="b">
        <f>TrafficData[[#This Row],[pendingAmount]]+TrafficData[[#This Row],[disposedAmount]]=TrafficData[[#This Row],[totalAmount]]</f>
        <v>1</v>
      </c>
      <c r="M2282" t="b">
        <f>TrafficData[[#This Row],[pendingCourt]]+TrafficData[[#This Row],[disposedCourt]]=TrafficData[[#This Row],[totalCourt]]</f>
        <v>1</v>
      </c>
      <c r="N2282" s="8" t="b">
        <f>AND(TrafficData[[#This Row],[disposedChallan]]&lt;=TrafficData[[#This Row],[totalChallan]],TrafficData[[#This Row],[pendingChallan]]&lt;=TrafficData[[#This Row],[totalChallan]])</f>
        <v>1</v>
      </c>
      <c r="O2282" s="8" t="b">
        <f>AND(TrafficData[[#This Row],[pendingAmount]]&lt;=TrafficData[[#This Row],[totalAmount]],TrafficData[[#This Row],[disposedAmount]]&lt;=TrafficData[[#This Row],[totalAmount]])</f>
        <v>1</v>
      </c>
      <c r="P2282" s="8" t="b">
        <f>AND(TrafficData[[#This Row],[pendingCourt]]&lt;=TrafficData[[#This Row],[totalCourt]],TrafficData[[#This Row],[disposedCourt]]&lt;=TrafficData[[#This Row],[totalCourt]])</f>
        <v>1</v>
      </c>
    </row>
    <row r="2283" spans="1:16">
      <c r="A2283" s="1">
        <v>44287</v>
      </c>
      <c r="B2283">
        <v>108334</v>
      </c>
      <c r="C2283">
        <v>56768</v>
      </c>
      <c r="D2283">
        <v>51566</v>
      </c>
      <c r="E2283">
        <v>73483542</v>
      </c>
      <c r="F2283">
        <v>65238819</v>
      </c>
      <c r="G2283">
        <v>138722361</v>
      </c>
      <c r="H2283">
        <v>26417</v>
      </c>
      <c r="I2283">
        <v>11424</v>
      </c>
      <c r="J2283">
        <v>37841</v>
      </c>
      <c r="K2283" t="b">
        <f>TrafficData[[#This Row],[disposedChallan]]+TrafficData[[#This Row],[pendingChallan]]=TrafficData[[#This Row],[totalChallan]]</f>
        <v>1</v>
      </c>
      <c r="L2283" t="b">
        <f>TrafficData[[#This Row],[pendingAmount]]+TrafficData[[#This Row],[disposedAmount]]=TrafficData[[#This Row],[totalAmount]]</f>
        <v>1</v>
      </c>
      <c r="M2283" t="b">
        <f>TrafficData[[#This Row],[pendingCourt]]+TrafficData[[#This Row],[disposedCourt]]=TrafficData[[#This Row],[totalCourt]]</f>
        <v>1</v>
      </c>
      <c r="N2283" s="8" t="b">
        <f>AND(TrafficData[[#This Row],[disposedChallan]]&lt;=TrafficData[[#This Row],[totalChallan]],TrafficData[[#This Row],[pendingChallan]]&lt;=TrafficData[[#This Row],[totalChallan]])</f>
        <v>1</v>
      </c>
      <c r="O2283" s="8" t="b">
        <f>AND(TrafficData[[#This Row],[pendingAmount]]&lt;=TrafficData[[#This Row],[totalAmount]],TrafficData[[#This Row],[disposedAmount]]&lt;=TrafficData[[#This Row],[totalAmount]])</f>
        <v>1</v>
      </c>
      <c r="P2283" s="8" t="b">
        <f>AND(TrafficData[[#This Row],[pendingCourt]]&lt;=TrafficData[[#This Row],[totalCourt]],TrafficData[[#This Row],[disposedCourt]]&lt;=TrafficData[[#This Row],[totalCourt]])</f>
        <v>1</v>
      </c>
    </row>
    <row r="2284" spans="1:16">
      <c r="A2284" s="1">
        <v>44288</v>
      </c>
      <c r="B2284">
        <v>114683</v>
      </c>
      <c r="C2284">
        <v>56648</v>
      </c>
      <c r="D2284">
        <v>58035</v>
      </c>
      <c r="E2284">
        <v>83062698</v>
      </c>
      <c r="F2284">
        <v>70070141</v>
      </c>
      <c r="G2284">
        <v>153132839</v>
      </c>
      <c r="H2284">
        <v>24469</v>
      </c>
      <c r="I2284">
        <v>11086</v>
      </c>
      <c r="J2284">
        <v>35555</v>
      </c>
      <c r="K2284" t="b">
        <f>TrafficData[[#This Row],[disposedChallan]]+TrafficData[[#This Row],[pendingChallan]]=TrafficData[[#This Row],[totalChallan]]</f>
        <v>1</v>
      </c>
      <c r="L2284" t="b">
        <f>TrafficData[[#This Row],[pendingAmount]]+TrafficData[[#This Row],[disposedAmount]]=TrafficData[[#This Row],[totalAmount]]</f>
        <v>1</v>
      </c>
      <c r="M2284" t="b">
        <f>TrafficData[[#This Row],[pendingCourt]]+TrafficData[[#This Row],[disposedCourt]]=TrafficData[[#This Row],[totalCourt]]</f>
        <v>1</v>
      </c>
      <c r="N2284" s="8" t="b">
        <f>AND(TrafficData[[#This Row],[disposedChallan]]&lt;=TrafficData[[#This Row],[totalChallan]],TrafficData[[#This Row],[pendingChallan]]&lt;=TrafficData[[#This Row],[totalChallan]])</f>
        <v>1</v>
      </c>
      <c r="O2284" s="8" t="b">
        <f>AND(TrafficData[[#This Row],[pendingAmount]]&lt;=TrafficData[[#This Row],[totalAmount]],TrafficData[[#This Row],[disposedAmount]]&lt;=TrafficData[[#This Row],[totalAmount]])</f>
        <v>1</v>
      </c>
      <c r="P2284" s="8" t="b">
        <f>AND(TrafficData[[#This Row],[pendingCourt]]&lt;=TrafficData[[#This Row],[totalCourt]],TrafficData[[#This Row],[disposedCourt]]&lt;=TrafficData[[#This Row],[totalCourt]])</f>
        <v>1</v>
      </c>
    </row>
    <row r="2285" spans="1:16">
      <c r="A2285" s="1">
        <v>44289</v>
      </c>
      <c r="B2285">
        <v>108608</v>
      </c>
      <c r="C2285">
        <v>54606</v>
      </c>
      <c r="D2285">
        <v>54002</v>
      </c>
      <c r="E2285">
        <v>70721460</v>
      </c>
      <c r="F2285">
        <v>72607482</v>
      </c>
      <c r="G2285">
        <v>143328942</v>
      </c>
      <c r="H2285">
        <v>28307</v>
      </c>
      <c r="I2285">
        <v>11543</v>
      </c>
      <c r="J2285">
        <v>39850</v>
      </c>
      <c r="K2285" t="b">
        <f>TrafficData[[#This Row],[disposedChallan]]+TrafficData[[#This Row],[pendingChallan]]=TrafficData[[#This Row],[totalChallan]]</f>
        <v>1</v>
      </c>
      <c r="L2285" t="b">
        <f>TrafficData[[#This Row],[pendingAmount]]+TrafficData[[#This Row],[disposedAmount]]=TrafficData[[#This Row],[totalAmount]]</f>
        <v>1</v>
      </c>
      <c r="M2285" t="b">
        <f>TrafficData[[#This Row],[pendingCourt]]+TrafficData[[#This Row],[disposedCourt]]=TrafficData[[#This Row],[totalCourt]]</f>
        <v>1</v>
      </c>
      <c r="N2285" s="8" t="b">
        <f>AND(TrafficData[[#This Row],[disposedChallan]]&lt;=TrafficData[[#This Row],[totalChallan]],TrafficData[[#This Row],[pendingChallan]]&lt;=TrafficData[[#This Row],[totalChallan]])</f>
        <v>1</v>
      </c>
      <c r="O2285" s="8" t="b">
        <f>AND(TrafficData[[#This Row],[pendingAmount]]&lt;=TrafficData[[#This Row],[totalAmount]],TrafficData[[#This Row],[disposedAmount]]&lt;=TrafficData[[#This Row],[totalAmount]])</f>
        <v>1</v>
      </c>
      <c r="P2285" s="8" t="b">
        <f>AND(TrafficData[[#This Row],[pendingCourt]]&lt;=TrafficData[[#This Row],[totalCourt]],TrafficData[[#This Row],[disposedCourt]]&lt;=TrafficData[[#This Row],[totalCourt]])</f>
        <v>1</v>
      </c>
    </row>
    <row r="2286" spans="1:16">
      <c r="A2286" s="1">
        <v>44290</v>
      </c>
      <c r="B2286">
        <v>88254</v>
      </c>
      <c r="C2286">
        <v>41498</v>
      </c>
      <c r="D2286">
        <v>46756</v>
      </c>
      <c r="E2286">
        <v>71229546</v>
      </c>
      <c r="F2286">
        <v>58458649</v>
      </c>
      <c r="G2286">
        <v>129688195</v>
      </c>
      <c r="H2286">
        <v>27226</v>
      </c>
      <c r="I2286">
        <v>10929</v>
      </c>
      <c r="J2286">
        <v>38155</v>
      </c>
      <c r="K2286" t="b">
        <f>TrafficData[[#This Row],[disposedChallan]]+TrafficData[[#This Row],[pendingChallan]]=TrafficData[[#This Row],[totalChallan]]</f>
        <v>1</v>
      </c>
      <c r="L2286" t="b">
        <f>TrafficData[[#This Row],[pendingAmount]]+TrafficData[[#This Row],[disposedAmount]]=TrafficData[[#This Row],[totalAmount]]</f>
        <v>1</v>
      </c>
      <c r="M2286" t="b">
        <f>TrafficData[[#This Row],[pendingCourt]]+TrafficData[[#This Row],[disposedCourt]]=TrafficData[[#This Row],[totalCourt]]</f>
        <v>1</v>
      </c>
      <c r="N2286" s="8" t="b">
        <f>AND(TrafficData[[#This Row],[disposedChallan]]&lt;=TrafficData[[#This Row],[totalChallan]],TrafficData[[#This Row],[pendingChallan]]&lt;=TrafficData[[#This Row],[totalChallan]])</f>
        <v>1</v>
      </c>
      <c r="O2286" s="8" t="b">
        <f>AND(TrafficData[[#This Row],[pendingAmount]]&lt;=TrafficData[[#This Row],[totalAmount]],TrafficData[[#This Row],[disposedAmount]]&lt;=TrafficData[[#This Row],[totalAmount]])</f>
        <v>1</v>
      </c>
      <c r="P2286" s="8" t="b">
        <f>AND(TrafficData[[#This Row],[pendingCourt]]&lt;=TrafficData[[#This Row],[totalCourt]],TrafficData[[#This Row],[disposedCourt]]&lt;=TrafficData[[#This Row],[totalCourt]])</f>
        <v>1</v>
      </c>
    </row>
    <row r="2287" spans="1:16">
      <c r="A2287" s="1">
        <v>44291</v>
      </c>
      <c r="B2287">
        <v>78118</v>
      </c>
      <c r="C2287">
        <v>40959</v>
      </c>
      <c r="D2287">
        <v>37159</v>
      </c>
      <c r="E2287">
        <v>62922970</v>
      </c>
      <c r="F2287">
        <v>64517604</v>
      </c>
      <c r="G2287">
        <v>127440574</v>
      </c>
      <c r="H2287">
        <v>29551</v>
      </c>
      <c r="I2287">
        <v>12022</v>
      </c>
      <c r="J2287">
        <v>41573</v>
      </c>
      <c r="K2287" t="b">
        <f>TrafficData[[#This Row],[disposedChallan]]+TrafficData[[#This Row],[pendingChallan]]=TrafficData[[#This Row],[totalChallan]]</f>
        <v>1</v>
      </c>
      <c r="L2287" t="b">
        <f>TrafficData[[#This Row],[pendingAmount]]+TrafficData[[#This Row],[disposedAmount]]=TrafficData[[#This Row],[totalAmount]]</f>
        <v>1</v>
      </c>
      <c r="M2287" t="b">
        <f>TrafficData[[#This Row],[pendingCourt]]+TrafficData[[#This Row],[disposedCourt]]=TrafficData[[#This Row],[totalCourt]]</f>
        <v>1</v>
      </c>
      <c r="N2287" s="8" t="b">
        <f>AND(TrafficData[[#This Row],[disposedChallan]]&lt;=TrafficData[[#This Row],[totalChallan]],TrafficData[[#This Row],[pendingChallan]]&lt;=TrafficData[[#This Row],[totalChallan]])</f>
        <v>1</v>
      </c>
      <c r="O2287" s="8" t="b">
        <f>AND(TrafficData[[#This Row],[pendingAmount]]&lt;=TrafficData[[#This Row],[totalAmount]],TrafficData[[#This Row],[disposedAmount]]&lt;=TrafficData[[#This Row],[totalAmount]])</f>
        <v>1</v>
      </c>
      <c r="P2287" s="8" t="b">
        <f>AND(TrafficData[[#This Row],[pendingCourt]]&lt;=TrafficData[[#This Row],[totalCourt]],TrafficData[[#This Row],[disposedCourt]]&lt;=TrafficData[[#This Row],[totalCourt]])</f>
        <v>1</v>
      </c>
    </row>
    <row r="2288" spans="1:16">
      <c r="A2288" s="1">
        <v>44292</v>
      </c>
      <c r="B2288">
        <v>77376</v>
      </c>
      <c r="C2288">
        <v>40175</v>
      </c>
      <c r="D2288">
        <v>37201</v>
      </c>
      <c r="E2288">
        <v>68915363</v>
      </c>
      <c r="F2288">
        <v>69787316</v>
      </c>
      <c r="G2288">
        <v>138702679</v>
      </c>
      <c r="H2288">
        <v>30361</v>
      </c>
      <c r="I2288">
        <v>12008</v>
      </c>
      <c r="J2288">
        <v>42369</v>
      </c>
      <c r="K2288" t="b">
        <f>TrafficData[[#This Row],[disposedChallan]]+TrafficData[[#This Row],[pendingChallan]]=TrafficData[[#This Row],[totalChallan]]</f>
        <v>1</v>
      </c>
      <c r="L2288" t="b">
        <f>TrafficData[[#This Row],[pendingAmount]]+TrafficData[[#This Row],[disposedAmount]]=TrafficData[[#This Row],[totalAmount]]</f>
        <v>1</v>
      </c>
      <c r="M2288" t="b">
        <f>TrafficData[[#This Row],[pendingCourt]]+TrafficData[[#This Row],[disposedCourt]]=TrafficData[[#This Row],[totalCourt]]</f>
        <v>1</v>
      </c>
      <c r="N2288" s="8" t="b">
        <f>AND(TrafficData[[#This Row],[disposedChallan]]&lt;=TrafficData[[#This Row],[totalChallan]],TrafficData[[#This Row],[pendingChallan]]&lt;=TrafficData[[#This Row],[totalChallan]])</f>
        <v>1</v>
      </c>
      <c r="O2288" s="8" t="b">
        <f>AND(TrafficData[[#This Row],[pendingAmount]]&lt;=TrafficData[[#This Row],[totalAmount]],TrafficData[[#This Row],[disposedAmount]]&lt;=TrafficData[[#This Row],[totalAmount]])</f>
        <v>1</v>
      </c>
      <c r="P2288" s="8" t="b">
        <f>AND(TrafficData[[#This Row],[pendingCourt]]&lt;=TrafficData[[#This Row],[totalCourt]],TrafficData[[#This Row],[disposedCourt]]&lt;=TrafficData[[#This Row],[totalCourt]])</f>
        <v>1</v>
      </c>
    </row>
    <row r="2289" spans="1:16">
      <c r="A2289" s="1">
        <v>44293</v>
      </c>
      <c r="B2289">
        <v>95187</v>
      </c>
      <c r="C2289">
        <v>48113</v>
      </c>
      <c r="D2289">
        <v>47074</v>
      </c>
      <c r="E2289">
        <v>81528393</v>
      </c>
      <c r="F2289">
        <v>78942787</v>
      </c>
      <c r="G2289">
        <v>160471180</v>
      </c>
      <c r="H2289">
        <v>35174</v>
      </c>
      <c r="I2289">
        <v>12816</v>
      </c>
      <c r="J2289">
        <v>47990</v>
      </c>
      <c r="K2289" t="b">
        <f>TrafficData[[#This Row],[disposedChallan]]+TrafficData[[#This Row],[pendingChallan]]=TrafficData[[#This Row],[totalChallan]]</f>
        <v>1</v>
      </c>
      <c r="L2289" t="b">
        <f>TrafficData[[#This Row],[pendingAmount]]+TrafficData[[#This Row],[disposedAmount]]=TrafficData[[#This Row],[totalAmount]]</f>
        <v>1</v>
      </c>
      <c r="M2289" t="b">
        <f>TrafficData[[#This Row],[pendingCourt]]+TrafficData[[#This Row],[disposedCourt]]=TrafficData[[#This Row],[totalCourt]]</f>
        <v>1</v>
      </c>
      <c r="N2289" s="8" t="b">
        <f>AND(TrafficData[[#This Row],[disposedChallan]]&lt;=TrafficData[[#This Row],[totalChallan]],TrafficData[[#This Row],[pendingChallan]]&lt;=TrafficData[[#This Row],[totalChallan]])</f>
        <v>1</v>
      </c>
      <c r="O2289" s="8" t="b">
        <f>AND(TrafficData[[#This Row],[pendingAmount]]&lt;=TrafficData[[#This Row],[totalAmount]],TrafficData[[#This Row],[disposedAmount]]&lt;=TrafficData[[#This Row],[totalAmount]])</f>
        <v>1</v>
      </c>
      <c r="P2289" s="8" t="b">
        <f>AND(TrafficData[[#This Row],[pendingCourt]]&lt;=TrafficData[[#This Row],[totalCourt]],TrafficData[[#This Row],[disposedCourt]]&lt;=TrafficData[[#This Row],[totalCourt]])</f>
        <v>1</v>
      </c>
    </row>
    <row r="2290" spans="1:16">
      <c r="A2290" s="1">
        <v>44294</v>
      </c>
      <c r="B2290">
        <v>137680</v>
      </c>
      <c r="C2290">
        <v>67199</v>
      </c>
      <c r="D2290">
        <v>70481</v>
      </c>
      <c r="E2290">
        <v>89493907</v>
      </c>
      <c r="F2290">
        <v>85705465</v>
      </c>
      <c r="G2290">
        <v>175199372</v>
      </c>
      <c r="H2290">
        <v>33699</v>
      </c>
      <c r="I2290">
        <v>13260</v>
      </c>
      <c r="J2290">
        <v>46959</v>
      </c>
      <c r="K2290" t="b">
        <f>TrafficData[[#This Row],[disposedChallan]]+TrafficData[[#This Row],[pendingChallan]]=TrafficData[[#This Row],[totalChallan]]</f>
        <v>1</v>
      </c>
      <c r="L2290" t="b">
        <f>TrafficData[[#This Row],[pendingAmount]]+TrafficData[[#This Row],[disposedAmount]]=TrafficData[[#This Row],[totalAmount]]</f>
        <v>1</v>
      </c>
      <c r="M2290" t="b">
        <f>TrafficData[[#This Row],[pendingCourt]]+TrafficData[[#This Row],[disposedCourt]]=TrafficData[[#This Row],[totalCourt]]</f>
        <v>1</v>
      </c>
      <c r="N2290" s="8" t="b">
        <f>AND(TrafficData[[#This Row],[disposedChallan]]&lt;=TrafficData[[#This Row],[totalChallan]],TrafficData[[#This Row],[pendingChallan]]&lt;=TrafficData[[#This Row],[totalChallan]])</f>
        <v>1</v>
      </c>
      <c r="O2290" s="8" t="b">
        <f>AND(TrafficData[[#This Row],[pendingAmount]]&lt;=TrafficData[[#This Row],[totalAmount]],TrafficData[[#This Row],[disposedAmount]]&lt;=TrafficData[[#This Row],[totalAmount]])</f>
        <v>1</v>
      </c>
      <c r="P2290" s="8" t="b">
        <f>AND(TrafficData[[#This Row],[pendingCourt]]&lt;=TrafficData[[#This Row],[totalCourt]],TrafficData[[#This Row],[disposedCourt]]&lt;=TrafficData[[#This Row],[totalCourt]])</f>
        <v>1</v>
      </c>
    </row>
    <row r="2291" spans="1:16">
      <c r="A2291" s="1">
        <v>44295</v>
      </c>
      <c r="B2291">
        <v>169868</v>
      </c>
      <c r="C2291">
        <v>78835</v>
      </c>
      <c r="D2291">
        <v>91033</v>
      </c>
      <c r="E2291">
        <v>92025423</v>
      </c>
      <c r="F2291">
        <v>81999784</v>
      </c>
      <c r="G2291">
        <v>174025207</v>
      </c>
      <c r="H2291">
        <v>36228</v>
      </c>
      <c r="I2291">
        <v>13852</v>
      </c>
      <c r="J2291">
        <v>50080</v>
      </c>
      <c r="K2291" t="b">
        <f>TrafficData[[#This Row],[disposedChallan]]+TrafficData[[#This Row],[pendingChallan]]=TrafficData[[#This Row],[totalChallan]]</f>
        <v>1</v>
      </c>
      <c r="L2291" t="b">
        <f>TrafficData[[#This Row],[pendingAmount]]+TrafficData[[#This Row],[disposedAmount]]=TrafficData[[#This Row],[totalAmount]]</f>
        <v>1</v>
      </c>
      <c r="M2291" t="b">
        <f>TrafficData[[#This Row],[pendingCourt]]+TrafficData[[#This Row],[disposedCourt]]=TrafficData[[#This Row],[totalCourt]]</f>
        <v>1</v>
      </c>
      <c r="N2291" s="8" t="b">
        <f>AND(TrafficData[[#This Row],[disposedChallan]]&lt;=TrafficData[[#This Row],[totalChallan]],TrafficData[[#This Row],[pendingChallan]]&lt;=TrafficData[[#This Row],[totalChallan]])</f>
        <v>1</v>
      </c>
      <c r="O2291" s="8" t="b">
        <f>AND(TrafficData[[#This Row],[pendingAmount]]&lt;=TrafficData[[#This Row],[totalAmount]],TrafficData[[#This Row],[disposedAmount]]&lt;=TrafficData[[#This Row],[totalAmount]])</f>
        <v>1</v>
      </c>
      <c r="P2291" s="8" t="b">
        <f>AND(TrafficData[[#This Row],[pendingCourt]]&lt;=TrafficData[[#This Row],[totalCourt]],TrafficData[[#This Row],[disposedCourt]]&lt;=TrafficData[[#This Row],[totalCourt]])</f>
        <v>1</v>
      </c>
    </row>
    <row r="2292" spans="1:16">
      <c r="A2292" s="1">
        <v>44296</v>
      </c>
      <c r="B2292">
        <v>170959</v>
      </c>
      <c r="C2292">
        <v>78541</v>
      </c>
      <c r="D2292">
        <v>92418</v>
      </c>
      <c r="E2292">
        <v>88644043</v>
      </c>
      <c r="F2292">
        <v>76587115</v>
      </c>
      <c r="G2292">
        <v>165231158</v>
      </c>
      <c r="H2292">
        <v>31932</v>
      </c>
      <c r="I2292">
        <v>13894</v>
      </c>
      <c r="J2292">
        <v>45826</v>
      </c>
      <c r="K2292" t="b">
        <f>TrafficData[[#This Row],[disposedChallan]]+TrafficData[[#This Row],[pendingChallan]]=TrafficData[[#This Row],[totalChallan]]</f>
        <v>1</v>
      </c>
      <c r="L2292" t="b">
        <f>TrafficData[[#This Row],[pendingAmount]]+TrafficData[[#This Row],[disposedAmount]]=TrafficData[[#This Row],[totalAmount]]</f>
        <v>1</v>
      </c>
      <c r="M2292" t="b">
        <f>TrafficData[[#This Row],[pendingCourt]]+TrafficData[[#This Row],[disposedCourt]]=TrafficData[[#This Row],[totalCourt]]</f>
        <v>1</v>
      </c>
      <c r="N2292" s="8" t="b">
        <f>AND(TrafficData[[#This Row],[disposedChallan]]&lt;=TrafficData[[#This Row],[totalChallan]],TrafficData[[#This Row],[pendingChallan]]&lt;=TrafficData[[#This Row],[totalChallan]])</f>
        <v>1</v>
      </c>
      <c r="O2292" s="8" t="b">
        <f>AND(TrafficData[[#This Row],[pendingAmount]]&lt;=TrafficData[[#This Row],[totalAmount]],TrafficData[[#This Row],[disposedAmount]]&lt;=TrafficData[[#This Row],[totalAmount]])</f>
        <v>1</v>
      </c>
      <c r="P2292" s="8" t="b">
        <f>AND(TrafficData[[#This Row],[pendingCourt]]&lt;=TrafficData[[#This Row],[totalCourt]],TrafficData[[#This Row],[disposedCourt]]&lt;=TrafficData[[#This Row],[totalCourt]])</f>
        <v>1</v>
      </c>
    </row>
    <row r="2293" spans="1:16">
      <c r="A2293" s="1">
        <v>44297</v>
      </c>
      <c r="B2293">
        <v>159586</v>
      </c>
      <c r="C2293">
        <v>66752</v>
      </c>
      <c r="D2293">
        <v>92834</v>
      </c>
      <c r="E2293">
        <v>85381901</v>
      </c>
      <c r="F2293">
        <v>54644190</v>
      </c>
      <c r="G2293">
        <v>140026091</v>
      </c>
      <c r="H2293">
        <v>30638</v>
      </c>
      <c r="I2293">
        <v>12302</v>
      </c>
      <c r="J2293">
        <v>42940</v>
      </c>
      <c r="K2293" t="b">
        <f>TrafficData[[#This Row],[disposedChallan]]+TrafficData[[#This Row],[pendingChallan]]=TrafficData[[#This Row],[totalChallan]]</f>
        <v>1</v>
      </c>
      <c r="L2293" t="b">
        <f>TrafficData[[#This Row],[pendingAmount]]+TrafficData[[#This Row],[disposedAmount]]=TrafficData[[#This Row],[totalAmount]]</f>
        <v>1</v>
      </c>
      <c r="M2293" t="b">
        <f>TrafficData[[#This Row],[pendingCourt]]+TrafficData[[#This Row],[disposedCourt]]=TrafficData[[#This Row],[totalCourt]]</f>
        <v>1</v>
      </c>
      <c r="N2293" s="8" t="b">
        <f>AND(TrafficData[[#This Row],[disposedChallan]]&lt;=TrafficData[[#This Row],[totalChallan]],TrafficData[[#This Row],[pendingChallan]]&lt;=TrafficData[[#This Row],[totalChallan]])</f>
        <v>1</v>
      </c>
      <c r="O2293" s="8" t="b">
        <f>AND(TrafficData[[#This Row],[pendingAmount]]&lt;=TrafficData[[#This Row],[totalAmount]],TrafficData[[#This Row],[disposedAmount]]&lt;=TrafficData[[#This Row],[totalAmount]])</f>
        <v>1</v>
      </c>
      <c r="P2293" s="8" t="b">
        <f>AND(TrafficData[[#This Row],[pendingCourt]]&lt;=TrafficData[[#This Row],[totalCourt]],TrafficData[[#This Row],[disposedCourt]]&lt;=TrafficData[[#This Row],[totalCourt]])</f>
        <v>1</v>
      </c>
    </row>
    <row r="2294" spans="1:16">
      <c r="A2294" s="1">
        <v>44298</v>
      </c>
      <c r="B2294">
        <v>162793</v>
      </c>
      <c r="C2294">
        <v>73548</v>
      </c>
      <c r="D2294">
        <v>89245</v>
      </c>
      <c r="E2294">
        <v>80966704</v>
      </c>
      <c r="F2294">
        <v>69758528</v>
      </c>
      <c r="G2294">
        <v>150725232</v>
      </c>
      <c r="H2294">
        <v>30636</v>
      </c>
      <c r="I2294">
        <v>12582</v>
      </c>
      <c r="J2294">
        <v>43218</v>
      </c>
      <c r="K2294" t="b">
        <f>TrafficData[[#This Row],[disposedChallan]]+TrafficData[[#This Row],[pendingChallan]]=TrafficData[[#This Row],[totalChallan]]</f>
        <v>1</v>
      </c>
      <c r="L2294" t="b">
        <f>TrafficData[[#This Row],[pendingAmount]]+TrafficData[[#This Row],[disposedAmount]]=TrafficData[[#This Row],[totalAmount]]</f>
        <v>1</v>
      </c>
      <c r="M2294" t="b">
        <f>TrafficData[[#This Row],[pendingCourt]]+TrafficData[[#This Row],[disposedCourt]]=TrafficData[[#This Row],[totalCourt]]</f>
        <v>1</v>
      </c>
      <c r="N2294" s="8" t="b">
        <f>AND(TrafficData[[#This Row],[disposedChallan]]&lt;=TrafficData[[#This Row],[totalChallan]],TrafficData[[#This Row],[pendingChallan]]&lt;=TrafficData[[#This Row],[totalChallan]])</f>
        <v>1</v>
      </c>
      <c r="O2294" s="8" t="b">
        <f>AND(TrafficData[[#This Row],[pendingAmount]]&lt;=TrafficData[[#This Row],[totalAmount]],TrafficData[[#This Row],[disposedAmount]]&lt;=TrafficData[[#This Row],[totalAmount]])</f>
        <v>1</v>
      </c>
      <c r="P2294" s="8" t="b">
        <f>AND(TrafficData[[#This Row],[pendingCourt]]&lt;=TrafficData[[#This Row],[totalCourt]],TrafficData[[#This Row],[disposedCourt]]&lt;=TrafficData[[#This Row],[totalCourt]])</f>
        <v>1</v>
      </c>
    </row>
    <row r="2295" spans="1:16">
      <c r="A2295" s="1">
        <v>44299</v>
      </c>
      <c r="B2295">
        <v>154115</v>
      </c>
      <c r="C2295">
        <v>69516</v>
      </c>
      <c r="D2295">
        <v>84599</v>
      </c>
      <c r="E2295">
        <v>78830646</v>
      </c>
      <c r="F2295">
        <v>67685644</v>
      </c>
      <c r="G2295">
        <v>146516290</v>
      </c>
      <c r="H2295">
        <v>29734</v>
      </c>
      <c r="I2295">
        <v>10994</v>
      </c>
      <c r="J2295">
        <v>40728</v>
      </c>
      <c r="K2295" t="b">
        <f>TrafficData[[#This Row],[disposedChallan]]+TrafficData[[#This Row],[pendingChallan]]=TrafficData[[#This Row],[totalChallan]]</f>
        <v>1</v>
      </c>
      <c r="L2295" t="b">
        <f>TrafficData[[#This Row],[pendingAmount]]+TrafficData[[#This Row],[disposedAmount]]=TrafficData[[#This Row],[totalAmount]]</f>
        <v>1</v>
      </c>
      <c r="M2295" t="b">
        <f>TrafficData[[#This Row],[pendingCourt]]+TrafficData[[#This Row],[disposedCourt]]=TrafficData[[#This Row],[totalCourt]]</f>
        <v>1</v>
      </c>
      <c r="N2295" s="8" t="b">
        <f>AND(TrafficData[[#This Row],[disposedChallan]]&lt;=TrafficData[[#This Row],[totalChallan]],TrafficData[[#This Row],[pendingChallan]]&lt;=TrafficData[[#This Row],[totalChallan]])</f>
        <v>1</v>
      </c>
      <c r="O2295" s="8" t="b">
        <f>AND(TrafficData[[#This Row],[pendingAmount]]&lt;=TrafficData[[#This Row],[totalAmount]],TrafficData[[#This Row],[disposedAmount]]&lt;=TrafficData[[#This Row],[totalAmount]])</f>
        <v>1</v>
      </c>
      <c r="P2295" s="8" t="b">
        <f>AND(TrafficData[[#This Row],[pendingCourt]]&lt;=TrafficData[[#This Row],[totalCourt]],TrafficData[[#This Row],[disposedCourt]]&lt;=TrafficData[[#This Row],[totalCourt]])</f>
        <v>1</v>
      </c>
    </row>
    <row r="2296" spans="1:16">
      <c r="A2296" s="1">
        <v>44300</v>
      </c>
      <c r="B2296">
        <v>139374</v>
      </c>
      <c r="C2296">
        <v>60931</v>
      </c>
      <c r="D2296">
        <v>78443</v>
      </c>
      <c r="E2296">
        <v>74253629</v>
      </c>
      <c r="F2296">
        <v>59980200</v>
      </c>
      <c r="G2296">
        <v>134233829</v>
      </c>
      <c r="H2296">
        <v>28058</v>
      </c>
      <c r="I2296">
        <v>10337</v>
      </c>
      <c r="J2296">
        <v>38395</v>
      </c>
      <c r="K2296" t="b">
        <f>TrafficData[[#This Row],[disposedChallan]]+TrafficData[[#This Row],[pendingChallan]]=TrafficData[[#This Row],[totalChallan]]</f>
        <v>1</v>
      </c>
      <c r="L2296" t="b">
        <f>TrafficData[[#This Row],[pendingAmount]]+TrafficData[[#This Row],[disposedAmount]]=TrafficData[[#This Row],[totalAmount]]</f>
        <v>1</v>
      </c>
      <c r="M2296" t="b">
        <f>TrafficData[[#This Row],[pendingCourt]]+TrafficData[[#This Row],[disposedCourt]]=TrafficData[[#This Row],[totalCourt]]</f>
        <v>1</v>
      </c>
      <c r="N2296" s="8" t="b">
        <f>AND(TrafficData[[#This Row],[disposedChallan]]&lt;=TrafficData[[#This Row],[totalChallan]],TrafficData[[#This Row],[pendingChallan]]&lt;=TrafficData[[#This Row],[totalChallan]])</f>
        <v>1</v>
      </c>
      <c r="O2296" s="8" t="b">
        <f>AND(TrafficData[[#This Row],[pendingAmount]]&lt;=TrafficData[[#This Row],[totalAmount]],TrafficData[[#This Row],[disposedAmount]]&lt;=TrafficData[[#This Row],[totalAmount]])</f>
        <v>1</v>
      </c>
      <c r="P2296" s="8" t="b">
        <f>AND(TrafficData[[#This Row],[pendingCourt]]&lt;=TrafficData[[#This Row],[totalCourt]],TrafficData[[#This Row],[disposedCourt]]&lt;=TrafficData[[#This Row],[totalCourt]])</f>
        <v>1</v>
      </c>
    </row>
    <row r="2297" spans="1:16">
      <c r="A2297" s="1">
        <v>44301</v>
      </c>
      <c r="B2297">
        <v>142617</v>
      </c>
      <c r="C2297">
        <v>64398</v>
      </c>
      <c r="D2297">
        <v>78219</v>
      </c>
      <c r="E2297">
        <v>77097939</v>
      </c>
      <c r="F2297">
        <v>69081031</v>
      </c>
      <c r="G2297">
        <v>146178970</v>
      </c>
      <c r="H2297">
        <v>22870</v>
      </c>
      <c r="I2297">
        <v>9284</v>
      </c>
      <c r="J2297">
        <v>32154</v>
      </c>
      <c r="K2297" t="b">
        <f>TrafficData[[#This Row],[disposedChallan]]+TrafficData[[#This Row],[pendingChallan]]=TrafficData[[#This Row],[totalChallan]]</f>
        <v>1</v>
      </c>
      <c r="L2297" t="b">
        <f>TrafficData[[#This Row],[pendingAmount]]+TrafficData[[#This Row],[disposedAmount]]=TrafficData[[#This Row],[totalAmount]]</f>
        <v>1</v>
      </c>
      <c r="M2297" t="b">
        <f>TrafficData[[#This Row],[pendingCourt]]+TrafficData[[#This Row],[disposedCourt]]=TrafficData[[#This Row],[totalCourt]]</f>
        <v>1</v>
      </c>
      <c r="N2297" s="8" t="b">
        <f>AND(TrafficData[[#This Row],[disposedChallan]]&lt;=TrafficData[[#This Row],[totalChallan]],TrafficData[[#This Row],[pendingChallan]]&lt;=TrafficData[[#This Row],[totalChallan]])</f>
        <v>1</v>
      </c>
      <c r="O2297" s="8" t="b">
        <f>AND(TrafficData[[#This Row],[pendingAmount]]&lt;=TrafficData[[#This Row],[totalAmount]],TrafficData[[#This Row],[disposedAmount]]&lt;=TrafficData[[#This Row],[totalAmount]])</f>
        <v>1</v>
      </c>
      <c r="P2297" s="8" t="b">
        <f>AND(TrafficData[[#This Row],[pendingCourt]]&lt;=TrafficData[[#This Row],[totalCourt]],TrafficData[[#This Row],[disposedCourt]]&lt;=TrafficData[[#This Row],[totalCourt]])</f>
        <v>1</v>
      </c>
    </row>
    <row r="2298" spans="1:16">
      <c r="A2298" s="1">
        <v>44302</v>
      </c>
      <c r="B2298">
        <v>135308</v>
      </c>
      <c r="C2298">
        <v>61155</v>
      </c>
      <c r="D2298">
        <v>74153</v>
      </c>
      <c r="E2298">
        <v>70413517</v>
      </c>
      <c r="F2298">
        <v>67868634</v>
      </c>
      <c r="G2298">
        <v>138282151</v>
      </c>
      <c r="H2298">
        <v>21397</v>
      </c>
      <c r="I2298">
        <v>8498</v>
      </c>
      <c r="J2298">
        <v>29895</v>
      </c>
      <c r="K2298" t="b">
        <f>TrafficData[[#This Row],[disposedChallan]]+TrafficData[[#This Row],[pendingChallan]]=TrafficData[[#This Row],[totalChallan]]</f>
        <v>1</v>
      </c>
      <c r="L2298" t="b">
        <f>TrafficData[[#This Row],[pendingAmount]]+TrafficData[[#This Row],[disposedAmount]]=TrafficData[[#This Row],[totalAmount]]</f>
        <v>1</v>
      </c>
      <c r="M2298" t="b">
        <f>TrafficData[[#This Row],[pendingCourt]]+TrafficData[[#This Row],[disposedCourt]]=TrafficData[[#This Row],[totalCourt]]</f>
        <v>1</v>
      </c>
      <c r="N2298" s="8" t="b">
        <f>AND(TrafficData[[#This Row],[disposedChallan]]&lt;=TrafficData[[#This Row],[totalChallan]],TrafficData[[#This Row],[pendingChallan]]&lt;=TrafficData[[#This Row],[totalChallan]])</f>
        <v>1</v>
      </c>
      <c r="O2298" s="8" t="b">
        <f>AND(TrafficData[[#This Row],[pendingAmount]]&lt;=TrafficData[[#This Row],[totalAmount]],TrafficData[[#This Row],[disposedAmount]]&lt;=TrafficData[[#This Row],[totalAmount]])</f>
        <v>1</v>
      </c>
      <c r="P2298" s="8" t="b">
        <f>AND(TrafficData[[#This Row],[pendingCourt]]&lt;=TrafficData[[#This Row],[totalCourt]],TrafficData[[#This Row],[disposedCourt]]&lt;=TrafficData[[#This Row],[totalCourt]])</f>
        <v>1</v>
      </c>
    </row>
    <row r="2299" spans="1:16">
      <c r="A2299" s="1">
        <v>44303</v>
      </c>
      <c r="B2299">
        <v>133407</v>
      </c>
      <c r="C2299">
        <v>59511</v>
      </c>
      <c r="D2299">
        <v>73896</v>
      </c>
      <c r="E2299">
        <v>66207625</v>
      </c>
      <c r="F2299">
        <v>64987445</v>
      </c>
      <c r="G2299">
        <v>131195070</v>
      </c>
      <c r="H2299">
        <v>20361</v>
      </c>
      <c r="I2299">
        <v>8029</v>
      </c>
      <c r="J2299">
        <v>28390</v>
      </c>
      <c r="K2299" t="b">
        <f>TrafficData[[#This Row],[disposedChallan]]+TrafficData[[#This Row],[pendingChallan]]=TrafficData[[#This Row],[totalChallan]]</f>
        <v>1</v>
      </c>
      <c r="L2299" t="b">
        <f>TrafficData[[#This Row],[pendingAmount]]+TrafficData[[#This Row],[disposedAmount]]=TrafficData[[#This Row],[totalAmount]]</f>
        <v>1</v>
      </c>
      <c r="M2299" t="b">
        <f>TrafficData[[#This Row],[pendingCourt]]+TrafficData[[#This Row],[disposedCourt]]=TrafficData[[#This Row],[totalCourt]]</f>
        <v>1</v>
      </c>
      <c r="N2299" s="8" t="b">
        <f>AND(TrafficData[[#This Row],[disposedChallan]]&lt;=TrafficData[[#This Row],[totalChallan]],TrafficData[[#This Row],[pendingChallan]]&lt;=TrafficData[[#This Row],[totalChallan]])</f>
        <v>1</v>
      </c>
      <c r="O2299" s="8" t="b">
        <f>AND(TrafficData[[#This Row],[pendingAmount]]&lt;=TrafficData[[#This Row],[totalAmount]],TrafficData[[#This Row],[disposedAmount]]&lt;=TrafficData[[#This Row],[totalAmount]])</f>
        <v>1</v>
      </c>
      <c r="P2299" s="8" t="b">
        <f>AND(TrafficData[[#This Row],[pendingCourt]]&lt;=TrafficData[[#This Row],[totalCourt]],TrafficData[[#This Row],[disposedCourt]]&lt;=TrafficData[[#This Row],[totalCourt]])</f>
        <v>1</v>
      </c>
    </row>
    <row r="2300" spans="1:16">
      <c r="A2300" s="1">
        <v>44304</v>
      </c>
      <c r="B2300">
        <v>111606</v>
      </c>
      <c r="C2300">
        <v>46983</v>
      </c>
      <c r="D2300">
        <v>64623</v>
      </c>
      <c r="E2300">
        <v>48050336</v>
      </c>
      <c r="F2300">
        <v>44330955</v>
      </c>
      <c r="G2300">
        <v>92381291</v>
      </c>
      <c r="H2300">
        <v>17882</v>
      </c>
      <c r="I2300">
        <v>5440</v>
      </c>
      <c r="J2300">
        <v>23322</v>
      </c>
      <c r="K2300" t="b">
        <f>TrafficData[[#This Row],[disposedChallan]]+TrafficData[[#This Row],[pendingChallan]]=TrafficData[[#This Row],[totalChallan]]</f>
        <v>1</v>
      </c>
      <c r="L2300" t="b">
        <f>TrafficData[[#This Row],[pendingAmount]]+TrafficData[[#This Row],[disposedAmount]]=TrafficData[[#This Row],[totalAmount]]</f>
        <v>1</v>
      </c>
      <c r="M2300" t="b">
        <f>TrafficData[[#This Row],[pendingCourt]]+TrafficData[[#This Row],[disposedCourt]]=TrafficData[[#This Row],[totalCourt]]</f>
        <v>1</v>
      </c>
      <c r="N2300" s="8" t="b">
        <f>AND(TrafficData[[#This Row],[disposedChallan]]&lt;=TrafficData[[#This Row],[totalChallan]],TrafficData[[#This Row],[pendingChallan]]&lt;=TrafficData[[#This Row],[totalChallan]])</f>
        <v>1</v>
      </c>
      <c r="O2300" s="8" t="b">
        <f>AND(TrafficData[[#This Row],[pendingAmount]]&lt;=TrafficData[[#This Row],[totalAmount]],TrafficData[[#This Row],[disposedAmount]]&lt;=TrafficData[[#This Row],[totalAmount]])</f>
        <v>1</v>
      </c>
      <c r="P2300" s="8" t="b">
        <f>AND(TrafficData[[#This Row],[pendingCourt]]&lt;=TrafficData[[#This Row],[totalCourt]],TrafficData[[#This Row],[disposedCourt]]&lt;=TrafficData[[#This Row],[totalCourt]])</f>
        <v>1</v>
      </c>
    </row>
    <row r="2301" spans="1:16">
      <c r="A2301" s="1">
        <v>44305</v>
      </c>
      <c r="B2301">
        <v>127569</v>
      </c>
      <c r="C2301">
        <v>57355</v>
      </c>
      <c r="D2301">
        <v>70214</v>
      </c>
      <c r="E2301">
        <v>59851911</v>
      </c>
      <c r="F2301">
        <v>58087389</v>
      </c>
      <c r="G2301">
        <v>117939300</v>
      </c>
      <c r="H2301">
        <v>9967</v>
      </c>
      <c r="I2301">
        <v>7796</v>
      </c>
      <c r="J2301">
        <v>17763</v>
      </c>
      <c r="K2301" t="b">
        <f>TrafficData[[#This Row],[disposedChallan]]+TrafficData[[#This Row],[pendingChallan]]=TrafficData[[#This Row],[totalChallan]]</f>
        <v>1</v>
      </c>
      <c r="L2301" t="b">
        <f>TrafficData[[#This Row],[pendingAmount]]+TrafficData[[#This Row],[disposedAmount]]=TrafficData[[#This Row],[totalAmount]]</f>
        <v>1</v>
      </c>
      <c r="M2301" t="b">
        <f>TrafficData[[#This Row],[pendingCourt]]+TrafficData[[#This Row],[disposedCourt]]=TrafficData[[#This Row],[totalCourt]]</f>
        <v>1</v>
      </c>
      <c r="N2301" s="8" t="b">
        <f>AND(TrafficData[[#This Row],[disposedChallan]]&lt;=TrafficData[[#This Row],[totalChallan]],TrafficData[[#This Row],[pendingChallan]]&lt;=TrafficData[[#This Row],[totalChallan]])</f>
        <v>1</v>
      </c>
      <c r="O2301" s="8" t="b">
        <f>AND(TrafficData[[#This Row],[pendingAmount]]&lt;=TrafficData[[#This Row],[totalAmount]],TrafficData[[#This Row],[disposedAmount]]&lt;=TrafficData[[#This Row],[totalAmount]])</f>
        <v>1</v>
      </c>
      <c r="P2301" s="8" t="b">
        <f>AND(TrafficData[[#This Row],[pendingCourt]]&lt;=TrafficData[[#This Row],[totalCourt]],TrafficData[[#This Row],[disposedCourt]]&lt;=TrafficData[[#This Row],[totalCourt]])</f>
        <v>1</v>
      </c>
    </row>
    <row r="2302" spans="1:16">
      <c r="A2302" s="1">
        <v>44306</v>
      </c>
      <c r="B2302">
        <v>128124</v>
      </c>
      <c r="C2302">
        <v>56486</v>
      </c>
      <c r="D2302">
        <v>71638</v>
      </c>
      <c r="E2302">
        <v>70737695</v>
      </c>
      <c r="F2302">
        <v>59313194</v>
      </c>
      <c r="G2302">
        <v>130050889</v>
      </c>
      <c r="H2302">
        <v>28794</v>
      </c>
      <c r="I2302">
        <v>8590</v>
      </c>
      <c r="J2302">
        <v>37384</v>
      </c>
      <c r="K2302" t="b">
        <f>TrafficData[[#This Row],[disposedChallan]]+TrafficData[[#This Row],[pendingChallan]]=TrafficData[[#This Row],[totalChallan]]</f>
        <v>1</v>
      </c>
      <c r="L2302" t="b">
        <f>TrafficData[[#This Row],[pendingAmount]]+TrafficData[[#This Row],[disposedAmount]]=TrafficData[[#This Row],[totalAmount]]</f>
        <v>1</v>
      </c>
      <c r="M2302" t="b">
        <f>TrafficData[[#This Row],[pendingCourt]]+TrafficData[[#This Row],[disposedCourt]]=TrafficData[[#This Row],[totalCourt]]</f>
        <v>1</v>
      </c>
      <c r="N2302" s="8" t="b">
        <f>AND(TrafficData[[#This Row],[disposedChallan]]&lt;=TrafficData[[#This Row],[totalChallan]],TrafficData[[#This Row],[pendingChallan]]&lt;=TrafficData[[#This Row],[totalChallan]])</f>
        <v>1</v>
      </c>
      <c r="O2302" s="8" t="b">
        <f>AND(TrafficData[[#This Row],[pendingAmount]]&lt;=TrafficData[[#This Row],[totalAmount]],TrafficData[[#This Row],[disposedAmount]]&lt;=TrafficData[[#This Row],[totalAmount]])</f>
        <v>1</v>
      </c>
      <c r="P2302" s="8" t="b">
        <f>AND(TrafficData[[#This Row],[pendingCourt]]&lt;=TrafficData[[#This Row],[totalCourt]],TrafficData[[#This Row],[disposedCourt]]&lt;=TrafficData[[#This Row],[totalCourt]])</f>
        <v>1</v>
      </c>
    </row>
    <row r="2303" spans="1:16">
      <c r="A2303" s="1">
        <v>44307</v>
      </c>
      <c r="B2303">
        <v>128201</v>
      </c>
      <c r="C2303">
        <v>57220</v>
      </c>
      <c r="D2303">
        <v>70981</v>
      </c>
      <c r="E2303">
        <v>67703268</v>
      </c>
      <c r="F2303">
        <v>56691403</v>
      </c>
      <c r="G2303">
        <v>124394671</v>
      </c>
      <c r="H2303">
        <v>29058</v>
      </c>
      <c r="I2303">
        <v>9424</v>
      </c>
      <c r="J2303">
        <v>38482</v>
      </c>
      <c r="K2303" t="b">
        <f>TrafficData[[#This Row],[disposedChallan]]+TrafficData[[#This Row],[pendingChallan]]=TrafficData[[#This Row],[totalChallan]]</f>
        <v>1</v>
      </c>
      <c r="L2303" t="b">
        <f>TrafficData[[#This Row],[pendingAmount]]+TrafficData[[#This Row],[disposedAmount]]=TrafficData[[#This Row],[totalAmount]]</f>
        <v>1</v>
      </c>
      <c r="M2303" t="b">
        <f>TrafficData[[#This Row],[pendingCourt]]+TrafficData[[#This Row],[disposedCourt]]=TrafficData[[#This Row],[totalCourt]]</f>
        <v>1</v>
      </c>
      <c r="N2303" s="8" t="b">
        <f>AND(TrafficData[[#This Row],[disposedChallan]]&lt;=TrafficData[[#This Row],[totalChallan]],TrafficData[[#This Row],[pendingChallan]]&lt;=TrafficData[[#This Row],[totalChallan]])</f>
        <v>1</v>
      </c>
      <c r="O2303" s="8" t="b">
        <f>AND(TrafficData[[#This Row],[pendingAmount]]&lt;=TrafficData[[#This Row],[totalAmount]],TrafficData[[#This Row],[disposedAmount]]&lt;=TrafficData[[#This Row],[totalAmount]])</f>
        <v>1</v>
      </c>
      <c r="P2303" s="8" t="b">
        <f>AND(TrafficData[[#This Row],[pendingCourt]]&lt;=TrafficData[[#This Row],[totalCourt]],TrafficData[[#This Row],[disposedCourt]]&lt;=TrafficData[[#This Row],[totalCourt]])</f>
        <v>1</v>
      </c>
    </row>
    <row r="2304" spans="1:16">
      <c r="A2304" s="1">
        <v>44308</v>
      </c>
      <c r="B2304">
        <v>126404</v>
      </c>
      <c r="C2304">
        <v>56413</v>
      </c>
      <c r="D2304">
        <v>69991</v>
      </c>
      <c r="E2304">
        <v>67672307</v>
      </c>
      <c r="F2304">
        <v>59427428</v>
      </c>
      <c r="G2304">
        <v>127099735</v>
      </c>
      <c r="H2304">
        <v>27960</v>
      </c>
      <c r="I2304">
        <v>9434</v>
      </c>
      <c r="J2304">
        <v>37394</v>
      </c>
      <c r="K2304" t="b">
        <f>TrafficData[[#This Row],[disposedChallan]]+TrafficData[[#This Row],[pendingChallan]]=TrafficData[[#This Row],[totalChallan]]</f>
        <v>1</v>
      </c>
      <c r="L2304" t="b">
        <f>TrafficData[[#This Row],[pendingAmount]]+TrafficData[[#This Row],[disposedAmount]]=TrafficData[[#This Row],[totalAmount]]</f>
        <v>1</v>
      </c>
      <c r="M2304" t="b">
        <f>TrafficData[[#This Row],[pendingCourt]]+TrafficData[[#This Row],[disposedCourt]]=TrafficData[[#This Row],[totalCourt]]</f>
        <v>1</v>
      </c>
      <c r="N2304" s="8" t="b">
        <f>AND(TrafficData[[#This Row],[disposedChallan]]&lt;=TrafficData[[#This Row],[totalChallan]],TrafficData[[#This Row],[pendingChallan]]&lt;=TrafficData[[#This Row],[totalChallan]])</f>
        <v>1</v>
      </c>
      <c r="O2304" s="8" t="b">
        <f>AND(TrafficData[[#This Row],[pendingAmount]]&lt;=TrafficData[[#This Row],[totalAmount]],TrafficData[[#This Row],[disposedAmount]]&lt;=TrafficData[[#This Row],[totalAmount]])</f>
        <v>1</v>
      </c>
      <c r="P2304" s="8" t="b">
        <f>AND(TrafficData[[#This Row],[pendingCourt]]&lt;=TrafficData[[#This Row],[totalCourt]],TrafficData[[#This Row],[disposedCourt]]&lt;=TrafficData[[#This Row],[totalCourt]])</f>
        <v>1</v>
      </c>
    </row>
    <row r="2305" spans="1:16">
      <c r="A2305" s="1">
        <v>44309</v>
      </c>
      <c r="B2305">
        <v>121181</v>
      </c>
      <c r="C2305">
        <v>53033</v>
      </c>
      <c r="D2305">
        <v>68148</v>
      </c>
      <c r="E2305">
        <v>66164967</v>
      </c>
      <c r="F2305">
        <v>52281410</v>
      </c>
      <c r="G2305">
        <v>118446377</v>
      </c>
      <c r="H2305">
        <v>27223</v>
      </c>
      <c r="I2305">
        <v>8811</v>
      </c>
      <c r="J2305">
        <v>36034</v>
      </c>
      <c r="K2305" t="b">
        <f>TrafficData[[#This Row],[disposedChallan]]+TrafficData[[#This Row],[pendingChallan]]=TrafficData[[#This Row],[totalChallan]]</f>
        <v>1</v>
      </c>
      <c r="L2305" t="b">
        <f>TrafficData[[#This Row],[pendingAmount]]+TrafficData[[#This Row],[disposedAmount]]=TrafficData[[#This Row],[totalAmount]]</f>
        <v>1</v>
      </c>
      <c r="M2305" t="b">
        <f>TrafficData[[#This Row],[pendingCourt]]+TrafficData[[#This Row],[disposedCourt]]=TrafficData[[#This Row],[totalCourt]]</f>
        <v>1</v>
      </c>
      <c r="N2305" s="8" t="b">
        <f>AND(TrafficData[[#This Row],[disposedChallan]]&lt;=TrafficData[[#This Row],[totalChallan]],TrafficData[[#This Row],[pendingChallan]]&lt;=TrafficData[[#This Row],[totalChallan]])</f>
        <v>1</v>
      </c>
      <c r="O2305" s="8" t="b">
        <f>AND(TrafficData[[#This Row],[pendingAmount]]&lt;=TrafficData[[#This Row],[totalAmount]],TrafficData[[#This Row],[disposedAmount]]&lt;=TrafficData[[#This Row],[totalAmount]])</f>
        <v>1</v>
      </c>
      <c r="P2305" s="8" t="b">
        <f>AND(TrafficData[[#This Row],[pendingCourt]]&lt;=TrafficData[[#This Row],[totalCourt]],TrafficData[[#This Row],[disposedCourt]]&lt;=TrafficData[[#This Row],[totalCourt]])</f>
        <v>1</v>
      </c>
    </row>
    <row r="2306" spans="1:16">
      <c r="A2306" s="1">
        <v>44310</v>
      </c>
      <c r="B2306">
        <v>109850</v>
      </c>
      <c r="C2306">
        <v>45706</v>
      </c>
      <c r="D2306">
        <v>64144</v>
      </c>
      <c r="E2306">
        <v>57345219</v>
      </c>
      <c r="F2306">
        <v>44044737</v>
      </c>
      <c r="G2306">
        <v>101389956</v>
      </c>
      <c r="H2306">
        <v>23402</v>
      </c>
      <c r="I2306">
        <v>6568</v>
      </c>
      <c r="J2306">
        <v>29970</v>
      </c>
      <c r="K2306" t="b">
        <f>TrafficData[[#This Row],[disposedChallan]]+TrafficData[[#This Row],[pendingChallan]]=TrafficData[[#This Row],[totalChallan]]</f>
        <v>1</v>
      </c>
      <c r="L2306" t="b">
        <f>TrafficData[[#This Row],[pendingAmount]]+TrafficData[[#This Row],[disposedAmount]]=TrafficData[[#This Row],[totalAmount]]</f>
        <v>1</v>
      </c>
      <c r="M2306" t="b">
        <f>TrafficData[[#This Row],[pendingCourt]]+TrafficData[[#This Row],[disposedCourt]]=TrafficData[[#This Row],[totalCourt]]</f>
        <v>1</v>
      </c>
      <c r="N2306" s="8" t="b">
        <f>AND(TrafficData[[#This Row],[disposedChallan]]&lt;=TrafficData[[#This Row],[totalChallan]],TrafficData[[#This Row],[pendingChallan]]&lt;=TrafficData[[#This Row],[totalChallan]])</f>
        <v>1</v>
      </c>
      <c r="O2306" s="8" t="b">
        <f>AND(TrafficData[[#This Row],[pendingAmount]]&lt;=TrafficData[[#This Row],[totalAmount]],TrafficData[[#This Row],[disposedAmount]]&lt;=TrafficData[[#This Row],[totalAmount]])</f>
        <v>1</v>
      </c>
      <c r="P2306" s="8" t="b">
        <f>AND(TrafficData[[#This Row],[pendingCourt]]&lt;=TrafficData[[#This Row],[totalCourt]],TrafficData[[#This Row],[disposedCourt]]&lt;=TrafficData[[#This Row],[totalCourt]])</f>
        <v>1</v>
      </c>
    </row>
    <row r="2307" spans="1:16">
      <c r="A2307" s="1">
        <v>44311</v>
      </c>
      <c r="B2307">
        <v>65895</v>
      </c>
      <c r="C2307">
        <v>25460</v>
      </c>
      <c r="D2307">
        <v>40435</v>
      </c>
      <c r="E2307">
        <v>49445236</v>
      </c>
      <c r="F2307">
        <v>31931457</v>
      </c>
      <c r="G2307">
        <v>81376693</v>
      </c>
      <c r="H2307">
        <v>23324</v>
      </c>
      <c r="I2307">
        <v>6477</v>
      </c>
      <c r="J2307">
        <v>29801</v>
      </c>
      <c r="K2307" t="b">
        <f>TrafficData[[#This Row],[disposedChallan]]+TrafficData[[#This Row],[pendingChallan]]=TrafficData[[#This Row],[totalChallan]]</f>
        <v>1</v>
      </c>
      <c r="L2307" t="b">
        <f>TrafficData[[#This Row],[pendingAmount]]+TrafficData[[#This Row],[disposedAmount]]=TrafficData[[#This Row],[totalAmount]]</f>
        <v>1</v>
      </c>
      <c r="M2307" t="b">
        <f>TrafficData[[#This Row],[pendingCourt]]+TrafficData[[#This Row],[disposedCourt]]=TrafficData[[#This Row],[totalCourt]]</f>
        <v>1</v>
      </c>
      <c r="N2307" s="8" t="b">
        <f>AND(TrafficData[[#This Row],[disposedChallan]]&lt;=TrafficData[[#This Row],[totalChallan]],TrafficData[[#This Row],[pendingChallan]]&lt;=TrafficData[[#This Row],[totalChallan]])</f>
        <v>1</v>
      </c>
      <c r="O2307" s="8" t="b">
        <f>AND(TrafficData[[#This Row],[pendingAmount]]&lt;=TrafficData[[#This Row],[totalAmount]],TrafficData[[#This Row],[disposedAmount]]&lt;=TrafficData[[#This Row],[totalAmount]])</f>
        <v>1</v>
      </c>
      <c r="P2307" s="8" t="b">
        <f>AND(TrafficData[[#This Row],[pendingCourt]]&lt;=TrafficData[[#This Row],[totalCourt]],TrafficData[[#This Row],[disposedCourt]]&lt;=TrafficData[[#This Row],[totalCourt]])</f>
        <v>1</v>
      </c>
    </row>
    <row r="2308" spans="1:16">
      <c r="A2308" s="1">
        <v>44312</v>
      </c>
      <c r="B2308">
        <v>110029</v>
      </c>
      <c r="C2308">
        <v>45788</v>
      </c>
      <c r="D2308">
        <v>64241</v>
      </c>
      <c r="E2308">
        <v>60675740</v>
      </c>
      <c r="F2308">
        <v>44390855</v>
      </c>
      <c r="G2308">
        <v>105066595</v>
      </c>
      <c r="H2308">
        <v>24704</v>
      </c>
      <c r="I2308">
        <v>7498</v>
      </c>
      <c r="J2308">
        <v>32202</v>
      </c>
      <c r="K2308" t="b">
        <f>TrafficData[[#This Row],[disposedChallan]]+TrafficData[[#This Row],[pendingChallan]]=TrafficData[[#This Row],[totalChallan]]</f>
        <v>1</v>
      </c>
      <c r="L2308" t="b">
        <f>TrafficData[[#This Row],[pendingAmount]]+TrafficData[[#This Row],[disposedAmount]]=TrafficData[[#This Row],[totalAmount]]</f>
        <v>1</v>
      </c>
      <c r="M2308" t="b">
        <f>TrafficData[[#This Row],[pendingCourt]]+TrafficData[[#This Row],[disposedCourt]]=TrafficData[[#This Row],[totalCourt]]</f>
        <v>1</v>
      </c>
      <c r="N2308" s="8" t="b">
        <f>AND(TrafficData[[#This Row],[disposedChallan]]&lt;=TrafficData[[#This Row],[totalChallan]],TrafficData[[#This Row],[pendingChallan]]&lt;=TrafficData[[#This Row],[totalChallan]])</f>
        <v>1</v>
      </c>
      <c r="O2308" s="8" t="b">
        <f>AND(TrafficData[[#This Row],[pendingAmount]]&lt;=TrafficData[[#This Row],[totalAmount]],TrafficData[[#This Row],[disposedAmount]]&lt;=TrafficData[[#This Row],[totalAmount]])</f>
        <v>1</v>
      </c>
      <c r="P2308" s="8" t="b">
        <f>AND(TrafficData[[#This Row],[pendingCourt]]&lt;=TrafficData[[#This Row],[totalCourt]],TrafficData[[#This Row],[disposedCourt]]&lt;=TrafficData[[#This Row],[totalCourt]])</f>
        <v>1</v>
      </c>
    </row>
    <row r="2309" spans="1:16">
      <c r="A2309" s="1">
        <v>44313</v>
      </c>
      <c r="B2309">
        <v>103327</v>
      </c>
      <c r="C2309">
        <v>43254</v>
      </c>
      <c r="D2309">
        <v>60073</v>
      </c>
      <c r="E2309">
        <v>58189250</v>
      </c>
      <c r="F2309">
        <v>45946569</v>
      </c>
      <c r="G2309">
        <v>104135819</v>
      </c>
      <c r="H2309">
        <v>22209</v>
      </c>
      <c r="I2309">
        <v>7073</v>
      </c>
      <c r="J2309">
        <v>29282</v>
      </c>
      <c r="K2309" t="b">
        <f>TrafficData[[#This Row],[disposedChallan]]+TrafficData[[#This Row],[pendingChallan]]=TrafficData[[#This Row],[totalChallan]]</f>
        <v>1</v>
      </c>
      <c r="L2309" t="b">
        <f>TrafficData[[#This Row],[pendingAmount]]+TrafficData[[#This Row],[disposedAmount]]=TrafficData[[#This Row],[totalAmount]]</f>
        <v>1</v>
      </c>
      <c r="M2309" t="b">
        <f>TrafficData[[#This Row],[pendingCourt]]+TrafficData[[#This Row],[disposedCourt]]=TrafficData[[#This Row],[totalCourt]]</f>
        <v>1</v>
      </c>
      <c r="N2309" s="8" t="b">
        <f>AND(TrafficData[[#This Row],[disposedChallan]]&lt;=TrafficData[[#This Row],[totalChallan]],TrafficData[[#This Row],[pendingChallan]]&lt;=TrafficData[[#This Row],[totalChallan]])</f>
        <v>1</v>
      </c>
      <c r="O2309" s="8" t="b">
        <f>AND(TrafficData[[#This Row],[pendingAmount]]&lt;=TrafficData[[#This Row],[totalAmount]],TrafficData[[#This Row],[disposedAmount]]&lt;=TrafficData[[#This Row],[totalAmount]])</f>
        <v>1</v>
      </c>
      <c r="P2309" s="8" t="b">
        <f>AND(TrafficData[[#This Row],[pendingCourt]]&lt;=TrafficData[[#This Row],[totalCourt]],TrafficData[[#This Row],[disposedCourt]]&lt;=TrafficData[[#This Row],[totalCourt]])</f>
        <v>1</v>
      </c>
    </row>
    <row r="2310" spans="1:16">
      <c r="A2310" s="1">
        <v>44314</v>
      </c>
      <c r="B2310">
        <v>104966</v>
      </c>
      <c r="C2310">
        <v>44069</v>
      </c>
      <c r="D2310">
        <v>60897</v>
      </c>
      <c r="E2310">
        <v>58120040</v>
      </c>
      <c r="F2310">
        <v>43895399</v>
      </c>
      <c r="G2310">
        <v>102015439</v>
      </c>
      <c r="H2310">
        <v>24388</v>
      </c>
      <c r="I2310">
        <v>7173</v>
      </c>
      <c r="J2310">
        <v>31561</v>
      </c>
      <c r="K2310" t="b">
        <f>TrafficData[[#This Row],[disposedChallan]]+TrafficData[[#This Row],[pendingChallan]]=TrafficData[[#This Row],[totalChallan]]</f>
        <v>1</v>
      </c>
      <c r="L2310" t="b">
        <f>TrafficData[[#This Row],[pendingAmount]]+TrafficData[[#This Row],[disposedAmount]]=TrafficData[[#This Row],[totalAmount]]</f>
        <v>1</v>
      </c>
      <c r="M2310" t="b">
        <f>TrafficData[[#This Row],[pendingCourt]]+TrafficData[[#This Row],[disposedCourt]]=TrafficData[[#This Row],[totalCourt]]</f>
        <v>1</v>
      </c>
      <c r="N2310" s="8" t="b">
        <f>AND(TrafficData[[#This Row],[disposedChallan]]&lt;=TrafficData[[#This Row],[totalChallan]],TrafficData[[#This Row],[pendingChallan]]&lt;=TrafficData[[#This Row],[totalChallan]])</f>
        <v>1</v>
      </c>
      <c r="O2310" s="8" t="b">
        <f>AND(TrafficData[[#This Row],[pendingAmount]]&lt;=TrafficData[[#This Row],[totalAmount]],TrafficData[[#This Row],[disposedAmount]]&lt;=TrafficData[[#This Row],[totalAmount]])</f>
        <v>1</v>
      </c>
      <c r="P2310" s="8" t="b">
        <f>AND(TrafficData[[#This Row],[pendingCourt]]&lt;=TrafficData[[#This Row],[totalCourt]],TrafficData[[#This Row],[disposedCourt]]&lt;=TrafficData[[#This Row],[totalCourt]])</f>
        <v>1</v>
      </c>
    </row>
    <row r="2311" spans="1:16">
      <c r="A2311" s="1">
        <v>44315</v>
      </c>
      <c r="B2311">
        <v>101920</v>
      </c>
      <c r="C2311">
        <v>42286</v>
      </c>
      <c r="D2311">
        <v>59634</v>
      </c>
      <c r="E2311">
        <v>57410128</v>
      </c>
      <c r="F2311">
        <v>39715787</v>
      </c>
      <c r="G2311">
        <v>97125915</v>
      </c>
      <c r="H2311">
        <v>21017</v>
      </c>
      <c r="I2311">
        <v>6682</v>
      </c>
      <c r="J2311">
        <v>27699</v>
      </c>
      <c r="K2311" t="b">
        <f>TrafficData[[#This Row],[disposedChallan]]+TrafficData[[#This Row],[pendingChallan]]=TrafficData[[#This Row],[totalChallan]]</f>
        <v>1</v>
      </c>
      <c r="L2311" t="b">
        <f>TrafficData[[#This Row],[pendingAmount]]+TrafficData[[#This Row],[disposedAmount]]=TrafficData[[#This Row],[totalAmount]]</f>
        <v>1</v>
      </c>
      <c r="M2311" t="b">
        <f>TrafficData[[#This Row],[pendingCourt]]+TrafficData[[#This Row],[disposedCourt]]=TrafficData[[#This Row],[totalCourt]]</f>
        <v>1</v>
      </c>
      <c r="N2311" s="8" t="b">
        <f>AND(TrafficData[[#This Row],[disposedChallan]]&lt;=TrafficData[[#This Row],[totalChallan]],TrafficData[[#This Row],[pendingChallan]]&lt;=TrafficData[[#This Row],[totalChallan]])</f>
        <v>1</v>
      </c>
      <c r="O2311" s="8" t="b">
        <f>AND(TrafficData[[#This Row],[pendingAmount]]&lt;=TrafficData[[#This Row],[totalAmount]],TrafficData[[#This Row],[disposedAmount]]&lt;=TrafficData[[#This Row],[totalAmount]])</f>
        <v>1</v>
      </c>
      <c r="P2311" s="8" t="b">
        <f>AND(TrafficData[[#This Row],[pendingCourt]]&lt;=TrafficData[[#This Row],[totalCourt]],TrafficData[[#This Row],[disposedCourt]]&lt;=TrafficData[[#This Row],[totalCourt]])</f>
        <v>1</v>
      </c>
    </row>
    <row r="2312" spans="1:16">
      <c r="A2312" s="1">
        <v>44316</v>
      </c>
      <c r="B2312">
        <v>100472</v>
      </c>
      <c r="C2312">
        <v>40808</v>
      </c>
      <c r="D2312">
        <v>59664</v>
      </c>
      <c r="E2312">
        <v>55419609</v>
      </c>
      <c r="F2312">
        <v>37031454</v>
      </c>
      <c r="G2312">
        <v>92451063</v>
      </c>
      <c r="H2312">
        <v>21777</v>
      </c>
      <c r="I2312">
        <v>7285</v>
      </c>
      <c r="J2312">
        <v>29062</v>
      </c>
      <c r="K2312" t="b">
        <f>TrafficData[[#This Row],[disposedChallan]]+TrafficData[[#This Row],[pendingChallan]]=TrafficData[[#This Row],[totalChallan]]</f>
        <v>1</v>
      </c>
      <c r="L2312" t="b">
        <f>TrafficData[[#This Row],[pendingAmount]]+TrafficData[[#This Row],[disposedAmount]]=TrafficData[[#This Row],[totalAmount]]</f>
        <v>1</v>
      </c>
      <c r="M2312" t="b">
        <f>TrafficData[[#This Row],[pendingCourt]]+TrafficData[[#This Row],[disposedCourt]]=TrafficData[[#This Row],[totalCourt]]</f>
        <v>1</v>
      </c>
      <c r="N2312" s="8" t="b">
        <f>AND(TrafficData[[#This Row],[disposedChallan]]&lt;=TrafficData[[#This Row],[totalChallan]],TrafficData[[#This Row],[pendingChallan]]&lt;=TrafficData[[#This Row],[totalChallan]])</f>
        <v>1</v>
      </c>
      <c r="O2312" s="8" t="b">
        <f>AND(TrafficData[[#This Row],[pendingAmount]]&lt;=TrafficData[[#This Row],[totalAmount]],TrafficData[[#This Row],[disposedAmount]]&lt;=TrafficData[[#This Row],[totalAmount]])</f>
        <v>1</v>
      </c>
      <c r="P2312" s="8" t="b">
        <f>AND(TrafficData[[#This Row],[pendingCourt]]&lt;=TrafficData[[#This Row],[totalCourt]],TrafficData[[#This Row],[disposedCourt]]&lt;=TrafficData[[#This Row],[totalCourt]])</f>
        <v>1</v>
      </c>
    </row>
    <row r="2313" spans="1:16">
      <c r="A2313" s="1">
        <v>44317</v>
      </c>
      <c r="B2313">
        <v>79938</v>
      </c>
      <c r="C2313">
        <v>31473</v>
      </c>
      <c r="D2313">
        <v>48465</v>
      </c>
      <c r="E2313">
        <v>53752420</v>
      </c>
      <c r="F2313">
        <v>34770988</v>
      </c>
      <c r="G2313">
        <v>88523408</v>
      </c>
      <c r="H2313">
        <v>23508</v>
      </c>
      <c r="I2313">
        <v>6598</v>
      </c>
      <c r="J2313">
        <v>30106</v>
      </c>
      <c r="K2313" t="b">
        <f>TrafficData[[#This Row],[disposedChallan]]+TrafficData[[#This Row],[pendingChallan]]=TrafficData[[#This Row],[totalChallan]]</f>
        <v>1</v>
      </c>
      <c r="L2313" t="b">
        <f>TrafficData[[#This Row],[pendingAmount]]+TrafficData[[#This Row],[disposedAmount]]=TrafficData[[#This Row],[totalAmount]]</f>
        <v>1</v>
      </c>
      <c r="M2313" t="b">
        <f>TrafficData[[#This Row],[pendingCourt]]+TrafficData[[#This Row],[disposedCourt]]=TrafficData[[#This Row],[totalCourt]]</f>
        <v>1</v>
      </c>
      <c r="N2313" s="8" t="b">
        <f>AND(TrafficData[[#This Row],[disposedChallan]]&lt;=TrafficData[[#This Row],[totalChallan]],TrafficData[[#This Row],[pendingChallan]]&lt;=TrafficData[[#This Row],[totalChallan]])</f>
        <v>1</v>
      </c>
      <c r="O2313" s="8" t="b">
        <f>AND(TrafficData[[#This Row],[pendingAmount]]&lt;=TrafficData[[#This Row],[totalAmount]],TrafficData[[#This Row],[disposedAmount]]&lt;=TrafficData[[#This Row],[totalAmount]])</f>
        <v>1</v>
      </c>
      <c r="P2313" s="8" t="b">
        <f>AND(TrafficData[[#This Row],[pendingCourt]]&lt;=TrafficData[[#This Row],[totalCourt]],TrafficData[[#This Row],[disposedCourt]]&lt;=TrafficData[[#This Row],[totalCourt]])</f>
        <v>1</v>
      </c>
    </row>
    <row r="2314" spans="1:16">
      <c r="A2314" s="1">
        <v>44318</v>
      </c>
      <c r="B2314">
        <v>50227</v>
      </c>
      <c r="C2314">
        <v>19714</v>
      </c>
      <c r="D2314">
        <v>30513</v>
      </c>
      <c r="E2314">
        <v>46220430</v>
      </c>
      <c r="F2314">
        <v>31468176</v>
      </c>
      <c r="G2314">
        <v>77688606</v>
      </c>
      <c r="H2314">
        <v>20137</v>
      </c>
      <c r="I2314">
        <v>6226</v>
      </c>
      <c r="J2314">
        <v>26363</v>
      </c>
      <c r="K2314" t="b">
        <f>TrafficData[[#This Row],[disposedChallan]]+TrafficData[[#This Row],[pendingChallan]]=TrafficData[[#This Row],[totalChallan]]</f>
        <v>1</v>
      </c>
      <c r="L2314" t="b">
        <f>TrafficData[[#This Row],[pendingAmount]]+TrafficData[[#This Row],[disposedAmount]]=TrafficData[[#This Row],[totalAmount]]</f>
        <v>1</v>
      </c>
      <c r="M2314" t="b">
        <f>TrafficData[[#This Row],[pendingCourt]]+TrafficData[[#This Row],[disposedCourt]]=TrafficData[[#This Row],[totalCourt]]</f>
        <v>1</v>
      </c>
      <c r="N2314" s="8" t="b">
        <f>AND(TrafficData[[#This Row],[disposedChallan]]&lt;=TrafficData[[#This Row],[totalChallan]],TrafficData[[#This Row],[pendingChallan]]&lt;=TrafficData[[#This Row],[totalChallan]])</f>
        <v>1</v>
      </c>
      <c r="O2314" s="8" t="b">
        <f>AND(TrafficData[[#This Row],[pendingAmount]]&lt;=TrafficData[[#This Row],[totalAmount]],TrafficData[[#This Row],[disposedAmount]]&lt;=TrafficData[[#This Row],[totalAmount]])</f>
        <v>1</v>
      </c>
      <c r="P2314" s="8" t="b">
        <f>AND(TrafficData[[#This Row],[pendingCourt]]&lt;=TrafficData[[#This Row],[totalCourt]],TrafficData[[#This Row],[disposedCourt]]&lt;=TrafficData[[#This Row],[totalCourt]])</f>
        <v>1</v>
      </c>
    </row>
    <row r="2315" spans="1:16">
      <c r="A2315" s="1">
        <v>44319</v>
      </c>
      <c r="B2315">
        <v>91412</v>
      </c>
      <c r="C2315">
        <v>37449</v>
      </c>
      <c r="D2315">
        <v>53963</v>
      </c>
      <c r="E2315">
        <v>50058004</v>
      </c>
      <c r="F2315">
        <v>38981187</v>
      </c>
      <c r="G2315">
        <v>89039191</v>
      </c>
      <c r="H2315">
        <v>19788</v>
      </c>
      <c r="I2315">
        <v>6363</v>
      </c>
      <c r="J2315">
        <v>26151</v>
      </c>
      <c r="K2315" t="b">
        <f>TrafficData[[#This Row],[disposedChallan]]+TrafficData[[#This Row],[pendingChallan]]=TrafficData[[#This Row],[totalChallan]]</f>
        <v>1</v>
      </c>
      <c r="L2315" t="b">
        <f>TrafficData[[#This Row],[pendingAmount]]+TrafficData[[#This Row],[disposedAmount]]=TrafficData[[#This Row],[totalAmount]]</f>
        <v>1</v>
      </c>
      <c r="M2315" t="b">
        <f>TrafficData[[#This Row],[pendingCourt]]+TrafficData[[#This Row],[disposedCourt]]=TrafficData[[#This Row],[totalCourt]]</f>
        <v>1</v>
      </c>
      <c r="N2315" s="8" t="b">
        <f>AND(TrafficData[[#This Row],[disposedChallan]]&lt;=TrafficData[[#This Row],[totalChallan]],TrafficData[[#This Row],[pendingChallan]]&lt;=TrafficData[[#This Row],[totalChallan]])</f>
        <v>1</v>
      </c>
      <c r="O2315" s="8" t="b">
        <f>AND(TrafficData[[#This Row],[pendingAmount]]&lt;=TrafficData[[#This Row],[totalAmount]],TrafficData[[#This Row],[disposedAmount]]&lt;=TrafficData[[#This Row],[totalAmount]])</f>
        <v>1</v>
      </c>
      <c r="P2315" s="8" t="b">
        <f>AND(TrafficData[[#This Row],[pendingCourt]]&lt;=TrafficData[[#This Row],[totalCourt]],TrafficData[[#This Row],[disposedCourt]]&lt;=TrafficData[[#This Row],[totalCourt]])</f>
        <v>1</v>
      </c>
    </row>
    <row r="2316" spans="1:16">
      <c r="A2316" s="1">
        <v>44320</v>
      </c>
      <c r="B2316">
        <v>108685</v>
      </c>
      <c r="C2316">
        <v>42870</v>
      </c>
      <c r="D2316">
        <v>65815</v>
      </c>
      <c r="E2316">
        <v>56879919</v>
      </c>
      <c r="F2316">
        <v>40232104</v>
      </c>
      <c r="G2316">
        <v>97112023</v>
      </c>
      <c r="H2316">
        <v>23338</v>
      </c>
      <c r="I2316">
        <v>7273</v>
      </c>
      <c r="J2316">
        <v>30611</v>
      </c>
      <c r="K2316" t="b">
        <f>TrafficData[[#This Row],[disposedChallan]]+TrafficData[[#This Row],[pendingChallan]]=TrafficData[[#This Row],[totalChallan]]</f>
        <v>1</v>
      </c>
      <c r="L2316" t="b">
        <f>TrafficData[[#This Row],[pendingAmount]]+TrafficData[[#This Row],[disposedAmount]]=TrafficData[[#This Row],[totalAmount]]</f>
        <v>1</v>
      </c>
      <c r="M2316" t="b">
        <f>TrafficData[[#This Row],[pendingCourt]]+TrafficData[[#This Row],[disposedCourt]]=TrafficData[[#This Row],[totalCourt]]</f>
        <v>1</v>
      </c>
      <c r="N2316" s="8" t="b">
        <f>AND(TrafficData[[#This Row],[disposedChallan]]&lt;=TrafficData[[#This Row],[totalChallan]],TrafficData[[#This Row],[pendingChallan]]&lt;=TrafficData[[#This Row],[totalChallan]])</f>
        <v>1</v>
      </c>
      <c r="O2316" s="8" t="b">
        <f>AND(TrafficData[[#This Row],[pendingAmount]]&lt;=TrafficData[[#This Row],[totalAmount]],TrafficData[[#This Row],[disposedAmount]]&lt;=TrafficData[[#This Row],[totalAmount]])</f>
        <v>1</v>
      </c>
      <c r="P2316" s="8" t="b">
        <f>AND(TrafficData[[#This Row],[pendingCourt]]&lt;=TrafficData[[#This Row],[totalCourt]],TrafficData[[#This Row],[disposedCourt]]&lt;=TrafficData[[#This Row],[totalCourt]])</f>
        <v>1</v>
      </c>
    </row>
    <row r="2317" spans="1:16">
      <c r="A2317" s="1">
        <v>44321</v>
      </c>
      <c r="B2317">
        <v>112851</v>
      </c>
      <c r="C2317">
        <v>45099</v>
      </c>
      <c r="D2317">
        <v>67752</v>
      </c>
      <c r="E2317">
        <v>63322293</v>
      </c>
      <c r="F2317">
        <v>48354101</v>
      </c>
      <c r="G2317">
        <v>111676394</v>
      </c>
      <c r="H2317">
        <v>25836</v>
      </c>
      <c r="I2317">
        <v>7909</v>
      </c>
      <c r="J2317">
        <v>33745</v>
      </c>
      <c r="K2317" t="b">
        <f>TrafficData[[#This Row],[disposedChallan]]+TrafficData[[#This Row],[pendingChallan]]=TrafficData[[#This Row],[totalChallan]]</f>
        <v>1</v>
      </c>
      <c r="L2317" t="b">
        <f>TrafficData[[#This Row],[pendingAmount]]+TrafficData[[#This Row],[disposedAmount]]=TrafficData[[#This Row],[totalAmount]]</f>
        <v>1</v>
      </c>
      <c r="M2317" t="b">
        <f>TrafficData[[#This Row],[pendingCourt]]+TrafficData[[#This Row],[disposedCourt]]=TrafficData[[#This Row],[totalCourt]]</f>
        <v>1</v>
      </c>
      <c r="N2317" s="8" t="b">
        <f>AND(TrafficData[[#This Row],[disposedChallan]]&lt;=TrafficData[[#This Row],[totalChallan]],TrafficData[[#This Row],[pendingChallan]]&lt;=TrafficData[[#This Row],[totalChallan]])</f>
        <v>1</v>
      </c>
      <c r="O2317" s="8" t="b">
        <f>AND(TrafficData[[#This Row],[pendingAmount]]&lt;=TrafficData[[#This Row],[totalAmount]],TrafficData[[#This Row],[disposedAmount]]&lt;=TrafficData[[#This Row],[totalAmount]])</f>
        <v>1</v>
      </c>
      <c r="P2317" s="8" t="b">
        <f>AND(TrafficData[[#This Row],[pendingCourt]]&lt;=TrafficData[[#This Row],[totalCourt]],TrafficData[[#This Row],[disposedCourt]]&lt;=TrafficData[[#This Row],[totalCourt]])</f>
        <v>1</v>
      </c>
    </row>
    <row r="2318" spans="1:16">
      <c r="A2318" s="1">
        <v>44322</v>
      </c>
      <c r="B2318">
        <v>99917</v>
      </c>
      <c r="C2318">
        <v>40422</v>
      </c>
      <c r="D2318">
        <v>59495</v>
      </c>
      <c r="E2318">
        <v>56997338</v>
      </c>
      <c r="F2318">
        <v>46971442</v>
      </c>
      <c r="G2318">
        <v>103968780</v>
      </c>
      <c r="H2318">
        <v>23935</v>
      </c>
      <c r="I2318">
        <v>8294</v>
      </c>
      <c r="J2318">
        <v>32229</v>
      </c>
      <c r="K2318" t="b">
        <f>TrafficData[[#This Row],[disposedChallan]]+TrafficData[[#This Row],[pendingChallan]]=TrafficData[[#This Row],[totalChallan]]</f>
        <v>1</v>
      </c>
      <c r="L2318" t="b">
        <f>TrafficData[[#This Row],[pendingAmount]]+TrafficData[[#This Row],[disposedAmount]]=TrafficData[[#This Row],[totalAmount]]</f>
        <v>1</v>
      </c>
      <c r="M2318" t="b">
        <f>TrafficData[[#This Row],[pendingCourt]]+TrafficData[[#This Row],[disposedCourt]]=TrafficData[[#This Row],[totalCourt]]</f>
        <v>1</v>
      </c>
      <c r="N2318" s="8" t="b">
        <f>AND(TrafficData[[#This Row],[disposedChallan]]&lt;=TrafficData[[#This Row],[totalChallan]],TrafficData[[#This Row],[pendingChallan]]&lt;=TrafficData[[#This Row],[totalChallan]])</f>
        <v>1</v>
      </c>
      <c r="O2318" s="8" t="b">
        <f>AND(TrafficData[[#This Row],[pendingAmount]]&lt;=TrafficData[[#This Row],[totalAmount]],TrafficData[[#This Row],[disposedAmount]]&lt;=TrafficData[[#This Row],[totalAmount]])</f>
        <v>1</v>
      </c>
      <c r="P2318" s="8" t="b">
        <f>AND(TrafficData[[#This Row],[pendingCourt]]&lt;=TrafficData[[#This Row],[totalCourt]],TrafficData[[#This Row],[disposedCourt]]&lt;=TrafficData[[#This Row],[totalCourt]])</f>
        <v>1</v>
      </c>
    </row>
    <row r="2319" spans="1:16">
      <c r="A2319" s="1">
        <v>44323</v>
      </c>
      <c r="B2319">
        <v>102892</v>
      </c>
      <c r="C2319">
        <v>39886</v>
      </c>
      <c r="D2319">
        <v>63006</v>
      </c>
      <c r="E2319">
        <v>59894142</v>
      </c>
      <c r="F2319">
        <v>40524316</v>
      </c>
      <c r="G2319">
        <v>100418458</v>
      </c>
      <c r="H2319">
        <v>23936</v>
      </c>
      <c r="I2319">
        <v>7955</v>
      </c>
      <c r="J2319">
        <v>31891</v>
      </c>
      <c r="K2319" t="b">
        <f>TrafficData[[#This Row],[disposedChallan]]+TrafficData[[#This Row],[pendingChallan]]=TrafficData[[#This Row],[totalChallan]]</f>
        <v>1</v>
      </c>
      <c r="L2319" t="b">
        <f>TrafficData[[#This Row],[pendingAmount]]+TrafficData[[#This Row],[disposedAmount]]=TrafficData[[#This Row],[totalAmount]]</f>
        <v>1</v>
      </c>
      <c r="M2319" t="b">
        <f>TrafficData[[#This Row],[pendingCourt]]+TrafficData[[#This Row],[disposedCourt]]=TrafficData[[#This Row],[totalCourt]]</f>
        <v>1</v>
      </c>
      <c r="N2319" s="8" t="b">
        <f>AND(TrafficData[[#This Row],[disposedChallan]]&lt;=TrafficData[[#This Row],[totalChallan]],TrafficData[[#This Row],[pendingChallan]]&lt;=TrafficData[[#This Row],[totalChallan]])</f>
        <v>1</v>
      </c>
      <c r="O2319" s="8" t="b">
        <f>AND(TrafficData[[#This Row],[pendingAmount]]&lt;=TrafficData[[#This Row],[totalAmount]],TrafficData[[#This Row],[disposedAmount]]&lt;=TrafficData[[#This Row],[totalAmount]])</f>
        <v>1</v>
      </c>
      <c r="P2319" s="8" t="b">
        <f>AND(TrafficData[[#This Row],[pendingCourt]]&lt;=TrafficData[[#This Row],[totalCourt]],TrafficData[[#This Row],[disposedCourt]]&lt;=TrafficData[[#This Row],[totalCourt]])</f>
        <v>1</v>
      </c>
    </row>
    <row r="2320" spans="1:16">
      <c r="A2320" s="1">
        <v>44324</v>
      </c>
      <c r="B2320">
        <v>100672</v>
      </c>
      <c r="C2320">
        <v>39747</v>
      </c>
      <c r="D2320">
        <v>60925</v>
      </c>
      <c r="E2320">
        <v>58626041</v>
      </c>
      <c r="F2320">
        <v>41013856</v>
      </c>
      <c r="G2320">
        <v>99639897</v>
      </c>
      <c r="H2320">
        <v>25069</v>
      </c>
      <c r="I2320">
        <v>8210</v>
      </c>
      <c r="J2320">
        <v>33279</v>
      </c>
      <c r="K2320" t="b">
        <f>TrafficData[[#This Row],[disposedChallan]]+TrafficData[[#This Row],[pendingChallan]]=TrafficData[[#This Row],[totalChallan]]</f>
        <v>1</v>
      </c>
      <c r="L2320" t="b">
        <f>TrafficData[[#This Row],[pendingAmount]]+TrafficData[[#This Row],[disposedAmount]]=TrafficData[[#This Row],[totalAmount]]</f>
        <v>1</v>
      </c>
      <c r="M2320" t="b">
        <f>TrafficData[[#This Row],[pendingCourt]]+TrafficData[[#This Row],[disposedCourt]]=TrafficData[[#This Row],[totalCourt]]</f>
        <v>1</v>
      </c>
      <c r="N2320" s="8" t="b">
        <f>AND(TrafficData[[#This Row],[disposedChallan]]&lt;=TrafficData[[#This Row],[totalChallan]],TrafficData[[#This Row],[pendingChallan]]&lt;=TrafficData[[#This Row],[totalChallan]])</f>
        <v>1</v>
      </c>
      <c r="O2320" s="8" t="b">
        <f>AND(TrafficData[[#This Row],[pendingAmount]]&lt;=TrafficData[[#This Row],[totalAmount]],TrafficData[[#This Row],[disposedAmount]]&lt;=TrafficData[[#This Row],[totalAmount]])</f>
        <v>1</v>
      </c>
      <c r="P2320" s="8" t="b">
        <f>AND(TrafficData[[#This Row],[pendingCourt]]&lt;=TrafficData[[#This Row],[totalCourt]],TrafficData[[#This Row],[disposedCourt]]&lt;=TrafficData[[#This Row],[totalCourt]])</f>
        <v>1</v>
      </c>
    </row>
    <row r="2321" spans="1:16">
      <c r="A2321" s="1">
        <v>44325</v>
      </c>
      <c r="B2321">
        <v>93628</v>
      </c>
      <c r="C2321">
        <v>36642</v>
      </c>
      <c r="D2321">
        <v>56986</v>
      </c>
      <c r="E2321">
        <v>54663367</v>
      </c>
      <c r="F2321">
        <v>31645355</v>
      </c>
      <c r="G2321">
        <v>86308722</v>
      </c>
      <c r="H2321">
        <v>23566</v>
      </c>
      <c r="I2321">
        <v>8319</v>
      </c>
      <c r="J2321">
        <v>31885</v>
      </c>
      <c r="K2321" t="b">
        <f>TrafficData[[#This Row],[disposedChallan]]+TrafficData[[#This Row],[pendingChallan]]=TrafficData[[#This Row],[totalChallan]]</f>
        <v>1</v>
      </c>
      <c r="L2321" t="b">
        <f>TrafficData[[#This Row],[pendingAmount]]+TrafficData[[#This Row],[disposedAmount]]=TrafficData[[#This Row],[totalAmount]]</f>
        <v>1</v>
      </c>
      <c r="M2321" t="b">
        <f>TrafficData[[#This Row],[pendingCourt]]+TrafficData[[#This Row],[disposedCourt]]=TrafficData[[#This Row],[totalCourt]]</f>
        <v>1</v>
      </c>
      <c r="N2321" s="8" t="b">
        <f>AND(TrafficData[[#This Row],[disposedChallan]]&lt;=TrafficData[[#This Row],[totalChallan]],TrafficData[[#This Row],[pendingChallan]]&lt;=TrafficData[[#This Row],[totalChallan]])</f>
        <v>1</v>
      </c>
      <c r="O2321" s="8" t="b">
        <f>AND(TrafficData[[#This Row],[pendingAmount]]&lt;=TrafficData[[#This Row],[totalAmount]],TrafficData[[#This Row],[disposedAmount]]&lt;=TrafficData[[#This Row],[totalAmount]])</f>
        <v>1</v>
      </c>
      <c r="P2321" s="8" t="b">
        <f>AND(TrafficData[[#This Row],[pendingCourt]]&lt;=TrafficData[[#This Row],[totalCourt]],TrafficData[[#This Row],[disposedCourt]]&lt;=TrafficData[[#This Row],[totalCourt]])</f>
        <v>1</v>
      </c>
    </row>
    <row r="2322" spans="1:16">
      <c r="A2322" s="1">
        <v>44326</v>
      </c>
      <c r="B2322">
        <v>71914</v>
      </c>
      <c r="C2322">
        <v>29629</v>
      </c>
      <c r="D2322">
        <v>42285</v>
      </c>
      <c r="E2322">
        <v>51189748</v>
      </c>
      <c r="F2322">
        <v>36840414</v>
      </c>
      <c r="G2322">
        <v>88030162</v>
      </c>
      <c r="H2322">
        <v>21199</v>
      </c>
      <c r="I2322">
        <v>7859</v>
      </c>
      <c r="J2322">
        <v>29058</v>
      </c>
      <c r="K2322" t="b">
        <f>TrafficData[[#This Row],[disposedChallan]]+TrafficData[[#This Row],[pendingChallan]]=TrafficData[[#This Row],[totalChallan]]</f>
        <v>1</v>
      </c>
      <c r="L2322" t="b">
        <f>TrafficData[[#This Row],[pendingAmount]]+TrafficData[[#This Row],[disposedAmount]]=TrafficData[[#This Row],[totalAmount]]</f>
        <v>1</v>
      </c>
      <c r="M2322" t="b">
        <f>TrafficData[[#This Row],[pendingCourt]]+TrafficData[[#This Row],[disposedCourt]]=TrafficData[[#This Row],[totalCourt]]</f>
        <v>1</v>
      </c>
      <c r="N2322" s="8" t="b">
        <f>AND(TrafficData[[#This Row],[disposedChallan]]&lt;=TrafficData[[#This Row],[totalChallan]],TrafficData[[#This Row],[pendingChallan]]&lt;=TrafficData[[#This Row],[totalChallan]])</f>
        <v>1</v>
      </c>
      <c r="O2322" s="8" t="b">
        <f>AND(TrafficData[[#This Row],[pendingAmount]]&lt;=TrafficData[[#This Row],[totalAmount]],TrafficData[[#This Row],[disposedAmount]]&lt;=TrafficData[[#This Row],[totalAmount]])</f>
        <v>1</v>
      </c>
      <c r="P2322" s="8" t="b">
        <f>AND(TrafficData[[#This Row],[pendingCourt]]&lt;=TrafficData[[#This Row],[totalCourt]],TrafficData[[#This Row],[disposedCourt]]&lt;=TrafficData[[#This Row],[totalCourt]])</f>
        <v>1</v>
      </c>
    </row>
    <row r="2323" spans="1:16">
      <c r="A2323" s="1">
        <v>44327</v>
      </c>
      <c r="B2323">
        <v>74138</v>
      </c>
      <c r="C2323">
        <v>30583</v>
      </c>
      <c r="D2323">
        <v>43555</v>
      </c>
      <c r="E2323">
        <v>44702541</v>
      </c>
      <c r="F2323">
        <v>41301431</v>
      </c>
      <c r="G2323">
        <v>86003972</v>
      </c>
      <c r="H2323">
        <v>20594</v>
      </c>
      <c r="I2323">
        <v>7940</v>
      </c>
      <c r="J2323">
        <v>28534</v>
      </c>
      <c r="K2323" t="b">
        <f>TrafficData[[#This Row],[disposedChallan]]+TrafficData[[#This Row],[pendingChallan]]=TrafficData[[#This Row],[totalChallan]]</f>
        <v>1</v>
      </c>
      <c r="L2323" t="b">
        <f>TrafficData[[#This Row],[pendingAmount]]+TrafficData[[#This Row],[disposedAmount]]=TrafficData[[#This Row],[totalAmount]]</f>
        <v>1</v>
      </c>
      <c r="M2323" t="b">
        <f>TrafficData[[#This Row],[pendingCourt]]+TrafficData[[#This Row],[disposedCourt]]=TrafficData[[#This Row],[totalCourt]]</f>
        <v>1</v>
      </c>
      <c r="N2323" s="8" t="b">
        <f>AND(TrafficData[[#This Row],[disposedChallan]]&lt;=TrafficData[[#This Row],[totalChallan]],TrafficData[[#This Row],[pendingChallan]]&lt;=TrafficData[[#This Row],[totalChallan]])</f>
        <v>1</v>
      </c>
      <c r="O2323" s="8" t="b">
        <f>AND(TrafficData[[#This Row],[pendingAmount]]&lt;=TrafficData[[#This Row],[totalAmount]],TrafficData[[#This Row],[disposedAmount]]&lt;=TrafficData[[#This Row],[totalAmount]])</f>
        <v>1</v>
      </c>
      <c r="P2323" s="8" t="b">
        <f>AND(TrafficData[[#This Row],[pendingCourt]]&lt;=TrafficData[[#This Row],[totalCourt]],TrafficData[[#This Row],[disposedCourt]]&lt;=TrafficData[[#This Row],[totalCourt]])</f>
        <v>1</v>
      </c>
    </row>
    <row r="2324" spans="1:16">
      <c r="A2324" s="1">
        <v>44328</v>
      </c>
      <c r="B2324">
        <v>75250</v>
      </c>
      <c r="C2324">
        <v>30882</v>
      </c>
      <c r="D2324">
        <v>44368</v>
      </c>
      <c r="E2324">
        <v>45022381</v>
      </c>
      <c r="F2324">
        <v>40861354</v>
      </c>
      <c r="G2324">
        <v>85883735</v>
      </c>
      <c r="H2324">
        <v>21276</v>
      </c>
      <c r="I2324">
        <v>7598</v>
      </c>
      <c r="J2324">
        <v>28874</v>
      </c>
      <c r="K2324" t="b">
        <f>TrafficData[[#This Row],[disposedChallan]]+TrafficData[[#This Row],[pendingChallan]]=TrafficData[[#This Row],[totalChallan]]</f>
        <v>1</v>
      </c>
      <c r="L2324" t="b">
        <f>TrafficData[[#This Row],[pendingAmount]]+TrafficData[[#This Row],[disposedAmount]]=TrafficData[[#This Row],[totalAmount]]</f>
        <v>1</v>
      </c>
      <c r="M2324" t="b">
        <f>TrafficData[[#This Row],[pendingCourt]]+TrafficData[[#This Row],[disposedCourt]]=TrafficData[[#This Row],[totalCourt]]</f>
        <v>1</v>
      </c>
      <c r="N2324" s="8" t="b">
        <f>AND(TrafficData[[#This Row],[disposedChallan]]&lt;=TrafficData[[#This Row],[totalChallan]],TrafficData[[#This Row],[pendingChallan]]&lt;=TrafficData[[#This Row],[totalChallan]])</f>
        <v>1</v>
      </c>
      <c r="O2324" s="8" t="b">
        <f>AND(TrafficData[[#This Row],[pendingAmount]]&lt;=TrafficData[[#This Row],[totalAmount]],TrafficData[[#This Row],[disposedAmount]]&lt;=TrafficData[[#This Row],[totalAmount]])</f>
        <v>1</v>
      </c>
      <c r="P2324" s="8" t="b">
        <f>AND(TrafficData[[#This Row],[pendingCourt]]&lt;=TrafficData[[#This Row],[totalCourt]],TrafficData[[#This Row],[disposedCourt]]&lt;=TrafficData[[#This Row],[totalCourt]])</f>
        <v>1</v>
      </c>
    </row>
    <row r="2325" spans="1:16">
      <c r="A2325" s="1">
        <v>44329</v>
      </c>
      <c r="B2325">
        <v>75176</v>
      </c>
      <c r="C2325">
        <v>31564</v>
      </c>
      <c r="D2325">
        <v>43612</v>
      </c>
      <c r="E2325">
        <v>43475068</v>
      </c>
      <c r="F2325">
        <v>47213773</v>
      </c>
      <c r="G2325">
        <v>90688841</v>
      </c>
      <c r="H2325">
        <v>20347</v>
      </c>
      <c r="I2325">
        <v>7645</v>
      </c>
      <c r="J2325">
        <v>27992</v>
      </c>
      <c r="K2325" t="b">
        <f>TrafficData[[#This Row],[disposedChallan]]+TrafficData[[#This Row],[pendingChallan]]=TrafficData[[#This Row],[totalChallan]]</f>
        <v>1</v>
      </c>
      <c r="L2325" t="b">
        <f>TrafficData[[#This Row],[pendingAmount]]+TrafficData[[#This Row],[disposedAmount]]=TrafficData[[#This Row],[totalAmount]]</f>
        <v>1</v>
      </c>
      <c r="M2325" t="b">
        <f>TrafficData[[#This Row],[pendingCourt]]+TrafficData[[#This Row],[disposedCourt]]=TrafficData[[#This Row],[totalCourt]]</f>
        <v>1</v>
      </c>
      <c r="N2325" s="8" t="b">
        <f>AND(TrafficData[[#This Row],[disposedChallan]]&lt;=TrafficData[[#This Row],[totalChallan]],TrafficData[[#This Row],[pendingChallan]]&lt;=TrafficData[[#This Row],[totalChallan]])</f>
        <v>1</v>
      </c>
      <c r="O2325" s="8" t="b">
        <f>AND(TrafficData[[#This Row],[pendingAmount]]&lt;=TrafficData[[#This Row],[totalAmount]],TrafficData[[#This Row],[disposedAmount]]&lt;=TrafficData[[#This Row],[totalAmount]])</f>
        <v>1</v>
      </c>
      <c r="P2325" s="8" t="b">
        <f>AND(TrafficData[[#This Row],[pendingCourt]]&lt;=TrafficData[[#This Row],[totalCourt]],TrafficData[[#This Row],[disposedCourt]]&lt;=TrafficData[[#This Row],[totalCourt]])</f>
        <v>1</v>
      </c>
    </row>
    <row r="2326" spans="1:16">
      <c r="A2326" s="1">
        <v>44330</v>
      </c>
      <c r="B2326">
        <v>88618</v>
      </c>
      <c r="C2326">
        <v>35301</v>
      </c>
      <c r="D2326">
        <v>53317</v>
      </c>
      <c r="E2326">
        <v>48208065</v>
      </c>
      <c r="F2326">
        <v>36002461</v>
      </c>
      <c r="G2326">
        <v>84210526</v>
      </c>
      <c r="H2326">
        <v>19964</v>
      </c>
      <c r="I2326">
        <v>7112</v>
      </c>
      <c r="J2326">
        <v>27076</v>
      </c>
      <c r="K2326" t="b">
        <f>TrafficData[[#This Row],[disposedChallan]]+TrafficData[[#This Row],[pendingChallan]]=TrafficData[[#This Row],[totalChallan]]</f>
        <v>1</v>
      </c>
      <c r="L2326" t="b">
        <f>TrafficData[[#This Row],[pendingAmount]]+TrafficData[[#This Row],[disposedAmount]]=TrafficData[[#This Row],[totalAmount]]</f>
        <v>1</v>
      </c>
      <c r="M2326" t="b">
        <f>TrafficData[[#This Row],[pendingCourt]]+TrafficData[[#This Row],[disposedCourt]]=TrafficData[[#This Row],[totalCourt]]</f>
        <v>1</v>
      </c>
      <c r="N2326" s="8" t="b">
        <f>AND(TrafficData[[#This Row],[disposedChallan]]&lt;=TrafficData[[#This Row],[totalChallan]],TrafficData[[#This Row],[pendingChallan]]&lt;=TrafficData[[#This Row],[totalChallan]])</f>
        <v>1</v>
      </c>
      <c r="O2326" s="8" t="b">
        <f>AND(TrafficData[[#This Row],[pendingAmount]]&lt;=TrafficData[[#This Row],[totalAmount]],TrafficData[[#This Row],[disposedAmount]]&lt;=TrafficData[[#This Row],[totalAmount]])</f>
        <v>1</v>
      </c>
      <c r="P2326" s="8" t="b">
        <f>AND(TrafficData[[#This Row],[pendingCourt]]&lt;=TrafficData[[#This Row],[totalCourt]],TrafficData[[#This Row],[disposedCourt]]&lt;=TrafficData[[#This Row],[totalCourt]])</f>
        <v>1</v>
      </c>
    </row>
    <row r="2327" spans="1:16">
      <c r="A2327" s="1">
        <v>44331</v>
      </c>
      <c r="B2327">
        <v>89778</v>
      </c>
      <c r="C2327">
        <v>36327</v>
      </c>
      <c r="D2327">
        <v>53451</v>
      </c>
      <c r="E2327">
        <v>51470775</v>
      </c>
      <c r="F2327">
        <v>37066557</v>
      </c>
      <c r="G2327">
        <v>88537332</v>
      </c>
      <c r="H2327">
        <v>23857</v>
      </c>
      <c r="I2327">
        <v>8522</v>
      </c>
      <c r="J2327">
        <v>32379</v>
      </c>
      <c r="K2327" t="b">
        <f>TrafficData[[#This Row],[disposedChallan]]+TrafficData[[#This Row],[pendingChallan]]=TrafficData[[#This Row],[totalChallan]]</f>
        <v>1</v>
      </c>
      <c r="L2327" t="b">
        <f>TrafficData[[#This Row],[pendingAmount]]+TrafficData[[#This Row],[disposedAmount]]=TrafficData[[#This Row],[totalAmount]]</f>
        <v>1</v>
      </c>
      <c r="M2327" t="b">
        <f>TrafficData[[#This Row],[pendingCourt]]+TrafficData[[#This Row],[disposedCourt]]=TrafficData[[#This Row],[totalCourt]]</f>
        <v>1</v>
      </c>
      <c r="N2327" s="8" t="b">
        <f>AND(TrafficData[[#This Row],[disposedChallan]]&lt;=TrafficData[[#This Row],[totalChallan]],TrafficData[[#This Row],[pendingChallan]]&lt;=TrafficData[[#This Row],[totalChallan]])</f>
        <v>1</v>
      </c>
      <c r="O2327" s="8" t="b">
        <f>AND(TrafficData[[#This Row],[pendingAmount]]&lt;=TrafficData[[#This Row],[totalAmount]],TrafficData[[#This Row],[disposedAmount]]&lt;=TrafficData[[#This Row],[totalAmount]])</f>
        <v>1</v>
      </c>
      <c r="P2327" s="8" t="b">
        <f>AND(TrafficData[[#This Row],[pendingCourt]]&lt;=TrafficData[[#This Row],[totalCourt]],TrafficData[[#This Row],[disposedCourt]]&lt;=TrafficData[[#This Row],[totalCourt]])</f>
        <v>1</v>
      </c>
    </row>
    <row r="2328" spans="1:16">
      <c r="A2328" s="1">
        <v>44332</v>
      </c>
      <c r="B2328">
        <v>77260</v>
      </c>
      <c r="C2328">
        <v>29246</v>
      </c>
      <c r="D2328">
        <v>48014</v>
      </c>
      <c r="E2328">
        <v>49769140</v>
      </c>
      <c r="F2328">
        <v>39849519</v>
      </c>
      <c r="G2328">
        <v>89618659</v>
      </c>
      <c r="H2328">
        <v>21870</v>
      </c>
      <c r="I2328">
        <v>7686</v>
      </c>
      <c r="J2328">
        <v>29556</v>
      </c>
      <c r="K2328" t="b">
        <f>TrafficData[[#This Row],[disposedChallan]]+TrafficData[[#This Row],[pendingChallan]]=TrafficData[[#This Row],[totalChallan]]</f>
        <v>1</v>
      </c>
      <c r="L2328" t="b">
        <f>TrafficData[[#This Row],[pendingAmount]]+TrafficData[[#This Row],[disposedAmount]]=TrafficData[[#This Row],[totalAmount]]</f>
        <v>1</v>
      </c>
      <c r="M2328" t="b">
        <f>TrafficData[[#This Row],[pendingCourt]]+TrafficData[[#This Row],[disposedCourt]]=TrafficData[[#This Row],[totalCourt]]</f>
        <v>1</v>
      </c>
      <c r="N2328" s="8" t="b">
        <f>AND(TrafficData[[#This Row],[disposedChallan]]&lt;=TrafficData[[#This Row],[totalChallan]],TrafficData[[#This Row],[pendingChallan]]&lt;=TrafficData[[#This Row],[totalChallan]])</f>
        <v>1</v>
      </c>
      <c r="O2328" s="8" t="b">
        <f>AND(TrafficData[[#This Row],[pendingAmount]]&lt;=TrafficData[[#This Row],[totalAmount]],TrafficData[[#This Row],[disposedAmount]]&lt;=TrafficData[[#This Row],[totalAmount]])</f>
        <v>1</v>
      </c>
      <c r="P2328" s="8" t="b">
        <f>AND(TrafficData[[#This Row],[pendingCourt]]&lt;=TrafficData[[#This Row],[totalCourt]],TrafficData[[#This Row],[disposedCourt]]&lt;=TrafficData[[#This Row],[totalCourt]])</f>
        <v>1</v>
      </c>
    </row>
    <row r="2329" spans="1:16">
      <c r="A2329" s="1">
        <v>44333</v>
      </c>
      <c r="B2329">
        <v>90398</v>
      </c>
      <c r="C2329">
        <v>36838</v>
      </c>
      <c r="D2329">
        <v>53560</v>
      </c>
      <c r="E2329">
        <v>56546970</v>
      </c>
      <c r="F2329">
        <v>44679738</v>
      </c>
      <c r="G2329">
        <v>101226708</v>
      </c>
      <c r="H2329">
        <v>24442</v>
      </c>
      <c r="I2329">
        <v>9378</v>
      </c>
      <c r="J2329">
        <v>33820</v>
      </c>
      <c r="K2329" t="b">
        <f>TrafficData[[#This Row],[disposedChallan]]+TrafficData[[#This Row],[pendingChallan]]=TrafficData[[#This Row],[totalChallan]]</f>
        <v>1</v>
      </c>
      <c r="L2329" t="b">
        <f>TrafficData[[#This Row],[pendingAmount]]+TrafficData[[#This Row],[disposedAmount]]=TrafficData[[#This Row],[totalAmount]]</f>
        <v>1</v>
      </c>
      <c r="M2329" t="b">
        <f>TrafficData[[#This Row],[pendingCourt]]+TrafficData[[#This Row],[disposedCourt]]=TrafficData[[#This Row],[totalCourt]]</f>
        <v>1</v>
      </c>
      <c r="N2329" s="8" t="b">
        <f>AND(TrafficData[[#This Row],[disposedChallan]]&lt;=TrafficData[[#This Row],[totalChallan]],TrafficData[[#This Row],[pendingChallan]]&lt;=TrafficData[[#This Row],[totalChallan]])</f>
        <v>1</v>
      </c>
      <c r="O2329" s="8" t="b">
        <f>AND(TrafficData[[#This Row],[pendingAmount]]&lt;=TrafficData[[#This Row],[totalAmount]],TrafficData[[#This Row],[disposedAmount]]&lt;=TrafficData[[#This Row],[totalAmount]])</f>
        <v>1</v>
      </c>
      <c r="P2329" s="8" t="b">
        <f>AND(TrafficData[[#This Row],[pendingCourt]]&lt;=TrafficData[[#This Row],[totalCourt]],TrafficData[[#This Row],[disposedCourt]]&lt;=TrafficData[[#This Row],[totalCourt]])</f>
        <v>1</v>
      </c>
    </row>
    <row r="2330" spans="1:16">
      <c r="A2330" s="1">
        <v>44334</v>
      </c>
      <c r="B2330">
        <v>91361</v>
      </c>
      <c r="C2330">
        <v>36616</v>
      </c>
      <c r="D2330">
        <v>54745</v>
      </c>
      <c r="E2330">
        <v>53245760</v>
      </c>
      <c r="F2330">
        <v>45595625</v>
      </c>
      <c r="G2330">
        <v>98841385</v>
      </c>
      <c r="H2330">
        <v>23132</v>
      </c>
      <c r="I2330">
        <v>8226</v>
      </c>
      <c r="J2330">
        <v>31358</v>
      </c>
      <c r="K2330" t="b">
        <f>TrafficData[[#This Row],[disposedChallan]]+TrafficData[[#This Row],[pendingChallan]]=TrafficData[[#This Row],[totalChallan]]</f>
        <v>1</v>
      </c>
      <c r="L2330" t="b">
        <f>TrafficData[[#This Row],[pendingAmount]]+TrafficData[[#This Row],[disposedAmount]]=TrafficData[[#This Row],[totalAmount]]</f>
        <v>1</v>
      </c>
      <c r="M2330" t="b">
        <f>TrafficData[[#This Row],[pendingCourt]]+TrafficData[[#This Row],[disposedCourt]]=TrafficData[[#This Row],[totalCourt]]</f>
        <v>1</v>
      </c>
      <c r="N2330" s="8" t="b">
        <f>AND(TrafficData[[#This Row],[disposedChallan]]&lt;=TrafficData[[#This Row],[totalChallan]],TrafficData[[#This Row],[pendingChallan]]&lt;=TrafficData[[#This Row],[totalChallan]])</f>
        <v>1</v>
      </c>
      <c r="O2330" s="8" t="b">
        <f>AND(TrafficData[[#This Row],[pendingAmount]]&lt;=TrafficData[[#This Row],[totalAmount]],TrafficData[[#This Row],[disposedAmount]]&lt;=TrafficData[[#This Row],[totalAmount]])</f>
        <v>1</v>
      </c>
      <c r="P2330" s="8" t="b">
        <f>AND(TrafficData[[#This Row],[pendingCourt]]&lt;=TrafficData[[#This Row],[totalCourt]],TrafficData[[#This Row],[disposedCourt]]&lt;=TrafficData[[#This Row],[totalCourt]])</f>
        <v>1</v>
      </c>
    </row>
    <row r="2331" spans="1:16">
      <c r="A2331" s="1">
        <v>44335</v>
      </c>
      <c r="B2331">
        <v>76594</v>
      </c>
      <c r="C2331">
        <v>32599</v>
      </c>
      <c r="D2331">
        <v>43995</v>
      </c>
      <c r="E2331">
        <v>38276671</v>
      </c>
      <c r="F2331">
        <v>46053161</v>
      </c>
      <c r="G2331">
        <v>84329832</v>
      </c>
      <c r="H2331">
        <v>15237</v>
      </c>
      <c r="I2331">
        <v>6037</v>
      </c>
      <c r="J2331">
        <v>21274</v>
      </c>
      <c r="K2331" t="b">
        <f>TrafficData[[#This Row],[disposedChallan]]+TrafficData[[#This Row],[pendingChallan]]=TrafficData[[#This Row],[totalChallan]]</f>
        <v>1</v>
      </c>
      <c r="L2331" t="b">
        <f>TrafficData[[#This Row],[pendingAmount]]+TrafficData[[#This Row],[disposedAmount]]=TrafficData[[#This Row],[totalAmount]]</f>
        <v>1</v>
      </c>
      <c r="M2331" t="b">
        <f>TrafficData[[#This Row],[pendingCourt]]+TrafficData[[#This Row],[disposedCourt]]=TrafficData[[#This Row],[totalCourt]]</f>
        <v>1</v>
      </c>
      <c r="N2331" s="8" t="b">
        <f>AND(TrafficData[[#This Row],[disposedChallan]]&lt;=TrafficData[[#This Row],[totalChallan]],TrafficData[[#This Row],[pendingChallan]]&lt;=TrafficData[[#This Row],[totalChallan]])</f>
        <v>1</v>
      </c>
      <c r="O2331" s="8" t="b">
        <f>AND(TrafficData[[#This Row],[pendingAmount]]&lt;=TrafficData[[#This Row],[totalAmount]],TrafficData[[#This Row],[disposedAmount]]&lt;=TrafficData[[#This Row],[totalAmount]])</f>
        <v>1</v>
      </c>
      <c r="P2331" s="8" t="b">
        <f>AND(TrafficData[[#This Row],[pendingCourt]]&lt;=TrafficData[[#This Row],[totalCourt]],TrafficData[[#This Row],[disposedCourt]]&lt;=TrafficData[[#This Row],[totalCourt]])</f>
        <v>1</v>
      </c>
    </row>
    <row r="2332" spans="1:16">
      <c r="A2332" s="1">
        <v>44336</v>
      </c>
      <c r="B2332">
        <v>82852</v>
      </c>
      <c r="C2332">
        <v>35929</v>
      </c>
      <c r="D2332">
        <v>46923</v>
      </c>
      <c r="E2332">
        <v>45464415</v>
      </c>
      <c r="F2332">
        <v>47671391</v>
      </c>
      <c r="G2332">
        <v>93135806</v>
      </c>
      <c r="H2332">
        <v>19450</v>
      </c>
      <c r="I2332">
        <v>7516</v>
      </c>
      <c r="J2332">
        <v>26966</v>
      </c>
      <c r="K2332" t="b">
        <f>TrafficData[[#This Row],[disposedChallan]]+TrafficData[[#This Row],[pendingChallan]]=TrafficData[[#This Row],[totalChallan]]</f>
        <v>1</v>
      </c>
      <c r="L2332" t="b">
        <f>TrafficData[[#This Row],[pendingAmount]]+TrafficData[[#This Row],[disposedAmount]]=TrafficData[[#This Row],[totalAmount]]</f>
        <v>1</v>
      </c>
      <c r="M2332" t="b">
        <f>TrafficData[[#This Row],[pendingCourt]]+TrafficData[[#This Row],[disposedCourt]]=TrafficData[[#This Row],[totalCourt]]</f>
        <v>1</v>
      </c>
      <c r="N2332" s="8" t="b">
        <f>AND(TrafficData[[#This Row],[disposedChallan]]&lt;=TrafficData[[#This Row],[totalChallan]],TrafficData[[#This Row],[pendingChallan]]&lt;=TrafficData[[#This Row],[totalChallan]])</f>
        <v>1</v>
      </c>
      <c r="O2332" s="8" t="b">
        <f>AND(TrafficData[[#This Row],[pendingAmount]]&lt;=TrafficData[[#This Row],[totalAmount]],TrafficData[[#This Row],[disposedAmount]]&lt;=TrafficData[[#This Row],[totalAmount]])</f>
        <v>1</v>
      </c>
      <c r="P2332" s="8" t="b">
        <f>AND(TrafficData[[#This Row],[pendingCourt]]&lt;=TrafficData[[#This Row],[totalCourt]],TrafficData[[#This Row],[disposedCourt]]&lt;=TrafficData[[#This Row],[totalCourt]])</f>
        <v>1</v>
      </c>
    </row>
    <row r="2333" spans="1:16">
      <c r="A2333" s="1">
        <v>44337</v>
      </c>
      <c r="B2333">
        <v>90662</v>
      </c>
      <c r="C2333">
        <v>38375</v>
      </c>
      <c r="D2333">
        <v>52287</v>
      </c>
      <c r="E2333">
        <v>48976655</v>
      </c>
      <c r="F2333">
        <v>49485766</v>
      </c>
      <c r="G2333">
        <v>98462421</v>
      </c>
      <c r="H2333">
        <v>21600</v>
      </c>
      <c r="I2333">
        <v>7845</v>
      </c>
      <c r="J2333">
        <v>29445</v>
      </c>
      <c r="K2333" t="b">
        <f>TrafficData[[#This Row],[disposedChallan]]+TrafficData[[#This Row],[pendingChallan]]=TrafficData[[#This Row],[totalChallan]]</f>
        <v>1</v>
      </c>
      <c r="L2333" t="b">
        <f>TrafficData[[#This Row],[pendingAmount]]+TrafficData[[#This Row],[disposedAmount]]=TrafficData[[#This Row],[totalAmount]]</f>
        <v>1</v>
      </c>
      <c r="M2333" t="b">
        <f>TrafficData[[#This Row],[pendingCourt]]+TrafficData[[#This Row],[disposedCourt]]=TrafficData[[#This Row],[totalCourt]]</f>
        <v>1</v>
      </c>
      <c r="N2333" s="8" t="b">
        <f>AND(TrafficData[[#This Row],[disposedChallan]]&lt;=TrafficData[[#This Row],[totalChallan]],TrafficData[[#This Row],[pendingChallan]]&lt;=TrafficData[[#This Row],[totalChallan]])</f>
        <v>1</v>
      </c>
      <c r="O2333" s="8" t="b">
        <f>AND(TrafficData[[#This Row],[pendingAmount]]&lt;=TrafficData[[#This Row],[totalAmount]],TrafficData[[#This Row],[disposedAmount]]&lt;=TrafficData[[#This Row],[totalAmount]])</f>
        <v>1</v>
      </c>
      <c r="P2333" s="8" t="b">
        <f>AND(TrafficData[[#This Row],[pendingCourt]]&lt;=TrafficData[[#This Row],[totalCourt]],TrafficData[[#This Row],[disposedCourt]]&lt;=TrafficData[[#This Row],[totalCourt]])</f>
        <v>1</v>
      </c>
    </row>
    <row r="2334" spans="1:16">
      <c r="A2334" s="1">
        <v>44338</v>
      </c>
      <c r="B2334">
        <v>87235</v>
      </c>
      <c r="C2334">
        <v>36096</v>
      </c>
      <c r="D2334">
        <v>51139</v>
      </c>
      <c r="E2334">
        <v>48717425</v>
      </c>
      <c r="F2334">
        <v>56130300</v>
      </c>
      <c r="G2334">
        <v>104847725</v>
      </c>
      <c r="H2334">
        <v>21343</v>
      </c>
      <c r="I2334">
        <v>6654</v>
      </c>
      <c r="J2334">
        <v>27997</v>
      </c>
      <c r="K2334" t="b">
        <f>TrafficData[[#This Row],[disposedChallan]]+TrafficData[[#This Row],[pendingChallan]]=TrafficData[[#This Row],[totalChallan]]</f>
        <v>1</v>
      </c>
      <c r="L2334" t="b">
        <f>TrafficData[[#This Row],[pendingAmount]]+TrafficData[[#This Row],[disposedAmount]]=TrafficData[[#This Row],[totalAmount]]</f>
        <v>1</v>
      </c>
      <c r="M2334" t="b">
        <f>TrafficData[[#This Row],[pendingCourt]]+TrafficData[[#This Row],[disposedCourt]]=TrafficData[[#This Row],[totalCourt]]</f>
        <v>1</v>
      </c>
      <c r="N2334" s="8" t="b">
        <f>AND(TrafficData[[#This Row],[disposedChallan]]&lt;=TrafficData[[#This Row],[totalChallan]],TrafficData[[#This Row],[pendingChallan]]&lt;=TrafficData[[#This Row],[totalChallan]])</f>
        <v>1</v>
      </c>
      <c r="O2334" s="8" t="b">
        <f>AND(TrafficData[[#This Row],[pendingAmount]]&lt;=TrafficData[[#This Row],[totalAmount]],TrafficData[[#This Row],[disposedAmount]]&lt;=TrafficData[[#This Row],[totalAmount]])</f>
        <v>1</v>
      </c>
      <c r="P2334" s="8" t="b">
        <f>AND(TrafficData[[#This Row],[pendingCourt]]&lt;=TrafficData[[#This Row],[totalCourt]],TrafficData[[#This Row],[disposedCourt]]&lt;=TrafficData[[#This Row],[totalCourt]])</f>
        <v>1</v>
      </c>
    </row>
    <row r="2335" spans="1:16">
      <c r="A2335" s="1">
        <v>44339</v>
      </c>
      <c r="B2335">
        <v>76138</v>
      </c>
      <c r="C2335">
        <v>31717</v>
      </c>
      <c r="D2335">
        <v>44421</v>
      </c>
      <c r="E2335">
        <v>48823160</v>
      </c>
      <c r="F2335">
        <v>39376748</v>
      </c>
      <c r="G2335">
        <v>88199908</v>
      </c>
      <c r="H2335">
        <v>23204</v>
      </c>
      <c r="I2335">
        <v>7754</v>
      </c>
      <c r="J2335">
        <v>30958</v>
      </c>
      <c r="K2335" t="b">
        <f>TrafficData[[#This Row],[disposedChallan]]+TrafficData[[#This Row],[pendingChallan]]=TrafficData[[#This Row],[totalChallan]]</f>
        <v>1</v>
      </c>
      <c r="L2335" t="b">
        <f>TrafficData[[#This Row],[pendingAmount]]+TrafficData[[#This Row],[disposedAmount]]=TrafficData[[#This Row],[totalAmount]]</f>
        <v>1</v>
      </c>
      <c r="M2335" t="b">
        <f>TrafficData[[#This Row],[pendingCourt]]+TrafficData[[#This Row],[disposedCourt]]=TrafficData[[#This Row],[totalCourt]]</f>
        <v>1</v>
      </c>
      <c r="N2335" s="8" t="b">
        <f>AND(TrafficData[[#This Row],[disposedChallan]]&lt;=TrafficData[[#This Row],[totalChallan]],TrafficData[[#This Row],[pendingChallan]]&lt;=TrafficData[[#This Row],[totalChallan]])</f>
        <v>1</v>
      </c>
      <c r="O2335" s="8" t="b">
        <f>AND(TrafficData[[#This Row],[pendingAmount]]&lt;=TrafficData[[#This Row],[totalAmount]],TrafficData[[#This Row],[disposedAmount]]&lt;=TrafficData[[#This Row],[totalAmount]])</f>
        <v>1</v>
      </c>
      <c r="P2335" s="8" t="b">
        <f>AND(TrafficData[[#This Row],[pendingCourt]]&lt;=TrafficData[[#This Row],[totalCourt]],TrafficData[[#This Row],[disposedCourt]]&lt;=TrafficData[[#This Row],[totalCourt]])</f>
        <v>1</v>
      </c>
    </row>
    <row r="2336" spans="1:16">
      <c r="A2336" s="1">
        <v>44340</v>
      </c>
      <c r="B2336">
        <v>71609</v>
      </c>
      <c r="C2336">
        <v>33021</v>
      </c>
      <c r="D2336">
        <v>38588</v>
      </c>
      <c r="E2336">
        <v>45408207</v>
      </c>
      <c r="F2336">
        <v>47639909</v>
      </c>
      <c r="G2336">
        <v>93048116</v>
      </c>
      <c r="H2336">
        <v>21741</v>
      </c>
      <c r="I2336">
        <v>7834</v>
      </c>
      <c r="J2336">
        <v>29575</v>
      </c>
      <c r="K2336" t="b">
        <f>TrafficData[[#This Row],[disposedChallan]]+TrafficData[[#This Row],[pendingChallan]]=TrafficData[[#This Row],[totalChallan]]</f>
        <v>1</v>
      </c>
      <c r="L2336" t="b">
        <f>TrafficData[[#This Row],[pendingAmount]]+TrafficData[[#This Row],[disposedAmount]]=TrafficData[[#This Row],[totalAmount]]</f>
        <v>1</v>
      </c>
      <c r="M2336" t="b">
        <f>TrafficData[[#This Row],[pendingCourt]]+TrafficData[[#This Row],[disposedCourt]]=TrafficData[[#This Row],[totalCourt]]</f>
        <v>1</v>
      </c>
      <c r="N2336" s="8" t="b">
        <f>AND(TrafficData[[#This Row],[disposedChallan]]&lt;=TrafficData[[#This Row],[totalChallan]],TrafficData[[#This Row],[pendingChallan]]&lt;=TrafficData[[#This Row],[totalChallan]])</f>
        <v>1</v>
      </c>
      <c r="O2336" s="8" t="b">
        <f>AND(TrafficData[[#This Row],[pendingAmount]]&lt;=TrafficData[[#This Row],[totalAmount]],TrafficData[[#This Row],[disposedAmount]]&lt;=TrafficData[[#This Row],[totalAmount]])</f>
        <v>1</v>
      </c>
      <c r="P2336" s="8" t="b">
        <f>AND(TrafficData[[#This Row],[pendingCourt]]&lt;=TrafficData[[#This Row],[totalCourt]],TrafficData[[#This Row],[disposedCourt]]&lt;=TrafficData[[#This Row],[totalCourt]])</f>
        <v>1</v>
      </c>
    </row>
    <row r="2337" spans="1:16">
      <c r="A2337" s="1">
        <v>44341</v>
      </c>
      <c r="B2337">
        <v>72102</v>
      </c>
      <c r="C2337">
        <v>33229</v>
      </c>
      <c r="D2337">
        <v>38873</v>
      </c>
      <c r="E2337">
        <v>46691391</v>
      </c>
      <c r="F2337">
        <v>48145736</v>
      </c>
      <c r="G2337">
        <v>94837127</v>
      </c>
      <c r="H2337">
        <v>21649</v>
      </c>
      <c r="I2337">
        <v>7709</v>
      </c>
      <c r="J2337">
        <v>29358</v>
      </c>
      <c r="K2337" t="b">
        <f>TrafficData[[#This Row],[disposedChallan]]+TrafficData[[#This Row],[pendingChallan]]=TrafficData[[#This Row],[totalChallan]]</f>
        <v>1</v>
      </c>
      <c r="L2337" t="b">
        <f>TrafficData[[#This Row],[pendingAmount]]+TrafficData[[#This Row],[disposedAmount]]=TrafficData[[#This Row],[totalAmount]]</f>
        <v>1</v>
      </c>
      <c r="M2337" t="b">
        <f>TrafficData[[#This Row],[pendingCourt]]+TrafficData[[#This Row],[disposedCourt]]=TrafficData[[#This Row],[totalCourt]]</f>
        <v>1</v>
      </c>
      <c r="N2337" s="8" t="b">
        <f>AND(TrafficData[[#This Row],[disposedChallan]]&lt;=TrafficData[[#This Row],[totalChallan]],TrafficData[[#This Row],[pendingChallan]]&lt;=TrafficData[[#This Row],[totalChallan]])</f>
        <v>1</v>
      </c>
      <c r="O2337" s="8" t="b">
        <f>AND(TrafficData[[#This Row],[pendingAmount]]&lt;=TrafficData[[#This Row],[totalAmount]],TrafficData[[#This Row],[disposedAmount]]&lt;=TrafficData[[#This Row],[totalAmount]])</f>
        <v>1</v>
      </c>
      <c r="P2337" s="8" t="b">
        <f>AND(TrafficData[[#This Row],[pendingCourt]]&lt;=TrafficData[[#This Row],[totalCourt]],TrafficData[[#This Row],[disposedCourt]]&lt;=TrafficData[[#This Row],[totalCourt]])</f>
        <v>1</v>
      </c>
    </row>
    <row r="2338" spans="1:16">
      <c r="A2338" s="1">
        <v>44342</v>
      </c>
      <c r="B2338">
        <v>74320</v>
      </c>
      <c r="C2338">
        <v>33963</v>
      </c>
      <c r="D2338">
        <v>40357</v>
      </c>
      <c r="E2338">
        <v>47484041</v>
      </c>
      <c r="F2338">
        <v>47442609</v>
      </c>
      <c r="G2338">
        <v>94926650</v>
      </c>
      <c r="H2338">
        <v>22846</v>
      </c>
      <c r="I2338">
        <v>8348</v>
      </c>
      <c r="J2338">
        <v>31194</v>
      </c>
      <c r="K2338" t="b">
        <f>TrafficData[[#This Row],[disposedChallan]]+TrafficData[[#This Row],[pendingChallan]]=TrafficData[[#This Row],[totalChallan]]</f>
        <v>1</v>
      </c>
      <c r="L2338" t="b">
        <f>TrafficData[[#This Row],[pendingAmount]]+TrafficData[[#This Row],[disposedAmount]]=TrafficData[[#This Row],[totalAmount]]</f>
        <v>1</v>
      </c>
      <c r="M2338" t="b">
        <f>TrafficData[[#This Row],[pendingCourt]]+TrafficData[[#This Row],[disposedCourt]]=TrafficData[[#This Row],[totalCourt]]</f>
        <v>1</v>
      </c>
      <c r="N2338" s="8" t="b">
        <f>AND(TrafficData[[#This Row],[disposedChallan]]&lt;=TrafficData[[#This Row],[totalChallan]],TrafficData[[#This Row],[pendingChallan]]&lt;=TrafficData[[#This Row],[totalChallan]])</f>
        <v>1</v>
      </c>
      <c r="O2338" s="8" t="b">
        <f>AND(TrafficData[[#This Row],[pendingAmount]]&lt;=TrafficData[[#This Row],[totalAmount]],TrafficData[[#This Row],[disposedAmount]]&lt;=TrafficData[[#This Row],[totalAmount]])</f>
        <v>1</v>
      </c>
      <c r="P2338" s="8" t="b">
        <f>AND(TrafficData[[#This Row],[pendingCourt]]&lt;=TrafficData[[#This Row],[totalCourt]],TrafficData[[#This Row],[disposedCourt]]&lt;=TrafficData[[#This Row],[totalCourt]])</f>
        <v>1</v>
      </c>
    </row>
    <row r="2339" spans="1:16">
      <c r="A2339" s="1">
        <v>44343</v>
      </c>
      <c r="B2339">
        <v>75982</v>
      </c>
      <c r="C2339">
        <v>34149</v>
      </c>
      <c r="D2339">
        <v>41833</v>
      </c>
      <c r="E2339">
        <v>47996402</v>
      </c>
      <c r="F2339">
        <v>52671925</v>
      </c>
      <c r="G2339">
        <v>100668327</v>
      </c>
      <c r="H2339">
        <v>20353</v>
      </c>
      <c r="I2339">
        <v>7429</v>
      </c>
      <c r="J2339">
        <v>27782</v>
      </c>
      <c r="K2339" t="b">
        <f>TrafficData[[#This Row],[disposedChallan]]+TrafficData[[#This Row],[pendingChallan]]=TrafficData[[#This Row],[totalChallan]]</f>
        <v>1</v>
      </c>
      <c r="L2339" t="b">
        <f>TrafficData[[#This Row],[pendingAmount]]+TrafficData[[#This Row],[disposedAmount]]=TrafficData[[#This Row],[totalAmount]]</f>
        <v>1</v>
      </c>
      <c r="M2339" t="b">
        <f>TrafficData[[#This Row],[pendingCourt]]+TrafficData[[#This Row],[disposedCourt]]=TrafficData[[#This Row],[totalCourt]]</f>
        <v>1</v>
      </c>
      <c r="N2339" s="8" t="b">
        <f>AND(TrafficData[[#This Row],[disposedChallan]]&lt;=TrafficData[[#This Row],[totalChallan]],TrafficData[[#This Row],[pendingChallan]]&lt;=TrafficData[[#This Row],[totalChallan]])</f>
        <v>1</v>
      </c>
      <c r="O2339" s="8" t="b">
        <f>AND(TrafficData[[#This Row],[pendingAmount]]&lt;=TrafficData[[#This Row],[totalAmount]],TrafficData[[#This Row],[disposedAmount]]&lt;=TrafficData[[#This Row],[totalAmount]])</f>
        <v>1</v>
      </c>
      <c r="P2339" s="8" t="b">
        <f>AND(TrafficData[[#This Row],[pendingCourt]]&lt;=TrafficData[[#This Row],[totalCourt]],TrafficData[[#This Row],[disposedCourt]]&lt;=TrafficData[[#This Row],[totalCourt]])</f>
        <v>1</v>
      </c>
    </row>
    <row r="2340" spans="1:16">
      <c r="A2340" s="1">
        <v>44344</v>
      </c>
      <c r="B2340">
        <v>77086</v>
      </c>
      <c r="C2340">
        <v>35781</v>
      </c>
      <c r="D2340">
        <v>41305</v>
      </c>
      <c r="E2340">
        <v>45540175</v>
      </c>
      <c r="F2340">
        <v>47582114</v>
      </c>
      <c r="G2340">
        <v>93122289</v>
      </c>
      <c r="H2340">
        <v>19522</v>
      </c>
      <c r="I2340">
        <v>8004</v>
      </c>
      <c r="J2340">
        <v>27526</v>
      </c>
      <c r="K2340" t="b">
        <f>TrafficData[[#This Row],[disposedChallan]]+TrafficData[[#This Row],[pendingChallan]]=TrafficData[[#This Row],[totalChallan]]</f>
        <v>1</v>
      </c>
      <c r="L2340" t="b">
        <f>TrafficData[[#This Row],[pendingAmount]]+TrafficData[[#This Row],[disposedAmount]]=TrafficData[[#This Row],[totalAmount]]</f>
        <v>1</v>
      </c>
      <c r="M2340" t="b">
        <f>TrafficData[[#This Row],[pendingCourt]]+TrafficData[[#This Row],[disposedCourt]]=TrafficData[[#This Row],[totalCourt]]</f>
        <v>1</v>
      </c>
      <c r="N2340" s="8" t="b">
        <f>AND(TrafficData[[#This Row],[disposedChallan]]&lt;=TrafficData[[#This Row],[totalChallan]],TrafficData[[#This Row],[pendingChallan]]&lt;=TrafficData[[#This Row],[totalChallan]])</f>
        <v>1</v>
      </c>
      <c r="O2340" s="8" t="b">
        <f>AND(TrafficData[[#This Row],[pendingAmount]]&lt;=TrafficData[[#This Row],[totalAmount]],TrafficData[[#This Row],[disposedAmount]]&lt;=TrafficData[[#This Row],[totalAmount]])</f>
        <v>1</v>
      </c>
      <c r="P2340" s="8" t="b">
        <f>AND(TrafficData[[#This Row],[pendingCourt]]&lt;=TrafficData[[#This Row],[totalCourt]],TrafficData[[#This Row],[disposedCourt]]&lt;=TrafficData[[#This Row],[totalCourt]])</f>
        <v>1</v>
      </c>
    </row>
    <row r="2341" spans="1:16">
      <c r="A2341" s="1">
        <v>44345</v>
      </c>
      <c r="B2341">
        <v>82793</v>
      </c>
      <c r="C2341">
        <v>36297</v>
      </c>
      <c r="D2341">
        <v>46496</v>
      </c>
      <c r="E2341">
        <v>51229365</v>
      </c>
      <c r="F2341">
        <v>52580754</v>
      </c>
      <c r="G2341">
        <v>103810119</v>
      </c>
      <c r="H2341">
        <v>24174</v>
      </c>
      <c r="I2341">
        <v>8910</v>
      </c>
      <c r="J2341">
        <v>33084</v>
      </c>
      <c r="K2341" t="b">
        <f>TrafficData[[#This Row],[disposedChallan]]+TrafficData[[#This Row],[pendingChallan]]=TrafficData[[#This Row],[totalChallan]]</f>
        <v>1</v>
      </c>
      <c r="L2341" t="b">
        <f>TrafficData[[#This Row],[pendingAmount]]+TrafficData[[#This Row],[disposedAmount]]=TrafficData[[#This Row],[totalAmount]]</f>
        <v>1</v>
      </c>
      <c r="M2341" t="b">
        <f>TrafficData[[#This Row],[pendingCourt]]+TrafficData[[#This Row],[disposedCourt]]=TrafficData[[#This Row],[totalCourt]]</f>
        <v>1</v>
      </c>
      <c r="N2341" s="8" t="b">
        <f>AND(TrafficData[[#This Row],[disposedChallan]]&lt;=TrafficData[[#This Row],[totalChallan]],TrafficData[[#This Row],[pendingChallan]]&lt;=TrafficData[[#This Row],[totalChallan]])</f>
        <v>1</v>
      </c>
      <c r="O2341" s="8" t="b">
        <f>AND(TrafficData[[#This Row],[pendingAmount]]&lt;=TrafficData[[#This Row],[totalAmount]],TrafficData[[#This Row],[disposedAmount]]&lt;=TrafficData[[#This Row],[totalAmount]])</f>
        <v>1</v>
      </c>
      <c r="P2341" s="8" t="b">
        <f>AND(TrafficData[[#This Row],[pendingCourt]]&lt;=TrafficData[[#This Row],[totalCourt]],TrafficData[[#This Row],[disposedCourt]]&lt;=TrafficData[[#This Row],[totalCourt]])</f>
        <v>1</v>
      </c>
    </row>
    <row r="2342" spans="1:16">
      <c r="A2342" s="1">
        <v>44346</v>
      </c>
      <c r="B2342">
        <v>76527</v>
      </c>
      <c r="C2342">
        <v>32266</v>
      </c>
      <c r="D2342">
        <v>44261</v>
      </c>
      <c r="E2342">
        <v>48246505</v>
      </c>
      <c r="F2342">
        <v>46163707</v>
      </c>
      <c r="G2342">
        <v>94410212</v>
      </c>
      <c r="H2342">
        <v>24502</v>
      </c>
      <c r="I2342">
        <v>8536</v>
      </c>
      <c r="J2342">
        <v>33038</v>
      </c>
      <c r="K2342" t="b">
        <f>TrafficData[[#This Row],[disposedChallan]]+TrafficData[[#This Row],[pendingChallan]]=TrafficData[[#This Row],[totalChallan]]</f>
        <v>1</v>
      </c>
      <c r="L2342" t="b">
        <f>TrafficData[[#This Row],[pendingAmount]]+TrafficData[[#This Row],[disposedAmount]]=TrafficData[[#This Row],[totalAmount]]</f>
        <v>1</v>
      </c>
      <c r="M2342" t="b">
        <f>TrafficData[[#This Row],[pendingCourt]]+TrafficData[[#This Row],[disposedCourt]]=TrafficData[[#This Row],[totalCourt]]</f>
        <v>1</v>
      </c>
      <c r="N2342" s="8" t="b">
        <f>AND(TrafficData[[#This Row],[disposedChallan]]&lt;=TrafficData[[#This Row],[totalChallan]],TrafficData[[#This Row],[pendingChallan]]&lt;=TrafficData[[#This Row],[totalChallan]])</f>
        <v>1</v>
      </c>
      <c r="O2342" s="8" t="b">
        <f>AND(TrafficData[[#This Row],[pendingAmount]]&lt;=TrafficData[[#This Row],[totalAmount]],TrafficData[[#This Row],[disposedAmount]]&lt;=TrafficData[[#This Row],[totalAmount]])</f>
        <v>1</v>
      </c>
      <c r="P2342" s="8" t="b">
        <f>AND(TrafficData[[#This Row],[pendingCourt]]&lt;=TrafficData[[#This Row],[totalCourt]],TrafficData[[#This Row],[disposedCourt]]&lt;=TrafficData[[#This Row],[totalCourt]])</f>
        <v>1</v>
      </c>
    </row>
    <row r="2343" spans="1:16">
      <c r="A2343" s="1">
        <v>44347</v>
      </c>
      <c r="B2343">
        <v>88131</v>
      </c>
      <c r="C2343">
        <v>37982</v>
      </c>
      <c r="D2343">
        <v>50149</v>
      </c>
      <c r="E2343">
        <v>54773136</v>
      </c>
      <c r="F2343">
        <v>47444512</v>
      </c>
      <c r="G2343">
        <v>102217648</v>
      </c>
      <c r="H2343">
        <v>26676</v>
      </c>
      <c r="I2343">
        <v>9057</v>
      </c>
      <c r="J2343">
        <v>35733</v>
      </c>
      <c r="K2343" t="b">
        <f>TrafficData[[#This Row],[disposedChallan]]+TrafficData[[#This Row],[pendingChallan]]=TrafficData[[#This Row],[totalChallan]]</f>
        <v>1</v>
      </c>
      <c r="L2343" t="b">
        <f>TrafficData[[#This Row],[pendingAmount]]+TrafficData[[#This Row],[disposedAmount]]=TrafficData[[#This Row],[totalAmount]]</f>
        <v>1</v>
      </c>
      <c r="M2343" t="b">
        <f>TrafficData[[#This Row],[pendingCourt]]+TrafficData[[#This Row],[disposedCourt]]=TrafficData[[#This Row],[totalCourt]]</f>
        <v>1</v>
      </c>
      <c r="N2343" s="8" t="b">
        <f>AND(TrafficData[[#This Row],[disposedChallan]]&lt;=TrafficData[[#This Row],[totalChallan]],TrafficData[[#This Row],[pendingChallan]]&lt;=TrafficData[[#This Row],[totalChallan]])</f>
        <v>1</v>
      </c>
      <c r="O2343" s="8" t="b">
        <f>AND(TrafficData[[#This Row],[pendingAmount]]&lt;=TrafficData[[#This Row],[totalAmount]],TrafficData[[#This Row],[disposedAmount]]&lt;=TrafficData[[#This Row],[totalAmount]])</f>
        <v>1</v>
      </c>
      <c r="P2343" s="8" t="b">
        <f>AND(TrafficData[[#This Row],[pendingCourt]]&lt;=TrafficData[[#This Row],[totalCourt]],TrafficData[[#This Row],[disposedCourt]]&lt;=TrafficData[[#This Row],[totalCourt]])</f>
        <v>1</v>
      </c>
    </row>
    <row r="2344" spans="1:16">
      <c r="A2344" s="1">
        <v>44348</v>
      </c>
      <c r="B2344">
        <v>90279</v>
      </c>
      <c r="C2344">
        <v>40181</v>
      </c>
      <c r="D2344">
        <v>50098</v>
      </c>
      <c r="E2344">
        <v>53000676</v>
      </c>
      <c r="F2344">
        <v>55396625</v>
      </c>
      <c r="G2344">
        <v>108397301</v>
      </c>
      <c r="H2344">
        <v>26462</v>
      </c>
      <c r="I2344">
        <v>9642</v>
      </c>
      <c r="J2344">
        <v>36104</v>
      </c>
      <c r="K2344" t="b">
        <f>TrafficData[[#This Row],[disposedChallan]]+TrafficData[[#This Row],[pendingChallan]]=TrafficData[[#This Row],[totalChallan]]</f>
        <v>1</v>
      </c>
      <c r="L2344" t="b">
        <f>TrafficData[[#This Row],[pendingAmount]]+TrafficData[[#This Row],[disposedAmount]]=TrafficData[[#This Row],[totalAmount]]</f>
        <v>1</v>
      </c>
      <c r="M2344" t="b">
        <f>TrafficData[[#This Row],[pendingCourt]]+TrafficData[[#This Row],[disposedCourt]]=TrafficData[[#This Row],[totalCourt]]</f>
        <v>1</v>
      </c>
      <c r="N2344" s="8" t="b">
        <f>AND(TrafficData[[#This Row],[disposedChallan]]&lt;=TrafficData[[#This Row],[totalChallan]],TrafficData[[#This Row],[pendingChallan]]&lt;=TrafficData[[#This Row],[totalChallan]])</f>
        <v>1</v>
      </c>
      <c r="O2344" s="8" t="b">
        <f>AND(TrafficData[[#This Row],[pendingAmount]]&lt;=TrafficData[[#This Row],[totalAmount]],TrafficData[[#This Row],[disposedAmount]]&lt;=TrafficData[[#This Row],[totalAmount]])</f>
        <v>1</v>
      </c>
      <c r="P2344" s="8" t="b">
        <f>AND(TrafficData[[#This Row],[pendingCourt]]&lt;=TrafficData[[#This Row],[totalCourt]],TrafficData[[#This Row],[disposedCourt]]&lt;=TrafficData[[#This Row],[totalCourt]])</f>
        <v>1</v>
      </c>
    </row>
    <row r="2345" spans="1:16">
      <c r="A2345" s="1">
        <v>44349</v>
      </c>
      <c r="B2345">
        <v>95396</v>
      </c>
      <c r="C2345">
        <v>42297</v>
      </c>
      <c r="D2345">
        <v>53099</v>
      </c>
      <c r="E2345">
        <v>60653582</v>
      </c>
      <c r="F2345">
        <v>69280726</v>
      </c>
      <c r="G2345">
        <v>129934308</v>
      </c>
      <c r="H2345">
        <v>29067</v>
      </c>
      <c r="I2345">
        <v>10441</v>
      </c>
      <c r="J2345">
        <v>39508</v>
      </c>
      <c r="K2345" t="b">
        <f>TrafficData[[#This Row],[disposedChallan]]+TrafficData[[#This Row],[pendingChallan]]=TrafficData[[#This Row],[totalChallan]]</f>
        <v>1</v>
      </c>
      <c r="L2345" t="b">
        <f>TrafficData[[#This Row],[pendingAmount]]+TrafficData[[#This Row],[disposedAmount]]=TrafficData[[#This Row],[totalAmount]]</f>
        <v>1</v>
      </c>
      <c r="M2345" t="b">
        <f>TrafficData[[#This Row],[pendingCourt]]+TrafficData[[#This Row],[disposedCourt]]=TrafficData[[#This Row],[totalCourt]]</f>
        <v>1</v>
      </c>
      <c r="N2345" s="8" t="b">
        <f>AND(TrafficData[[#This Row],[disposedChallan]]&lt;=TrafficData[[#This Row],[totalChallan]],TrafficData[[#This Row],[pendingChallan]]&lt;=TrafficData[[#This Row],[totalChallan]])</f>
        <v>1</v>
      </c>
      <c r="O2345" s="8" t="b">
        <f>AND(TrafficData[[#This Row],[pendingAmount]]&lt;=TrafficData[[#This Row],[totalAmount]],TrafficData[[#This Row],[disposedAmount]]&lt;=TrafficData[[#This Row],[totalAmount]])</f>
        <v>1</v>
      </c>
      <c r="P2345" s="8" t="b">
        <f>AND(TrafficData[[#This Row],[pendingCourt]]&lt;=TrafficData[[#This Row],[totalCourt]],TrafficData[[#This Row],[disposedCourt]]&lt;=TrafficData[[#This Row],[totalCourt]])</f>
        <v>1</v>
      </c>
    </row>
    <row r="2346" spans="1:16">
      <c r="A2346" s="1">
        <v>44350</v>
      </c>
      <c r="B2346">
        <v>97124</v>
      </c>
      <c r="C2346">
        <v>42721</v>
      </c>
      <c r="D2346">
        <v>54403</v>
      </c>
      <c r="E2346">
        <v>59052269</v>
      </c>
      <c r="F2346">
        <v>65243810</v>
      </c>
      <c r="G2346">
        <v>124296079</v>
      </c>
      <c r="H2346">
        <v>28484</v>
      </c>
      <c r="I2346">
        <v>10103</v>
      </c>
      <c r="J2346">
        <v>38587</v>
      </c>
      <c r="K2346" t="b">
        <f>TrafficData[[#This Row],[disposedChallan]]+TrafficData[[#This Row],[pendingChallan]]=TrafficData[[#This Row],[totalChallan]]</f>
        <v>1</v>
      </c>
      <c r="L2346" t="b">
        <f>TrafficData[[#This Row],[pendingAmount]]+TrafficData[[#This Row],[disposedAmount]]=TrafficData[[#This Row],[totalAmount]]</f>
        <v>1</v>
      </c>
      <c r="M2346" t="b">
        <f>TrafficData[[#This Row],[pendingCourt]]+TrafficData[[#This Row],[disposedCourt]]=TrafficData[[#This Row],[totalCourt]]</f>
        <v>1</v>
      </c>
      <c r="N2346" s="8" t="b">
        <f>AND(TrafficData[[#This Row],[disposedChallan]]&lt;=TrafficData[[#This Row],[totalChallan]],TrafficData[[#This Row],[pendingChallan]]&lt;=TrafficData[[#This Row],[totalChallan]])</f>
        <v>1</v>
      </c>
      <c r="O2346" s="8" t="b">
        <f>AND(TrafficData[[#This Row],[pendingAmount]]&lt;=TrafficData[[#This Row],[totalAmount]],TrafficData[[#This Row],[disposedAmount]]&lt;=TrafficData[[#This Row],[totalAmount]])</f>
        <v>1</v>
      </c>
      <c r="P2346" s="8" t="b">
        <f>AND(TrafficData[[#This Row],[pendingCourt]]&lt;=TrafficData[[#This Row],[totalCourt]],TrafficData[[#This Row],[disposedCourt]]&lt;=TrafficData[[#This Row],[totalCourt]])</f>
        <v>1</v>
      </c>
    </row>
    <row r="2347" spans="1:16">
      <c r="A2347" s="1">
        <v>44351</v>
      </c>
      <c r="B2347">
        <v>94741</v>
      </c>
      <c r="C2347">
        <v>42170</v>
      </c>
      <c r="D2347">
        <v>52571</v>
      </c>
      <c r="E2347">
        <v>54892447</v>
      </c>
      <c r="F2347">
        <v>63150513</v>
      </c>
      <c r="G2347">
        <v>118042960</v>
      </c>
      <c r="H2347">
        <v>27131</v>
      </c>
      <c r="I2347">
        <v>10252</v>
      </c>
      <c r="J2347">
        <v>37383</v>
      </c>
      <c r="K2347" t="b">
        <f>TrafficData[[#This Row],[disposedChallan]]+TrafficData[[#This Row],[pendingChallan]]=TrafficData[[#This Row],[totalChallan]]</f>
        <v>1</v>
      </c>
      <c r="L2347" t="b">
        <f>TrafficData[[#This Row],[pendingAmount]]+TrafficData[[#This Row],[disposedAmount]]=TrafficData[[#This Row],[totalAmount]]</f>
        <v>1</v>
      </c>
      <c r="M2347" t="b">
        <f>TrafficData[[#This Row],[pendingCourt]]+TrafficData[[#This Row],[disposedCourt]]=TrafficData[[#This Row],[totalCourt]]</f>
        <v>1</v>
      </c>
      <c r="N2347" s="8" t="b">
        <f>AND(TrafficData[[#This Row],[disposedChallan]]&lt;=TrafficData[[#This Row],[totalChallan]],TrafficData[[#This Row],[pendingChallan]]&lt;=TrafficData[[#This Row],[totalChallan]])</f>
        <v>1</v>
      </c>
      <c r="O2347" s="8" t="b">
        <f>AND(TrafficData[[#This Row],[pendingAmount]]&lt;=TrafficData[[#This Row],[totalAmount]],TrafficData[[#This Row],[disposedAmount]]&lt;=TrafficData[[#This Row],[totalAmount]])</f>
        <v>1</v>
      </c>
      <c r="P2347" s="8" t="b">
        <f>AND(TrafficData[[#This Row],[pendingCourt]]&lt;=TrafficData[[#This Row],[totalCourt]],TrafficData[[#This Row],[disposedCourt]]&lt;=TrafficData[[#This Row],[totalCourt]])</f>
        <v>1</v>
      </c>
    </row>
    <row r="2348" spans="1:16">
      <c r="A2348" s="1">
        <v>44352</v>
      </c>
      <c r="B2348">
        <v>89741</v>
      </c>
      <c r="C2348">
        <v>40128</v>
      </c>
      <c r="D2348">
        <v>49613</v>
      </c>
      <c r="E2348">
        <v>52310412</v>
      </c>
      <c r="F2348">
        <v>61048268</v>
      </c>
      <c r="G2348">
        <v>113358680</v>
      </c>
      <c r="H2348">
        <v>25843</v>
      </c>
      <c r="I2348">
        <v>9936</v>
      </c>
      <c r="J2348">
        <v>35779</v>
      </c>
      <c r="K2348" t="b">
        <f>TrafficData[[#This Row],[disposedChallan]]+TrafficData[[#This Row],[pendingChallan]]=TrafficData[[#This Row],[totalChallan]]</f>
        <v>1</v>
      </c>
      <c r="L2348" t="b">
        <f>TrafficData[[#This Row],[pendingAmount]]+TrafficData[[#This Row],[disposedAmount]]=TrafficData[[#This Row],[totalAmount]]</f>
        <v>1</v>
      </c>
      <c r="M2348" t="b">
        <f>TrafficData[[#This Row],[pendingCourt]]+TrafficData[[#This Row],[disposedCourt]]=TrafficData[[#This Row],[totalCourt]]</f>
        <v>1</v>
      </c>
      <c r="N2348" s="8" t="b">
        <f>AND(TrafficData[[#This Row],[disposedChallan]]&lt;=TrafficData[[#This Row],[totalChallan]],TrafficData[[#This Row],[pendingChallan]]&lt;=TrafficData[[#This Row],[totalChallan]])</f>
        <v>1</v>
      </c>
      <c r="O2348" s="8" t="b">
        <f>AND(TrafficData[[#This Row],[pendingAmount]]&lt;=TrafficData[[#This Row],[totalAmount]],TrafficData[[#This Row],[disposedAmount]]&lt;=TrafficData[[#This Row],[totalAmount]])</f>
        <v>1</v>
      </c>
      <c r="P2348" s="8" t="b">
        <f>AND(TrafficData[[#This Row],[pendingCourt]]&lt;=TrafficData[[#This Row],[totalCourt]],TrafficData[[#This Row],[disposedCourt]]&lt;=TrafficData[[#This Row],[totalCourt]])</f>
        <v>1</v>
      </c>
    </row>
    <row r="2349" spans="1:16">
      <c r="A2349" s="1">
        <v>44353</v>
      </c>
      <c r="B2349">
        <v>81603</v>
      </c>
      <c r="C2349">
        <v>35194</v>
      </c>
      <c r="D2349">
        <v>46409</v>
      </c>
      <c r="E2349">
        <v>47631431</v>
      </c>
      <c r="F2349">
        <v>45185314</v>
      </c>
      <c r="G2349">
        <v>92816745</v>
      </c>
      <c r="H2349">
        <v>24380</v>
      </c>
      <c r="I2349">
        <v>9030</v>
      </c>
      <c r="J2349">
        <v>33410</v>
      </c>
      <c r="K2349" t="b">
        <f>TrafficData[[#This Row],[disposedChallan]]+TrafficData[[#This Row],[pendingChallan]]=TrafficData[[#This Row],[totalChallan]]</f>
        <v>1</v>
      </c>
      <c r="L2349" t="b">
        <f>TrafficData[[#This Row],[pendingAmount]]+TrafficData[[#This Row],[disposedAmount]]=TrafficData[[#This Row],[totalAmount]]</f>
        <v>1</v>
      </c>
      <c r="M2349" t="b">
        <f>TrafficData[[#This Row],[pendingCourt]]+TrafficData[[#This Row],[disposedCourt]]=TrafficData[[#This Row],[totalCourt]]</f>
        <v>1</v>
      </c>
      <c r="N2349" s="8" t="b">
        <f>AND(TrafficData[[#This Row],[disposedChallan]]&lt;=TrafficData[[#This Row],[totalChallan]],TrafficData[[#This Row],[pendingChallan]]&lt;=TrafficData[[#This Row],[totalChallan]])</f>
        <v>1</v>
      </c>
      <c r="O2349" s="8" t="b">
        <f>AND(TrafficData[[#This Row],[pendingAmount]]&lt;=TrafficData[[#This Row],[totalAmount]],TrafficData[[#This Row],[disposedAmount]]&lt;=TrafficData[[#This Row],[totalAmount]])</f>
        <v>1</v>
      </c>
      <c r="P2349" s="8" t="b">
        <f>AND(TrafficData[[#This Row],[pendingCourt]]&lt;=TrafficData[[#This Row],[totalCourt]],TrafficData[[#This Row],[disposedCourt]]&lt;=TrafficData[[#This Row],[totalCourt]])</f>
        <v>1</v>
      </c>
    </row>
    <row r="2350" spans="1:16">
      <c r="A2350" s="1">
        <v>44354</v>
      </c>
      <c r="B2350">
        <v>104086</v>
      </c>
      <c r="C2350">
        <v>46241</v>
      </c>
      <c r="D2350">
        <v>57845</v>
      </c>
      <c r="E2350">
        <v>57493241</v>
      </c>
      <c r="F2350">
        <v>61437211</v>
      </c>
      <c r="G2350">
        <v>118930452</v>
      </c>
      <c r="H2350">
        <v>28046</v>
      </c>
      <c r="I2350">
        <v>11122</v>
      </c>
      <c r="J2350">
        <v>39168</v>
      </c>
      <c r="K2350" t="b">
        <f>TrafficData[[#This Row],[disposedChallan]]+TrafficData[[#This Row],[pendingChallan]]=TrafficData[[#This Row],[totalChallan]]</f>
        <v>1</v>
      </c>
      <c r="L2350" t="b">
        <f>TrafficData[[#This Row],[pendingAmount]]+TrafficData[[#This Row],[disposedAmount]]=TrafficData[[#This Row],[totalAmount]]</f>
        <v>1</v>
      </c>
      <c r="M2350" t="b">
        <f>TrafficData[[#This Row],[pendingCourt]]+TrafficData[[#This Row],[disposedCourt]]=TrafficData[[#This Row],[totalCourt]]</f>
        <v>1</v>
      </c>
      <c r="N2350" s="8" t="b">
        <f>AND(TrafficData[[#This Row],[disposedChallan]]&lt;=TrafficData[[#This Row],[totalChallan]],TrafficData[[#This Row],[pendingChallan]]&lt;=TrafficData[[#This Row],[totalChallan]])</f>
        <v>1</v>
      </c>
      <c r="O2350" s="8" t="b">
        <f>AND(TrafficData[[#This Row],[pendingAmount]]&lt;=TrafficData[[#This Row],[totalAmount]],TrafficData[[#This Row],[disposedAmount]]&lt;=TrafficData[[#This Row],[totalAmount]])</f>
        <v>1</v>
      </c>
      <c r="P2350" s="8" t="b">
        <f>AND(TrafficData[[#This Row],[pendingCourt]]&lt;=TrafficData[[#This Row],[totalCourt]],TrafficData[[#This Row],[disposedCourt]]&lt;=TrafficData[[#This Row],[totalCourt]])</f>
        <v>1</v>
      </c>
    </row>
    <row r="2351" spans="1:16">
      <c r="A2351" s="1">
        <v>44355</v>
      </c>
      <c r="B2351">
        <v>104525</v>
      </c>
      <c r="C2351">
        <v>46892</v>
      </c>
      <c r="D2351">
        <v>57633</v>
      </c>
      <c r="E2351">
        <v>61626332</v>
      </c>
      <c r="F2351">
        <v>69952492</v>
      </c>
      <c r="G2351">
        <v>131578824</v>
      </c>
      <c r="H2351">
        <v>27642</v>
      </c>
      <c r="I2351">
        <v>11274</v>
      </c>
      <c r="J2351">
        <v>38916</v>
      </c>
      <c r="K2351" t="b">
        <f>TrafficData[[#This Row],[disposedChallan]]+TrafficData[[#This Row],[pendingChallan]]=TrafficData[[#This Row],[totalChallan]]</f>
        <v>1</v>
      </c>
      <c r="L2351" t="b">
        <f>TrafficData[[#This Row],[pendingAmount]]+TrafficData[[#This Row],[disposedAmount]]=TrafficData[[#This Row],[totalAmount]]</f>
        <v>1</v>
      </c>
      <c r="M2351" t="b">
        <f>TrafficData[[#This Row],[pendingCourt]]+TrafficData[[#This Row],[disposedCourt]]=TrafficData[[#This Row],[totalCourt]]</f>
        <v>1</v>
      </c>
      <c r="N2351" s="8" t="b">
        <f>AND(TrafficData[[#This Row],[disposedChallan]]&lt;=TrafficData[[#This Row],[totalChallan]],TrafficData[[#This Row],[pendingChallan]]&lt;=TrafficData[[#This Row],[totalChallan]])</f>
        <v>1</v>
      </c>
      <c r="O2351" s="8" t="b">
        <f>AND(TrafficData[[#This Row],[pendingAmount]]&lt;=TrafficData[[#This Row],[totalAmount]],TrafficData[[#This Row],[disposedAmount]]&lt;=TrafficData[[#This Row],[totalAmount]])</f>
        <v>1</v>
      </c>
      <c r="P2351" s="8" t="b">
        <f>AND(TrafficData[[#This Row],[pendingCourt]]&lt;=TrafficData[[#This Row],[totalCourt]],TrafficData[[#This Row],[disposedCourt]]&lt;=TrafficData[[#This Row],[totalCourt]])</f>
        <v>1</v>
      </c>
    </row>
    <row r="2352" spans="1:16">
      <c r="A2352" s="1">
        <v>44356</v>
      </c>
      <c r="B2352">
        <v>106639</v>
      </c>
      <c r="C2352">
        <v>48626</v>
      </c>
      <c r="D2352">
        <v>58013</v>
      </c>
      <c r="E2352">
        <v>59936671</v>
      </c>
      <c r="F2352">
        <v>72140018</v>
      </c>
      <c r="G2352">
        <v>132076689</v>
      </c>
      <c r="H2352">
        <v>26725</v>
      </c>
      <c r="I2352">
        <v>11730</v>
      </c>
      <c r="J2352">
        <v>38455</v>
      </c>
      <c r="K2352" t="b">
        <f>TrafficData[[#This Row],[disposedChallan]]+TrafficData[[#This Row],[pendingChallan]]=TrafficData[[#This Row],[totalChallan]]</f>
        <v>1</v>
      </c>
      <c r="L2352" t="b">
        <f>TrafficData[[#This Row],[pendingAmount]]+TrafficData[[#This Row],[disposedAmount]]=TrafficData[[#This Row],[totalAmount]]</f>
        <v>1</v>
      </c>
      <c r="M2352" t="b">
        <f>TrafficData[[#This Row],[pendingCourt]]+TrafficData[[#This Row],[disposedCourt]]=TrafficData[[#This Row],[totalCourt]]</f>
        <v>1</v>
      </c>
      <c r="N2352" s="8" t="b">
        <f>AND(TrafficData[[#This Row],[disposedChallan]]&lt;=TrafficData[[#This Row],[totalChallan]],TrafficData[[#This Row],[pendingChallan]]&lt;=TrafficData[[#This Row],[totalChallan]])</f>
        <v>1</v>
      </c>
      <c r="O2352" s="8" t="b">
        <f>AND(TrafficData[[#This Row],[pendingAmount]]&lt;=TrafficData[[#This Row],[totalAmount]],TrafficData[[#This Row],[disposedAmount]]&lt;=TrafficData[[#This Row],[totalAmount]])</f>
        <v>1</v>
      </c>
      <c r="P2352" s="8" t="b">
        <f>AND(TrafficData[[#This Row],[pendingCourt]]&lt;=TrafficData[[#This Row],[totalCourt]],TrafficData[[#This Row],[disposedCourt]]&lt;=TrafficData[[#This Row],[totalCourt]])</f>
        <v>1</v>
      </c>
    </row>
    <row r="2353" spans="1:16">
      <c r="A2353" s="1">
        <v>44357</v>
      </c>
      <c r="B2353">
        <v>105945</v>
      </c>
      <c r="C2353">
        <v>47844</v>
      </c>
      <c r="D2353">
        <v>58101</v>
      </c>
      <c r="E2353">
        <v>56385355</v>
      </c>
      <c r="F2353">
        <v>61998550</v>
      </c>
      <c r="G2353">
        <v>118383905</v>
      </c>
      <c r="H2353">
        <v>26727</v>
      </c>
      <c r="I2353">
        <v>11731</v>
      </c>
      <c r="J2353">
        <v>38458</v>
      </c>
      <c r="K2353" t="b">
        <f>TrafficData[[#This Row],[disposedChallan]]+TrafficData[[#This Row],[pendingChallan]]=TrafficData[[#This Row],[totalChallan]]</f>
        <v>1</v>
      </c>
      <c r="L2353" t="b">
        <f>TrafficData[[#This Row],[pendingAmount]]+TrafficData[[#This Row],[disposedAmount]]=TrafficData[[#This Row],[totalAmount]]</f>
        <v>1</v>
      </c>
      <c r="M2353" t="b">
        <f>TrafficData[[#This Row],[pendingCourt]]+TrafficData[[#This Row],[disposedCourt]]=TrafficData[[#This Row],[totalCourt]]</f>
        <v>1</v>
      </c>
      <c r="N2353" s="8" t="b">
        <f>AND(TrafficData[[#This Row],[disposedChallan]]&lt;=TrafficData[[#This Row],[totalChallan]],TrafficData[[#This Row],[pendingChallan]]&lt;=TrafficData[[#This Row],[totalChallan]])</f>
        <v>1</v>
      </c>
      <c r="O2353" s="8" t="b">
        <f>AND(TrafficData[[#This Row],[pendingAmount]]&lt;=TrafficData[[#This Row],[totalAmount]],TrafficData[[#This Row],[disposedAmount]]&lt;=TrafficData[[#This Row],[totalAmount]])</f>
        <v>1</v>
      </c>
      <c r="P2353" s="8" t="b">
        <f>AND(TrafficData[[#This Row],[pendingCourt]]&lt;=TrafficData[[#This Row],[totalCourt]],TrafficData[[#This Row],[disposedCourt]]&lt;=TrafficData[[#This Row],[totalCourt]])</f>
        <v>1</v>
      </c>
    </row>
    <row r="2354" spans="1:16">
      <c r="A2354" s="1">
        <v>44358</v>
      </c>
      <c r="B2354">
        <v>103786</v>
      </c>
      <c r="C2354">
        <v>48992</v>
      </c>
      <c r="D2354">
        <v>54794</v>
      </c>
      <c r="E2354">
        <v>54173419</v>
      </c>
      <c r="F2354">
        <v>63717034</v>
      </c>
      <c r="G2354">
        <v>117890453</v>
      </c>
      <c r="H2354">
        <v>24962</v>
      </c>
      <c r="I2354">
        <v>11995</v>
      </c>
      <c r="J2354">
        <v>36957</v>
      </c>
      <c r="K2354" t="b">
        <f>TrafficData[[#This Row],[disposedChallan]]+TrafficData[[#This Row],[pendingChallan]]=TrafficData[[#This Row],[totalChallan]]</f>
        <v>1</v>
      </c>
      <c r="L2354" t="b">
        <f>TrafficData[[#This Row],[pendingAmount]]+TrafficData[[#This Row],[disposedAmount]]=TrafficData[[#This Row],[totalAmount]]</f>
        <v>1</v>
      </c>
      <c r="M2354" t="b">
        <f>TrafficData[[#This Row],[pendingCourt]]+TrafficData[[#This Row],[disposedCourt]]=TrafficData[[#This Row],[totalCourt]]</f>
        <v>1</v>
      </c>
      <c r="N2354" s="8" t="b">
        <f>AND(TrafficData[[#This Row],[disposedChallan]]&lt;=TrafficData[[#This Row],[totalChallan]],TrafficData[[#This Row],[pendingChallan]]&lt;=TrafficData[[#This Row],[totalChallan]])</f>
        <v>1</v>
      </c>
      <c r="O2354" s="8" t="b">
        <f>AND(TrafficData[[#This Row],[pendingAmount]]&lt;=TrafficData[[#This Row],[totalAmount]],TrafficData[[#This Row],[disposedAmount]]&lt;=TrafficData[[#This Row],[totalAmount]])</f>
        <v>1</v>
      </c>
      <c r="P2354" s="8" t="b">
        <f>AND(TrafficData[[#This Row],[pendingCourt]]&lt;=TrafficData[[#This Row],[totalCourt]],TrafficData[[#This Row],[disposedCourt]]&lt;=TrafficData[[#This Row],[totalCourt]])</f>
        <v>1</v>
      </c>
    </row>
    <row r="2355" spans="1:16">
      <c r="A2355" s="1">
        <v>44359</v>
      </c>
      <c r="B2355">
        <v>101745</v>
      </c>
      <c r="C2355">
        <v>46188</v>
      </c>
      <c r="D2355">
        <v>55557</v>
      </c>
      <c r="E2355">
        <v>53417475</v>
      </c>
      <c r="F2355">
        <v>64178056</v>
      </c>
      <c r="G2355">
        <v>117595531</v>
      </c>
      <c r="H2355">
        <v>25068</v>
      </c>
      <c r="I2355">
        <v>11547</v>
      </c>
      <c r="J2355">
        <v>36615</v>
      </c>
      <c r="K2355" t="b">
        <f>TrafficData[[#This Row],[disposedChallan]]+TrafficData[[#This Row],[pendingChallan]]=TrafficData[[#This Row],[totalChallan]]</f>
        <v>1</v>
      </c>
      <c r="L2355" t="b">
        <f>TrafficData[[#This Row],[pendingAmount]]+TrafficData[[#This Row],[disposedAmount]]=TrafficData[[#This Row],[totalAmount]]</f>
        <v>1</v>
      </c>
      <c r="M2355" t="b">
        <f>TrafficData[[#This Row],[pendingCourt]]+TrafficData[[#This Row],[disposedCourt]]=TrafficData[[#This Row],[totalCourt]]</f>
        <v>1</v>
      </c>
      <c r="N2355" s="8" t="b">
        <f>AND(TrafficData[[#This Row],[disposedChallan]]&lt;=TrafficData[[#This Row],[totalChallan]],TrafficData[[#This Row],[pendingChallan]]&lt;=TrafficData[[#This Row],[totalChallan]])</f>
        <v>1</v>
      </c>
      <c r="O2355" s="8" t="b">
        <f>AND(TrafficData[[#This Row],[pendingAmount]]&lt;=TrafficData[[#This Row],[totalAmount]],TrafficData[[#This Row],[disposedAmount]]&lt;=TrafficData[[#This Row],[totalAmount]])</f>
        <v>1</v>
      </c>
      <c r="P2355" s="8" t="b">
        <f>AND(TrafficData[[#This Row],[pendingCourt]]&lt;=TrafficData[[#This Row],[totalCourt]],TrafficData[[#This Row],[disposedCourt]]&lt;=TrafficData[[#This Row],[totalCourt]])</f>
        <v>1</v>
      </c>
    </row>
    <row r="2356" spans="1:16">
      <c r="A2356" s="1">
        <v>44360</v>
      </c>
      <c r="B2356">
        <v>97502</v>
      </c>
      <c r="C2356">
        <v>42736</v>
      </c>
      <c r="D2356">
        <v>54766</v>
      </c>
      <c r="E2356">
        <v>53516949</v>
      </c>
      <c r="F2356">
        <v>47478860</v>
      </c>
      <c r="G2356">
        <v>100995809</v>
      </c>
      <c r="H2356">
        <v>25485</v>
      </c>
      <c r="I2356">
        <v>11505</v>
      </c>
      <c r="J2356">
        <v>36990</v>
      </c>
      <c r="K2356" t="b">
        <f>TrafficData[[#This Row],[disposedChallan]]+TrafficData[[#This Row],[pendingChallan]]=TrafficData[[#This Row],[totalChallan]]</f>
        <v>1</v>
      </c>
      <c r="L2356" t="b">
        <f>TrafficData[[#This Row],[pendingAmount]]+TrafficData[[#This Row],[disposedAmount]]=TrafficData[[#This Row],[totalAmount]]</f>
        <v>1</v>
      </c>
      <c r="M2356" t="b">
        <f>TrafficData[[#This Row],[pendingCourt]]+TrafficData[[#This Row],[disposedCourt]]=TrafficData[[#This Row],[totalCourt]]</f>
        <v>1</v>
      </c>
      <c r="N2356" s="8" t="b">
        <f>AND(TrafficData[[#This Row],[disposedChallan]]&lt;=TrafficData[[#This Row],[totalChallan]],TrafficData[[#This Row],[pendingChallan]]&lt;=TrafficData[[#This Row],[totalChallan]])</f>
        <v>1</v>
      </c>
      <c r="O2356" s="8" t="b">
        <f>AND(TrafficData[[#This Row],[pendingAmount]]&lt;=TrafficData[[#This Row],[totalAmount]],TrafficData[[#This Row],[disposedAmount]]&lt;=TrafficData[[#This Row],[totalAmount]])</f>
        <v>1</v>
      </c>
      <c r="P2356" s="8" t="b">
        <f>AND(TrafficData[[#This Row],[pendingCourt]]&lt;=TrafficData[[#This Row],[totalCourt]],TrafficData[[#This Row],[disposedCourt]]&lt;=TrafficData[[#This Row],[totalCourt]])</f>
        <v>1</v>
      </c>
    </row>
    <row r="2357" spans="1:16">
      <c r="A2357" s="1">
        <v>44361</v>
      </c>
      <c r="B2357">
        <v>104365</v>
      </c>
      <c r="C2357">
        <v>49348</v>
      </c>
      <c r="D2357">
        <v>55017</v>
      </c>
      <c r="E2357">
        <v>57653999</v>
      </c>
      <c r="F2357">
        <v>63035569</v>
      </c>
      <c r="G2357">
        <v>120689568</v>
      </c>
      <c r="H2357">
        <v>28378</v>
      </c>
      <c r="I2357">
        <v>13384</v>
      </c>
      <c r="J2357">
        <v>41762</v>
      </c>
      <c r="K2357" t="b">
        <f>TrafficData[[#This Row],[disposedChallan]]+TrafficData[[#This Row],[pendingChallan]]=TrafficData[[#This Row],[totalChallan]]</f>
        <v>1</v>
      </c>
      <c r="L2357" t="b">
        <f>TrafficData[[#This Row],[pendingAmount]]+TrafficData[[#This Row],[disposedAmount]]=TrafficData[[#This Row],[totalAmount]]</f>
        <v>1</v>
      </c>
      <c r="M2357" t="b">
        <f>TrafficData[[#This Row],[pendingCourt]]+TrafficData[[#This Row],[disposedCourt]]=TrafficData[[#This Row],[totalCourt]]</f>
        <v>1</v>
      </c>
      <c r="N2357" s="8" t="b">
        <f>AND(TrafficData[[#This Row],[disposedChallan]]&lt;=TrafficData[[#This Row],[totalChallan]],TrafficData[[#This Row],[pendingChallan]]&lt;=TrafficData[[#This Row],[totalChallan]])</f>
        <v>1</v>
      </c>
      <c r="O2357" s="8" t="b">
        <f>AND(TrafficData[[#This Row],[pendingAmount]]&lt;=TrafficData[[#This Row],[totalAmount]],TrafficData[[#This Row],[disposedAmount]]&lt;=TrafficData[[#This Row],[totalAmount]])</f>
        <v>1</v>
      </c>
      <c r="P2357" s="8" t="b">
        <f>AND(TrafficData[[#This Row],[pendingCourt]]&lt;=TrafficData[[#This Row],[totalCourt]],TrafficData[[#This Row],[disposedCourt]]&lt;=TrafficData[[#This Row],[totalCourt]])</f>
        <v>1</v>
      </c>
    </row>
    <row r="2358" spans="1:16">
      <c r="A2358" s="1">
        <v>44362</v>
      </c>
      <c r="B2358">
        <v>108479</v>
      </c>
      <c r="C2358">
        <v>51219</v>
      </c>
      <c r="D2358">
        <v>57260</v>
      </c>
      <c r="E2358">
        <v>62662925</v>
      </c>
      <c r="F2358">
        <v>72243605</v>
      </c>
      <c r="G2358">
        <v>134906530</v>
      </c>
      <c r="H2358">
        <v>28607</v>
      </c>
      <c r="I2358">
        <v>13740</v>
      </c>
      <c r="J2358">
        <v>42347</v>
      </c>
      <c r="K2358" t="b">
        <f>TrafficData[[#This Row],[disposedChallan]]+TrafficData[[#This Row],[pendingChallan]]=TrafficData[[#This Row],[totalChallan]]</f>
        <v>1</v>
      </c>
      <c r="L2358" t="b">
        <f>TrafficData[[#This Row],[pendingAmount]]+TrafficData[[#This Row],[disposedAmount]]=TrafficData[[#This Row],[totalAmount]]</f>
        <v>1</v>
      </c>
      <c r="M2358" t="b">
        <f>TrafficData[[#This Row],[pendingCourt]]+TrafficData[[#This Row],[disposedCourt]]=TrafficData[[#This Row],[totalCourt]]</f>
        <v>1</v>
      </c>
      <c r="N2358" s="8" t="b">
        <f>AND(TrafficData[[#This Row],[disposedChallan]]&lt;=TrafficData[[#This Row],[totalChallan]],TrafficData[[#This Row],[pendingChallan]]&lt;=TrafficData[[#This Row],[totalChallan]])</f>
        <v>1</v>
      </c>
      <c r="O2358" s="8" t="b">
        <f>AND(TrafficData[[#This Row],[pendingAmount]]&lt;=TrafficData[[#This Row],[totalAmount]],TrafficData[[#This Row],[disposedAmount]]&lt;=TrafficData[[#This Row],[totalAmount]])</f>
        <v>1</v>
      </c>
      <c r="P2358" s="8" t="b">
        <f>AND(TrafficData[[#This Row],[pendingCourt]]&lt;=TrafficData[[#This Row],[totalCourt]],TrafficData[[#This Row],[disposedCourt]]&lt;=TrafficData[[#This Row],[totalCourt]])</f>
        <v>1</v>
      </c>
    </row>
    <row r="2359" spans="1:16">
      <c r="A2359" s="1">
        <v>44363</v>
      </c>
      <c r="B2359">
        <v>111783</v>
      </c>
      <c r="C2359">
        <v>51932</v>
      </c>
      <c r="D2359">
        <v>59851</v>
      </c>
      <c r="E2359">
        <v>63326306</v>
      </c>
      <c r="F2359">
        <v>72618560</v>
      </c>
      <c r="G2359">
        <v>135944866</v>
      </c>
      <c r="H2359">
        <v>30056</v>
      </c>
      <c r="I2359">
        <v>13873</v>
      </c>
      <c r="J2359">
        <v>43929</v>
      </c>
      <c r="K2359" t="b">
        <f>TrafficData[[#This Row],[disposedChallan]]+TrafficData[[#This Row],[pendingChallan]]=TrafficData[[#This Row],[totalChallan]]</f>
        <v>1</v>
      </c>
      <c r="L2359" t="b">
        <f>TrafficData[[#This Row],[pendingAmount]]+TrafficData[[#This Row],[disposedAmount]]=TrafficData[[#This Row],[totalAmount]]</f>
        <v>1</v>
      </c>
      <c r="M2359" t="b">
        <f>TrafficData[[#This Row],[pendingCourt]]+TrafficData[[#This Row],[disposedCourt]]=TrafficData[[#This Row],[totalCourt]]</f>
        <v>1</v>
      </c>
      <c r="N2359" s="8" t="b">
        <f>AND(TrafficData[[#This Row],[disposedChallan]]&lt;=TrafficData[[#This Row],[totalChallan]],TrafficData[[#This Row],[pendingChallan]]&lt;=TrafficData[[#This Row],[totalChallan]])</f>
        <v>1</v>
      </c>
      <c r="O2359" s="8" t="b">
        <f>AND(TrafficData[[#This Row],[pendingAmount]]&lt;=TrafficData[[#This Row],[totalAmount]],TrafficData[[#This Row],[disposedAmount]]&lt;=TrafficData[[#This Row],[totalAmount]])</f>
        <v>1</v>
      </c>
      <c r="P2359" s="8" t="b">
        <f>AND(TrafficData[[#This Row],[pendingCourt]]&lt;=TrafficData[[#This Row],[totalCourt]],TrafficData[[#This Row],[disposedCourt]]&lt;=TrafficData[[#This Row],[totalCourt]])</f>
        <v>1</v>
      </c>
    </row>
    <row r="2360" spans="1:16">
      <c r="A2360" s="1">
        <v>44364</v>
      </c>
      <c r="B2360">
        <v>116921</v>
      </c>
      <c r="C2360">
        <v>54926</v>
      </c>
      <c r="D2360">
        <v>61995</v>
      </c>
      <c r="E2360">
        <v>62874950</v>
      </c>
      <c r="F2360">
        <v>67357706</v>
      </c>
      <c r="G2360">
        <v>130232656</v>
      </c>
      <c r="H2360">
        <v>29835</v>
      </c>
      <c r="I2360">
        <v>13373</v>
      </c>
      <c r="J2360">
        <v>43208</v>
      </c>
      <c r="K2360" t="b">
        <f>TrafficData[[#This Row],[disposedChallan]]+TrafficData[[#This Row],[pendingChallan]]=TrafficData[[#This Row],[totalChallan]]</f>
        <v>1</v>
      </c>
      <c r="L2360" t="b">
        <f>TrafficData[[#This Row],[pendingAmount]]+TrafficData[[#This Row],[disposedAmount]]=TrafficData[[#This Row],[totalAmount]]</f>
        <v>1</v>
      </c>
      <c r="M2360" t="b">
        <f>TrafficData[[#This Row],[pendingCourt]]+TrafficData[[#This Row],[disposedCourt]]=TrafficData[[#This Row],[totalCourt]]</f>
        <v>1</v>
      </c>
      <c r="N2360" s="8" t="b">
        <f>AND(TrafficData[[#This Row],[disposedChallan]]&lt;=TrafficData[[#This Row],[totalChallan]],TrafficData[[#This Row],[pendingChallan]]&lt;=TrafficData[[#This Row],[totalChallan]])</f>
        <v>1</v>
      </c>
      <c r="O2360" s="8" t="b">
        <f>AND(TrafficData[[#This Row],[pendingAmount]]&lt;=TrafficData[[#This Row],[totalAmount]],TrafficData[[#This Row],[disposedAmount]]&lt;=TrafficData[[#This Row],[totalAmount]])</f>
        <v>1</v>
      </c>
      <c r="P2360" s="8" t="b">
        <f>AND(TrafficData[[#This Row],[pendingCourt]]&lt;=TrafficData[[#This Row],[totalCourt]],TrafficData[[#This Row],[disposedCourt]]&lt;=TrafficData[[#This Row],[totalCourt]])</f>
        <v>1</v>
      </c>
    </row>
    <row r="2361" spans="1:16">
      <c r="A2361" s="1">
        <v>44365</v>
      </c>
      <c r="B2361">
        <v>140453</v>
      </c>
      <c r="C2361">
        <v>61926</v>
      </c>
      <c r="D2361">
        <v>78527</v>
      </c>
      <c r="E2361">
        <v>67008453</v>
      </c>
      <c r="F2361">
        <v>71014105</v>
      </c>
      <c r="G2361">
        <v>138022558</v>
      </c>
      <c r="H2361">
        <v>29813</v>
      </c>
      <c r="I2361">
        <v>12724</v>
      </c>
      <c r="J2361">
        <v>42537</v>
      </c>
      <c r="K2361" t="b">
        <f>TrafficData[[#This Row],[disposedChallan]]+TrafficData[[#This Row],[pendingChallan]]=TrafficData[[#This Row],[totalChallan]]</f>
        <v>1</v>
      </c>
      <c r="L2361" t="b">
        <f>TrafficData[[#This Row],[pendingAmount]]+TrafficData[[#This Row],[disposedAmount]]=TrafficData[[#This Row],[totalAmount]]</f>
        <v>1</v>
      </c>
      <c r="M2361" t="b">
        <f>TrafficData[[#This Row],[pendingCourt]]+TrafficData[[#This Row],[disposedCourt]]=TrafficData[[#This Row],[totalCourt]]</f>
        <v>1</v>
      </c>
      <c r="N2361" s="8" t="b">
        <f>AND(TrafficData[[#This Row],[disposedChallan]]&lt;=TrafficData[[#This Row],[totalChallan]],TrafficData[[#This Row],[pendingChallan]]&lt;=TrafficData[[#This Row],[totalChallan]])</f>
        <v>1</v>
      </c>
      <c r="O2361" s="8" t="b">
        <f>AND(TrafficData[[#This Row],[pendingAmount]]&lt;=TrafficData[[#This Row],[totalAmount]],TrafficData[[#This Row],[disposedAmount]]&lt;=TrafficData[[#This Row],[totalAmount]])</f>
        <v>1</v>
      </c>
      <c r="P2361" s="8" t="b">
        <f>AND(TrafficData[[#This Row],[pendingCourt]]&lt;=TrafficData[[#This Row],[totalCourt]],TrafficData[[#This Row],[disposedCourt]]&lt;=TrafficData[[#This Row],[totalCourt]])</f>
        <v>1</v>
      </c>
    </row>
    <row r="2362" spans="1:16">
      <c r="A2362" s="1">
        <v>44366</v>
      </c>
      <c r="B2362">
        <v>145290</v>
      </c>
      <c r="C2362">
        <v>63072</v>
      </c>
      <c r="D2362">
        <v>82218</v>
      </c>
      <c r="E2362">
        <v>65958961</v>
      </c>
      <c r="F2362">
        <v>67395269</v>
      </c>
      <c r="G2362">
        <v>133354230</v>
      </c>
      <c r="H2362">
        <v>28624</v>
      </c>
      <c r="I2362">
        <v>12952</v>
      </c>
      <c r="J2362">
        <v>41576</v>
      </c>
      <c r="K2362" t="b">
        <f>TrafficData[[#This Row],[disposedChallan]]+TrafficData[[#This Row],[pendingChallan]]=TrafficData[[#This Row],[totalChallan]]</f>
        <v>1</v>
      </c>
      <c r="L2362" t="b">
        <f>TrafficData[[#This Row],[pendingAmount]]+TrafficData[[#This Row],[disposedAmount]]=TrafficData[[#This Row],[totalAmount]]</f>
        <v>1</v>
      </c>
      <c r="M2362" t="b">
        <f>TrafficData[[#This Row],[pendingCourt]]+TrafficData[[#This Row],[disposedCourt]]=TrafficData[[#This Row],[totalCourt]]</f>
        <v>1</v>
      </c>
      <c r="N2362" s="8" t="b">
        <f>AND(TrafficData[[#This Row],[disposedChallan]]&lt;=TrafficData[[#This Row],[totalChallan]],TrafficData[[#This Row],[pendingChallan]]&lt;=TrafficData[[#This Row],[totalChallan]])</f>
        <v>1</v>
      </c>
      <c r="O2362" s="8" t="b">
        <f>AND(TrafficData[[#This Row],[pendingAmount]]&lt;=TrafficData[[#This Row],[totalAmount]],TrafficData[[#This Row],[disposedAmount]]&lt;=TrafficData[[#This Row],[totalAmount]])</f>
        <v>1</v>
      </c>
      <c r="P2362" s="8" t="b">
        <f>AND(TrafficData[[#This Row],[pendingCourt]]&lt;=TrafficData[[#This Row],[totalCourt]],TrafficData[[#This Row],[disposedCourt]]&lt;=TrafficData[[#This Row],[totalCourt]])</f>
        <v>1</v>
      </c>
    </row>
    <row r="2363" spans="1:16">
      <c r="A2363" s="1">
        <v>44367</v>
      </c>
      <c r="B2363">
        <v>142855</v>
      </c>
      <c r="C2363">
        <v>57688</v>
      </c>
      <c r="D2363">
        <v>85167</v>
      </c>
      <c r="E2363">
        <v>66852182</v>
      </c>
      <c r="F2363">
        <v>154857962</v>
      </c>
      <c r="G2363">
        <v>221710144</v>
      </c>
      <c r="H2363">
        <v>30664</v>
      </c>
      <c r="I2363">
        <v>13279</v>
      </c>
      <c r="J2363">
        <v>43943</v>
      </c>
      <c r="K2363" t="b">
        <f>TrafficData[[#This Row],[disposedChallan]]+TrafficData[[#This Row],[pendingChallan]]=TrafficData[[#This Row],[totalChallan]]</f>
        <v>1</v>
      </c>
      <c r="L2363" t="b">
        <f>TrafficData[[#This Row],[pendingAmount]]+TrafficData[[#This Row],[disposedAmount]]=TrafficData[[#This Row],[totalAmount]]</f>
        <v>1</v>
      </c>
      <c r="M2363" t="b">
        <f>TrafficData[[#This Row],[pendingCourt]]+TrafficData[[#This Row],[disposedCourt]]=TrafficData[[#This Row],[totalCourt]]</f>
        <v>1</v>
      </c>
      <c r="N2363" s="8" t="b">
        <f>AND(TrafficData[[#This Row],[disposedChallan]]&lt;=TrafficData[[#This Row],[totalChallan]],TrafficData[[#This Row],[pendingChallan]]&lt;=TrafficData[[#This Row],[totalChallan]])</f>
        <v>1</v>
      </c>
      <c r="O2363" s="8" t="b">
        <f>AND(TrafficData[[#This Row],[pendingAmount]]&lt;=TrafficData[[#This Row],[totalAmount]],TrafficData[[#This Row],[disposedAmount]]&lt;=TrafficData[[#This Row],[totalAmount]])</f>
        <v>1</v>
      </c>
      <c r="P2363" s="8" t="b">
        <f>AND(TrafficData[[#This Row],[pendingCourt]]&lt;=TrafficData[[#This Row],[totalCourt]],TrafficData[[#This Row],[disposedCourt]]&lt;=TrafficData[[#This Row],[totalCourt]])</f>
        <v>1</v>
      </c>
    </row>
    <row r="2364" spans="1:16">
      <c r="A2364" s="1">
        <v>44368</v>
      </c>
      <c r="B2364">
        <v>144783</v>
      </c>
      <c r="C2364">
        <v>63362</v>
      </c>
      <c r="D2364">
        <v>81421</v>
      </c>
      <c r="E2364">
        <v>76820279</v>
      </c>
      <c r="F2364">
        <v>69145474</v>
      </c>
      <c r="G2364">
        <v>145965753</v>
      </c>
      <c r="H2364">
        <v>36175</v>
      </c>
      <c r="I2364">
        <v>14608</v>
      </c>
      <c r="J2364">
        <v>50783</v>
      </c>
      <c r="K2364" t="b">
        <f>TrafficData[[#This Row],[disposedChallan]]+TrafficData[[#This Row],[pendingChallan]]=TrafficData[[#This Row],[totalChallan]]</f>
        <v>1</v>
      </c>
      <c r="L2364" t="b">
        <f>TrafficData[[#This Row],[pendingAmount]]+TrafficData[[#This Row],[disposedAmount]]=TrafficData[[#This Row],[totalAmount]]</f>
        <v>1</v>
      </c>
      <c r="M2364" t="b">
        <f>TrafficData[[#This Row],[pendingCourt]]+TrafficData[[#This Row],[disposedCourt]]=TrafficData[[#This Row],[totalCourt]]</f>
        <v>1</v>
      </c>
      <c r="N2364" s="8" t="b">
        <f>AND(TrafficData[[#This Row],[disposedChallan]]&lt;=TrafficData[[#This Row],[totalChallan]],TrafficData[[#This Row],[pendingChallan]]&lt;=TrafficData[[#This Row],[totalChallan]])</f>
        <v>1</v>
      </c>
      <c r="O2364" s="8" t="b">
        <f>AND(TrafficData[[#This Row],[pendingAmount]]&lt;=TrafficData[[#This Row],[totalAmount]],TrafficData[[#This Row],[disposedAmount]]&lt;=TrafficData[[#This Row],[totalAmount]])</f>
        <v>1</v>
      </c>
      <c r="P2364" s="8" t="b">
        <f>AND(TrafficData[[#This Row],[pendingCourt]]&lt;=TrafficData[[#This Row],[totalCourt]],TrafficData[[#This Row],[disposedCourt]]&lt;=TrafficData[[#This Row],[totalCourt]])</f>
        <v>1</v>
      </c>
    </row>
    <row r="2365" spans="1:16">
      <c r="A2365" s="1">
        <v>44369</v>
      </c>
      <c r="B2365">
        <v>144173</v>
      </c>
      <c r="C2365">
        <v>64825</v>
      </c>
      <c r="D2365">
        <v>79348</v>
      </c>
      <c r="E2365">
        <v>76569243</v>
      </c>
      <c r="F2365">
        <v>73427760</v>
      </c>
      <c r="G2365">
        <v>149997003</v>
      </c>
      <c r="H2365">
        <v>34628</v>
      </c>
      <c r="I2365">
        <v>14396</v>
      </c>
      <c r="J2365">
        <v>49024</v>
      </c>
      <c r="K2365" t="b">
        <f>TrafficData[[#This Row],[disposedChallan]]+TrafficData[[#This Row],[pendingChallan]]=TrafficData[[#This Row],[totalChallan]]</f>
        <v>1</v>
      </c>
      <c r="L2365" t="b">
        <f>TrafficData[[#This Row],[pendingAmount]]+TrafficData[[#This Row],[disposedAmount]]=TrafficData[[#This Row],[totalAmount]]</f>
        <v>1</v>
      </c>
      <c r="M2365" t="b">
        <f>TrafficData[[#This Row],[pendingCourt]]+TrafficData[[#This Row],[disposedCourt]]=TrafficData[[#This Row],[totalCourt]]</f>
        <v>1</v>
      </c>
      <c r="N2365" s="8" t="b">
        <f>AND(TrafficData[[#This Row],[disposedChallan]]&lt;=TrafficData[[#This Row],[totalChallan]],TrafficData[[#This Row],[pendingChallan]]&lt;=TrafficData[[#This Row],[totalChallan]])</f>
        <v>1</v>
      </c>
      <c r="O2365" s="8" t="b">
        <f>AND(TrafficData[[#This Row],[pendingAmount]]&lt;=TrafficData[[#This Row],[totalAmount]],TrafficData[[#This Row],[disposedAmount]]&lt;=TrafficData[[#This Row],[totalAmount]])</f>
        <v>1</v>
      </c>
      <c r="P2365" s="8" t="b">
        <f>AND(TrafficData[[#This Row],[pendingCourt]]&lt;=TrafficData[[#This Row],[totalCourt]],TrafficData[[#This Row],[disposedCourt]]&lt;=TrafficData[[#This Row],[totalCourt]])</f>
        <v>1</v>
      </c>
    </row>
    <row r="2366" spans="1:16">
      <c r="A2366" s="1">
        <v>44370</v>
      </c>
      <c r="B2366">
        <v>141048</v>
      </c>
      <c r="C2366">
        <v>64682</v>
      </c>
      <c r="D2366">
        <v>76366</v>
      </c>
      <c r="E2366">
        <v>74446413</v>
      </c>
      <c r="F2366">
        <v>77072435</v>
      </c>
      <c r="G2366">
        <v>151518848</v>
      </c>
      <c r="H2366">
        <v>32845</v>
      </c>
      <c r="I2366">
        <v>14032</v>
      </c>
      <c r="J2366">
        <v>46877</v>
      </c>
      <c r="K2366" t="b">
        <f>TrafficData[[#This Row],[disposedChallan]]+TrafficData[[#This Row],[pendingChallan]]=TrafficData[[#This Row],[totalChallan]]</f>
        <v>1</v>
      </c>
      <c r="L2366" t="b">
        <f>TrafficData[[#This Row],[pendingAmount]]+TrafficData[[#This Row],[disposedAmount]]=TrafficData[[#This Row],[totalAmount]]</f>
        <v>1</v>
      </c>
      <c r="M2366" t="b">
        <f>TrafficData[[#This Row],[pendingCourt]]+TrafficData[[#This Row],[disposedCourt]]=TrafficData[[#This Row],[totalCourt]]</f>
        <v>1</v>
      </c>
      <c r="N2366" s="8" t="b">
        <f>AND(TrafficData[[#This Row],[disposedChallan]]&lt;=TrafficData[[#This Row],[totalChallan]],TrafficData[[#This Row],[pendingChallan]]&lt;=TrafficData[[#This Row],[totalChallan]])</f>
        <v>1</v>
      </c>
      <c r="O2366" s="8" t="b">
        <f>AND(TrafficData[[#This Row],[pendingAmount]]&lt;=TrafficData[[#This Row],[totalAmount]],TrafficData[[#This Row],[disposedAmount]]&lt;=TrafficData[[#This Row],[totalAmount]])</f>
        <v>1</v>
      </c>
      <c r="P2366" s="8" t="b">
        <f>AND(TrafficData[[#This Row],[pendingCourt]]&lt;=TrafficData[[#This Row],[totalCourt]],TrafficData[[#This Row],[disposedCourt]]&lt;=TrafficData[[#This Row],[totalCourt]])</f>
        <v>1</v>
      </c>
    </row>
    <row r="2367" spans="1:16">
      <c r="A2367" s="1">
        <v>44371</v>
      </c>
      <c r="B2367">
        <v>142984</v>
      </c>
      <c r="C2367">
        <v>65662</v>
      </c>
      <c r="D2367">
        <v>77322</v>
      </c>
      <c r="E2367">
        <v>72403742</v>
      </c>
      <c r="F2367">
        <v>74344945</v>
      </c>
      <c r="G2367">
        <v>146748687</v>
      </c>
      <c r="H2367">
        <v>32092</v>
      </c>
      <c r="I2367">
        <v>13877</v>
      </c>
      <c r="J2367">
        <v>45969</v>
      </c>
      <c r="K2367" t="b">
        <f>TrafficData[[#This Row],[disposedChallan]]+TrafficData[[#This Row],[pendingChallan]]=TrafficData[[#This Row],[totalChallan]]</f>
        <v>1</v>
      </c>
      <c r="L2367" t="b">
        <f>TrafficData[[#This Row],[pendingAmount]]+TrafficData[[#This Row],[disposedAmount]]=TrafficData[[#This Row],[totalAmount]]</f>
        <v>1</v>
      </c>
      <c r="M2367" t="b">
        <f>TrafficData[[#This Row],[pendingCourt]]+TrafficData[[#This Row],[disposedCourt]]=TrafficData[[#This Row],[totalCourt]]</f>
        <v>1</v>
      </c>
      <c r="N2367" s="8" t="b">
        <f>AND(TrafficData[[#This Row],[disposedChallan]]&lt;=TrafficData[[#This Row],[totalChallan]],TrafficData[[#This Row],[pendingChallan]]&lt;=TrafficData[[#This Row],[totalChallan]])</f>
        <v>1</v>
      </c>
      <c r="O2367" s="8" t="b">
        <f>AND(TrafficData[[#This Row],[pendingAmount]]&lt;=TrafficData[[#This Row],[totalAmount]],TrafficData[[#This Row],[disposedAmount]]&lt;=TrafficData[[#This Row],[totalAmount]])</f>
        <v>1</v>
      </c>
      <c r="P2367" s="8" t="b">
        <f>AND(TrafficData[[#This Row],[pendingCourt]]&lt;=TrafficData[[#This Row],[totalCourt]],TrafficData[[#This Row],[disposedCourt]]&lt;=TrafficData[[#This Row],[totalCourt]])</f>
        <v>1</v>
      </c>
    </row>
    <row r="2368" spans="1:16">
      <c r="A2368" s="1">
        <v>44372</v>
      </c>
      <c r="B2368">
        <v>141548</v>
      </c>
      <c r="C2368">
        <v>65062</v>
      </c>
      <c r="D2368">
        <v>76486</v>
      </c>
      <c r="E2368">
        <v>70259685</v>
      </c>
      <c r="F2368">
        <v>77215605</v>
      </c>
      <c r="G2368">
        <v>147475290</v>
      </c>
      <c r="H2368">
        <v>30378</v>
      </c>
      <c r="I2368">
        <v>13106</v>
      </c>
      <c r="J2368">
        <v>43484</v>
      </c>
      <c r="K2368" t="b">
        <f>TrafficData[[#This Row],[disposedChallan]]+TrafficData[[#This Row],[pendingChallan]]=TrafficData[[#This Row],[totalChallan]]</f>
        <v>1</v>
      </c>
      <c r="L2368" t="b">
        <f>TrafficData[[#This Row],[pendingAmount]]+TrafficData[[#This Row],[disposedAmount]]=TrafficData[[#This Row],[totalAmount]]</f>
        <v>1</v>
      </c>
      <c r="M2368" t="b">
        <f>TrafficData[[#This Row],[pendingCourt]]+TrafficData[[#This Row],[disposedCourt]]=TrafficData[[#This Row],[totalCourt]]</f>
        <v>1</v>
      </c>
      <c r="N2368" s="8" t="b">
        <f>AND(TrafficData[[#This Row],[disposedChallan]]&lt;=TrafficData[[#This Row],[totalChallan]],TrafficData[[#This Row],[pendingChallan]]&lt;=TrafficData[[#This Row],[totalChallan]])</f>
        <v>1</v>
      </c>
      <c r="O2368" s="8" t="b">
        <f>AND(TrafficData[[#This Row],[pendingAmount]]&lt;=TrafficData[[#This Row],[totalAmount]],TrafficData[[#This Row],[disposedAmount]]&lt;=TrafficData[[#This Row],[totalAmount]])</f>
        <v>1</v>
      </c>
      <c r="P2368" s="8" t="b">
        <f>AND(TrafficData[[#This Row],[pendingCourt]]&lt;=TrafficData[[#This Row],[totalCourt]],TrafficData[[#This Row],[disposedCourt]]&lt;=TrafficData[[#This Row],[totalCourt]])</f>
        <v>1</v>
      </c>
    </row>
    <row r="2369" spans="1:16">
      <c r="A2369" s="1">
        <v>44373</v>
      </c>
      <c r="B2369">
        <v>133524</v>
      </c>
      <c r="C2369">
        <v>60850</v>
      </c>
      <c r="D2369">
        <v>72674</v>
      </c>
      <c r="E2369">
        <v>64580430</v>
      </c>
      <c r="F2369">
        <v>70163572</v>
      </c>
      <c r="G2369">
        <v>134744002</v>
      </c>
      <c r="H2369">
        <v>29706</v>
      </c>
      <c r="I2369">
        <v>12306</v>
      </c>
      <c r="J2369">
        <v>42012</v>
      </c>
      <c r="K2369" t="b">
        <f>TrafficData[[#This Row],[disposedChallan]]+TrafficData[[#This Row],[pendingChallan]]=TrafficData[[#This Row],[totalChallan]]</f>
        <v>1</v>
      </c>
      <c r="L2369" t="b">
        <f>TrafficData[[#This Row],[pendingAmount]]+TrafficData[[#This Row],[disposedAmount]]=TrafficData[[#This Row],[totalAmount]]</f>
        <v>1</v>
      </c>
      <c r="M2369" t="b">
        <f>TrafficData[[#This Row],[pendingCourt]]+TrafficData[[#This Row],[disposedCourt]]=TrafficData[[#This Row],[totalCourt]]</f>
        <v>1</v>
      </c>
      <c r="N2369" s="8" t="b">
        <f>AND(TrafficData[[#This Row],[disposedChallan]]&lt;=TrafficData[[#This Row],[totalChallan]],TrafficData[[#This Row],[pendingChallan]]&lt;=TrafficData[[#This Row],[totalChallan]])</f>
        <v>1</v>
      </c>
      <c r="O2369" s="8" t="b">
        <f>AND(TrafficData[[#This Row],[pendingAmount]]&lt;=TrafficData[[#This Row],[totalAmount]],TrafficData[[#This Row],[disposedAmount]]&lt;=TrafficData[[#This Row],[totalAmount]])</f>
        <v>1</v>
      </c>
      <c r="P2369" s="8" t="b">
        <f>AND(TrafficData[[#This Row],[pendingCourt]]&lt;=TrafficData[[#This Row],[totalCourt]],TrafficData[[#This Row],[disposedCourt]]&lt;=TrafficData[[#This Row],[totalCourt]])</f>
        <v>1</v>
      </c>
    </row>
    <row r="2370" spans="1:16">
      <c r="A2370" s="1">
        <v>44374</v>
      </c>
      <c r="B2370">
        <v>125887</v>
      </c>
      <c r="C2370">
        <v>53754</v>
      </c>
      <c r="D2370">
        <v>72133</v>
      </c>
      <c r="E2370">
        <v>64595015</v>
      </c>
      <c r="F2370">
        <v>54249040</v>
      </c>
      <c r="G2370">
        <v>118844055</v>
      </c>
      <c r="H2370">
        <v>29480</v>
      </c>
      <c r="I2370">
        <v>12252</v>
      </c>
      <c r="J2370">
        <v>41732</v>
      </c>
      <c r="K2370" t="b">
        <f>TrafficData[[#This Row],[disposedChallan]]+TrafficData[[#This Row],[pendingChallan]]=TrafficData[[#This Row],[totalChallan]]</f>
        <v>1</v>
      </c>
      <c r="L2370" t="b">
        <f>TrafficData[[#This Row],[pendingAmount]]+TrafficData[[#This Row],[disposedAmount]]=TrafficData[[#This Row],[totalAmount]]</f>
        <v>1</v>
      </c>
      <c r="M2370" t="b">
        <f>TrafficData[[#This Row],[pendingCourt]]+TrafficData[[#This Row],[disposedCourt]]=TrafficData[[#This Row],[totalCourt]]</f>
        <v>1</v>
      </c>
      <c r="N2370" s="8" t="b">
        <f>AND(TrafficData[[#This Row],[disposedChallan]]&lt;=TrafficData[[#This Row],[totalChallan]],TrafficData[[#This Row],[pendingChallan]]&lt;=TrafficData[[#This Row],[totalChallan]])</f>
        <v>1</v>
      </c>
      <c r="O2370" s="8" t="b">
        <f>AND(TrafficData[[#This Row],[pendingAmount]]&lt;=TrafficData[[#This Row],[totalAmount]],TrafficData[[#This Row],[disposedAmount]]&lt;=TrafficData[[#This Row],[totalAmount]])</f>
        <v>1</v>
      </c>
      <c r="P2370" s="8" t="b">
        <f>AND(TrafficData[[#This Row],[pendingCourt]]&lt;=TrafficData[[#This Row],[totalCourt]],TrafficData[[#This Row],[disposedCourt]]&lt;=TrafficData[[#This Row],[totalCourt]])</f>
        <v>1</v>
      </c>
    </row>
    <row r="2371" spans="1:16">
      <c r="A2371" s="1">
        <v>44375</v>
      </c>
      <c r="B2371">
        <v>145237</v>
      </c>
      <c r="C2371">
        <v>66350</v>
      </c>
      <c r="D2371">
        <v>78887</v>
      </c>
      <c r="E2371">
        <v>71872701</v>
      </c>
      <c r="F2371">
        <v>65847667</v>
      </c>
      <c r="G2371">
        <v>137720368</v>
      </c>
      <c r="H2371">
        <v>34715</v>
      </c>
      <c r="I2371">
        <v>14395</v>
      </c>
      <c r="J2371">
        <v>49110</v>
      </c>
      <c r="K2371" t="b">
        <f>TrafficData[[#This Row],[disposedChallan]]+TrafficData[[#This Row],[pendingChallan]]=TrafficData[[#This Row],[totalChallan]]</f>
        <v>1</v>
      </c>
      <c r="L2371" t="b">
        <f>TrafficData[[#This Row],[pendingAmount]]+TrafficData[[#This Row],[disposedAmount]]=TrafficData[[#This Row],[totalAmount]]</f>
        <v>1</v>
      </c>
      <c r="M2371" t="b">
        <f>TrafficData[[#This Row],[pendingCourt]]+TrafficData[[#This Row],[disposedCourt]]=TrafficData[[#This Row],[totalCourt]]</f>
        <v>1</v>
      </c>
      <c r="N2371" s="8" t="b">
        <f>AND(TrafficData[[#This Row],[disposedChallan]]&lt;=TrafficData[[#This Row],[totalChallan]],TrafficData[[#This Row],[pendingChallan]]&lt;=TrafficData[[#This Row],[totalChallan]])</f>
        <v>1</v>
      </c>
      <c r="O2371" s="8" t="b">
        <f>AND(TrafficData[[#This Row],[pendingAmount]]&lt;=TrafficData[[#This Row],[totalAmount]],TrafficData[[#This Row],[disposedAmount]]&lt;=TrafficData[[#This Row],[totalAmount]])</f>
        <v>1</v>
      </c>
      <c r="P2371" s="8" t="b">
        <f>AND(TrafficData[[#This Row],[pendingCourt]]&lt;=TrafficData[[#This Row],[totalCourt]],TrafficData[[#This Row],[disposedCourt]]&lt;=TrafficData[[#This Row],[totalCourt]])</f>
        <v>1</v>
      </c>
    </row>
    <row r="2372" spans="1:16">
      <c r="A2372" s="1">
        <v>44376</v>
      </c>
      <c r="B2372">
        <v>141911</v>
      </c>
      <c r="C2372">
        <v>66623</v>
      </c>
      <c r="D2372">
        <v>75288</v>
      </c>
      <c r="E2372">
        <v>72285567</v>
      </c>
      <c r="F2372">
        <v>68587355</v>
      </c>
      <c r="G2372">
        <v>140872922</v>
      </c>
      <c r="H2372">
        <v>31880</v>
      </c>
      <c r="I2372">
        <v>13838</v>
      </c>
      <c r="J2372">
        <v>45718</v>
      </c>
      <c r="K2372" t="b">
        <f>TrafficData[[#This Row],[disposedChallan]]+TrafficData[[#This Row],[pendingChallan]]=TrafficData[[#This Row],[totalChallan]]</f>
        <v>1</v>
      </c>
      <c r="L2372" t="b">
        <f>TrafficData[[#This Row],[pendingAmount]]+TrafficData[[#This Row],[disposedAmount]]=TrafficData[[#This Row],[totalAmount]]</f>
        <v>1</v>
      </c>
      <c r="M2372" t="b">
        <f>TrafficData[[#This Row],[pendingCourt]]+TrafficData[[#This Row],[disposedCourt]]=TrafficData[[#This Row],[totalCourt]]</f>
        <v>1</v>
      </c>
      <c r="N2372" s="8" t="b">
        <f>AND(TrafficData[[#This Row],[disposedChallan]]&lt;=TrafficData[[#This Row],[totalChallan]],TrafficData[[#This Row],[pendingChallan]]&lt;=TrafficData[[#This Row],[totalChallan]])</f>
        <v>1</v>
      </c>
      <c r="O2372" s="8" t="b">
        <f>AND(TrafficData[[#This Row],[pendingAmount]]&lt;=TrafficData[[#This Row],[totalAmount]],TrafficData[[#This Row],[disposedAmount]]&lt;=TrafficData[[#This Row],[totalAmount]])</f>
        <v>1</v>
      </c>
      <c r="P2372" s="8" t="b">
        <f>AND(TrafficData[[#This Row],[pendingCourt]]&lt;=TrafficData[[#This Row],[totalCourt]],TrafficData[[#This Row],[disposedCourt]]&lt;=TrafficData[[#This Row],[totalCourt]])</f>
        <v>1</v>
      </c>
    </row>
    <row r="2373" spans="1:16">
      <c r="A2373" s="1">
        <v>44377</v>
      </c>
      <c r="B2373">
        <v>135669</v>
      </c>
      <c r="C2373">
        <v>63898</v>
      </c>
      <c r="D2373">
        <v>71771</v>
      </c>
      <c r="E2373">
        <v>71682221</v>
      </c>
      <c r="F2373">
        <v>69347851</v>
      </c>
      <c r="G2373">
        <v>141030072</v>
      </c>
      <c r="H2373">
        <v>31504</v>
      </c>
      <c r="I2373">
        <v>13775</v>
      </c>
      <c r="J2373">
        <v>45279</v>
      </c>
      <c r="K2373" t="b">
        <f>TrafficData[[#This Row],[disposedChallan]]+TrafficData[[#This Row],[pendingChallan]]=TrafficData[[#This Row],[totalChallan]]</f>
        <v>1</v>
      </c>
      <c r="L2373" t="b">
        <f>TrafficData[[#This Row],[pendingAmount]]+TrafficData[[#This Row],[disposedAmount]]=TrafficData[[#This Row],[totalAmount]]</f>
        <v>1</v>
      </c>
      <c r="M2373" t="b">
        <f>TrafficData[[#This Row],[pendingCourt]]+TrafficData[[#This Row],[disposedCourt]]=TrafficData[[#This Row],[totalCourt]]</f>
        <v>1</v>
      </c>
      <c r="N2373" s="8" t="b">
        <f>AND(TrafficData[[#This Row],[disposedChallan]]&lt;=TrafficData[[#This Row],[totalChallan]],TrafficData[[#This Row],[pendingChallan]]&lt;=TrafficData[[#This Row],[totalChallan]])</f>
        <v>1</v>
      </c>
      <c r="O2373" s="8" t="b">
        <f>AND(TrafficData[[#This Row],[pendingAmount]]&lt;=TrafficData[[#This Row],[totalAmount]],TrafficData[[#This Row],[disposedAmount]]&lt;=TrafficData[[#This Row],[totalAmount]])</f>
        <v>1</v>
      </c>
      <c r="P2373" s="8" t="b">
        <f>AND(TrafficData[[#This Row],[pendingCourt]]&lt;=TrafficData[[#This Row],[totalCourt]],TrafficData[[#This Row],[disposedCourt]]&lt;=TrafficData[[#This Row],[totalCourt]])</f>
        <v>1</v>
      </c>
    </row>
    <row r="2374" spans="1:16">
      <c r="A2374" s="1">
        <v>44378</v>
      </c>
      <c r="B2374">
        <v>139752</v>
      </c>
      <c r="C2374">
        <v>66447</v>
      </c>
      <c r="D2374">
        <v>73305</v>
      </c>
      <c r="E2374">
        <v>71096417</v>
      </c>
      <c r="F2374">
        <v>75225530</v>
      </c>
      <c r="G2374">
        <v>146321947</v>
      </c>
      <c r="H2374">
        <v>31117</v>
      </c>
      <c r="I2374">
        <v>14144</v>
      </c>
      <c r="J2374">
        <v>45261</v>
      </c>
      <c r="K2374" t="b">
        <f>TrafficData[[#This Row],[disposedChallan]]+TrafficData[[#This Row],[pendingChallan]]=TrafficData[[#This Row],[totalChallan]]</f>
        <v>1</v>
      </c>
      <c r="L2374" t="b">
        <f>TrafficData[[#This Row],[pendingAmount]]+TrafficData[[#This Row],[disposedAmount]]=TrafficData[[#This Row],[totalAmount]]</f>
        <v>1</v>
      </c>
      <c r="M2374" t="b">
        <f>TrafficData[[#This Row],[pendingCourt]]+TrafficData[[#This Row],[disposedCourt]]=TrafficData[[#This Row],[totalCourt]]</f>
        <v>1</v>
      </c>
      <c r="N2374" s="8" t="b">
        <f>AND(TrafficData[[#This Row],[disposedChallan]]&lt;=TrafficData[[#This Row],[totalChallan]],TrafficData[[#This Row],[pendingChallan]]&lt;=TrafficData[[#This Row],[totalChallan]])</f>
        <v>1</v>
      </c>
      <c r="O2374" s="8" t="b">
        <f>AND(TrafficData[[#This Row],[pendingAmount]]&lt;=TrafficData[[#This Row],[totalAmount]],TrafficData[[#This Row],[disposedAmount]]&lt;=TrafficData[[#This Row],[totalAmount]])</f>
        <v>1</v>
      </c>
      <c r="P2374" s="8" t="b">
        <f>AND(TrafficData[[#This Row],[pendingCourt]]&lt;=TrafficData[[#This Row],[totalCourt]],TrafficData[[#This Row],[disposedCourt]]&lt;=TrafficData[[#This Row],[totalCourt]])</f>
        <v>1</v>
      </c>
    </row>
    <row r="2375" spans="1:16">
      <c r="A2375" s="1">
        <v>44379</v>
      </c>
      <c r="B2375">
        <v>141184</v>
      </c>
      <c r="C2375">
        <v>68030</v>
      </c>
      <c r="D2375">
        <v>73154</v>
      </c>
      <c r="E2375">
        <v>64676341</v>
      </c>
      <c r="F2375">
        <v>74256222</v>
      </c>
      <c r="G2375">
        <v>138932563</v>
      </c>
      <c r="H2375">
        <v>27109</v>
      </c>
      <c r="I2375">
        <v>13177</v>
      </c>
      <c r="J2375">
        <v>40286</v>
      </c>
      <c r="K2375" t="b">
        <f>TrafficData[[#This Row],[disposedChallan]]+TrafficData[[#This Row],[pendingChallan]]=TrafficData[[#This Row],[totalChallan]]</f>
        <v>1</v>
      </c>
      <c r="L2375" t="b">
        <f>TrafficData[[#This Row],[pendingAmount]]+TrafficData[[#This Row],[disposedAmount]]=TrafficData[[#This Row],[totalAmount]]</f>
        <v>1</v>
      </c>
      <c r="M2375" t="b">
        <f>TrafficData[[#This Row],[pendingCourt]]+TrafficData[[#This Row],[disposedCourt]]=TrafficData[[#This Row],[totalCourt]]</f>
        <v>1</v>
      </c>
      <c r="N2375" s="8" t="b">
        <f>AND(TrafficData[[#This Row],[disposedChallan]]&lt;=TrafficData[[#This Row],[totalChallan]],TrafficData[[#This Row],[pendingChallan]]&lt;=TrafficData[[#This Row],[totalChallan]])</f>
        <v>1</v>
      </c>
      <c r="O2375" s="8" t="b">
        <f>AND(TrafficData[[#This Row],[pendingAmount]]&lt;=TrafficData[[#This Row],[totalAmount]],TrafficData[[#This Row],[disposedAmount]]&lt;=TrafficData[[#This Row],[totalAmount]])</f>
        <v>1</v>
      </c>
      <c r="P2375" s="8" t="b">
        <f>AND(TrafficData[[#This Row],[pendingCourt]]&lt;=TrafficData[[#This Row],[totalCourt]],TrafficData[[#This Row],[disposedCourt]]&lt;=TrafficData[[#This Row],[totalCourt]])</f>
        <v>1</v>
      </c>
    </row>
    <row r="2376" spans="1:16">
      <c r="A2376" s="1">
        <v>44380</v>
      </c>
      <c r="B2376">
        <v>142143</v>
      </c>
      <c r="C2376">
        <v>68630</v>
      </c>
      <c r="D2376">
        <v>73513</v>
      </c>
      <c r="E2376">
        <v>61733999</v>
      </c>
      <c r="F2376">
        <v>71906955</v>
      </c>
      <c r="G2376">
        <v>133640954</v>
      </c>
      <c r="H2376">
        <v>27752</v>
      </c>
      <c r="I2376">
        <v>14060</v>
      </c>
      <c r="J2376">
        <v>41812</v>
      </c>
      <c r="K2376" t="b">
        <f>TrafficData[[#This Row],[disposedChallan]]+TrafficData[[#This Row],[pendingChallan]]=TrafficData[[#This Row],[totalChallan]]</f>
        <v>1</v>
      </c>
      <c r="L2376" t="b">
        <f>TrafficData[[#This Row],[pendingAmount]]+TrafficData[[#This Row],[disposedAmount]]=TrafficData[[#This Row],[totalAmount]]</f>
        <v>1</v>
      </c>
      <c r="M2376" t="b">
        <f>TrafficData[[#This Row],[pendingCourt]]+TrafficData[[#This Row],[disposedCourt]]=TrafficData[[#This Row],[totalCourt]]</f>
        <v>1</v>
      </c>
      <c r="N2376" s="8" t="b">
        <f>AND(TrafficData[[#This Row],[disposedChallan]]&lt;=TrafficData[[#This Row],[totalChallan]],TrafficData[[#This Row],[pendingChallan]]&lt;=TrafficData[[#This Row],[totalChallan]])</f>
        <v>1</v>
      </c>
      <c r="O2376" s="8" t="b">
        <f>AND(TrafficData[[#This Row],[pendingAmount]]&lt;=TrafficData[[#This Row],[totalAmount]],TrafficData[[#This Row],[disposedAmount]]&lt;=TrafficData[[#This Row],[totalAmount]])</f>
        <v>1</v>
      </c>
      <c r="P2376" s="8" t="b">
        <f>AND(TrafficData[[#This Row],[pendingCourt]]&lt;=TrafficData[[#This Row],[totalCourt]],TrafficData[[#This Row],[disposedCourt]]&lt;=TrafficData[[#This Row],[totalCourt]])</f>
        <v>1</v>
      </c>
    </row>
    <row r="2377" spans="1:16">
      <c r="A2377" s="1">
        <v>44381</v>
      </c>
      <c r="B2377">
        <v>132989</v>
      </c>
      <c r="C2377">
        <v>58896</v>
      </c>
      <c r="D2377">
        <v>74093</v>
      </c>
      <c r="E2377">
        <v>62354102</v>
      </c>
      <c r="F2377">
        <v>58143758</v>
      </c>
      <c r="G2377">
        <v>120497860</v>
      </c>
      <c r="H2377">
        <v>28104</v>
      </c>
      <c r="I2377">
        <v>13080</v>
      </c>
      <c r="J2377">
        <v>41184</v>
      </c>
      <c r="K2377" t="b">
        <f>TrafficData[[#This Row],[disposedChallan]]+TrafficData[[#This Row],[pendingChallan]]=TrafficData[[#This Row],[totalChallan]]</f>
        <v>1</v>
      </c>
      <c r="L2377" t="b">
        <f>TrafficData[[#This Row],[pendingAmount]]+TrafficData[[#This Row],[disposedAmount]]=TrafficData[[#This Row],[totalAmount]]</f>
        <v>1</v>
      </c>
      <c r="M2377" t="b">
        <f>TrafficData[[#This Row],[pendingCourt]]+TrafficData[[#This Row],[disposedCourt]]=TrafficData[[#This Row],[totalCourt]]</f>
        <v>1</v>
      </c>
      <c r="N2377" s="8" t="b">
        <f>AND(TrafficData[[#This Row],[disposedChallan]]&lt;=TrafficData[[#This Row],[totalChallan]],TrafficData[[#This Row],[pendingChallan]]&lt;=TrafficData[[#This Row],[totalChallan]])</f>
        <v>1</v>
      </c>
      <c r="O2377" s="8" t="b">
        <f>AND(TrafficData[[#This Row],[pendingAmount]]&lt;=TrafficData[[#This Row],[totalAmount]],TrafficData[[#This Row],[disposedAmount]]&lt;=TrafficData[[#This Row],[totalAmount]])</f>
        <v>1</v>
      </c>
      <c r="P2377" s="8" t="b">
        <f>AND(TrafficData[[#This Row],[pendingCourt]]&lt;=TrafficData[[#This Row],[totalCourt]],TrafficData[[#This Row],[disposedCourt]]&lt;=TrafficData[[#This Row],[totalCourt]])</f>
        <v>1</v>
      </c>
    </row>
    <row r="2378" spans="1:16">
      <c r="A2378" s="1">
        <v>44382</v>
      </c>
      <c r="B2378">
        <v>141111</v>
      </c>
      <c r="C2378">
        <v>67705</v>
      </c>
      <c r="D2378">
        <v>73406</v>
      </c>
      <c r="E2378">
        <v>72372874</v>
      </c>
      <c r="F2378">
        <v>69699211</v>
      </c>
      <c r="G2378">
        <v>142072085</v>
      </c>
      <c r="H2378">
        <v>33193</v>
      </c>
      <c r="I2378">
        <v>14542</v>
      </c>
      <c r="J2378">
        <v>47735</v>
      </c>
      <c r="K2378" t="b">
        <f>TrafficData[[#This Row],[disposedChallan]]+TrafficData[[#This Row],[pendingChallan]]=TrafficData[[#This Row],[totalChallan]]</f>
        <v>1</v>
      </c>
      <c r="L2378" t="b">
        <f>TrafficData[[#This Row],[pendingAmount]]+TrafficData[[#This Row],[disposedAmount]]=TrafficData[[#This Row],[totalAmount]]</f>
        <v>1</v>
      </c>
      <c r="M2378" t="b">
        <f>TrafficData[[#This Row],[pendingCourt]]+TrafficData[[#This Row],[disposedCourt]]=TrafficData[[#This Row],[totalCourt]]</f>
        <v>1</v>
      </c>
      <c r="N2378" s="8" t="b">
        <f>AND(TrafficData[[#This Row],[disposedChallan]]&lt;=TrafficData[[#This Row],[totalChallan]],TrafficData[[#This Row],[pendingChallan]]&lt;=TrafficData[[#This Row],[totalChallan]])</f>
        <v>1</v>
      </c>
      <c r="O2378" s="8" t="b">
        <f>AND(TrafficData[[#This Row],[pendingAmount]]&lt;=TrafficData[[#This Row],[totalAmount]],TrafficData[[#This Row],[disposedAmount]]&lt;=TrafficData[[#This Row],[totalAmount]])</f>
        <v>1</v>
      </c>
      <c r="P2378" s="8" t="b">
        <f>AND(TrafficData[[#This Row],[pendingCourt]]&lt;=TrafficData[[#This Row],[totalCourt]],TrafficData[[#This Row],[disposedCourt]]&lt;=TrafficData[[#This Row],[totalCourt]])</f>
        <v>1</v>
      </c>
    </row>
    <row r="2379" spans="1:16">
      <c r="A2379" s="1">
        <v>44383</v>
      </c>
      <c r="B2379">
        <v>138236</v>
      </c>
      <c r="C2379">
        <v>68252</v>
      </c>
      <c r="D2379">
        <v>69984</v>
      </c>
      <c r="E2379">
        <v>71460118</v>
      </c>
      <c r="F2379">
        <v>101407688</v>
      </c>
      <c r="G2379">
        <v>172867806</v>
      </c>
      <c r="H2379">
        <v>33207</v>
      </c>
      <c r="I2379">
        <v>14651</v>
      </c>
      <c r="J2379">
        <v>47858</v>
      </c>
      <c r="K2379" t="b">
        <f>TrafficData[[#This Row],[disposedChallan]]+TrafficData[[#This Row],[pendingChallan]]=TrafficData[[#This Row],[totalChallan]]</f>
        <v>1</v>
      </c>
      <c r="L2379" t="b">
        <f>TrafficData[[#This Row],[pendingAmount]]+TrafficData[[#This Row],[disposedAmount]]=TrafficData[[#This Row],[totalAmount]]</f>
        <v>1</v>
      </c>
      <c r="M2379" t="b">
        <f>TrafficData[[#This Row],[pendingCourt]]+TrafficData[[#This Row],[disposedCourt]]=TrafficData[[#This Row],[totalCourt]]</f>
        <v>1</v>
      </c>
      <c r="N2379" s="8" t="b">
        <f>AND(TrafficData[[#This Row],[disposedChallan]]&lt;=TrafficData[[#This Row],[totalChallan]],TrafficData[[#This Row],[pendingChallan]]&lt;=TrafficData[[#This Row],[totalChallan]])</f>
        <v>1</v>
      </c>
      <c r="O2379" s="8" t="b">
        <f>AND(TrafficData[[#This Row],[pendingAmount]]&lt;=TrafficData[[#This Row],[totalAmount]],TrafficData[[#This Row],[disposedAmount]]&lt;=TrafficData[[#This Row],[totalAmount]])</f>
        <v>1</v>
      </c>
      <c r="P2379" s="8" t="b">
        <f>AND(TrafficData[[#This Row],[pendingCourt]]&lt;=TrafficData[[#This Row],[totalCourt]],TrafficData[[#This Row],[disposedCourt]]&lt;=TrafficData[[#This Row],[totalCourt]])</f>
        <v>1</v>
      </c>
    </row>
    <row r="2380" spans="1:16">
      <c r="A2380" s="1">
        <v>44384</v>
      </c>
      <c r="B2380">
        <v>137263</v>
      </c>
      <c r="C2380">
        <v>69063</v>
      </c>
      <c r="D2380">
        <v>68200</v>
      </c>
      <c r="E2380">
        <v>75275160</v>
      </c>
      <c r="F2380">
        <v>78209366</v>
      </c>
      <c r="G2380">
        <v>153484526</v>
      </c>
      <c r="H2380">
        <v>33412</v>
      </c>
      <c r="I2380">
        <v>15009</v>
      </c>
      <c r="J2380">
        <v>48421</v>
      </c>
      <c r="K2380" t="b">
        <f>TrafficData[[#This Row],[disposedChallan]]+TrafficData[[#This Row],[pendingChallan]]=TrafficData[[#This Row],[totalChallan]]</f>
        <v>1</v>
      </c>
      <c r="L2380" t="b">
        <f>TrafficData[[#This Row],[pendingAmount]]+TrafficData[[#This Row],[disposedAmount]]=TrafficData[[#This Row],[totalAmount]]</f>
        <v>1</v>
      </c>
      <c r="M2380" t="b">
        <f>TrafficData[[#This Row],[pendingCourt]]+TrafficData[[#This Row],[disposedCourt]]=TrafficData[[#This Row],[totalCourt]]</f>
        <v>1</v>
      </c>
      <c r="N2380" s="8" t="b">
        <f>AND(TrafficData[[#This Row],[disposedChallan]]&lt;=TrafficData[[#This Row],[totalChallan]],TrafficData[[#This Row],[pendingChallan]]&lt;=TrafficData[[#This Row],[totalChallan]])</f>
        <v>1</v>
      </c>
      <c r="O2380" s="8" t="b">
        <f>AND(TrafficData[[#This Row],[pendingAmount]]&lt;=TrafficData[[#This Row],[totalAmount]],TrafficData[[#This Row],[disposedAmount]]&lt;=TrafficData[[#This Row],[totalAmount]])</f>
        <v>1</v>
      </c>
      <c r="P2380" s="8" t="b">
        <f>AND(TrafficData[[#This Row],[pendingCourt]]&lt;=TrafficData[[#This Row],[totalCourt]],TrafficData[[#This Row],[disposedCourt]]&lt;=TrafficData[[#This Row],[totalCourt]])</f>
        <v>1</v>
      </c>
    </row>
    <row r="2381" spans="1:16">
      <c r="A2381" s="1">
        <v>44385</v>
      </c>
      <c r="B2381">
        <v>136323</v>
      </c>
      <c r="C2381">
        <v>66304</v>
      </c>
      <c r="D2381">
        <v>70019</v>
      </c>
      <c r="E2381">
        <v>69041317</v>
      </c>
      <c r="F2381">
        <v>78200198</v>
      </c>
      <c r="G2381">
        <v>147241515</v>
      </c>
      <c r="H2381">
        <v>29249</v>
      </c>
      <c r="I2381">
        <v>12996</v>
      </c>
      <c r="J2381">
        <v>42245</v>
      </c>
      <c r="K2381" t="b">
        <f>TrafficData[[#This Row],[disposedChallan]]+TrafficData[[#This Row],[pendingChallan]]=TrafficData[[#This Row],[totalChallan]]</f>
        <v>1</v>
      </c>
      <c r="L2381" t="b">
        <f>TrafficData[[#This Row],[pendingAmount]]+TrafficData[[#This Row],[disposedAmount]]=TrafficData[[#This Row],[totalAmount]]</f>
        <v>1</v>
      </c>
      <c r="M2381" t="b">
        <f>TrafficData[[#This Row],[pendingCourt]]+TrafficData[[#This Row],[disposedCourt]]=TrafficData[[#This Row],[totalCourt]]</f>
        <v>1</v>
      </c>
      <c r="N2381" s="8" t="b">
        <f>AND(TrafficData[[#This Row],[disposedChallan]]&lt;=TrafficData[[#This Row],[totalChallan]],TrafficData[[#This Row],[pendingChallan]]&lt;=TrafficData[[#This Row],[totalChallan]])</f>
        <v>1</v>
      </c>
      <c r="O2381" s="8" t="b">
        <f>AND(TrafficData[[#This Row],[pendingAmount]]&lt;=TrafficData[[#This Row],[totalAmount]],TrafficData[[#This Row],[disposedAmount]]&lt;=TrafficData[[#This Row],[totalAmount]])</f>
        <v>1</v>
      </c>
      <c r="P2381" s="8" t="b">
        <f>AND(TrafficData[[#This Row],[pendingCourt]]&lt;=TrafficData[[#This Row],[totalCourt]],TrafficData[[#This Row],[disposedCourt]]&lt;=TrafficData[[#This Row],[totalCourt]])</f>
        <v>1</v>
      </c>
    </row>
    <row r="2382" spans="1:16">
      <c r="A2382" s="1">
        <v>44386</v>
      </c>
      <c r="B2382">
        <v>148716</v>
      </c>
      <c r="C2382">
        <v>72301</v>
      </c>
      <c r="D2382">
        <v>76415</v>
      </c>
      <c r="E2382">
        <v>73959758</v>
      </c>
      <c r="F2382">
        <v>78644538</v>
      </c>
      <c r="G2382">
        <v>152604296</v>
      </c>
      <c r="H2382">
        <v>31740</v>
      </c>
      <c r="I2382">
        <v>14618</v>
      </c>
      <c r="J2382">
        <v>46358</v>
      </c>
      <c r="K2382" t="b">
        <f>TrafficData[[#This Row],[disposedChallan]]+TrafficData[[#This Row],[pendingChallan]]=TrafficData[[#This Row],[totalChallan]]</f>
        <v>1</v>
      </c>
      <c r="L2382" t="b">
        <f>TrafficData[[#This Row],[pendingAmount]]+TrafficData[[#This Row],[disposedAmount]]=TrafficData[[#This Row],[totalAmount]]</f>
        <v>1</v>
      </c>
      <c r="M2382" t="b">
        <f>TrafficData[[#This Row],[pendingCourt]]+TrafficData[[#This Row],[disposedCourt]]=TrafficData[[#This Row],[totalCourt]]</f>
        <v>1</v>
      </c>
      <c r="N2382" s="8" t="b">
        <f>AND(TrafficData[[#This Row],[disposedChallan]]&lt;=TrafficData[[#This Row],[totalChallan]],TrafficData[[#This Row],[pendingChallan]]&lt;=TrafficData[[#This Row],[totalChallan]])</f>
        <v>1</v>
      </c>
      <c r="O2382" s="8" t="b">
        <f>AND(TrafficData[[#This Row],[pendingAmount]]&lt;=TrafficData[[#This Row],[totalAmount]],TrafficData[[#This Row],[disposedAmount]]&lt;=TrafficData[[#This Row],[totalAmount]])</f>
        <v>1</v>
      </c>
      <c r="P2382" s="8" t="b">
        <f>AND(TrafficData[[#This Row],[pendingCourt]]&lt;=TrafficData[[#This Row],[totalCourt]],TrafficData[[#This Row],[disposedCourt]]&lt;=TrafficData[[#This Row],[totalCourt]])</f>
        <v>1</v>
      </c>
    </row>
    <row r="2383" spans="1:16">
      <c r="A2383" s="1">
        <v>44387</v>
      </c>
      <c r="B2383">
        <v>141609</v>
      </c>
      <c r="C2383">
        <v>69484</v>
      </c>
      <c r="D2383">
        <v>72125</v>
      </c>
      <c r="E2383">
        <v>66209373</v>
      </c>
      <c r="F2383">
        <v>72185009</v>
      </c>
      <c r="G2383">
        <v>138394382</v>
      </c>
      <c r="H2383">
        <v>27931</v>
      </c>
      <c r="I2383">
        <v>13369</v>
      </c>
      <c r="J2383">
        <v>41300</v>
      </c>
      <c r="K2383" t="b">
        <f>TrafficData[[#This Row],[disposedChallan]]+TrafficData[[#This Row],[pendingChallan]]=TrafficData[[#This Row],[totalChallan]]</f>
        <v>1</v>
      </c>
      <c r="L2383" t="b">
        <f>TrafficData[[#This Row],[pendingAmount]]+TrafficData[[#This Row],[disposedAmount]]=TrafficData[[#This Row],[totalAmount]]</f>
        <v>1</v>
      </c>
      <c r="M2383" t="b">
        <f>TrafficData[[#This Row],[pendingCourt]]+TrafficData[[#This Row],[disposedCourt]]=TrafficData[[#This Row],[totalCourt]]</f>
        <v>1</v>
      </c>
      <c r="N2383" s="8" t="b">
        <f>AND(TrafficData[[#This Row],[disposedChallan]]&lt;=TrafficData[[#This Row],[totalChallan]],TrafficData[[#This Row],[pendingChallan]]&lt;=TrafficData[[#This Row],[totalChallan]])</f>
        <v>1</v>
      </c>
      <c r="O2383" s="8" t="b">
        <f>AND(TrafficData[[#This Row],[pendingAmount]]&lt;=TrafficData[[#This Row],[totalAmount]],TrafficData[[#This Row],[disposedAmount]]&lt;=TrafficData[[#This Row],[totalAmount]])</f>
        <v>1</v>
      </c>
      <c r="P2383" s="8" t="b">
        <f>AND(TrafficData[[#This Row],[pendingCourt]]&lt;=TrafficData[[#This Row],[totalCourt]],TrafficData[[#This Row],[disposedCourt]]&lt;=TrafficData[[#This Row],[totalCourt]])</f>
        <v>1</v>
      </c>
    </row>
    <row r="2384" spans="1:16">
      <c r="A2384" s="1">
        <v>44388</v>
      </c>
      <c r="B2384">
        <v>130879</v>
      </c>
      <c r="C2384">
        <v>60080</v>
      </c>
      <c r="D2384">
        <v>70799</v>
      </c>
      <c r="E2384">
        <v>62328701</v>
      </c>
      <c r="F2384">
        <v>57283902</v>
      </c>
      <c r="G2384">
        <v>119612603</v>
      </c>
      <c r="H2384">
        <v>28755</v>
      </c>
      <c r="I2384">
        <v>13093</v>
      </c>
      <c r="J2384">
        <v>41848</v>
      </c>
      <c r="K2384" t="b">
        <f>TrafficData[[#This Row],[disposedChallan]]+TrafficData[[#This Row],[pendingChallan]]=TrafficData[[#This Row],[totalChallan]]</f>
        <v>1</v>
      </c>
      <c r="L2384" t="b">
        <f>TrafficData[[#This Row],[pendingAmount]]+TrafficData[[#This Row],[disposedAmount]]=TrafficData[[#This Row],[totalAmount]]</f>
        <v>1</v>
      </c>
      <c r="M2384" t="b">
        <f>TrafficData[[#This Row],[pendingCourt]]+TrafficData[[#This Row],[disposedCourt]]=TrafficData[[#This Row],[totalCourt]]</f>
        <v>1</v>
      </c>
      <c r="N2384" s="8" t="b">
        <f>AND(TrafficData[[#This Row],[disposedChallan]]&lt;=TrafficData[[#This Row],[totalChallan]],TrafficData[[#This Row],[pendingChallan]]&lt;=TrafficData[[#This Row],[totalChallan]])</f>
        <v>1</v>
      </c>
      <c r="O2384" s="8" t="b">
        <f>AND(TrafficData[[#This Row],[pendingAmount]]&lt;=TrafficData[[#This Row],[totalAmount]],TrafficData[[#This Row],[disposedAmount]]&lt;=TrafficData[[#This Row],[totalAmount]])</f>
        <v>1</v>
      </c>
      <c r="P2384" s="8" t="b">
        <f>AND(TrafficData[[#This Row],[pendingCourt]]&lt;=TrafficData[[#This Row],[totalCourt]],TrafficData[[#This Row],[disposedCourt]]&lt;=TrafficData[[#This Row],[totalCourt]])</f>
        <v>1</v>
      </c>
    </row>
    <row r="2385" spans="1:16">
      <c r="A2385" s="1">
        <v>44389</v>
      </c>
      <c r="B2385">
        <v>144533</v>
      </c>
      <c r="C2385">
        <v>69449</v>
      </c>
      <c r="D2385">
        <v>75084</v>
      </c>
      <c r="E2385">
        <v>70162218</v>
      </c>
      <c r="F2385">
        <v>68656930</v>
      </c>
      <c r="G2385">
        <v>138819148</v>
      </c>
      <c r="H2385">
        <v>32519</v>
      </c>
      <c r="I2385">
        <v>15711</v>
      </c>
      <c r="J2385">
        <v>48230</v>
      </c>
      <c r="K2385" t="b">
        <f>TrafficData[[#This Row],[disposedChallan]]+TrafficData[[#This Row],[pendingChallan]]=TrafficData[[#This Row],[totalChallan]]</f>
        <v>1</v>
      </c>
      <c r="L2385" t="b">
        <f>TrafficData[[#This Row],[pendingAmount]]+TrafficData[[#This Row],[disposedAmount]]=TrafficData[[#This Row],[totalAmount]]</f>
        <v>1</v>
      </c>
      <c r="M2385" t="b">
        <f>TrafficData[[#This Row],[pendingCourt]]+TrafficData[[#This Row],[disposedCourt]]=TrafficData[[#This Row],[totalCourt]]</f>
        <v>1</v>
      </c>
      <c r="N2385" s="8" t="b">
        <f>AND(TrafficData[[#This Row],[disposedChallan]]&lt;=TrafficData[[#This Row],[totalChallan]],TrafficData[[#This Row],[pendingChallan]]&lt;=TrafficData[[#This Row],[totalChallan]])</f>
        <v>1</v>
      </c>
      <c r="O2385" s="8" t="b">
        <f>AND(TrafficData[[#This Row],[pendingAmount]]&lt;=TrafficData[[#This Row],[totalAmount]],TrafficData[[#This Row],[disposedAmount]]&lt;=TrafficData[[#This Row],[totalAmount]])</f>
        <v>1</v>
      </c>
      <c r="P2385" s="8" t="b">
        <f>AND(TrafficData[[#This Row],[pendingCourt]]&lt;=TrafficData[[#This Row],[totalCourt]],TrafficData[[#This Row],[disposedCourt]]&lt;=TrafficData[[#This Row],[totalCourt]])</f>
        <v>1</v>
      </c>
    </row>
    <row r="2386" spans="1:16">
      <c r="A2386" s="1">
        <v>44390</v>
      </c>
      <c r="B2386">
        <v>142102</v>
      </c>
      <c r="C2386">
        <v>67760</v>
      </c>
      <c r="D2386">
        <v>74342</v>
      </c>
      <c r="E2386">
        <v>67397280</v>
      </c>
      <c r="F2386">
        <v>113769361</v>
      </c>
      <c r="G2386">
        <v>181166641</v>
      </c>
      <c r="H2386">
        <v>30608</v>
      </c>
      <c r="I2386">
        <v>13191</v>
      </c>
      <c r="J2386">
        <v>43799</v>
      </c>
      <c r="K2386" t="b">
        <f>TrafficData[[#This Row],[disposedChallan]]+TrafficData[[#This Row],[pendingChallan]]=TrafficData[[#This Row],[totalChallan]]</f>
        <v>1</v>
      </c>
      <c r="L2386" t="b">
        <f>TrafficData[[#This Row],[pendingAmount]]+TrafficData[[#This Row],[disposedAmount]]=TrafficData[[#This Row],[totalAmount]]</f>
        <v>1</v>
      </c>
      <c r="M2386" t="b">
        <f>TrafficData[[#This Row],[pendingCourt]]+TrafficData[[#This Row],[disposedCourt]]=TrafficData[[#This Row],[totalCourt]]</f>
        <v>1</v>
      </c>
      <c r="N2386" s="8" t="b">
        <f>AND(TrafficData[[#This Row],[disposedChallan]]&lt;=TrafficData[[#This Row],[totalChallan]],TrafficData[[#This Row],[pendingChallan]]&lt;=TrafficData[[#This Row],[totalChallan]])</f>
        <v>1</v>
      </c>
      <c r="O2386" s="8" t="b">
        <f>AND(TrafficData[[#This Row],[pendingAmount]]&lt;=TrafficData[[#This Row],[totalAmount]],TrafficData[[#This Row],[disposedAmount]]&lt;=TrafficData[[#This Row],[totalAmount]])</f>
        <v>1</v>
      </c>
      <c r="P2386" s="8" t="b">
        <f>AND(TrafficData[[#This Row],[pendingCourt]]&lt;=TrafficData[[#This Row],[totalCourt]],TrafficData[[#This Row],[disposedCourt]]&lt;=TrafficData[[#This Row],[totalCourt]])</f>
        <v>1</v>
      </c>
    </row>
    <row r="2387" spans="1:16">
      <c r="A2387" s="1">
        <v>44391</v>
      </c>
      <c r="B2387">
        <v>134291</v>
      </c>
      <c r="C2387">
        <v>66834</v>
      </c>
      <c r="D2387">
        <v>67457</v>
      </c>
      <c r="E2387">
        <v>59424683</v>
      </c>
      <c r="F2387">
        <v>77018754</v>
      </c>
      <c r="G2387">
        <v>136443437</v>
      </c>
      <c r="H2387">
        <v>25726</v>
      </c>
      <c r="I2387">
        <v>11255</v>
      </c>
      <c r="J2387">
        <v>36981</v>
      </c>
      <c r="K2387" t="b">
        <f>TrafficData[[#This Row],[disposedChallan]]+TrafficData[[#This Row],[pendingChallan]]=TrafficData[[#This Row],[totalChallan]]</f>
        <v>1</v>
      </c>
      <c r="L2387" t="b">
        <f>TrafficData[[#This Row],[pendingAmount]]+TrafficData[[#This Row],[disposedAmount]]=TrafficData[[#This Row],[totalAmount]]</f>
        <v>1</v>
      </c>
      <c r="M2387" t="b">
        <f>TrafficData[[#This Row],[pendingCourt]]+TrafficData[[#This Row],[disposedCourt]]=TrafficData[[#This Row],[totalCourt]]</f>
        <v>1</v>
      </c>
      <c r="N2387" s="8" t="b">
        <f>AND(TrafficData[[#This Row],[disposedChallan]]&lt;=TrafficData[[#This Row],[totalChallan]],TrafficData[[#This Row],[pendingChallan]]&lt;=TrafficData[[#This Row],[totalChallan]])</f>
        <v>1</v>
      </c>
      <c r="O2387" s="8" t="b">
        <f>AND(TrafficData[[#This Row],[pendingAmount]]&lt;=TrafficData[[#This Row],[totalAmount]],TrafficData[[#This Row],[disposedAmount]]&lt;=TrafficData[[#This Row],[totalAmount]])</f>
        <v>1</v>
      </c>
      <c r="P2387" s="8" t="b">
        <f>AND(TrafficData[[#This Row],[pendingCourt]]&lt;=TrafficData[[#This Row],[totalCourt]],TrafficData[[#This Row],[disposedCourt]]&lt;=TrafficData[[#This Row],[totalCourt]])</f>
        <v>1</v>
      </c>
    </row>
    <row r="2388" spans="1:16">
      <c r="A2388" s="1">
        <v>44392</v>
      </c>
      <c r="B2388">
        <v>134029</v>
      </c>
      <c r="C2388">
        <v>67077</v>
      </c>
      <c r="D2388">
        <v>66952</v>
      </c>
      <c r="E2388">
        <v>62775072</v>
      </c>
      <c r="F2388">
        <v>74697408</v>
      </c>
      <c r="G2388">
        <v>137472480</v>
      </c>
      <c r="H2388">
        <v>27452</v>
      </c>
      <c r="I2388">
        <v>12523</v>
      </c>
      <c r="J2388">
        <v>39975</v>
      </c>
      <c r="K2388" t="b">
        <f>TrafficData[[#This Row],[disposedChallan]]+TrafficData[[#This Row],[pendingChallan]]=TrafficData[[#This Row],[totalChallan]]</f>
        <v>1</v>
      </c>
      <c r="L2388" t="b">
        <f>TrafficData[[#This Row],[pendingAmount]]+TrafficData[[#This Row],[disposedAmount]]=TrafficData[[#This Row],[totalAmount]]</f>
        <v>1</v>
      </c>
      <c r="M2388" t="b">
        <f>TrafficData[[#This Row],[pendingCourt]]+TrafficData[[#This Row],[disposedCourt]]=TrafficData[[#This Row],[totalCourt]]</f>
        <v>1</v>
      </c>
      <c r="N2388" s="8" t="b">
        <f>AND(TrafficData[[#This Row],[disposedChallan]]&lt;=TrafficData[[#This Row],[totalChallan]],TrafficData[[#This Row],[pendingChallan]]&lt;=TrafficData[[#This Row],[totalChallan]])</f>
        <v>1</v>
      </c>
      <c r="O2388" s="8" t="b">
        <f>AND(TrafficData[[#This Row],[pendingAmount]]&lt;=TrafficData[[#This Row],[totalAmount]],TrafficData[[#This Row],[disposedAmount]]&lt;=TrafficData[[#This Row],[totalAmount]])</f>
        <v>1</v>
      </c>
      <c r="P2388" s="8" t="b">
        <f>AND(TrafficData[[#This Row],[pendingCourt]]&lt;=TrafficData[[#This Row],[totalCourt]],TrafficData[[#This Row],[disposedCourt]]&lt;=TrafficData[[#This Row],[totalCourt]])</f>
        <v>1</v>
      </c>
    </row>
    <row r="2389" spans="1:16">
      <c r="A2389" s="1">
        <v>44393</v>
      </c>
      <c r="B2389">
        <v>139022</v>
      </c>
      <c r="C2389">
        <v>69202</v>
      </c>
      <c r="D2389">
        <v>69820</v>
      </c>
      <c r="E2389">
        <v>65080143</v>
      </c>
      <c r="F2389">
        <v>69356289</v>
      </c>
      <c r="G2389">
        <v>134436432</v>
      </c>
      <c r="H2389">
        <v>29590</v>
      </c>
      <c r="I2389">
        <v>13733</v>
      </c>
      <c r="J2389">
        <v>43323</v>
      </c>
      <c r="K2389" t="b">
        <f>TrafficData[[#This Row],[disposedChallan]]+TrafficData[[#This Row],[pendingChallan]]=TrafficData[[#This Row],[totalChallan]]</f>
        <v>1</v>
      </c>
      <c r="L2389" t="b">
        <f>TrafficData[[#This Row],[pendingAmount]]+TrafficData[[#This Row],[disposedAmount]]=TrafficData[[#This Row],[totalAmount]]</f>
        <v>1</v>
      </c>
      <c r="M2389" t="b">
        <f>TrafficData[[#This Row],[pendingCourt]]+TrafficData[[#This Row],[disposedCourt]]=TrafficData[[#This Row],[totalCourt]]</f>
        <v>1</v>
      </c>
      <c r="N2389" s="8" t="b">
        <f>AND(TrafficData[[#This Row],[disposedChallan]]&lt;=TrafficData[[#This Row],[totalChallan]],TrafficData[[#This Row],[pendingChallan]]&lt;=TrafficData[[#This Row],[totalChallan]])</f>
        <v>1</v>
      </c>
      <c r="O2389" s="8" t="b">
        <f>AND(TrafficData[[#This Row],[pendingAmount]]&lt;=TrafficData[[#This Row],[totalAmount]],TrafficData[[#This Row],[disposedAmount]]&lt;=TrafficData[[#This Row],[totalAmount]])</f>
        <v>1</v>
      </c>
      <c r="P2389" s="8" t="b">
        <f>AND(TrafficData[[#This Row],[pendingCourt]]&lt;=TrafficData[[#This Row],[totalCourt]],TrafficData[[#This Row],[disposedCourt]]&lt;=TrafficData[[#This Row],[totalCourt]])</f>
        <v>1</v>
      </c>
    </row>
    <row r="2390" spans="1:16">
      <c r="A2390" s="1">
        <v>44394</v>
      </c>
      <c r="B2390">
        <v>138367</v>
      </c>
      <c r="C2390">
        <v>68483</v>
      </c>
      <c r="D2390">
        <v>69884</v>
      </c>
      <c r="E2390">
        <v>64611042</v>
      </c>
      <c r="F2390">
        <v>71973302</v>
      </c>
      <c r="G2390">
        <v>136584344</v>
      </c>
      <c r="H2390">
        <v>28562</v>
      </c>
      <c r="I2390">
        <v>13018</v>
      </c>
      <c r="J2390">
        <v>41580</v>
      </c>
      <c r="K2390" t="b">
        <f>TrafficData[[#This Row],[disposedChallan]]+TrafficData[[#This Row],[pendingChallan]]=TrafficData[[#This Row],[totalChallan]]</f>
        <v>1</v>
      </c>
      <c r="L2390" t="b">
        <f>TrafficData[[#This Row],[pendingAmount]]+TrafficData[[#This Row],[disposedAmount]]=TrafficData[[#This Row],[totalAmount]]</f>
        <v>1</v>
      </c>
      <c r="M2390" t="b">
        <f>TrafficData[[#This Row],[pendingCourt]]+TrafficData[[#This Row],[disposedCourt]]=TrafficData[[#This Row],[totalCourt]]</f>
        <v>1</v>
      </c>
      <c r="N2390" s="8" t="b">
        <f>AND(TrafficData[[#This Row],[disposedChallan]]&lt;=TrafficData[[#This Row],[totalChallan]],TrafficData[[#This Row],[pendingChallan]]&lt;=TrafficData[[#This Row],[totalChallan]])</f>
        <v>1</v>
      </c>
      <c r="O2390" s="8" t="b">
        <f>AND(TrafficData[[#This Row],[pendingAmount]]&lt;=TrafficData[[#This Row],[totalAmount]],TrafficData[[#This Row],[disposedAmount]]&lt;=TrafficData[[#This Row],[totalAmount]])</f>
        <v>1</v>
      </c>
      <c r="P2390" s="8" t="b">
        <f>AND(TrafficData[[#This Row],[pendingCourt]]&lt;=TrafficData[[#This Row],[totalCourt]],TrafficData[[#This Row],[disposedCourt]]&lt;=TrafficData[[#This Row],[totalCourt]])</f>
        <v>1</v>
      </c>
    </row>
    <row r="2391" spans="1:16">
      <c r="A2391" s="1">
        <v>44395</v>
      </c>
      <c r="B2391">
        <v>128428</v>
      </c>
      <c r="C2391">
        <v>59461</v>
      </c>
      <c r="D2391">
        <v>68967</v>
      </c>
      <c r="E2391">
        <v>55254326</v>
      </c>
      <c r="F2391">
        <v>52928324</v>
      </c>
      <c r="G2391">
        <v>108182650</v>
      </c>
      <c r="H2391">
        <v>25511</v>
      </c>
      <c r="I2391">
        <v>11777</v>
      </c>
      <c r="J2391">
        <v>37288</v>
      </c>
      <c r="K2391" t="b">
        <f>TrafficData[[#This Row],[disposedChallan]]+TrafficData[[#This Row],[pendingChallan]]=TrafficData[[#This Row],[totalChallan]]</f>
        <v>1</v>
      </c>
      <c r="L2391" t="b">
        <f>TrafficData[[#This Row],[pendingAmount]]+TrafficData[[#This Row],[disposedAmount]]=TrafficData[[#This Row],[totalAmount]]</f>
        <v>1</v>
      </c>
      <c r="M2391" t="b">
        <f>TrafficData[[#This Row],[pendingCourt]]+TrafficData[[#This Row],[disposedCourt]]=TrafficData[[#This Row],[totalCourt]]</f>
        <v>1</v>
      </c>
      <c r="N2391" s="8" t="b">
        <f>AND(TrafficData[[#This Row],[disposedChallan]]&lt;=TrafficData[[#This Row],[totalChallan]],TrafficData[[#This Row],[pendingChallan]]&lt;=TrafficData[[#This Row],[totalChallan]])</f>
        <v>1</v>
      </c>
      <c r="O2391" s="8" t="b">
        <f>AND(TrafficData[[#This Row],[pendingAmount]]&lt;=TrafficData[[#This Row],[totalAmount]],TrafficData[[#This Row],[disposedAmount]]&lt;=TrafficData[[#This Row],[totalAmount]])</f>
        <v>1</v>
      </c>
      <c r="P2391" s="8" t="b">
        <f>AND(TrafficData[[#This Row],[pendingCourt]]&lt;=TrafficData[[#This Row],[totalCourt]],TrafficData[[#This Row],[disposedCourt]]&lt;=TrafficData[[#This Row],[totalCourt]])</f>
        <v>1</v>
      </c>
    </row>
    <row r="2392" spans="1:16">
      <c r="A2392" s="1">
        <v>44396</v>
      </c>
      <c r="B2392">
        <v>133589</v>
      </c>
      <c r="C2392">
        <v>65024</v>
      </c>
      <c r="D2392">
        <v>68565</v>
      </c>
      <c r="E2392">
        <v>50104065</v>
      </c>
      <c r="F2392">
        <v>59555850</v>
      </c>
      <c r="G2392">
        <v>109659915</v>
      </c>
      <c r="H2392">
        <v>24310</v>
      </c>
      <c r="I2392">
        <v>11048</v>
      </c>
      <c r="J2392">
        <v>35358</v>
      </c>
      <c r="K2392" t="b">
        <f>TrafficData[[#This Row],[disposedChallan]]+TrafficData[[#This Row],[pendingChallan]]=TrafficData[[#This Row],[totalChallan]]</f>
        <v>1</v>
      </c>
      <c r="L2392" t="b">
        <f>TrafficData[[#This Row],[pendingAmount]]+TrafficData[[#This Row],[disposedAmount]]=TrafficData[[#This Row],[totalAmount]]</f>
        <v>1</v>
      </c>
      <c r="M2392" t="b">
        <f>TrafficData[[#This Row],[pendingCourt]]+TrafficData[[#This Row],[disposedCourt]]=TrafficData[[#This Row],[totalCourt]]</f>
        <v>1</v>
      </c>
      <c r="N2392" s="8" t="b">
        <f>AND(TrafficData[[#This Row],[disposedChallan]]&lt;=TrafficData[[#This Row],[totalChallan]],TrafficData[[#This Row],[pendingChallan]]&lt;=TrafficData[[#This Row],[totalChallan]])</f>
        <v>1</v>
      </c>
      <c r="O2392" s="8" t="b">
        <f>AND(TrafficData[[#This Row],[pendingAmount]]&lt;=TrafficData[[#This Row],[totalAmount]],TrafficData[[#This Row],[disposedAmount]]&lt;=TrafficData[[#This Row],[totalAmount]])</f>
        <v>1</v>
      </c>
      <c r="P2392" s="8" t="b">
        <f>AND(TrafficData[[#This Row],[pendingCourt]]&lt;=TrafficData[[#This Row],[totalCourt]],TrafficData[[#This Row],[disposedCourt]]&lt;=TrafficData[[#This Row],[totalCourt]])</f>
        <v>1</v>
      </c>
    </row>
    <row r="2393" spans="1:16">
      <c r="A2393" s="1">
        <v>44397</v>
      </c>
      <c r="B2393">
        <v>135870</v>
      </c>
      <c r="C2393">
        <v>67320</v>
      </c>
      <c r="D2393">
        <v>68550</v>
      </c>
      <c r="E2393">
        <v>58505299</v>
      </c>
      <c r="F2393">
        <v>66574635</v>
      </c>
      <c r="G2393">
        <v>125079934</v>
      </c>
      <c r="H2393">
        <v>25676</v>
      </c>
      <c r="I2393">
        <v>11763</v>
      </c>
      <c r="J2393">
        <v>37439</v>
      </c>
      <c r="K2393" t="b">
        <f>TrafficData[[#This Row],[disposedChallan]]+TrafficData[[#This Row],[pendingChallan]]=TrafficData[[#This Row],[totalChallan]]</f>
        <v>1</v>
      </c>
      <c r="L2393" t="b">
        <f>TrafficData[[#This Row],[pendingAmount]]+TrafficData[[#This Row],[disposedAmount]]=TrafficData[[#This Row],[totalAmount]]</f>
        <v>1</v>
      </c>
      <c r="M2393" t="b">
        <f>TrafficData[[#This Row],[pendingCourt]]+TrafficData[[#This Row],[disposedCourt]]=TrafficData[[#This Row],[totalCourt]]</f>
        <v>1</v>
      </c>
      <c r="N2393" s="8" t="b">
        <f>AND(TrafficData[[#This Row],[disposedChallan]]&lt;=TrafficData[[#This Row],[totalChallan]],TrafficData[[#This Row],[pendingChallan]]&lt;=TrafficData[[#This Row],[totalChallan]])</f>
        <v>1</v>
      </c>
      <c r="O2393" s="8" t="b">
        <f>AND(TrafficData[[#This Row],[pendingAmount]]&lt;=TrafficData[[#This Row],[totalAmount]],TrafficData[[#This Row],[disposedAmount]]&lt;=TrafficData[[#This Row],[totalAmount]])</f>
        <v>1</v>
      </c>
      <c r="P2393" s="8" t="b">
        <f>AND(TrafficData[[#This Row],[pendingCourt]]&lt;=TrafficData[[#This Row],[totalCourt]],TrafficData[[#This Row],[disposedCourt]]&lt;=TrafficData[[#This Row],[totalCourt]])</f>
        <v>1</v>
      </c>
    </row>
    <row r="2394" spans="1:16">
      <c r="A2394" s="1">
        <v>44398</v>
      </c>
      <c r="B2394">
        <v>129693</v>
      </c>
      <c r="C2394">
        <v>63405</v>
      </c>
      <c r="D2394">
        <v>66288</v>
      </c>
      <c r="E2394">
        <v>57653031</v>
      </c>
      <c r="F2394">
        <v>57955206</v>
      </c>
      <c r="G2394">
        <v>115608237</v>
      </c>
      <c r="H2394">
        <v>26058</v>
      </c>
      <c r="I2394">
        <v>12048</v>
      </c>
      <c r="J2394">
        <v>38106</v>
      </c>
      <c r="K2394" t="b">
        <f>TrafficData[[#This Row],[disposedChallan]]+TrafficData[[#This Row],[pendingChallan]]=TrafficData[[#This Row],[totalChallan]]</f>
        <v>1</v>
      </c>
      <c r="L2394" t="b">
        <f>TrafficData[[#This Row],[pendingAmount]]+TrafficData[[#This Row],[disposedAmount]]=TrafficData[[#This Row],[totalAmount]]</f>
        <v>1</v>
      </c>
      <c r="M2394" t="b">
        <f>TrafficData[[#This Row],[pendingCourt]]+TrafficData[[#This Row],[disposedCourt]]=TrafficData[[#This Row],[totalCourt]]</f>
        <v>1</v>
      </c>
      <c r="N2394" s="8" t="b">
        <f>AND(TrafficData[[#This Row],[disposedChallan]]&lt;=TrafficData[[#This Row],[totalChallan]],TrafficData[[#This Row],[pendingChallan]]&lt;=TrafficData[[#This Row],[totalChallan]])</f>
        <v>1</v>
      </c>
      <c r="O2394" s="8" t="b">
        <f>AND(TrafficData[[#This Row],[pendingAmount]]&lt;=TrafficData[[#This Row],[totalAmount]],TrafficData[[#This Row],[disposedAmount]]&lt;=TrafficData[[#This Row],[totalAmount]])</f>
        <v>1</v>
      </c>
      <c r="P2394" s="8" t="b">
        <f>AND(TrafficData[[#This Row],[pendingCourt]]&lt;=TrafficData[[#This Row],[totalCourt]],TrafficData[[#This Row],[disposedCourt]]&lt;=TrafficData[[#This Row],[totalCourt]])</f>
        <v>1</v>
      </c>
    </row>
    <row r="2395" spans="1:16">
      <c r="A2395" s="1">
        <v>44399</v>
      </c>
      <c r="B2395">
        <v>138703</v>
      </c>
      <c r="C2395">
        <v>68712</v>
      </c>
      <c r="D2395">
        <v>69991</v>
      </c>
      <c r="E2395">
        <v>65328216</v>
      </c>
      <c r="F2395">
        <v>70497851</v>
      </c>
      <c r="G2395">
        <v>135826067</v>
      </c>
      <c r="H2395">
        <v>28911</v>
      </c>
      <c r="I2395">
        <v>13608</v>
      </c>
      <c r="J2395">
        <v>42519</v>
      </c>
      <c r="K2395" t="b">
        <f>TrafficData[[#This Row],[disposedChallan]]+TrafficData[[#This Row],[pendingChallan]]=TrafficData[[#This Row],[totalChallan]]</f>
        <v>1</v>
      </c>
      <c r="L2395" t="b">
        <f>TrafficData[[#This Row],[pendingAmount]]+TrafficData[[#This Row],[disposedAmount]]=TrafficData[[#This Row],[totalAmount]]</f>
        <v>1</v>
      </c>
      <c r="M2395" t="b">
        <f>TrafficData[[#This Row],[pendingCourt]]+TrafficData[[#This Row],[disposedCourt]]=TrafficData[[#This Row],[totalCourt]]</f>
        <v>1</v>
      </c>
      <c r="N2395" s="8" t="b">
        <f>AND(TrafficData[[#This Row],[disposedChallan]]&lt;=TrafficData[[#This Row],[totalChallan]],TrafficData[[#This Row],[pendingChallan]]&lt;=TrafficData[[#This Row],[totalChallan]])</f>
        <v>1</v>
      </c>
      <c r="O2395" s="8" t="b">
        <f>AND(TrafficData[[#This Row],[pendingAmount]]&lt;=TrafficData[[#This Row],[totalAmount]],TrafficData[[#This Row],[disposedAmount]]&lt;=TrafficData[[#This Row],[totalAmount]])</f>
        <v>1</v>
      </c>
      <c r="P2395" s="8" t="b">
        <f>AND(TrafficData[[#This Row],[pendingCourt]]&lt;=TrafficData[[#This Row],[totalCourt]],TrafficData[[#This Row],[disposedCourt]]&lt;=TrafficData[[#This Row],[totalCourt]])</f>
        <v>1</v>
      </c>
    </row>
    <row r="2396" spans="1:16">
      <c r="A2396" s="1">
        <v>44400</v>
      </c>
      <c r="B2396">
        <v>145771</v>
      </c>
      <c r="C2396">
        <v>71014</v>
      </c>
      <c r="D2396">
        <v>74757</v>
      </c>
      <c r="E2396">
        <v>68211788</v>
      </c>
      <c r="F2396">
        <v>69389752</v>
      </c>
      <c r="G2396">
        <v>137601540</v>
      </c>
      <c r="H2396">
        <v>30768</v>
      </c>
      <c r="I2396">
        <v>14130</v>
      </c>
      <c r="J2396">
        <v>44898</v>
      </c>
      <c r="K2396" t="b">
        <f>TrafficData[[#This Row],[disposedChallan]]+TrafficData[[#This Row],[pendingChallan]]=TrafficData[[#This Row],[totalChallan]]</f>
        <v>1</v>
      </c>
      <c r="L2396" t="b">
        <f>TrafficData[[#This Row],[pendingAmount]]+TrafficData[[#This Row],[disposedAmount]]=TrafficData[[#This Row],[totalAmount]]</f>
        <v>1</v>
      </c>
      <c r="M2396" t="b">
        <f>TrafficData[[#This Row],[pendingCourt]]+TrafficData[[#This Row],[disposedCourt]]=TrafficData[[#This Row],[totalCourt]]</f>
        <v>1</v>
      </c>
      <c r="N2396" s="8" t="b">
        <f>AND(TrafficData[[#This Row],[disposedChallan]]&lt;=TrafficData[[#This Row],[totalChallan]],TrafficData[[#This Row],[pendingChallan]]&lt;=TrafficData[[#This Row],[totalChallan]])</f>
        <v>1</v>
      </c>
      <c r="O2396" s="8" t="b">
        <f>AND(TrafficData[[#This Row],[pendingAmount]]&lt;=TrafficData[[#This Row],[totalAmount]],TrafficData[[#This Row],[disposedAmount]]&lt;=TrafficData[[#This Row],[totalAmount]])</f>
        <v>1</v>
      </c>
      <c r="P2396" s="8" t="b">
        <f>AND(TrafficData[[#This Row],[pendingCourt]]&lt;=TrafficData[[#This Row],[totalCourt]],TrafficData[[#This Row],[disposedCourt]]&lt;=TrafficData[[#This Row],[totalCourt]])</f>
        <v>1</v>
      </c>
    </row>
    <row r="2397" spans="1:16">
      <c r="A2397" s="1">
        <v>44401</v>
      </c>
      <c r="B2397">
        <v>141796</v>
      </c>
      <c r="C2397">
        <v>68986</v>
      </c>
      <c r="D2397">
        <v>72810</v>
      </c>
      <c r="E2397">
        <v>70015269</v>
      </c>
      <c r="F2397">
        <v>68961435</v>
      </c>
      <c r="G2397">
        <v>138976704</v>
      </c>
      <c r="H2397">
        <v>30166</v>
      </c>
      <c r="I2397">
        <v>13878</v>
      </c>
      <c r="J2397">
        <v>44044</v>
      </c>
      <c r="K2397" t="b">
        <f>TrafficData[[#This Row],[disposedChallan]]+TrafficData[[#This Row],[pendingChallan]]=TrafficData[[#This Row],[totalChallan]]</f>
        <v>1</v>
      </c>
      <c r="L2397" t="b">
        <f>TrafficData[[#This Row],[pendingAmount]]+TrafficData[[#This Row],[disposedAmount]]=TrafficData[[#This Row],[totalAmount]]</f>
        <v>1</v>
      </c>
      <c r="M2397" t="b">
        <f>TrafficData[[#This Row],[pendingCourt]]+TrafficData[[#This Row],[disposedCourt]]=TrafficData[[#This Row],[totalCourt]]</f>
        <v>1</v>
      </c>
      <c r="N2397" s="8" t="b">
        <f>AND(TrafficData[[#This Row],[disposedChallan]]&lt;=TrafficData[[#This Row],[totalChallan]],TrafficData[[#This Row],[pendingChallan]]&lt;=TrafficData[[#This Row],[totalChallan]])</f>
        <v>1</v>
      </c>
      <c r="O2397" s="8" t="b">
        <f>AND(TrafficData[[#This Row],[pendingAmount]]&lt;=TrafficData[[#This Row],[totalAmount]],TrafficData[[#This Row],[disposedAmount]]&lt;=TrafficData[[#This Row],[totalAmount]])</f>
        <v>1</v>
      </c>
      <c r="P2397" s="8" t="b">
        <f>AND(TrafficData[[#This Row],[pendingCourt]]&lt;=TrafficData[[#This Row],[totalCourt]],TrafficData[[#This Row],[disposedCourt]]&lt;=TrafficData[[#This Row],[totalCourt]])</f>
        <v>1</v>
      </c>
    </row>
    <row r="2398" spans="1:16">
      <c r="A2398" s="1">
        <v>44402</v>
      </c>
      <c r="B2398">
        <v>135399</v>
      </c>
      <c r="C2398">
        <v>61939</v>
      </c>
      <c r="D2398">
        <v>73460</v>
      </c>
      <c r="E2398">
        <v>67146396</v>
      </c>
      <c r="F2398">
        <v>57288607</v>
      </c>
      <c r="G2398">
        <v>124435003</v>
      </c>
      <c r="H2398">
        <v>31197</v>
      </c>
      <c r="I2398">
        <v>13910</v>
      </c>
      <c r="J2398">
        <v>45107</v>
      </c>
      <c r="K2398" t="b">
        <f>TrafficData[[#This Row],[disposedChallan]]+TrafficData[[#This Row],[pendingChallan]]=TrafficData[[#This Row],[totalChallan]]</f>
        <v>1</v>
      </c>
      <c r="L2398" t="b">
        <f>TrafficData[[#This Row],[pendingAmount]]+TrafficData[[#This Row],[disposedAmount]]=TrafficData[[#This Row],[totalAmount]]</f>
        <v>1</v>
      </c>
      <c r="M2398" t="b">
        <f>TrafficData[[#This Row],[pendingCourt]]+TrafficData[[#This Row],[disposedCourt]]=TrafficData[[#This Row],[totalCourt]]</f>
        <v>1</v>
      </c>
      <c r="N2398" s="8" t="b">
        <f>AND(TrafficData[[#This Row],[disposedChallan]]&lt;=TrafficData[[#This Row],[totalChallan]],TrafficData[[#This Row],[pendingChallan]]&lt;=TrafficData[[#This Row],[totalChallan]])</f>
        <v>1</v>
      </c>
      <c r="O2398" s="8" t="b">
        <f>AND(TrafficData[[#This Row],[pendingAmount]]&lt;=TrafficData[[#This Row],[totalAmount]],TrafficData[[#This Row],[disposedAmount]]&lt;=TrafficData[[#This Row],[totalAmount]])</f>
        <v>1</v>
      </c>
      <c r="P2398" s="8" t="b">
        <f>AND(TrafficData[[#This Row],[pendingCourt]]&lt;=TrafficData[[#This Row],[totalCourt]],TrafficData[[#This Row],[disposedCourt]]&lt;=TrafficData[[#This Row],[totalCourt]])</f>
        <v>1</v>
      </c>
    </row>
    <row r="2399" spans="1:16">
      <c r="A2399" s="1">
        <v>44403</v>
      </c>
      <c r="B2399">
        <v>142439</v>
      </c>
      <c r="C2399">
        <v>68358</v>
      </c>
      <c r="D2399">
        <v>74081</v>
      </c>
      <c r="E2399">
        <v>69830776</v>
      </c>
      <c r="F2399">
        <v>67775301</v>
      </c>
      <c r="G2399">
        <v>137606077</v>
      </c>
      <c r="H2399">
        <v>29670</v>
      </c>
      <c r="I2399">
        <v>13503</v>
      </c>
      <c r="J2399">
        <v>43173</v>
      </c>
      <c r="K2399" t="b">
        <f>TrafficData[[#This Row],[disposedChallan]]+TrafficData[[#This Row],[pendingChallan]]=TrafficData[[#This Row],[totalChallan]]</f>
        <v>1</v>
      </c>
      <c r="L2399" t="b">
        <f>TrafficData[[#This Row],[pendingAmount]]+TrafficData[[#This Row],[disposedAmount]]=TrafficData[[#This Row],[totalAmount]]</f>
        <v>1</v>
      </c>
      <c r="M2399" t="b">
        <f>TrafficData[[#This Row],[pendingCourt]]+TrafficData[[#This Row],[disposedCourt]]=TrafficData[[#This Row],[totalCourt]]</f>
        <v>1</v>
      </c>
      <c r="N2399" s="8" t="b">
        <f>AND(TrafficData[[#This Row],[disposedChallan]]&lt;=TrafficData[[#This Row],[totalChallan]],TrafficData[[#This Row],[pendingChallan]]&lt;=TrafficData[[#This Row],[totalChallan]])</f>
        <v>1</v>
      </c>
      <c r="O2399" s="8" t="b">
        <f>AND(TrafficData[[#This Row],[pendingAmount]]&lt;=TrafficData[[#This Row],[totalAmount]],TrafficData[[#This Row],[disposedAmount]]&lt;=TrafficData[[#This Row],[totalAmount]])</f>
        <v>1</v>
      </c>
      <c r="P2399" s="8" t="b">
        <f>AND(TrafficData[[#This Row],[pendingCourt]]&lt;=TrafficData[[#This Row],[totalCourt]],TrafficData[[#This Row],[disposedCourt]]&lt;=TrafficData[[#This Row],[totalCourt]])</f>
        <v>1</v>
      </c>
    </row>
    <row r="2400" spans="1:16">
      <c r="A2400" s="1">
        <v>44404</v>
      </c>
      <c r="B2400">
        <v>140113</v>
      </c>
      <c r="C2400">
        <v>68191</v>
      </c>
      <c r="D2400">
        <v>71922</v>
      </c>
      <c r="E2400">
        <v>62216347</v>
      </c>
      <c r="F2400">
        <v>67719257</v>
      </c>
      <c r="G2400">
        <v>129935604</v>
      </c>
      <c r="H2400">
        <v>28069</v>
      </c>
      <c r="I2400">
        <v>12595</v>
      </c>
      <c r="J2400">
        <v>40664</v>
      </c>
      <c r="K2400" t="b">
        <f>TrafficData[[#This Row],[disposedChallan]]+TrafficData[[#This Row],[pendingChallan]]=TrafficData[[#This Row],[totalChallan]]</f>
        <v>1</v>
      </c>
      <c r="L2400" t="b">
        <f>TrafficData[[#This Row],[pendingAmount]]+TrafficData[[#This Row],[disposedAmount]]=TrafficData[[#This Row],[totalAmount]]</f>
        <v>1</v>
      </c>
      <c r="M2400" t="b">
        <f>TrafficData[[#This Row],[pendingCourt]]+TrafficData[[#This Row],[disposedCourt]]=TrafficData[[#This Row],[totalCourt]]</f>
        <v>1</v>
      </c>
      <c r="N2400" s="8" t="b">
        <f>AND(TrafficData[[#This Row],[disposedChallan]]&lt;=TrafficData[[#This Row],[totalChallan]],TrafficData[[#This Row],[pendingChallan]]&lt;=TrafficData[[#This Row],[totalChallan]])</f>
        <v>1</v>
      </c>
      <c r="O2400" s="8" t="b">
        <f>AND(TrafficData[[#This Row],[pendingAmount]]&lt;=TrafficData[[#This Row],[totalAmount]],TrafficData[[#This Row],[disposedAmount]]&lt;=TrafficData[[#This Row],[totalAmount]])</f>
        <v>1</v>
      </c>
      <c r="P2400" s="8" t="b">
        <f>AND(TrafficData[[#This Row],[pendingCourt]]&lt;=TrafficData[[#This Row],[totalCourt]],TrafficData[[#This Row],[disposedCourt]]&lt;=TrafficData[[#This Row],[totalCourt]])</f>
        <v>1</v>
      </c>
    </row>
    <row r="2401" spans="1:16">
      <c r="A2401" s="1">
        <v>44405</v>
      </c>
      <c r="B2401">
        <v>128744</v>
      </c>
      <c r="C2401">
        <v>62676</v>
      </c>
      <c r="D2401">
        <v>66068</v>
      </c>
      <c r="E2401">
        <v>54688836</v>
      </c>
      <c r="F2401">
        <v>67518869</v>
      </c>
      <c r="G2401">
        <v>122207705</v>
      </c>
      <c r="H2401">
        <v>23074</v>
      </c>
      <c r="I2401">
        <v>9741</v>
      </c>
      <c r="J2401">
        <v>32815</v>
      </c>
      <c r="K2401" t="b">
        <f>TrafficData[[#This Row],[disposedChallan]]+TrafficData[[#This Row],[pendingChallan]]=TrafficData[[#This Row],[totalChallan]]</f>
        <v>1</v>
      </c>
      <c r="L2401" t="b">
        <f>TrafficData[[#This Row],[pendingAmount]]+TrafficData[[#This Row],[disposedAmount]]=TrafficData[[#This Row],[totalAmount]]</f>
        <v>1</v>
      </c>
      <c r="M2401" t="b">
        <f>TrafficData[[#This Row],[pendingCourt]]+TrafficData[[#This Row],[disposedCourt]]=TrafficData[[#This Row],[totalCourt]]</f>
        <v>1</v>
      </c>
      <c r="N2401" s="8" t="b">
        <f>AND(TrafficData[[#This Row],[disposedChallan]]&lt;=TrafficData[[#This Row],[totalChallan]],TrafficData[[#This Row],[pendingChallan]]&lt;=TrafficData[[#This Row],[totalChallan]])</f>
        <v>1</v>
      </c>
      <c r="O2401" s="8" t="b">
        <f>AND(TrafficData[[#This Row],[pendingAmount]]&lt;=TrafficData[[#This Row],[totalAmount]],TrafficData[[#This Row],[disposedAmount]]&lt;=TrafficData[[#This Row],[totalAmount]])</f>
        <v>1</v>
      </c>
      <c r="P2401" s="8" t="b">
        <f>AND(TrafficData[[#This Row],[pendingCourt]]&lt;=TrafficData[[#This Row],[totalCourt]],TrafficData[[#This Row],[disposedCourt]]&lt;=TrafficData[[#This Row],[totalCourt]])</f>
        <v>1</v>
      </c>
    </row>
    <row r="2402" spans="1:16">
      <c r="A2402" s="1">
        <v>44406</v>
      </c>
      <c r="B2402">
        <v>137000</v>
      </c>
      <c r="C2402">
        <v>68006</v>
      </c>
      <c r="D2402">
        <v>68994</v>
      </c>
      <c r="E2402">
        <v>61334030</v>
      </c>
      <c r="F2402">
        <v>67276752</v>
      </c>
      <c r="G2402">
        <v>128610782</v>
      </c>
      <c r="H2402">
        <v>25866</v>
      </c>
      <c r="I2402">
        <v>12168</v>
      </c>
      <c r="J2402">
        <v>38034</v>
      </c>
      <c r="K2402" t="b">
        <f>TrafficData[[#This Row],[disposedChallan]]+TrafficData[[#This Row],[pendingChallan]]=TrafficData[[#This Row],[totalChallan]]</f>
        <v>1</v>
      </c>
      <c r="L2402" t="b">
        <f>TrafficData[[#This Row],[pendingAmount]]+TrafficData[[#This Row],[disposedAmount]]=TrafficData[[#This Row],[totalAmount]]</f>
        <v>1</v>
      </c>
      <c r="M2402" t="b">
        <f>TrafficData[[#This Row],[pendingCourt]]+TrafficData[[#This Row],[disposedCourt]]=TrafficData[[#This Row],[totalCourt]]</f>
        <v>1</v>
      </c>
      <c r="N2402" s="8" t="b">
        <f>AND(TrafficData[[#This Row],[disposedChallan]]&lt;=TrafficData[[#This Row],[totalChallan]],TrafficData[[#This Row],[pendingChallan]]&lt;=TrafficData[[#This Row],[totalChallan]])</f>
        <v>1</v>
      </c>
      <c r="O2402" s="8" t="b">
        <f>AND(TrafficData[[#This Row],[pendingAmount]]&lt;=TrafficData[[#This Row],[totalAmount]],TrafficData[[#This Row],[disposedAmount]]&lt;=TrafficData[[#This Row],[totalAmount]])</f>
        <v>1</v>
      </c>
      <c r="P2402" s="8" t="b">
        <f>AND(TrafficData[[#This Row],[pendingCourt]]&lt;=TrafficData[[#This Row],[totalCourt]],TrafficData[[#This Row],[disposedCourt]]&lt;=TrafficData[[#This Row],[totalCourt]])</f>
        <v>1</v>
      </c>
    </row>
    <row r="2403" spans="1:16">
      <c r="A2403" s="1">
        <v>44407</v>
      </c>
      <c r="B2403">
        <v>127752</v>
      </c>
      <c r="C2403">
        <v>64669</v>
      </c>
      <c r="D2403">
        <v>63083</v>
      </c>
      <c r="E2403">
        <v>62888929</v>
      </c>
      <c r="F2403">
        <v>67479916</v>
      </c>
      <c r="G2403">
        <v>130368845</v>
      </c>
      <c r="H2403">
        <v>26904</v>
      </c>
      <c r="I2403">
        <v>12729</v>
      </c>
      <c r="J2403">
        <v>39633</v>
      </c>
      <c r="K2403" t="b">
        <f>TrafficData[[#This Row],[disposedChallan]]+TrafficData[[#This Row],[pendingChallan]]=TrafficData[[#This Row],[totalChallan]]</f>
        <v>1</v>
      </c>
      <c r="L2403" t="b">
        <f>TrafficData[[#This Row],[pendingAmount]]+TrafficData[[#This Row],[disposedAmount]]=TrafficData[[#This Row],[totalAmount]]</f>
        <v>1</v>
      </c>
      <c r="M2403" t="b">
        <f>TrafficData[[#This Row],[pendingCourt]]+TrafficData[[#This Row],[disposedCourt]]=TrafficData[[#This Row],[totalCourt]]</f>
        <v>1</v>
      </c>
      <c r="N2403" s="8" t="b">
        <f>AND(TrafficData[[#This Row],[disposedChallan]]&lt;=TrafficData[[#This Row],[totalChallan]],TrafficData[[#This Row],[pendingChallan]]&lt;=TrafficData[[#This Row],[totalChallan]])</f>
        <v>1</v>
      </c>
      <c r="O2403" s="8" t="b">
        <f>AND(TrafficData[[#This Row],[pendingAmount]]&lt;=TrafficData[[#This Row],[totalAmount]],TrafficData[[#This Row],[disposedAmount]]&lt;=TrafficData[[#This Row],[totalAmount]])</f>
        <v>1</v>
      </c>
      <c r="P2403" s="8" t="b">
        <f>AND(TrafficData[[#This Row],[pendingCourt]]&lt;=TrafficData[[#This Row],[totalCourt]],TrafficData[[#This Row],[disposedCourt]]&lt;=TrafficData[[#This Row],[totalCourt]])</f>
        <v>1</v>
      </c>
    </row>
    <row r="2404" spans="1:16">
      <c r="A2404" s="1">
        <v>44408</v>
      </c>
      <c r="B2404">
        <v>128358</v>
      </c>
      <c r="C2404">
        <v>64548</v>
      </c>
      <c r="D2404">
        <v>63810</v>
      </c>
      <c r="E2404">
        <v>63489670</v>
      </c>
      <c r="F2404">
        <v>65791153</v>
      </c>
      <c r="G2404">
        <v>129280823</v>
      </c>
      <c r="H2404">
        <v>26510</v>
      </c>
      <c r="I2404">
        <v>13250</v>
      </c>
      <c r="J2404">
        <v>39760</v>
      </c>
      <c r="K2404" t="b">
        <f>TrafficData[[#This Row],[disposedChallan]]+TrafficData[[#This Row],[pendingChallan]]=TrafficData[[#This Row],[totalChallan]]</f>
        <v>1</v>
      </c>
      <c r="L2404" t="b">
        <f>TrafficData[[#This Row],[pendingAmount]]+TrafficData[[#This Row],[disposedAmount]]=TrafficData[[#This Row],[totalAmount]]</f>
        <v>1</v>
      </c>
      <c r="M2404" t="b">
        <f>TrafficData[[#This Row],[pendingCourt]]+TrafficData[[#This Row],[disposedCourt]]=TrafficData[[#This Row],[totalCourt]]</f>
        <v>1</v>
      </c>
      <c r="N2404" s="8" t="b">
        <f>AND(TrafficData[[#This Row],[disposedChallan]]&lt;=TrafficData[[#This Row],[totalChallan]],TrafficData[[#This Row],[pendingChallan]]&lt;=TrafficData[[#This Row],[totalChallan]])</f>
        <v>1</v>
      </c>
      <c r="O2404" s="8" t="b">
        <f>AND(TrafficData[[#This Row],[pendingAmount]]&lt;=TrafficData[[#This Row],[totalAmount]],TrafficData[[#This Row],[disposedAmount]]&lt;=TrafficData[[#This Row],[totalAmount]])</f>
        <v>1</v>
      </c>
      <c r="P2404" s="8" t="b">
        <f>AND(TrafficData[[#This Row],[pendingCourt]]&lt;=TrafficData[[#This Row],[totalCourt]],TrafficData[[#This Row],[disposedCourt]]&lt;=TrafficData[[#This Row],[totalCourt]])</f>
        <v>1</v>
      </c>
    </row>
    <row r="2405" spans="1:16">
      <c r="A2405" s="1">
        <v>44409</v>
      </c>
      <c r="B2405">
        <v>112785</v>
      </c>
      <c r="C2405">
        <v>54369</v>
      </c>
      <c r="D2405">
        <v>58416</v>
      </c>
      <c r="E2405">
        <v>51198631</v>
      </c>
      <c r="F2405">
        <v>55083031</v>
      </c>
      <c r="G2405">
        <v>106281662</v>
      </c>
      <c r="H2405">
        <v>23250</v>
      </c>
      <c r="I2405">
        <v>11049</v>
      </c>
      <c r="J2405">
        <v>34299</v>
      </c>
      <c r="K2405" t="b">
        <f>TrafficData[[#This Row],[disposedChallan]]+TrafficData[[#This Row],[pendingChallan]]=TrafficData[[#This Row],[totalChallan]]</f>
        <v>1</v>
      </c>
      <c r="L2405" t="b">
        <f>TrafficData[[#This Row],[pendingAmount]]+TrafficData[[#This Row],[disposedAmount]]=TrafficData[[#This Row],[totalAmount]]</f>
        <v>1</v>
      </c>
      <c r="M2405" t="b">
        <f>TrafficData[[#This Row],[pendingCourt]]+TrafficData[[#This Row],[disposedCourt]]=TrafficData[[#This Row],[totalCourt]]</f>
        <v>1</v>
      </c>
      <c r="N2405" s="8" t="b">
        <f>AND(TrafficData[[#This Row],[disposedChallan]]&lt;=TrafficData[[#This Row],[totalChallan]],TrafficData[[#This Row],[pendingChallan]]&lt;=TrafficData[[#This Row],[totalChallan]])</f>
        <v>1</v>
      </c>
      <c r="O2405" s="8" t="b">
        <f>AND(TrafficData[[#This Row],[pendingAmount]]&lt;=TrafficData[[#This Row],[totalAmount]],TrafficData[[#This Row],[disposedAmount]]&lt;=TrafficData[[#This Row],[totalAmount]])</f>
        <v>1</v>
      </c>
      <c r="P2405" s="8" t="b">
        <f>AND(TrafficData[[#This Row],[pendingCourt]]&lt;=TrafficData[[#This Row],[totalCourt]],TrafficData[[#This Row],[disposedCourt]]&lt;=TrafficData[[#This Row],[totalCourt]])</f>
        <v>1</v>
      </c>
    </row>
    <row r="2406" spans="1:16">
      <c r="A2406" s="1">
        <v>44410</v>
      </c>
      <c r="B2406">
        <v>128388</v>
      </c>
      <c r="C2406">
        <v>64691</v>
      </c>
      <c r="D2406">
        <v>63697</v>
      </c>
      <c r="E2406">
        <v>63390458</v>
      </c>
      <c r="F2406">
        <v>67982309</v>
      </c>
      <c r="G2406">
        <v>131372767</v>
      </c>
      <c r="H2406">
        <v>29460</v>
      </c>
      <c r="I2406">
        <v>13832</v>
      </c>
      <c r="J2406">
        <v>43292</v>
      </c>
      <c r="K2406" t="b">
        <f>TrafficData[[#This Row],[disposedChallan]]+TrafficData[[#This Row],[pendingChallan]]=TrafficData[[#This Row],[totalChallan]]</f>
        <v>1</v>
      </c>
      <c r="L2406" t="b">
        <f>TrafficData[[#This Row],[pendingAmount]]+TrafficData[[#This Row],[disposedAmount]]=TrafficData[[#This Row],[totalAmount]]</f>
        <v>1</v>
      </c>
      <c r="M2406" t="b">
        <f>TrafficData[[#This Row],[pendingCourt]]+TrafficData[[#This Row],[disposedCourt]]=TrafficData[[#This Row],[totalCourt]]</f>
        <v>1</v>
      </c>
      <c r="N2406" s="8" t="b">
        <f>AND(TrafficData[[#This Row],[disposedChallan]]&lt;=TrafficData[[#This Row],[totalChallan]],TrafficData[[#This Row],[pendingChallan]]&lt;=TrafficData[[#This Row],[totalChallan]])</f>
        <v>1</v>
      </c>
      <c r="O2406" s="8" t="b">
        <f>AND(TrafficData[[#This Row],[pendingAmount]]&lt;=TrafficData[[#This Row],[totalAmount]],TrafficData[[#This Row],[disposedAmount]]&lt;=TrafficData[[#This Row],[totalAmount]])</f>
        <v>1</v>
      </c>
      <c r="P2406" s="8" t="b">
        <f>AND(TrafficData[[#This Row],[pendingCourt]]&lt;=TrafficData[[#This Row],[totalCourt]],TrafficData[[#This Row],[disposedCourt]]&lt;=TrafficData[[#This Row],[totalCourt]])</f>
        <v>1</v>
      </c>
    </row>
    <row r="2407" spans="1:16">
      <c r="A2407" s="1">
        <v>44411</v>
      </c>
      <c r="B2407">
        <v>133165</v>
      </c>
      <c r="C2407">
        <v>68215</v>
      </c>
      <c r="D2407">
        <v>64950</v>
      </c>
      <c r="E2407">
        <v>72008797</v>
      </c>
      <c r="F2407">
        <v>83010377</v>
      </c>
      <c r="G2407">
        <v>155019174</v>
      </c>
      <c r="H2407">
        <v>30519</v>
      </c>
      <c r="I2407">
        <v>14226</v>
      </c>
      <c r="J2407">
        <v>44745</v>
      </c>
      <c r="K2407" t="b">
        <f>TrafficData[[#This Row],[disposedChallan]]+TrafficData[[#This Row],[pendingChallan]]=TrafficData[[#This Row],[totalChallan]]</f>
        <v>1</v>
      </c>
      <c r="L2407" t="b">
        <f>TrafficData[[#This Row],[pendingAmount]]+TrafficData[[#This Row],[disposedAmount]]=TrafficData[[#This Row],[totalAmount]]</f>
        <v>1</v>
      </c>
      <c r="M2407" t="b">
        <f>TrafficData[[#This Row],[pendingCourt]]+TrafficData[[#This Row],[disposedCourt]]=TrafficData[[#This Row],[totalCourt]]</f>
        <v>1</v>
      </c>
      <c r="N2407" s="8" t="b">
        <f>AND(TrafficData[[#This Row],[disposedChallan]]&lt;=TrafficData[[#This Row],[totalChallan]],TrafficData[[#This Row],[pendingChallan]]&lt;=TrafficData[[#This Row],[totalChallan]])</f>
        <v>1</v>
      </c>
      <c r="O2407" s="8" t="b">
        <f>AND(TrafficData[[#This Row],[pendingAmount]]&lt;=TrafficData[[#This Row],[totalAmount]],TrafficData[[#This Row],[disposedAmount]]&lt;=TrafficData[[#This Row],[totalAmount]])</f>
        <v>1</v>
      </c>
      <c r="P2407" s="8" t="b">
        <f>AND(TrafficData[[#This Row],[pendingCourt]]&lt;=TrafficData[[#This Row],[totalCourt]],TrafficData[[#This Row],[disposedCourt]]&lt;=TrafficData[[#This Row],[totalCourt]])</f>
        <v>1</v>
      </c>
    </row>
    <row r="2408" spans="1:16">
      <c r="A2408" s="1">
        <v>44412</v>
      </c>
      <c r="B2408">
        <v>137367</v>
      </c>
      <c r="C2408">
        <v>70159</v>
      </c>
      <c r="D2408">
        <v>67208</v>
      </c>
      <c r="E2408">
        <v>74020504</v>
      </c>
      <c r="F2408">
        <v>86016513</v>
      </c>
      <c r="G2408">
        <v>160037017</v>
      </c>
      <c r="H2408">
        <v>31588</v>
      </c>
      <c r="I2408">
        <v>14176</v>
      </c>
      <c r="J2408">
        <v>45764</v>
      </c>
      <c r="K2408" t="b">
        <f>TrafficData[[#This Row],[disposedChallan]]+TrafficData[[#This Row],[pendingChallan]]=TrafficData[[#This Row],[totalChallan]]</f>
        <v>1</v>
      </c>
      <c r="L2408" t="b">
        <f>TrafficData[[#This Row],[pendingAmount]]+TrafficData[[#This Row],[disposedAmount]]=TrafficData[[#This Row],[totalAmount]]</f>
        <v>1</v>
      </c>
      <c r="M2408" t="b">
        <f>TrafficData[[#This Row],[pendingCourt]]+TrafficData[[#This Row],[disposedCourt]]=TrafficData[[#This Row],[totalCourt]]</f>
        <v>1</v>
      </c>
      <c r="N2408" s="8" t="b">
        <f>AND(TrafficData[[#This Row],[disposedChallan]]&lt;=TrafficData[[#This Row],[totalChallan]],TrafficData[[#This Row],[pendingChallan]]&lt;=TrafficData[[#This Row],[totalChallan]])</f>
        <v>1</v>
      </c>
      <c r="O2408" s="8" t="b">
        <f>AND(TrafficData[[#This Row],[pendingAmount]]&lt;=TrafficData[[#This Row],[totalAmount]],TrafficData[[#This Row],[disposedAmount]]&lt;=TrafficData[[#This Row],[totalAmount]])</f>
        <v>1</v>
      </c>
      <c r="P2408" s="8" t="b">
        <f>AND(TrafficData[[#This Row],[pendingCourt]]&lt;=TrafficData[[#This Row],[totalCourt]],TrafficData[[#This Row],[disposedCourt]]&lt;=TrafficData[[#This Row],[totalCourt]])</f>
        <v>1</v>
      </c>
    </row>
    <row r="2409" spans="1:16">
      <c r="A2409" s="1">
        <v>44413</v>
      </c>
      <c r="B2409">
        <v>132420</v>
      </c>
      <c r="C2409">
        <v>67830</v>
      </c>
      <c r="D2409">
        <v>64590</v>
      </c>
      <c r="E2409">
        <v>73361468</v>
      </c>
      <c r="F2409">
        <v>86872244</v>
      </c>
      <c r="G2409">
        <v>160233712</v>
      </c>
      <c r="H2409">
        <v>30585</v>
      </c>
      <c r="I2409">
        <v>13996</v>
      </c>
      <c r="J2409">
        <v>44581</v>
      </c>
      <c r="K2409" t="b">
        <f>TrafficData[[#This Row],[disposedChallan]]+TrafficData[[#This Row],[pendingChallan]]=TrafficData[[#This Row],[totalChallan]]</f>
        <v>1</v>
      </c>
      <c r="L2409" t="b">
        <f>TrafficData[[#This Row],[pendingAmount]]+TrafficData[[#This Row],[disposedAmount]]=TrafficData[[#This Row],[totalAmount]]</f>
        <v>1</v>
      </c>
      <c r="M2409" t="b">
        <f>TrafficData[[#This Row],[pendingCourt]]+TrafficData[[#This Row],[disposedCourt]]=TrafficData[[#This Row],[totalCourt]]</f>
        <v>1</v>
      </c>
      <c r="N2409" s="8" t="b">
        <f>AND(TrafficData[[#This Row],[disposedChallan]]&lt;=TrafficData[[#This Row],[totalChallan]],TrafficData[[#This Row],[pendingChallan]]&lt;=TrafficData[[#This Row],[totalChallan]])</f>
        <v>1</v>
      </c>
      <c r="O2409" s="8" t="b">
        <f>AND(TrafficData[[#This Row],[pendingAmount]]&lt;=TrafficData[[#This Row],[totalAmount]],TrafficData[[#This Row],[disposedAmount]]&lt;=TrafficData[[#This Row],[totalAmount]])</f>
        <v>1</v>
      </c>
      <c r="P2409" s="8" t="b">
        <f>AND(TrafficData[[#This Row],[pendingCourt]]&lt;=TrafficData[[#This Row],[totalCourt]],TrafficData[[#This Row],[disposedCourt]]&lt;=TrafficData[[#This Row],[totalCourt]])</f>
        <v>1</v>
      </c>
    </row>
    <row r="2410" spans="1:16">
      <c r="A2410" s="1">
        <v>44414</v>
      </c>
      <c r="B2410">
        <v>127128</v>
      </c>
      <c r="C2410">
        <v>65204</v>
      </c>
      <c r="D2410">
        <v>61924</v>
      </c>
      <c r="E2410">
        <v>67234766</v>
      </c>
      <c r="F2410">
        <v>80122671</v>
      </c>
      <c r="G2410">
        <v>147357437</v>
      </c>
      <c r="H2410">
        <v>28796</v>
      </c>
      <c r="I2410">
        <v>13381</v>
      </c>
      <c r="J2410">
        <v>42177</v>
      </c>
      <c r="K2410" t="b">
        <f>TrafficData[[#This Row],[disposedChallan]]+TrafficData[[#This Row],[pendingChallan]]=TrafficData[[#This Row],[totalChallan]]</f>
        <v>1</v>
      </c>
      <c r="L2410" t="b">
        <f>TrafficData[[#This Row],[pendingAmount]]+TrafficData[[#This Row],[disposedAmount]]=TrafficData[[#This Row],[totalAmount]]</f>
        <v>1</v>
      </c>
      <c r="M2410" t="b">
        <f>TrafficData[[#This Row],[pendingCourt]]+TrafficData[[#This Row],[disposedCourt]]=TrafficData[[#This Row],[totalCourt]]</f>
        <v>1</v>
      </c>
      <c r="N2410" s="8" t="b">
        <f>AND(TrafficData[[#This Row],[disposedChallan]]&lt;=TrafficData[[#This Row],[totalChallan]],TrafficData[[#This Row],[pendingChallan]]&lt;=TrafficData[[#This Row],[totalChallan]])</f>
        <v>1</v>
      </c>
      <c r="O2410" s="8" t="b">
        <f>AND(TrafficData[[#This Row],[pendingAmount]]&lt;=TrafficData[[#This Row],[totalAmount]],TrafficData[[#This Row],[disposedAmount]]&lt;=TrafficData[[#This Row],[totalAmount]])</f>
        <v>1</v>
      </c>
      <c r="P2410" s="8" t="b">
        <f>AND(TrafficData[[#This Row],[pendingCourt]]&lt;=TrafficData[[#This Row],[totalCourt]],TrafficData[[#This Row],[disposedCourt]]&lt;=TrafficData[[#This Row],[totalCourt]])</f>
        <v>1</v>
      </c>
    </row>
    <row r="2411" spans="1:16">
      <c r="A2411" s="1">
        <v>44415</v>
      </c>
      <c r="B2411">
        <v>129728</v>
      </c>
      <c r="C2411">
        <v>66414</v>
      </c>
      <c r="D2411">
        <v>63314</v>
      </c>
      <c r="E2411">
        <v>63596434</v>
      </c>
      <c r="F2411">
        <v>80995752</v>
      </c>
      <c r="G2411">
        <v>144592186</v>
      </c>
      <c r="H2411">
        <v>27222</v>
      </c>
      <c r="I2411">
        <v>13398</v>
      </c>
      <c r="J2411">
        <v>40620</v>
      </c>
      <c r="K2411" t="b">
        <f>TrafficData[[#This Row],[disposedChallan]]+TrafficData[[#This Row],[pendingChallan]]=TrafficData[[#This Row],[totalChallan]]</f>
        <v>1</v>
      </c>
      <c r="L2411" t="b">
        <f>TrafficData[[#This Row],[pendingAmount]]+TrafficData[[#This Row],[disposedAmount]]=TrafficData[[#This Row],[totalAmount]]</f>
        <v>1</v>
      </c>
      <c r="M2411" t="b">
        <f>TrafficData[[#This Row],[pendingCourt]]+TrafficData[[#This Row],[disposedCourt]]=TrafficData[[#This Row],[totalCourt]]</f>
        <v>1</v>
      </c>
      <c r="N2411" s="8" t="b">
        <f>AND(TrafficData[[#This Row],[disposedChallan]]&lt;=TrafficData[[#This Row],[totalChallan]],TrafficData[[#This Row],[pendingChallan]]&lt;=TrafficData[[#This Row],[totalChallan]])</f>
        <v>1</v>
      </c>
      <c r="O2411" s="8" t="b">
        <f>AND(TrafficData[[#This Row],[pendingAmount]]&lt;=TrafficData[[#This Row],[totalAmount]],TrafficData[[#This Row],[disposedAmount]]&lt;=TrafficData[[#This Row],[totalAmount]])</f>
        <v>1</v>
      </c>
      <c r="P2411" s="8" t="b">
        <f>AND(TrafficData[[#This Row],[pendingCourt]]&lt;=TrafficData[[#This Row],[totalCourt]],TrafficData[[#This Row],[disposedCourt]]&lt;=TrafficData[[#This Row],[totalCourt]])</f>
        <v>1</v>
      </c>
    </row>
    <row r="2412" spans="1:16">
      <c r="A2412" s="1">
        <v>44416</v>
      </c>
      <c r="B2412">
        <v>116573</v>
      </c>
      <c r="C2412">
        <v>55941</v>
      </c>
      <c r="D2412">
        <v>60632</v>
      </c>
      <c r="E2412">
        <v>56048534</v>
      </c>
      <c r="F2412">
        <v>58033513</v>
      </c>
      <c r="G2412">
        <v>114082047</v>
      </c>
      <c r="H2412">
        <v>24557</v>
      </c>
      <c r="I2412">
        <v>11352</v>
      </c>
      <c r="J2412">
        <v>35909</v>
      </c>
      <c r="K2412" t="b">
        <f>TrafficData[[#This Row],[disposedChallan]]+TrafficData[[#This Row],[pendingChallan]]=TrafficData[[#This Row],[totalChallan]]</f>
        <v>1</v>
      </c>
      <c r="L2412" t="b">
        <f>TrafficData[[#This Row],[pendingAmount]]+TrafficData[[#This Row],[disposedAmount]]=TrafficData[[#This Row],[totalAmount]]</f>
        <v>1</v>
      </c>
      <c r="M2412" t="b">
        <f>TrafficData[[#This Row],[pendingCourt]]+TrafficData[[#This Row],[disposedCourt]]=TrafficData[[#This Row],[totalCourt]]</f>
        <v>1</v>
      </c>
      <c r="N2412" s="8" t="b">
        <f>AND(TrafficData[[#This Row],[disposedChallan]]&lt;=TrafficData[[#This Row],[totalChallan]],TrafficData[[#This Row],[pendingChallan]]&lt;=TrafficData[[#This Row],[totalChallan]])</f>
        <v>1</v>
      </c>
      <c r="O2412" s="8" t="b">
        <f>AND(TrafficData[[#This Row],[pendingAmount]]&lt;=TrafficData[[#This Row],[totalAmount]],TrafficData[[#This Row],[disposedAmount]]&lt;=TrafficData[[#This Row],[totalAmount]])</f>
        <v>1</v>
      </c>
      <c r="P2412" s="8" t="b">
        <f>AND(TrafficData[[#This Row],[pendingCourt]]&lt;=TrafficData[[#This Row],[totalCourt]],TrafficData[[#This Row],[disposedCourt]]&lt;=TrafficData[[#This Row],[totalCourt]])</f>
        <v>1</v>
      </c>
    </row>
    <row r="2413" spans="1:16">
      <c r="A2413" s="1">
        <v>44417</v>
      </c>
      <c r="B2413">
        <v>131207</v>
      </c>
      <c r="C2413">
        <v>65564</v>
      </c>
      <c r="D2413">
        <v>65643</v>
      </c>
      <c r="E2413">
        <v>64886847</v>
      </c>
      <c r="F2413">
        <v>72580674</v>
      </c>
      <c r="G2413">
        <v>137467521</v>
      </c>
      <c r="H2413">
        <v>29530</v>
      </c>
      <c r="I2413">
        <v>12726</v>
      </c>
      <c r="J2413">
        <v>42256</v>
      </c>
      <c r="K2413" t="b">
        <f>TrafficData[[#This Row],[disposedChallan]]+TrafficData[[#This Row],[pendingChallan]]=TrafficData[[#This Row],[totalChallan]]</f>
        <v>1</v>
      </c>
      <c r="L2413" t="b">
        <f>TrafficData[[#This Row],[pendingAmount]]+TrafficData[[#This Row],[disposedAmount]]=TrafficData[[#This Row],[totalAmount]]</f>
        <v>1</v>
      </c>
      <c r="M2413" t="b">
        <f>TrafficData[[#This Row],[pendingCourt]]+TrafficData[[#This Row],[disposedCourt]]=TrafficData[[#This Row],[totalCourt]]</f>
        <v>1</v>
      </c>
      <c r="N2413" s="8" t="b">
        <f>AND(TrafficData[[#This Row],[disposedChallan]]&lt;=TrafficData[[#This Row],[totalChallan]],TrafficData[[#This Row],[pendingChallan]]&lt;=TrafficData[[#This Row],[totalChallan]])</f>
        <v>1</v>
      </c>
      <c r="O2413" s="8" t="b">
        <f>AND(TrafficData[[#This Row],[pendingAmount]]&lt;=TrafficData[[#This Row],[totalAmount]],TrafficData[[#This Row],[disposedAmount]]&lt;=TrafficData[[#This Row],[totalAmount]])</f>
        <v>1</v>
      </c>
      <c r="P2413" s="8" t="b">
        <f>AND(TrafficData[[#This Row],[pendingCourt]]&lt;=TrafficData[[#This Row],[totalCourt]],TrafficData[[#This Row],[disposedCourt]]&lt;=TrafficData[[#This Row],[totalCourt]])</f>
        <v>1</v>
      </c>
    </row>
    <row r="2414" spans="1:16">
      <c r="A2414" s="1">
        <v>44418</v>
      </c>
      <c r="B2414">
        <v>141347</v>
      </c>
      <c r="C2414">
        <v>70051</v>
      </c>
      <c r="D2414">
        <v>71296</v>
      </c>
      <c r="E2414">
        <v>70220265</v>
      </c>
      <c r="F2414">
        <v>78150661</v>
      </c>
      <c r="G2414">
        <v>148370926</v>
      </c>
      <c r="H2414">
        <v>29626</v>
      </c>
      <c r="I2414">
        <v>13377</v>
      </c>
      <c r="J2414">
        <v>43003</v>
      </c>
      <c r="K2414" t="b">
        <f>TrafficData[[#This Row],[disposedChallan]]+TrafficData[[#This Row],[pendingChallan]]=TrafficData[[#This Row],[totalChallan]]</f>
        <v>1</v>
      </c>
      <c r="L2414" t="b">
        <f>TrafficData[[#This Row],[pendingAmount]]+TrafficData[[#This Row],[disposedAmount]]=TrafficData[[#This Row],[totalAmount]]</f>
        <v>1</v>
      </c>
      <c r="M2414" t="b">
        <f>TrafficData[[#This Row],[pendingCourt]]+TrafficData[[#This Row],[disposedCourt]]=TrafficData[[#This Row],[totalCourt]]</f>
        <v>1</v>
      </c>
      <c r="N2414" s="8" t="b">
        <f>AND(TrafficData[[#This Row],[disposedChallan]]&lt;=TrafficData[[#This Row],[totalChallan]],TrafficData[[#This Row],[pendingChallan]]&lt;=TrafficData[[#This Row],[totalChallan]])</f>
        <v>1</v>
      </c>
      <c r="O2414" s="8" t="b">
        <f>AND(TrafficData[[#This Row],[pendingAmount]]&lt;=TrafficData[[#This Row],[totalAmount]],TrafficData[[#This Row],[disposedAmount]]&lt;=TrafficData[[#This Row],[totalAmount]])</f>
        <v>1</v>
      </c>
      <c r="P2414" s="8" t="b">
        <f>AND(TrafficData[[#This Row],[pendingCourt]]&lt;=TrafficData[[#This Row],[totalCourt]],TrafficData[[#This Row],[disposedCourt]]&lt;=TrafficData[[#This Row],[totalCourt]])</f>
        <v>1</v>
      </c>
    </row>
    <row r="2415" spans="1:16">
      <c r="A2415" s="1">
        <v>44419</v>
      </c>
      <c r="B2415">
        <v>130214</v>
      </c>
      <c r="C2415">
        <v>65771</v>
      </c>
      <c r="D2415">
        <v>64443</v>
      </c>
      <c r="E2415">
        <v>65585947</v>
      </c>
      <c r="F2415">
        <v>79401566</v>
      </c>
      <c r="G2415">
        <v>144987513</v>
      </c>
      <c r="H2415">
        <v>27682</v>
      </c>
      <c r="I2415">
        <v>11942</v>
      </c>
      <c r="J2415">
        <v>39624</v>
      </c>
      <c r="K2415" t="b">
        <f>TrafficData[[#This Row],[disposedChallan]]+TrafficData[[#This Row],[pendingChallan]]=TrafficData[[#This Row],[totalChallan]]</f>
        <v>1</v>
      </c>
      <c r="L2415" t="b">
        <f>TrafficData[[#This Row],[pendingAmount]]+TrafficData[[#This Row],[disposedAmount]]=TrafficData[[#This Row],[totalAmount]]</f>
        <v>1</v>
      </c>
      <c r="M2415" t="b">
        <f>TrafficData[[#This Row],[pendingCourt]]+TrafficData[[#This Row],[disposedCourt]]=TrafficData[[#This Row],[totalCourt]]</f>
        <v>1</v>
      </c>
      <c r="N2415" s="8" t="b">
        <f>AND(TrafficData[[#This Row],[disposedChallan]]&lt;=TrafficData[[#This Row],[totalChallan]],TrafficData[[#This Row],[pendingChallan]]&lt;=TrafficData[[#This Row],[totalChallan]])</f>
        <v>1</v>
      </c>
      <c r="O2415" s="8" t="b">
        <f>AND(TrafficData[[#This Row],[pendingAmount]]&lt;=TrafficData[[#This Row],[totalAmount]],TrafficData[[#This Row],[disposedAmount]]&lt;=TrafficData[[#This Row],[totalAmount]])</f>
        <v>1</v>
      </c>
      <c r="P2415" s="8" t="b">
        <f>AND(TrafficData[[#This Row],[pendingCourt]]&lt;=TrafficData[[#This Row],[totalCourt]],TrafficData[[#This Row],[disposedCourt]]&lt;=TrafficData[[#This Row],[totalCourt]])</f>
        <v>1</v>
      </c>
    </row>
    <row r="2416" spans="1:16">
      <c r="A2416" s="1">
        <v>44420</v>
      </c>
      <c r="B2416">
        <v>136802</v>
      </c>
      <c r="C2416">
        <v>68484</v>
      </c>
      <c r="D2416">
        <v>68318</v>
      </c>
      <c r="E2416">
        <v>92759964</v>
      </c>
      <c r="F2416">
        <v>80688423</v>
      </c>
      <c r="G2416">
        <v>173448387</v>
      </c>
      <c r="H2416">
        <v>29708</v>
      </c>
      <c r="I2416">
        <v>13677</v>
      </c>
      <c r="J2416">
        <v>43385</v>
      </c>
      <c r="K2416" t="b">
        <f>TrafficData[[#This Row],[disposedChallan]]+TrafficData[[#This Row],[pendingChallan]]=TrafficData[[#This Row],[totalChallan]]</f>
        <v>1</v>
      </c>
      <c r="L2416" t="b">
        <f>TrafficData[[#This Row],[pendingAmount]]+TrafficData[[#This Row],[disposedAmount]]=TrafficData[[#This Row],[totalAmount]]</f>
        <v>1</v>
      </c>
      <c r="M2416" t="b">
        <f>TrafficData[[#This Row],[pendingCourt]]+TrafficData[[#This Row],[disposedCourt]]=TrafficData[[#This Row],[totalCourt]]</f>
        <v>1</v>
      </c>
      <c r="N2416" s="8" t="b">
        <f>AND(TrafficData[[#This Row],[disposedChallan]]&lt;=TrafficData[[#This Row],[totalChallan]],TrafficData[[#This Row],[pendingChallan]]&lt;=TrafficData[[#This Row],[totalChallan]])</f>
        <v>1</v>
      </c>
      <c r="O2416" s="8" t="b">
        <f>AND(TrafficData[[#This Row],[pendingAmount]]&lt;=TrafficData[[#This Row],[totalAmount]],TrafficData[[#This Row],[disposedAmount]]&lt;=TrafficData[[#This Row],[totalAmount]])</f>
        <v>1</v>
      </c>
      <c r="P2416" s="8" t="b">
        <f>AND(TrafficData[[#This Row],[pendingCourt]]&lt;=TrafficData[[#This Row],[totalCourt]],TrafficData[[#This Row],[disposedCourt]]&lt;=TrafficData[[#This Row],[totalCourt]])</f>
        <v>1</v>
      </c>
    </row>
    <row r="2417" spans="1:16">
      <c r="A2417" s="1">
        <v>44421</v>
      </c>
      <c r="B2417">
        <v>125877</v>
      </c>
      <c r="C2417">
        <v>62874</v>
      </c>
      <c r="D2417">
        <v>63003</v>
      </c>
      <c r="E2417">
        <v>63089759</v>
      </c>
      <c r="F2417">
        <v>71545535</v>
      </c>
      <c r="G2417">
        <v>134635294</v>
      </c>
      <c r="H2417">
        <v>26442</v>
      </c>
      <c r="I2417">
        <v>11840</v>
      </c>
      <c r="J2417">
        <v>38282</v>
      </c>
      <c r="K2417" t="b">
        <f>TrafficData[[#This Row],[disposedChallan]]+TrafficData[[#This Row],[pendingChallan]]=TrafficData[[#This Row],[totalChallan]]</f>
        <v>1</v>
      </c>
      <c r="L2417" t="b">
        <f>TrafficData[[#This Row],[pendingAmount]]+TrafficData[[#This Row],[disposedAmount]]=TrafficData[[#This Row],[totalAmount]]</f>
        <v>1</v>
      </c>
      <c r="M2417" t="b">
        <f>TrafficData[[#This Row],[pendingCourt]]+TrafficData[[#This Row],[disposedCourt]]=TrafficData[[#This Row],[totalCourt]]</f>
        <v>1</v>
      </c>
      <c r="N2417" s="8" t="b">
        <f>AND(TrafficData[[#This Row],[disposedChallan]]&lt;=TrafficData[[#This Row],[totalChallan]],TrafficData[[#This Row],[pendingChallan]]&lt;=TrafficData[[#This Row],[totalChallan]])</f>
        <v>1</v>
      </c>
      <c r="O2417" s="8" t="b">
        <f>AND(TrafficData[[#This Row],[pendingAmount]]&lt;=TrafficData[[#This Row],[totalAmount]],TrafficData[[#This Row],[disposedAmount]]&lt;=TrafficData[[#This Row],[totalAmount]])</f>
        <v>1</v>
      </c>
      <c r="P2417" s="8" t="b">
        <f>AND(TrafficData[[#This Row],[pendingCourt]]&lt;=TrafficData[[#This Row],[totalCourt]],TrafficData[[#This Row],[disposedCourt]]&lt;=TrafficData[[#This Row],[totalCourt]])</f>
        <v>1</v>
      </c>
    </row>
    <row r="2418" spans="1:16">
      <c r="A2418" s="1">
        <v>44422</v>
      </c>
      <c r="B2418">
        <v>130849</v>
      </c>
      <c r="C2418">
        <v>64393</v>
      </c>
      <c r="D2418">
        <v>66456</v>
      </c>
      <c r="E2418">
        <v>65493746</v>
      </c>
      <c r="F2418">
        <v>70788589</v>
      </c>
      <c r="G2418">
        <v>136282335</v>
      </c>
      <c r="H2418">
        <v>29810</v>
      </c>
      <c r="I2418">
        <v>13779</v>
      </c>
      <c r="J2418">
        <v>43589</v>
      </c>
      <c r="K2418" t="b">
        <f>TrafficData[[#This Row],[disposedChallan]]+TrafficData[[#This Row],[pendingChallan]]=TrafficData[[#This Row],[totalChallan]]</f>
        <v>1</v>
      </c>
      <c r="L2418" t="b">
        <f>TrafficData[[#This Row],[pendingAmount]]+TrafficData[[#This Row],[disposedAmount]]=TrafficData[[#This Row],[totalAmount]]</f>
        <v>1</v>
      </c>
      <c r="M2418" t="b">
        <f>TrafficData[[#This Row],[pendingCourt]]+TrafficData[[#This Row],[disposedCourt]]=TrafficData[[#This Row],[totalCourt]]</f>
        <v>1</v>
      </c>
      <c r="N2418" s="8" t="b">
        <f>AND(TrafficData[[#This Row],[disposedChallan]]&lt;=TrafficData[[#This Row],[totalChallan]],TrafficData[[#This Row],[pendingChallan]]&lt;=TrafficData[[#This Row],[totalChallan]])</f>
        <v>1</v>
      </c>
      <c r="O2418" s="8" t="b">
        <f>AND(TrafficData[[#This Row],[pendingAmount]]&lt;=TrafficData[[#This Row],[totalAmount]],TrafficData[[#This Row],[disposedAmount]]&lt;=TrafficData[[#This Row],[totalAmount]])</f>
        <v>1</v>
      </c>
      <c r="P2418" s="8" t="b">
        <f>AND(TrafficData[[#This Row],[pendingCourt]]&lt;=TrafficData[[#This Row],[totalCourt]],TrafficData[[#This Row],[disposedCourt]]&lt;=TrafficData[[#This Row],[totalCourt]])</f>
        <v>1</v>
      </c>
    </row>
    <row r="2419" spans="1:16">
      <c r="A2419" s="1">
        <v>44423</v>
      </c>
      <c r="B2419">
        <v>89426</v>
      </c>
      <c r="C2419">
        <v>36703</v>
      </c>
      <c r="D2419">
        <v>52723</v>
      </c>
      <c r="E2419">
        <v>41228385</v>
      </c>
      <c r="F2419">
        <v>33503833</v>
      </c>
      <c r="G2419">
        <v>74732218</v>
      </c>
      <c r="H2419">
        <v>19055</v>
      </c>
      <c r="I2419">
        <v>6137</v>
      </c>
      <c r="J2419">
        <v>25192</v>
      </c>
      <c r="K2419" t="b">
        <f>TrafficData[[#This Row],[disposedChallan]]+TrafficData[[#This Row],[pendingChallan]]=TrafficData[[#This Row],[totalChallan]]</f>
        <v>1</v>
      </c>
      <c r="L2419" t="b">
        <f>TrafficData[[#This Row],[pendingAmount]]+TrafficData[[#This Row],[disposedAmount]]=TrafficData[[#This Row],[totalAmount]]</f>
        <v>1</v>
      </c>
      <c r="M2419" t="b">
        <f>TrafficData[[#This Row],[pendingCourt]]+TrafficData[[#This Row],[disposedCourt]]=TrafficData[[#This Row],[totalCourt]]</f>
        <v>1</v>
      </c>
      <c r="N2419" s="8" t="b">
        <f>AND(TrafficData[[#This Row],[disposedChallan]]&lt;=TrafficData[[#This Row],[totalChallan]],TrafficData[[#This Row],[pendingChallan]]&lt;=TrafficData[[#This Row],[totalChallan]])</f>
        <v>1</v>
      </c>
      <c r="O2419" s="8" t="b">
        <f>AND(TrafficData[[#This Row],[pendingAmount]]&lt;=TrafficData[[#This Row],[totalAmount]],TrafficData[[#This Row],[disposedAmount]]&lt;=TrafficData[[#This Row],[totalAmount]])</f>
        <v>1</v>
      </c>
      <c r="P2419" s="8" t="b">
        <f>AND(TrafficData[[#This Row],[pendingCourt]]&lt;=TrafficData[[#This Row],[totalCourt]],TrafficData[[#This Row],[disposedCourt]]&lt;=TrafficData[[#This Row],[totalCourt]])</f>
        <v>1</v>
      </c>
    </row>
    <row r="2420" spans="1:16">
      <c r="A2420" s="1">
        <v>44424</v>
      </c>
      <c r="B2420">
        <v>140131</v>
      </c>
      <c r="C2420">
        <v>65567</v>
      </c>
      <c r="D2420">
        <v>74564</v>
      </c>
      <c r="E2420">
        <v>71083451</v>
      </c>
      <c r="F2420">
        <v>71007672</v>
      </c>
      <c r="G2420">
        <v>142091123</v>
      </c>
      <c r="H2420">
        <v>31414</v>
      </c>
      <c r="I2420">
        <v>10750</v>
      </c>
      <c r="J2420">
        <v>42164</v>
      </c>
      <c r="K2420" t="b">
        <f>TrafficData[[#This Row],[disposedChallan]]+TrafficData[[#This Row],[pendingChallan]]=TrafficData[[#This Row],[totalChallan]]</f>
        <v>1</v>
      </c>
      <c r="L2420" t="b">
        <f>TrafficData[[#This Row],[pendingAmount]]+TrafficData[[#This Row],[disposedAmount]]=TrafficData[[#This Row],[totalAmount]]</f>
        <v>1</v>
      </c>
      <c r="M2420" t="b">
        <f>TrafficData[[#This Row],[pendingCourt]]+TrafficData[[#This Row],[disposedCourt]]=TrafficData[[#This Row],[totalCourt]]</f>
        <v>1</v>
      </c>
      <c r="N2420" s="8" t="b">
        <f>AND(TrafficData[[#This Row],[disposedChallan]]&lt;=TrafficData[[#This Row],[totalChallan]],TrafficData[[#This Row],[pendingChallan]]&lt;=TrafficData[[#This Row],[totalChallan]])</f>
        <v>1</v>
      </c>
      <c r="O2420" s="8" t="b">
        <f>AND(TrafficData[[#This Row],[pendingAmount]]&lt;=TrafficData[[#This Row],[totalAmount]],TrafficData[[#This Row],[disposedAmount]]&lt;=TrafficData[[#This Row],[totalAmount]])</f>
        <v>1</v>
      </c>
      <c r="P2420" s="8" t="b">
        <f>AND(TrafficData[[#This Row],[pendingCourt]]&lt;=TrafficData[[#This Row],[totalCourt]],TrafficData[[#This Row],[disposedCourt]]&lt;=TrafficData[[#This Row],[totalCourt]])</f>
        <v>1</v>
      </c>
    </row>
    <row r="2421" spans="1:16">
      <c r="A2421" s="1">
        <v>44425</v>
      </c>
      <c r="B2421">
        <v>135231</v>
      </c>
      <c r="C2421">
        <v>64080</v>
      </c>
      <c r="D2421">
        <v>71151</v>
      </c>
      <c r="E2421">
        <v>74116358</v>
      </c>
      <c r="F2421">
        <v>76430184</v>
      </c>
      <c r="G2421">
        <v>150546542</v>
      </c>
      <c r="H2421">
        <v>32702</v>
      </c>
      <c r="I2421">
        <v>10905</v>
      </c>
      <c r="J2421">
        <v>43607</v>
      </c>
      <c r="K2421" t="b">
        <f>TrafficData[[#This Row],[disposedChallan]]+TrafficData[[#This Row],[pendingChallan]]=TrafficData[[#This Row],[totalChallan]]</f>
        <v>1</v>
      </c>
      <c r="L2421" t="b">
        <f>TrafficData[[#This Row],[pendingAmount]]+TrafficData[[#This Row],[disposedAmount]]=TrafficData[[#This Row],[totalAmount]]</f>
        <v>1</v>
      </c>
      <c r="M2421" t="b">
        <f>TrafficData[[#This Row],[pendingCourt]]+TrafficData[[#This Row],[disposedCourt]]=TrafficData[[#This Row],[totalCourt]]</f>
        <v>1</v>
      </c>
      <c r="N2421" s="8" t="b">
        <f>AND(TrafficData[[#This Row],[disposedChallan]]&lt;=TrafficData[[#This Row],[totalChallan]],TrafficData[[#This Row],[pendingChallan]]&lt;=TrafficData[[#This Row],[totalChallan]])</f>
        <v>1</v>
      </c>
      <c r="O2421" s="8" t="b">
        <f>AND(TrafficData[[#This Row],[pendingAmount]]&lt;=TrafficData[[#This Row],[totalAmount]],TrafficData[[#This Row],[disposedAmount]]&lt;=TrafficData[[#This Row],[totalAmount]])</f>
        <v>1</v>
      </c>
      <c r="P2421" s="8" t="b">
        <f>AND(TrafficData[[#This Row],[pendingCourt]]&lt;=TrafficData[[#This Row],[totalCourt]],TrafficData[[#This Row],[disposedCourt]]&lt;=TrafficData[[#This Row],[totalCourt]])</f>
        <v>1</v>
      </c>
    </row>
    <row r="2422" spans="1:16">
      <c r="A2422" s="1">
        <v>44426</v>
      </c>
      <c r="B2422">
        <v>138978</v>
      </c>
      <c r="C2422">
        <v>65662</v>
      </c>
      <c r="D2422">
        <v>73316</v>
      </c>
      <c r="E2422">
        <v>71486932</v>
      </c>
      <c r="F2422">
        <v>76429032</v>
      </c>
      <c r="G2422">
        <v>147915964</v>
      </c>
      <c r="H2422">
        <v>31912</v>
      </c>
      <c r="I2422">
        <v>11253</v>
      </c>
      <c r="J2422">
        <v>43165</v>
      </c>
      <c r="K2422" t="b">
        <f>TrafficData[[#This Row],[disposedChallan]]+TrafficData[[#This Row],[pendingChallan]]=TrafficData[[#This Row],[totalChallan]]</f>
        <v>1</v>
      </c>
      <c r="L2422" t="b">
        <f>TrafficData[[#This Row],[pendingAmount]]+TrafficData[[#This Row],[disposedAmount]]=TrafficData[[#This Row],[totalAmount]]</f>
        <v>1</v>
      </c>
      <c r="M2422" t="b">
        <f>TrafficData[[#This Row],[pendingCourt]]+TrafficData[[#This Row],[disposedCourt]]=TrafficData[[#This Row],[totalCourt]]</f>
        <v>1</v>
      </c>
      <c r="N2422" s="8" t="b">
        <f>AND(TrafficData[[#This Row],[disposedChallan]]&lt;=TrafficData[[#This Row],[totalChallan]],TrafficData[[#This Row],[pendingChallan]]&lt;=TrafficData[[#This Row],[totalChallan]])</f>
        <v>1</v>
      </c>
      <c r="O2422" s="8" t="b">
        <f>AND(TrafficData[[#This Row],[pendingAmount]]&lt;=TrafficData[[#This Row],[totalAmount]],TrafficData[[#This Row],[disposedAmount]]&lt;=TrafficData[[#This Row],[totalAmount]])</f>
        <v>1</v>
      </c>
      <c r="P2422" s="8" t="b">
        <f>AND(TrafficData[[#This Row],[pendingCourt]]&lt;=TrafficData[[#This Row],[totalCourt]],TrafficData[[#This Row],[disposedCourt]]&lt;=TrafficData[[#This Row],[totalCourt]])</f>
        <v>1</v>
      </c>
    </row>
    <row r="2423" spans="1:16">
      <c r="A2423" s="1">
        <v>44427</v>
      </c>
      <c r="B2423">
        <v>130892</v>
      </c>
      <c r="C2423">
        <v>61799</v>
      </c>
      <c r="D2423">
        <v>69093</v>
      </c>
      <c r="E2423">
        <v>71515569</v>
      </c>
      <c r="F2423">
        <v>72794175</v>
      </c>
      <c r="G2423">
        <v>144309744</v>
      </c>
      <c r="H2423">
        <v>31460</v>
      </c>
      <c r="I2423">
        <v>10866</v>
      </c>
      <c r="J2423">
        <v>42326</v>
      </c>
      <c r="K2423" t="b">
        <f>TrafficData[[#This Row],[disposedChallan]]+TrafficData[[#This Row],[pendingChallan]]=TrafficData[[#This Row],[totalChallan]]</f>
        <v>1</v>
      </c>
      <c r="L2423" t="b">
        <f>TrafficData[[#This Row],[pendingAmount]]+TrafficData[[#This Row],[disposedAmount]]=TrafficData[[#This Row],[totalAmount]]</f>
        <v>1</v>
      </c>
      <c r="M2423" t="b">
        <f>TrafficData[[#This Row],[pendingCourt]]+TrafficData[[#This Row],[disposedCourt]]=TrafficData[[#This Row],[totalCourt]]</f>
        <v>1</v>
      </c>
      <c r="N2423" s="8" t="b">
        <f>AND(TrafficData[[#This Row],[disposedChallan]]&lt;=TrafficData[[#This Row],[totalChallan]],TrafficData[[#This Row],[pendingChallan]]&lt;=TrafficData[[#This Row],[totalChallan]])</f>
        <v>1</v>
      </c>
      <c r="O2423" s="8" t="b">
        <f>AND(TrafficData[[#This Row],[pendingAmount]]&lt;=TrafficData[[#This Row],[totalAmount]],TrafficData[[#This Row],[disposedAmount]]&lt;=TrafficData[[#This Row],[totalAmount]])</f>
        <v>1</v>
      </c>
      <c r="P2423" s="8" t="b">
        <f>AND(TrafficData[[#This Row],[pendingCourt]]&lt;=TrafficData[[#This Row],[totalCourt]],TrafficData[[#This Row],[disposedCourt]]&lt;=TrafficData[[#This Row],[totalCourt]])</f>
        <v>1</v>
      </c>
    </row>
    <row r="2424" spans="1:16">
      <c r="A2424" s="1">
        <v>44428</v>
      </c>
      <c r="B2424">
        <v>117209</v>
      </c>
      <c r="C2424">
        <v>56001</v>
      </c>
      <c r="D2424">
        <v>61208</v>
      </c>
      <c r="E2424">
        <v>60136667</v>
      </c>
      <c r="F2424">
        <v>63014232</v>
      </c>
      <c r="G2424">
        <v>123150899</v>
      </c>
      <c r="H2424">
        <v>26921</v>
      </c>
      <c r="I2424">
        <v>9279</v>
      </c>
      <c r="J2424">
        <v>36200</v>
      </c>
      <c r="K2424" t="b">
        <f>TrafficData[[#This Row],[disposedChallan]]+TrafficData[[#This Row],[pendingChallan]]=TrafficData[[#This Row],[totalChallan]]</f>
        <v>1</v>
      </c>
      <c r="L2424" t="b">
        <f>TrafficData[[#This Row],[pendingAmount]]+TrafficData[[#This Row],[disposedAmount]]=TrafficData[[#This Row],[totalAmount]]</f>
        <v>1</v>
      </c>
      <c r="M2424" t="b">
        <f>TrafficData[[#This Row],[pendingCourt]]+TrafficData[[#This Row],[disposedCourt]]=TrafficData[[#This Row],[totalCourt]]</f>
        <v>1</v>
      </c>
      <c r="N2424" s="8" t="b">
        <f>AND(TrafficData[[#This Row],[disposedChallan]]&lt;=TrafficData[[#This Row],[totalChallan]],TrafficData[[#This Row],[pendingChallan]]&lt;=TrafficData[[#This Row],[totalChallan]])</f>
        <v>1</v>
      </c>
      <c r="O2424" s="8" t="b">
        <f>AND(TrafficData[[#This Row],[pendingAmount]]&lt;=TrafficData[[#This Row],[totalAmount]],TrafficData[[#This Row],[disposedAmount]]&lt;=TrafficData[[#This Row],[totalAmount]])</f>
        <v>1</v>
      </c>
      <c r="P2424" s="8" t="b">
        <f>AND(TrafficData[[#This Row],[pendingCourt]]&lt;=TrafficData[[#This Row],[totalCourt]],TrafficData[[#This Row],[disposedCourt]]&lt;=TrafficData[[#This Row],[totalCourt]])</f>
        <v>1</v>
      </c>
    </row>
    <row r="2425" spans="1:16">
      <c r="A2425" s="1">
        <v>44429</v>
      </c>
      <c r="B2425">
        <v>114655</v>
      </c>
      <c r="C2425">
        <v>52395</v>
      </c>
      <c r="D2425">
        <v>62260</v>
      </c>
      <c r="E2425">
        <v>55760212</v>
      </c>
      <c r="F2425">
        <v>59008091</v>
      </c>
      <c r="G2425">
        <v>114768303</v>
      </c>
      <c r="H2425">
        <v>27013</v>
      </c>
      <c r="I2425">
        <v>9414</v>
      </c>
      <c r="J2425">
        <v>36427</v>
      </c>
      <c r="K2425" t="b">
        <f>TrafficData[[#This Row],[disposedChallan]]+TrafficData[[#This Row],[pendingChallan]]=TrafficData[[#This Row],[totalChallan]]</f>
        <v>1</v>
      </c>
      <c r="L2425" t="b">
        <f>TrafficData[[#This Row],[pendingAmount]]+TrafficData[[#This Row],[disposedAmount]]=TrafficData[[#This Row],[totalAmount]]</f>
        <v>1</v>
      </c>
      <c r="M2425" t="b">
        <f>TrafficData[[#This Row],[pendingCourt]]+TrafficData[[#This Row],[disposedCourt]]=TrafficData[[#This Row],[totalCourt]]</f>
        <v>1</v>
      </c>
      <c r="N2425" s="8" t="b">
        <f>AND(TrafficData[[#This Row],[disposedChallan]]&lt;=TrafficData[[#This Row],[totalChallan]],TrafficData[[#This Row],[pendingChallan]]&lt;=TrafficData[[#This Row],[totalChallan]])</f>
        <v>1</v>
      </c>
      <c r="O2425" s="8" t="b">
        <f>AND(TrafficData[[#This Row],[pendingAmount]]&lt;=TrafficData[[#This Row],[totalAmount]],TrafficData[[#This Row],[disposedAmount]]&lt;=TrafficData[[#This Row],[totalAmount]])</f>
        <v>1</v>
      </c>
      <c r="P2425" s="8" t="b">
        <f>AND(TrafficData[[#This Row],[pendingCourt]]&lt;=TrafficData[[#This Row],[totalCourt]],TrafficData[[#This Row],[disposedCourt]]&lt;=TrafficData[[#This Row],[totalCourt]])</f>
        <v>1</v>
      </c>
    </row>
    <row r="2426" spans="1:16">
      <c r="A2426" s="1">
        <v>44430</v>
      </c>
      <c r="B2426">
        <v>106507</v>
      </c>
      <c r="C2426">
        <v>43422</v>
      </c>
      <c r="D2426">
        <v>63085</v>
      </c>
      <c r="E2426">
        <v>46549609</v>
      </c>
      <c r="F2426">
        <v>34768973</v>
      </c>
      <c r="G2426">
        <v>81318582</v>
      </c>
      <c r="H2426">
        <v>24373</v>
      </c>
      <c r="I2426">
        <v>8203</v>
      </c>
      <c r="J2426">
        <v>32576</v>
      </c>
      <c r="K2426" t="b">
        <f>TrafficData[[#This Row],[disposedChallan]]+TrafficData[[#This Row],[pendingChallan]]=TrafficData[[#This Row],[totalChallan]]</f>
        <v>1</v>
      </c>
      <c r="L2426" t="b">
        <f>TrafficData[[#This Row],[pendingAmount]]+TrafficData[[#This Row],[disposedAmount]]=TrafficData[[#This Row],[totalAmount]]</f>
        <v>1</v>
      </c>
      <c r="M2426" t="b">
        <f>TrafficData[[#This Row],[pendingCourt]]+TrafficData[[#This Row],[disposedCourt]]=TrafficData[[#This Row],[totalCourt]]</f>
        <v>1</v>
      </c>
      <c r="N2426" s="8" t="b">
        <f>AND(TrafficData[[#This Row],[disposedChallan]]&lt;=TrafficData[[#This Row],[totalChallan]],TrafficData[[#This Row],[pendingChallan]]&lt;=TrafficData[[#This Row],[totalChallan]])</f>
        <v>1</v>
      </c>
      <c r="O2426" s="8" t="b">
        <f>AND(TrafficData[[#This Row],[pendingAmount]]&lt;=TrafficData[[#This Row],[totalAmount]],TrafficData[[#This Row],[disposedAmount]]&lt;=TrafficData[[#This Row],[totalAmount]])</f>
        <v>1</v>
      </c>
      <c r="P2426" s="8" t="b">
        <f>AND(TrafficData[[#This Row],[pendingCourt]]&lt;=TrafficData[[#This Row],[totalCourt]],TrafficData[[#This Row],[disposedCourt]]&lt;=TrafficData[[#This Row],[totalCourt]])</f>
        <v>1</v>
      </c>
    </row>
    <row r="2427" spans="1:16">
      <c r="A2427" s="1">
        <v>44431</v>
      </c>
      <c r="B2427">
        <v>123736</v>
      </c>
      <c r="C2427">
        <v>57188</v>
      </c>
      <c r="D2427">
        <v>66548</v>
      </c>
      <c r="E2427">
        <v>62372564</v>
      </c>
      <c r="F2427">
        <v>52074493</v>
      </c>
      <c r="G2427">
        <v>114447057</v>
      </c>
      <c r="H2427">
        <v>24399</v>
      </c>
      <c r="I2427">
        <v>8370</v>
      </c>
      <c r="J2427">
        <v>32769</v>
      </c>
      <c r="K2427" t="b">
        <f>TrafficData[[#This Row],[disposedChallan]]+TrafficData[[#This Row],[pendingChallan]]=TrafficData[[#This Row],[totalChallan]]</f>
        <v>1</v>
      </c>
      <c r="L2427" t="b">
        <f>TrafficData[[#This Row],[pendingAmount]]+TrafficData[[#This Row],[disposedAmount]]=TrafficData[[#This Row],[totalAmount]]</f>
        <v>1</v>
      </c>
      <c r="M2427" t="b">
        <f>TrafficData[[#This Row],[pendingCourt]]+TrafficData[[#This Row],[disposedCourt]]=TrafficData[[#This Row],[totalCourt]]</f>
        <v>1</v>
      </c>
      <c r="N2427" s="8" t="b">
        <f>AND(TrafficData[[#This Row],[disposedChallan]]&lt;=TrafficData[[#This Row],[totalChallan]],TrafficData[[#This Row],[pendingChallan]]&lt;=TrafficData[[#This Row],[totalChallan]])</f>
        <v>1</v>
      </c>
      <c r="O2427" s="8" t="b">
        <f>AND(TrafficData[[#This Row],[pendingAmount]]&lt;=TrafficData[[#This Row],[totalAmount]],TrafficData[[#This Row],[disposedAmount]]&lt;=TrafficData[[#This Row],[totalAmount]])</f>
        <v>1</v>
      </c>
      <c r="P2427" s="8" t="b">
        <f>AND(TrafficData[[#This Row],[pendingCourt]]&lt;=TrafficData[[#This Row],[totalCourt]],TrafficData[[#This Row],[disposedCourt]]&lt;=TrafficData[[#This Row],[totalCourt]])</f>
        <v>1</v>
      </c>
    </row>
    <row r="2428" spans="1:16">
      <c r="A2428" s="1">
        <v>44432</v>
      </c>
      <c r="B2428">
        <v>116264</v>
      </c>
      <c r="C2428">
        <v>57209</v>
      </c>
      <c r="D2428">
        <v>59055</v>
      </c>
      <c r="E2428">
        <v>63352866</v>
      </c>
      <c r="F2428">
        <v>69347889</v>
      </c>
      <c r="G2428">
        <v>132700755</v>
      </c>
      <c r="H2428">
        <v>29253</v>
      </c>
      <c r="I2428">
        <v>9971</v>
      </c>
      <c r="J2428">
        <v>39224</v>
      </c>
      <c r="K2428" t="b">
        <f>TrafficData[[#This Row],[disposedChallan]]+TrafficData[[#This Row],[pendingChallan]]=TrafficData[[#This Row],[totalChallan]]</f>
        <v>1</v>
      </c>
      <c r="L2428" t="b">
        <f>TrafficData[[#This Row],[pendingAmount]]+TrafficData[[#This Row],[disposedAmount]]=TrafficData[[#This Row],[totalAmount]]</f>
        <v>1</v>
      </c>
      <c r="M2428" t="b">
        <f>TrafficData[[#This Row],[pendingCourt]]+TrafficData[[#This Row],[disposedCourt]]=TrafficData[[#This Row],[totalCourt]]</f>
        <v>1</v>
      </c>
      <c r="N2428" s="8" t="b">
        <f>AND(TrafficData[[#This Row],[disposedChallan]]&lt;=TrafficData[[#This Row],[totalChallan]],TrafficData[[#This Row],[pendingChallan]]&lt;=TrafficData[[#This Row],[totalChallan]])</f>
        <v>1</v>
      </c>
      <c r="O2428" s="8" t="b">
        <f>AND(TrafficData[[#This Row],[pendingAmount]]&lt;=TrafficData[[#This Row],[totalAmount]],TrafficData[[#This Row],[disposedAmount]]&lt;=TrafficData[[#This Row],[totalAmount]])</f>
        <v>1</v>
      </c>
      <c r="P2428" s="8" t="b">
        <f>AND(TrafficData[[#This Row],[pendingCourt]]&lt;=TrafficData[[#This Row],[totalCourt]],TrafficData[[#This Row],[disposedCourt]]&lt;=TrafficData[[#This Row],[totalCourt]])</f>
        <v>1</v>
      </c>
    </row>
    <row r="2429" spans="1:16">
      <c r="A2429" s="1">
        <v>44433</v>
      </c>
      <c r="B2429">
        <v>118942</v>
      </c>
      <c r="C2429">
        <v>59497</v>
      </c>
      <c r="D2429">
        <v>59445</v>
      </c>
      <c r="E2429">
        <v>69869370</v>
      </c>
      <c r="F2429">
        <v>77662433</v>
      </c>
      <c r="G2429">
        <v>147531803</v>
      </c>
      <c r="H2429">
        <v>28977</v>
      </c>
      <c r="I2429">
        <v>9851</v>
      </c>
      <c r="J2429">
        <v>38828</v>
      </c>
      <c r="K2429" t="b">
        <f>TrafficData[[#This Row],[disposedChallan]]+TrafficData[[#This Row],[pendingChallan]]=TrafficData[[#This Row],[totalChallan]]</f>
        <v>1</v>
      </c>
      <c r="L2429" t="b">
        <f>TrafficData[[#This Row],[pendingAmount]]+TrafficData[[#This Row],[disposedAmount]]=TrafficData[[#This Row],[totalAmount]]</f>
        <v>1</v>
      </c>
      <c r="M2429" t="b">
        <f>TrafficData[[#This Row],[pendingCourt]]+TrafficData[[#This Row],[disposedCourt]]=TrafficData[[#This Row],[totalCourt]]</f>
        <v>1</v>
      </c>
      <c r="N2429" s="8" t="b">
        <f>AND(TrafficData[[#This Row],[disposedChallan]]&lt;=TrafficData[[#This Row],[totalChallan]],TrafficData[[#This Row],[pendingChallan]]&lt;=TrafficData[[#This Row],[totalChallan]])</f>
        <v>1</v>
      </c>
      <c r="O2429" s="8" t="b">
        <f>AND(TrafficData[[#This Row],[pendingAmount]]&lt;=TrafficData[[#This Row],[totalAmount]],TrafficData[[#This Row],[disposedAmount]]&lt;=TrafficData[[#This Row],[totalAmount]])</f>
        <v>1</v>
      </c>
      <c r="P2429" s="8" t="b">
        <f>AND(TrafficData[[#This Row],[pendingCourt]]&lt;=TrafficData[[#This Row],[totalCourt]],TrafficData[[#This Row],[disposedCourt]]&lt;=TrafficData[[#This Row],[totalCourt]])</f>
        <v>1</v>
      </c>
    </row>
    <row r="2430" spans="1:16">
      <c r="A2430" s="1">
        <v>44434</v>
      </c>
      <c r="B2430">
        <v>123674</v>
      </c>
      <c r="C2430">
        <v>60363</v>
      </c>
      <c r="D2430">
        <v>63311</v>
      </c>
      <c r="E2430">
        <v>71879905</v>
      </c>
      <c r="F2430">
        <v>75537979</v>
      </c>
      <c r="G2430">
        <v>147417884</v>
      </c>
      <c r="H2430">
        <v>31237</v>
      </c>
      <c r="I2430">
        <v>10691</v>
      </c>
      <c r="J2430">
        <v>41928</v>
      </c>
      <c r="K2430" t="b">
        <f>TrafficData[[#This Row],[disposedChallan]]+TrafficData[[#This Row],[pendingChallan]]=TrafficData[[#This Row],[totalChallan]]</f>
        <v>1</v>
      </c>
      <c r="L2430" t="b">
        <f>TrafficData[[#This Row],[pendingAmount]]+TrafficData[[#This Row],[disposedAmount]]=TrafficData[[#This Row],[totalAmount]]</f>
        <v>1</v>
      </c>
      <c r="M2430" t="b">
        <f>TrafficData[[#This Row],[pendingCourt]]+TrafficData[[#This Row],[disposedCourt]]=TrafficData[[#This Row],[totalCourt]]</f>
        <v>1</v>
      </c>
      <c r="N2430" s="8" t="b">
        <f>AND(TrafficData[[#This Row],[disposedChallan]]&lt;=TrafficData[[#This Row],[totalChallan]],TrafficData[[#This Row],[pendingChallan]]&lt;=TrafficData[[#This Row],[totalChallan]])</f>
        <v>1</v>
      </c>
      <c r="O2430" s="8" t="b">
        <f>AND(TrafficData[[#This Row],[pendingAmount]]&lt;=TrafficData[[#This Row],[totalAmount]],TrafficData[[#This Row],[disposedAmount]]&lt;=TrafficData[[#This Row],[totalAmount]])</f>
        <v>1</v>
      </c>
      <c r="P2430" s="8" t="b">
        <f>AND(TrafficData[[#This Row],[pendingCourt]]&lt;=TrafficData[[#This Row],[totalCourt]],TrafficData[[#This Row],[disposedCourt]]&lt;=TrafficData[[#This Row],[totalCourt]])</f>
        <v>1</v>
      </c>
    </row>
    <row r="2431" spans="1:16">
      <c r="A2431" s="1">
        <v>44435</v>
      </c>
      <c r="B2431">
        <v>123195</v>
      </c>
      <c r="C2431">
        <v>59020</v>
      </c>
      <c r="D2431">
        <v>64175</v>
      </c>
      <c r="E2431">
        <v>66754081</v>
      </c>
      <c r="F2431">
        <v>72654607</v>
      </c>
      <c r="G2431">
        <v>139408688</v>
      </c>
      <c r="H2431">
        <v>31390</v>
      </c>
      <c r="I2431">
        <v>10433</v>
      </c>
      <c r="J2431">
        <v>41823</v>
      </c>
      <c r="K2431" t="b">
        <f>TrafficData[[#This Row],[disposedChallan]]+TrafficData[[#This Row],[pendingChallan]]=TrafficData[[#This Row],[totalChallan]]</f>
        <v>1</v>
      </c>
      <c r="L2431" t="b">
        <f>TrafficData[[#This Row],[pendingAmount]]+TrafficData[[#This Row],[disposedAmount]]=TrafficData[[#This Row],[totalAmount]]</f>
        <v>1</v>
      </c>
      <c r="M2431" t="b">
        <f>TrafficData[[#This Row],[pendingCourt]]+TrafficData[[#This Row],[disposedCourt]]=TrafficData[[#This Row],[totalCourt]]</f>
        <v>1</v>
      </c>
      <c r="N2431" s="8" t="b">
        <f>AND(TrafficData[[#This Row],[disposedChallan]]&lt;=TrafficData[[#This Row],[totalChallan]],TrafficData[[#This Row],[pendingChallan]]&lt;=TrafficData[[#This Row],[totalChallan]])</f>
        <v>1</v>
      </c>
      <c r="O2431" s="8" t="b">
        <f>AND(TrafficData[[#This Row],[pendingAmount]]&lt;=TrafficData[[#This Row],[totalAmount]],TrafficData[[#This Row],[disposedAmount]]&lt;=TrafficData[[#This Row],[totalAmount]])</f>
        <v>1</v>
      </c>
      <c r="P2431" s="8" t="b">
        <f>AND(TrafficData[[#This Row],[pendingCourt]]&lt;=TrafficData[[#This Row],[totalCourt]],TrafficData[[#This Row],[disposedCourt]]&lt;=TrafficData[[#This Row],[totalCourt]])</f>
        <v>1</v>
      </c>
    </row>
    <row r="2432" spans="1:16">
      <c r="A2432" s="1">
        <v>44436</v>
      </c>
      <c r="B2432">
        <v>127901</v>
      </c>
      <c r="C2432">
        <v>61038</v>
      </c>
      <c r="D2432">
        <v>66863</v>
      </c>
      <c r="E2432">
        <v>67086550</v>
      </c>
      <c r="F2432">
        <v>70096985</v>
      </c>
      <c r="G2432">
        <v>137183535</v>
      </c>
      <c r="H2432">
        <v>29837</v>
      </c>
      <c r="I2432">
        <v>10345</v>
      </c>
      <c r="J2432">
        <v>40182</v>
      </c>
      <c r="K2432" t="b">
        <f>TrafficData[[#This Row],[disposedChallan]]+TrafficData[[#This Row],[pendingChallan]]=TrafficData[[#This Row],[totalChallan]]</f>
        <v>1</v>
      </c>
      <c r="L2432" t="b">
        <f>TrafficData[[#This Row],[pendingAmount]]+TrafficData[[#This Row],[disposedAmount]]=TrafficData[[#This Row],[totalAmount]]</f>
        <v>1</v>
      </c>
      <c r="M2432" t="b">
        <f>TrafficData[[#This Row],[pendingCourt]]+TrafficData[[#This Row],[disposedCourt]]=TrafficData[[#This Row],[totalCourt]]</f>
        <v>1</v>
      </c>
      <c r="N2432" s="8" t="b">
        <f>AND(TrafficData[[#This Row],[disposedChallan]]&lt;=TrafficData[[#This Row],[totalChallan]],TrafficData[[#This Row],[pendingChallan]]&lt;=TrafficData[[#This Row],[totalChallan]])</f>
        <v>1</v>
      </c>
      <c r="O2432" s="8" t="b">
        <f>AND(TrafficData[[#This Row],[pendingAmount]]&lt;=TrafficData[[#This Row],[totalAmount]],TrafficData[[#This Row],[disposedAmount]]&lt;=TrafficData[[#This Row],[totalAmount]])</f>
        <v>1</v>
      </c>
      <c r="P2432" s="8" t="b">
        <f>AND(TrafficData[[#This Row],[pendingCourt]]&lt;=TrafficData[[#This Row],[totalCourt]],TrafficData[[#This Row],[disposedCourt]]&lt;=TrafficData[[#This Row],[totalCourt]])</f>
        <v>1</v>
      </c>
    </row>
    <row r="2433" spans="1:16">
      <c r="A2433" s="1">
        <v>44437</v>
      </c>
      <c r="B2433">
        <v>119501</v>
      </c>
      <c r="C2433">
        <v>51919</v>
      </c>
      <c r="D2433">
        <v>67582</v>
      </c>
      <c r="E2433">
        <v>62903305</v>
      </c>
      <c r="F2433">
        <v>52320153</v>
      </c>
      <c r="G2433">
        <v>115223458</v>
      </c>
      <c r="H2433">
        <v>29310</v>
      </c>
      <c r="I2433">
        <v>9639</v>
      </c>
      <c r="J2433">
        <v>38949</v>
      </c>
      <c r="K2433" t="b">
        <f>TrafficData[[#This Row],[disposedChallan]]+TrafficData[[#This Row],[pendingChallan]]=TrafficData[[#This Row],[totalChallan]]</f>
        <v>1</v>
      </c>
      <c r="L2433" t="b">
        <f>TrafficData[[#This Row],[pendingAmount]]+TrafficData[[#This Row],[disposedAmount]]=TrafficData[[#This Row],[totalAmount]]</f>
        <v>1</v>
      </c>
      <c r="M2433" t="b">
        <f>TrafficData[[#This Row],[pendingCourt]]+TrafficData[[#This Row],[disposedCourt]]=TrafficData[[#This Row],[totalCourt]]</f>
        <v>1</v>
      </c>
      <c r="N2433" s="8" t="b">
        <f>AND(TrafficData[[#This Row],[disposedChallan]]&lt;=TrafficData[[#This Row],[totalChallan]],TrafficData[[#This Row],[pendingChallan]]&lt;=TrafficData[[#This Row],[totalChallan]])</f>
        <v>1</v>
      </c>
      <c r="O2433" s="8" t="b">
        <f>AND(TrafficData[[#This Row],[pendingAmount]]&lt;=TrafficData[[#This Row],[totalAmount]],TrafficData[[#This Row],[disposedAmount]]&lt;=TrafficData[[#This Row],[totalAmount]])</f>
        <v>1</v>
      </c>
      <c r="P2433" s="8" t="b">
        <f>AND(TrafficData[[#This Row],[pendingCourt]]&lt;=TrafficData[[#This Row],[totalCourt]],TrafficData[[#This Row],[disposedCourt]]&lt;=TrafficData[[#This Row],[totalCourt]])</f>
        <v>1</v>
      </c>
    </row>
    <row r="2434" spans="1:16">
      <c r="A2434" s="1">
        <v>44438</v>
      </c>
      <c r="B2434">
        <v>129560</v>
      </c>
      <c r="C2434">
        <v>60223</v>
      </c>
      <c r="D2434">
        <v>69337</v>
      </c>
      <c r="E2434">
        <v>57854956</v>
      </c>
      <c r="F2434">
        <v>50439765</v>
      </c>
      <c r="G2434">
        <v>108294721</v>
      </c>
      <c r="H2434">
        <v>27607</v>
      </c>
      <c r="I2434">
        <v>9113</v>
      </c>
      <c r="J2434">
        <v>36720</v>
      </c>
      <c r="K2434" t="b">
        <f>TrafficData[[#This Row],[disposedChallan]]+TrafficData[[#This Row],[pendingChallan]]=TrafficData[[#This Row],[totalChallan]]</f>
        <v>1</v>
      </c>
      <c r="L2434" t="b">
        <f>TrafficData[[#This Row],[pendingAmount]]+TrafficData[[#This Row],[disposedAmount]]=TrafficData[[#This Row],[totalAmount]]</f>
        <v>1</v>
      </c>
      <c r="M2434" t="b">
        <f>TrafficData[[#This Row],[pendingCourt]]+TrafficData[[#This Row],[disposedCourt]]=TrafficData[[#This Row],[totalCourt]]</f>
        <v>1</v>
      </c>
      <c r="N2434" s="8" t="b">
        <f>AND(TrafficData[[#This Row],[disposedChallan]]&lt;=TrafficData[[#This Row],[totalChallan]],TrafficData[[#This Row],[pendingChallan]]&lt;=TrafficData[[#This Row],[totalChallan]])</f>
        <v>1</v>
      </c>
      <c r="O2434" s="8" t="b">
        <f>AND(TrafficData[[#This Row],[pendingAmount]]&lt;=TrafficData[[#This Row],[totalAmount]],TrafficData[[#This Row],[disposedAmount]]&lt;=TrafficData[[#This Row],[totalAmount]])</f>
        <v>1</v>
      </c>
      <c r="P2434" s="8" t="b">
        <f>AND(TrafficData[[#This Row],[pendingCourt]]&lt;=TrafficData[[#This Row],[totalCourt]],TrafficData[[#This Row],[disposedCourt]]&lt;=TrafficData[[#This Row],[totalCourt]])</f>
        <v>1</v>
      </c>
    </row>
    <row r="2435" spans="1:16">
      <c r="A2435" s="1">
        <v>44439</v>
      </c>
      <c r="B2435">
        <v>126371</v>
      </c>
      <c r="C2435">
        <v>60080</v>
      </c>
      <c r="D2435">
        <v>66291</v>
      </c>
      <c r="E2435">
        <v>57166926</v>
      </c>
      <c r="F2435">
        <v>54968535</v>
      </c>
      <c r="G2435">
        <v>112135461</v>
      </c>
      <c r="H2435">
        <v>28056</v>
      </c>
      <c r="I2435">
        <v>8915</v>
      </c>
      <c r="J2435">
        <v>36971</v>
      </c>
      <c r="K2435" t="b">
        <f>TrafficData[[#This Row],[disposedChallan]]+TrafficData[[#This Row],[pendingChallan]]=TrafficData[[#This Row],[totalChallan]]</f>
        <v>1</v>
      </c>
      <c r="L2435" t="b">
        <f>TrafficData[[#This Row],[pendingAmount]]+TrafficData[[#This Row],[disposedAmount]]=TrafficData[[#This Row],[totalAmount]]</f>
        <v>1</v>
      </c>
      <c r="M2435" t="b">
        <f>TrafficData[[#This Row],[pendingCourt]]+TrafficData[[#This Row],[disposedCourt]]=TrafficData[[#This Row],[totalCourt]]</f>
        <v>1</v>
      </c>
      <c r="N2435" s="8" t="b">
        <f>AND(TrafficData[[#This Row],[disposedChallan]]&lt;=TrafficData[[#This Row],[totalChallan]],TrafficData[[#This Row],[pendingChallan]]&lt;=TrafficData[[#This Row],[totalChallan]])</f>
        <v>1</v>
      </c>
      <c r="O2435" s="8" t="b">
        <f>AND(TrafficData[[#This Row],[pendingAmount]]&lt;=TrafficData[[#This Row],[totalAmount]],TrafficData[[#This Row],[disposedAmount]]&lt;=TrafficData[[#This Row],[totalAmount]])</f>
        <v>1</v>
      </c>
      <c r="P2435" s="8" t="b">
        <f>AND(TrafficData[[#This Row],[pendingCourt]]&lt;=TrafficData[[#This Row],[totalCourt]],TrafficData[[#This Row],[disposedCourt]]&lt;=TrafficData[[#This Row],[totalCourt]])</f>
        <v>1</v>
      </c>
    </row>
    <row r="2436" spans="1:16">
      <c r="A2436" s="1">
        <v>44440</v>
      </c>
      <c r="B2436">
        <v>118888</v>
      </c>
      <c r="C2436">
        <v>59055</v>
      </c>
      <c r="D2436">
        <v>59833</v>
      </c>
      <c r="E2436">
        <v>60589527</v>
      </c>
      <c r="F2436">
        <v>69478642</v>
      </c>
      <c r="G2436">
        <v>130068169</v>
      </c>
      <c r="H2436">
        <v>27528</v>
      </c>
      <c r="I2436">
        <v>9103</v>
      </c>
      <c r="J2436">
        <v>36631</v>
      </c>
      <c r="K2436" t="b">
        <f>TrafficData[[#This Row],[disposedChallan]]+TrafficData[[#This Row],[pendingChallan]]=TrafficData[[#This Row],[totalChallan]]</f>
        <v>1</v>
      </c>
      <c r="L2436" t="b">
        <f>TrafficData[[#This Row],[pendingAmount]]+TrafficData[[#This Row],[disposedAmount]]=TrafficData[[#This Row],[totalAmount]]</f>
        <v>1</v>
      </c>
      <c r="M2436" t="b">
        <f>TrafficData[[#This Row],[pendingCourt]]+TrafficData[[#This Row],[disposedCourt]]=TrafficData[[#This Row],[totalCourt]]</f>
        <v>1</v>
      </c>
      <c r="N2436" s="8" t="b">
        <f>AND(TrafficData[[#This Row],[disposedChallan]]&lt;=TrafficData[[#This Row],[totalChallan]],TrafficData[[#This Row],[pendingChallan]]&lt;=TrafficData[[#This Row],[totalChallan]])</f>
        <v>1</v>
      </c>
      <c r="O2436" s="8" t="b">
        <f>AND(TrafficData[[#This Row],[pendingAmount]]&lt;=TrafficData[[#This Row],[totalAmount]],TrafficData[[#This Row],[disposedAmount]]&lt;=TrafficData[[#This Row],[totalAmount]])</f>
        <v>1</v>
      </c>
      <c r="P2436" s="8" t="b">
        <f>AND(TrafficData[[#This Row],[pendingCourt]]&lt;=TrafficData[[#This Row],[totalCourt]],TrafficData[[#This Row],[disposedCourt]]&lt;=TrafficData[[#This Row],[totalCourt]])</f>
        <v>1</v>
      </c>
    </row>
    <row r="2437" spans="1:16">
      <c r="A2437" s="1">
        <v>44441</v>
      </c>
      <c r="B2437">
        <v>123850</v>
      </c>
      <c r="C2437">
        <v>61494</v>
      </c>
      <c r="D2437">
        <v>62356</v>
      </c>
      <c r="E2437">
        <v>67586469</v>
      </c>
      <c r="F2437">
        <v>74492963</v>
      </c>
      <c r="G2437">
        <v>142079432</v>
      </c>
      <c r="H2437">
        <v>30347</v>
      </c>
      <c r="I2437">
        <v>10735</v>
      </c>
      <c r="J2437">
        <v>41082</v>
      </c>
      <c r="K2437" t="b">
        <f>TrafficData[[#This Row],[disposedChallan]]+TrafficData[[#This Row],[pendingChallan]]=TrafficData[[#This Row],[totalChallan]]</f>
        <v>1</v>
      </c>
      <c r="L2437" t="b">
        <f>TrafficData[[#This Row],[pendingAmount]]+TrafficData[[#This Row],[disposedAmount]]=TrafficData[[#This Row],[totalAmount]]</f>
        <v>1</v>
      </c>
      <c r="M2437" t="b">
        <f>TrafficData[[#This Row],[pendingCourt]]+TrafficData[[#This Row],[disposedCourt]]=TrafficData[[#This Row],[totalCourt]]</f>
        <v>1</v>
      </c>
      <c r="N2437" s="8" t="b">
        <f>AND(TrafficData[[#This Row],[disposedChallan]]&lt;=TrafficData[[#This Row],[totalChallan]],TrafficData[[#This Row],[pendingChallan]]&lt;=TrafficData[[#This Row],[totalChallan]])</f>
        <v>1</v>
      </c>
      <c r="O2437" s="8" t="b">
        <f>AND(TrafficData[[#This Row],[pendingAmount]]&lt;=TrafficData[[#This Row],[totalAmount]],TrafficData[[#This Row],[disposedAmount]]&lt;=TrafficData[[#This Row],[totalAmount]])</f>
        <v>1</v>
      </c>
      <c r="P2437" s="8" t="b">
        <f>AND(TrafficData[[#This Row],[pendingCourt]]&lt;=TrafficData[[#This Row],[totalCourt]],TrafficData[[#This Row],[disposedCourt]]&lt;=TrafficData[[#This Row],[totalCourt]])</f>
        <v>1</v>
      </c>
    </row>
    <row r="2438" spans="1:16">
      <c r="A2438" s="1">
        <v>44442</v>
      </c>
      <c r="B2438">
        <v>127531</v>
      </c>
      <c r="C2438">
        <v>62037</v>
      </c>
      <c r="D2438">
        <v>65494</v>
      </c>
      <c r="E2438">
        <v>69330945</v>
      </c>
      <c r="F2438">
        <v>73233021</v>
      </c>
      <c r="G2438">
        <v>142563966</v>
      </c>
      <c r="H2438">
        <v>29921</v>
      </c>
      <c r="I2438">
        <v>10609</v>
      </c>
      <c r="J2438">
        <v>40530</v>
      </c>
      <c r="K2438" t="b">
        <f>TrafficData[[#This Row],[disposedChallan]]+TrafficData[[#This Row],[pendingChallan]]=TrafficData[[#This Row],[totalChallan]]</f>
        <v>1</v>
      </c>
      <c r="L2438" t="b">
        <f>TrafficData[[#This Row],[pendingAmount]]+TrafficData[[#This Row],[disposedAmount]]=TrafficData[[#This Row],[totalAmount]]</f>
        <v>1</v>
      </c>
      <c r="M2438" t="b">
        <f>TrafficData[[#This Row],[pendingCourt]]+TrafficData[[#This Row],[disposedCourt]]=TrafficData[[#This Row],[totalCourt]]</f>
        <v>1</v>
      </c>
      <c r="N2438" s="8" t="b">
        <f>AND(TrafficData[[#This Row],[disposedChallan]]&lt;=TrafficData[[#This Row],[totalChallan]],TrafficData[[#This Row],[pendingChallan]]&lt;=TrafficData[[#This Row],[totalChallan]])</f>
        <v>1</v>
      </c>
      <c r="O2438" s="8" t="b">
        <f>AND(TrafficData[[#This Row],[pendingAmount]]&lt;=TrafficData[[#This Row],[totalAmount]],TrafficData[[#This Row],[disposedAmount]]&lt;=TrafficData[[#This Row],[totalAmount]])</f>
        <v>1</v>
      </c>
      <c r="P2438" s="8" t="b">
        <f>AND(TrafficData[[#This Row],[pendingCourt]]&lt;=TrafficData[[#This Row],[totalCourt]],TrafficData[[#This Row],[disposedCourt]]&lt;=TrafficData[[#This Row],[totalCourt]])</f>
        <v>1</v>
      </c>
    </row>
    <row r="2439" spans="1:16">
      <c r="A2439" s="1">
        <v>44443</v>
      </c>
      <c r="B2439">
        <v>127428</v>
      </c>
      <c r="C2439">
        <v>61918</v>
      </c>
      <c r="D2439">
        <v>65510</v>
      </c>
      <c r="E2439">
        <v>70091156</v>
      </c>
      <c r="F2439">
        <v>76354556</v>
      </c>
      <c r="G2439">
        <v>146445712</v>
      </c>
      <c r="H2439">
        <v>31198</v>
      </c>
      <c r="I2439">
        <v>10991</v>
      </c>
      <c r="J2439">
        <v>42189</v>
      </c>
      <c r="K2439" t="b">
        <f>TrafficData[[#This Row],[disposedChallan]]+TrafficData[[#This Row],[pendingChallan]]=TrafficData[[#This Row],[totalChallan]]</f>
        <v>1</v>
      </c>
      <c r="L2439" t="b">
        <f>TrafficData[[#This Row],[pendingAmount]]+TrafficData[[#This Row],[disposedAmount]]=TrafficData[[#This Row],[totalAmount]]</f>
        <v>1</v>
      </c>
      <c r="M2439" t="b">
        <f>TrafficData[[#This Row],[pendingCourt]]+TrafficData[[#This Row],[disposedCourt]]=TrafficData[[#This Row],[totalCourt]]</f>
        <v>1</v>
      </c>
      <c r="N2439" s="8" t="b">
        <f>AND(TrafficData[[#This Row],[disposedChallan]]&lt;=TrafficData[[#This Row],[totalChallan]],TrafficData[[#This Row],[pendingChallan]]&lt;=TrafficData[[#This Row],[totalChallan]])</f>
        <v>1</v>
      </c>
      <c r="O2439" s="8" t="b">
        <f>AND(TrafficData[[#This Row],[pendingAmount]]&lt;=TrafficData[[#This Row],[totalAmount]],TrafficData[[#This Row],[disposedAmount]]&lt;=TrafficData[[#This Row],[totalAmount]])</f>
        <v>1</v>
      </c>
      <c r="P2439" s="8" t="b">
        <f>AND(TrafficData[[#This Row],[pendingCourt]]&lt;=TrafficData[[#This Row],[totalCourt]],TrafficData[[#This Row],[disposedCourt]]&lt;=TrafficData[[#This Row],[totalCourt]])</f>
        <v>1</v>
      </c>
    </row>
    <row r="2440" spans="1:16">
      <c r="A2440" s="1">
        <v>44444</v>
      </c>
      <c r="B2440">
        <v>112924</v>
      </c>
      <c r="C2440">
        <v>51040</v>
      </c>
      <c r="D2440">
        <v>61884</v>
      </c>
      <c r="E2440">
        <v>62583877</v>
      </c>
      <c r="F2440">
        <v>57748206</v>
      </c>
      <c r="G2440">
        <v>120332083</v>
      </c>
      <c r="H2440">
        <v>29258</v>
      </c>
      <c r="I2440">
        <v>10057</v>
      </c>
      <c r="J2440">
        <v>39315</v>
      </c>
      <c r="K2440" t="b">
        <f>TrafficData[[#This Row],[disposedChallan]]+TrafficData[[#This Row],[pendingChallan]]=TrafficData[[#This Row],[totalChallan]]</f>
        <v>1</v>
      </c>
      <c r="L2440" t="b">
        <f>TrafficData[[#This Row],[pendingAmount]]+TrafficData[[#This Row],[disposedAmount]]=TrafficData[[#This Row],[totalAmount]]</f>
        <v>1</v>
      </c>
      <c r="M2440" t="b">
        <f>TrafficData[[#This Row],[pendingCourt]]+TrafficData[[#This Row],[disposedCourt]]=TrafficData[[#This Row],[totalCourt]]</f>
        <v>1</v>
      </c>
      <c r="N2440" s="8" t="b">
        <f>AND(TrafficData[[#This Row],[disposedChallan]]&lt;=TrafficData[[#This Row],[totalChallan]],TrafficData[[#This Row],[pendingChallan]]&lt;=TrafficData[[#This Row],[totalChallan]])</f>
        <v>1</v>
      </c>
      <c r="O2440" s="8" t="b">
        <f>AND(TrafficData[[#This Row],[pendingAmount]]&lt;=TrafficData[[#This Row],[totalAmount]],TrafficData[[#This Row],[disposedAmount]]&lt;=TrafficData[[#This Row],[totalAmount]])</f>
        <v>1</v>
      </c>
      <c r="P2440" s="8" t="b">
        <f>AND(TrafficData[[#This Row],[pendingCourt]]&lt;=TrafficData[[#This Row],[totalCourt]],TrafficData[[#This Row],[disposedCourt]]&lt;=TrafficData[[#This Row],[totalCourt]])</f>
        <v>1</v>
      </c>
    </row>
    <row r="2441" spans="1:16">
      <c r="A2441" s="1">
        <v>44445</v>
      </c>
      <c r="B2441">
        <v>126568</v>
      </c>
      <c r="C2441">
        <v>60637</v>
      </c>
      <c r="D2441">
        <v>65931</v>
      </c>
      <c r="E2441">
        <v>71132460</v>
      </c>
      <c r="F2441">
        <v>73502244</v>
      </c>
      <c r="G2441">
        <v>144634704</v>
      </c>
      <c r="H2441">
        <v>33030</v>
      </c>
      <c r="I2441">
        <v>11597</v>
      </c>
      <c r="J2441">
        <v>44627</v>
      </c>
      <c r="K2441" t="b">
        <f>TrafficData[[#This Row],[disposedChallan]]+TrafficData[[#This Row],[pendingChallan]]=TrafficData[[#This Row],[totalChallan]]</f>
        <v>1</v>
      </c>
      <c r="L2441" t="b">
        <f>TrafficData[[#This Row],[pendingAmount]]+TrafficData[[#This Row],[disposedAmount]]=TrafficData[[#This Row],[totalAmount]]</f>
        <v>1</v>
      </c>
      <c r="M2441" t="b">
        <f>TrafficData[[#This Row],[pendingCourt]]+TrafficData[[#This Row],[disposedCourt]]=TrafficData[[#This Row],[totalCourt]]</f>
        <v>1</v>
      </c>
      <c r="N2441" s="8" t="b">
        <f>AND(TrafficData[[#This Row],[disposedChallan]]&lt;=TrafficData[[#This Row],[totalChallan]],TrafficData[[#This Row],[pendingChallan]]&lt;=TrafficData[[#This Row],[totalChallan]])</f>
        <v>1</v>
      </c>
      <c r="O2441" s="8" t="b">
        <f>AND(TrafficData[[#This Row],[pendingAmount]]&lt;=TrafficData[[#This Row],[totalAmount]],TrafficData[[#This Row],[disposedAmount]]&lt;=TrafficData[[#This Row],[totalAmount]])</f>
        <v>1</v>
      </c>
      <c r="P2441" s="8" t="b">
        <f>AND(TrafficData[[#This Row],[pendingCourt]]&lt;=TrafficData[[#This Row],[totalCourt]],TrafficData[[#This Row],[disposedCourt]]&lt;=TrafficData[[#This Row],[totalCourt]])</f>
        <v>1</v>
      </c>
    </row>
    <row r="2442" spans="1:16">
      <c r="A2442" s="1">
        <v>44446</v>
      </c>
      <c r="B2442">
        <v>121200</v>
      </c>
      <c r="C2442">
        <v>58076</v>
      </c>
      <c r="D2442">
        <v>63124</v>
      </c>
      <c r="E2442">
        <v>68655546</v>
      </c>
      <c r="F2442">
        <v>71800128</v>
      </c>
      <c r="G2442">
        <v>140455674</v>
      </c>
      <c r="H2442">
        <v>29698</v>
      </c>
      <c r="I2442">
        <v>10546</v>
      </c>
      <c r="J2442">
        <v>40244</v>
      </c>
      <c r="K2442" t="b">
        <f>TrafficData[[#This Row],[disposedChallan]]+TrafficData[[#This Row],[pendingChallan]]=TrafficData[[#This Row],[totalChallan]]</f>
        <v>1</v>
      </c>
      <c r="L2442" t="b">
        <f>TrafficData[[#This Row],[pendingAmount]]+TrafficData[[#This Row],[disposedAmount]]=TrafficData[[#This Row],[totalAmount]]</f>
        <v>1</v>
      </c>
      <c r="M2442" t="b">
        <f>TrafficData[[#This Row],[pendingCourt]]+TrafficData[[#This Row],[disposedCourt]]=TrafficData[[#This Row],[totalCourt]]</f>
        <v>1</v>
      </c>
      <c r="N2442" s="8" t="b">
        <f>AND(TrafficData[[#This Row],[disposedChallan]]&lt;=TrafficData[[#This Row],[totalChallan]],TrafficData[[#This Row],[pendingChallan]]&lt;=TrafficData[[#This Row],[totalChallan]])</f>
        <v>1</v>
      </c>
      <c r="O2442" s="8" t="b">
        <f>AND(TrafficData[[#This Row],[pendingAmount]]&lt;=TrafficData[[#This Row],[totalAmount]],TrafficData[[#This Row],[disposedAmount]]&lt;=TrafficData[[#This Row],[totalAmount]])</f>
        <v>1</v>
      </c>
      <c r="P2442" s="8" t="b">
        <f>AND(TrafficData[[#This Row],[pendingCourt]]&lt;=TrafficData[[#This Row],[totalCourt]],TrafficData[[#This Row],[disposedCourt]]&lt;=TrafficData[[#This Row],[totalCourt]])</f>
        <v>1</v>
      </c>
    </row>
    <row r="2443" spans="1:16">
      <c r="A2443" s="1">
        <v>44447</v>
      </c>
      <c r="B2443">
        <v>125936</v>
      </c>
      <c r="C2443">
        <v>61503</v>
      </c>
      <c r="D2443">
        <v>64433</v>
      </c>
      <c r="E2443">
        <v>74103850</v>
      </c>
      <c r="F2443">
        <v>79480955</v>
      </c>
      <c r="G2443">
        <v>153584805</v>
      </c>
      <c r="H2443">
        <v>32723</v>
      </c>
      <c r="I2443">
        <v>11334</v>
      </c>
      <c r="J2443">
        <v>44057</v>
      </c>
      <c r="K2443" t="b">
        <f>TrafficData[[#This Row],[disposedChallan]]+TrafficData[[#This Row],[pendingChallan]]=TrafficData[[#This Row],[totalChallan]]</f>
        <v>1</v>
      </c>
      <c r="L2443" t="b">
        <f>TrafficData[[#This Row],[pendingAmount]]+TrafficData[[#This Row],[disposedAmount]]=TrafficData[[#This Row],[totalAmount]]</f>
        <v>1</v>
      </c>
      <c r="M2443" t="b">
        <f>TrafficData[[#This Row],[pendingCourt]]+TrafficData[[#This Row],[disposedCourt]]=TrafficData[[#This Row],[totalCourt]]</f>
        <v>1</v>
      </c>
      <c r="N2443" s="8" t="b">
        <f>AND(TrafficData[[#This Row],[disposedChallan]]&lt;=TrafficData[[#This Row],[totalChallan]],TrafficData[[#This Row],[pendingChallan]]&lt;=TrafficData[[#This Row],[totalChallan]])</f>
        <v>1</v>
      </c>
      <c r="O2443" s="8" t="b">
        <f>AND(TrafficData[[#This Row],[pendingAmount]]&lt;=TrafficData[[#This Row],[totalAmount]],TrafficData[[#This Row],[disposedAmount]]&lt;=TrafficData[[#This Row],[totalAmount]])</f>
        <v>1</v>
      </c>
      <c r="P2443" s="8" t="b">
        <f>AND(TrafficData[[#This Row],[pendingCourt]]&lt;=TrafficData[[#This Row],[totalCourt]],TrafficData[[#This Row],[disposedCourt]]&lt;=TrafficData[[#This Row],[totalCourt]])</f>
        <v>1</v>
      </c>
    </row>
    <row r="2444" spans="1:16">
      <c r="A2444" s="1">
        <v>44448</v>
      </c>
      <c r="B2444">
        <v>114436</v>
      </c>
      <c r="C2444">
        <v>56799</v>
      </c>
      <c r="D2444">
        <v>57637</v>
      </c>
      <c r="E2444">
        <v>70404426</v>
      </c>
      <c r="F2444">
        <v>75460336</v>
      </c>
      <c r="G2444">
        <v>145864762</v>
      </c>
      <c r="H2444">
        <v>30282</v>
      </c>
      <c r="I2444">
        <v>10056</v>
      </c>
      <c r="J2444">
        <v>40338</v>
      </c>
      <c r="K2444" t="b">
        <f>TrafficData[[#This Row],[disposedChallan]]+TrafficData[[#This Row],[pendingChallan]]=TrafficData[[#This Row],[totalChallan]]</f>
        <v>1</v>
      </c>
      <c r="L2444" t="b">
        <f>TrafficData[[#This Row],[pendingAmount]]+TrafficData[[#This Row],[disposedAmount]]=TrafficData[[#This Row],[totalAmount]]</f>
        <v>1</v>
      </c>
      <c r="M2444" t="b">
        <f>TrafficData[[#This Row],[pendingCourt]]+TrafficData[[#This Row],[disposedCourt]]=TrafficData[[#This Row],[totalCourt]]</f>
        <v>1</v>
      </c>
      <c r="N2444" s="8" t="b">
        <f>AND(TrafficData[[#This Row],[disposedChallan]]&lt;=TrafficData[[#This Row],[totalChallan]],TrafficData[[#This Row],[pendingChallan]]&lt;=TrafficData[[#This Row],[totalChallan]])</f>
        <v>1</v>
      </c>
      <c r="O2444" s="8" t="b">
        <f>AND(TrafficData[[#This Row],[pendingAmount]]&lt;=TrafficData[[#This Row],[totalAmount]],TrafficData[[#This Row],[disposedAmount]]&lt;=TrafficData[[#This Row],[totalAmount]])</f>
        <v>1</v>
      </c>
      <c r="P2444" s="8" t="b">
        <f>AND(TrafficData[[#This Row],[pendingCourt]]&lt;=TrafficData[[#This Row],[totalCourt]],TrafficData[[#This Row],[disposedCourt]]&lt;=TrafficData[[#This Row],[totalCourt]])</f>
        <v>1</v>
      </c>
    </row>
    <row r="2445" spans="1:16">
      <c r="A2445" s="1">
        <v>44449</v>
      </c>
      <c r="B2445">
        <v>100303</v>
      </c>
      <c r="C2445">
        <v>49900</v>
      </c>
      <c r="D2445">
        <v>50403</v>
      </c>
      <c r="E2445">
        <v>62800292</v>
      </c>
      <c r="F2445">
        <v>64859540</v>
      </c>
      <c r="G2445">
        <v>127659832</v>
      </c>
      <c r="H2445">
        <v>30948</v>
      </c>
      <c r="I2445">
        <v>10663</v>
      </c>
      <c r="J2445">
        <v>41611</v>
      </c>
      <c r="K2445" t="b">
        <f>TrafficData[[#This Row],[disposedChallan]]+TrafficData[[#This Row],[pendingChallan]]=TrafficData[[#This Row],[totalChallan]]</f>
        <v>1</v>
      </c>
      <c r="L2445" t="b">
        <f>TrafficData[[#This Row],[pendingAmount]]+TrafficData[[#This Row],[disposedAmount]]=TrafficData[[#This Row],[totalAmount]]</f>
        <v>1</v>
      </c>
      <c r="M2445" t="b">
        <f>TrafficData[[#This Row],[pendingCourt]]+TrafficData[[#This Row],[disposedCourt]]=TrafficData[[#This Row],[totalCourt]]</f>
        <v>1</v>
      </c>
      <c r="N2445" s="8" t="b">
        <f>AND(TrafficData[[#This Row],[disposedChallan]]&lt;=TrafficData[[#This Row],[totalChallan]],TrafficData[[#This Row],[pendingChallan]]&lt;=TrafficData[[#This Row],[totalChallan]])</f>
        <v>1</v>
      </c>
      <c r="O2445" s="8" t="b">
        <f>AND(TrafficData[[#This Row],[pendingAmount]]&lt;=TrafficData[[#This Row],[totalAmount]],TrafficData[[#This Row],[disposedAmount]]&lt;=TrafficData[[#This Row],[totalAmount]])</f>
        <v>1</v>
      </c>
      <c r="P2445" s="8" t="b">
        <f>AND(TrafficData[[#This Row],[pendingCourt]]&lt;=TrafficData[[#This Row],[totalCourt]],TrafficData[[#This Row],[disposedCourt]]&lt;=TrafficData[[#This Row],[totalCourt]])</f>
        <v>1</v>
      </c>
    </row>
    <row r="2446" spans="1:16">
      <c r="A2446" s="1">
        <v>44450</v>
      </c>
      <c r="B2446">
        <v>93124</v>
      </c>
      <c r="C2446">
        <v>47302</v>
      </c>
      <c r="D2446">
        <v>45822</v>
      </c>
      <c r="E2446">
        <v>41829604</v>
      </c>
      <c r="F2446">
        <v>55422011</v>
      </c>
      <c r="G2446">
        <v>97251615</v>
      </c>
      <c r="H2446">
        <v>21570</v>
      </c>
      <c r="I2446">
        <v>7102</v>
      </c>
      <c r="J2446">
        <v>28672</v>
      </c>
      <c r="K2446" t="b">
        <f>TrafficData[[#This Row],[disposedChallan]]+TrafficData[[#This Row],[pendingChallan]]=TrafficData[[#This Row],[totalChallan]]</f>
        <v>1</v>
      </c>
      <c r="L2446" t="b">
        <f>TrafficData[[#This Row],[pendingAmount]]+TrafficData[[#This Row],[disposedAmount]]=TrafficData[[#This Row],[totalAmount]]</f>
        <v>1</v>
      </c>
      <c r="M2446" t="b">
        <f>TrafficData[[#This Row],[pendingCourt]]+TrafficData[[#This Row],[disposedCourt]]=TrafficData[[#This Row],[totalCourt]]</f>
        <v>1</v>
      </c>
      <c r="N2446" s="8" t="b">
        <f>AND(TrafficData[[#This Row],[disposedChallan]]&lt;=TrafficData[[#This Row],[totalChallan]],TrafficData[[#This Row],[pendingChallan]]&lt;=TrafficData[[#This Row],[totalChallan]])</f>
        <v>1</v>
      </c>
      <c r="O2446" s="8" t="b">
        <f>AND(TrafficData[[#This Row],[pendingAmount]]&lt;=TrafficData[[#This Row],[totalAmount]],TrafficData[[#This Row],[disposedAmount]]&lt;=TrafficData[[#This Row],[totalAmount]])</f>
        <v>1</v>
      </c>
      <c r="P2446" s="8" t="b">
        <f>AND(TrafficData[[#This Row],[pendingCourt]]&lt;=TrafficData[[#This Row],[totalCourt]],TrafficData[[#This Row],[disposedCourt]]&lt;=TrafficData[[#This Row],[totalCourt]])</f>
        <v>1</v>
      </c>
    </row>
    <row r="2447" spans="1:16">
      <c r="A2447" s="1">
        <v>44451</v>
      </c>
      <c r="B2447">
        <v>85858</v>
      </c>
      <c r="C2447">
        <v>40493</v>
      </c>
      <c r="D2447">
        <v>45365</v>
      </c>
      <c r="E2447">
        <v>48459829</v>
      </c>
      <c r="F2447">
        <v>47039728</v>
      </c>
      <c r="G2447">
        <v>95499557</v>
      </c>
      <c r="H2447">
        <v>23205</v>
      </c>
      <c r="I2447">
        <v>7712</v>
      </c>
      <c r="J2447">
        <v>30917</v>
      </c>
      <c r="K2447" t="b">
        <f>TrafficData[[#This Row],[disposedChallan]]+TrafficData[[#This Row],[pendingChallan]]=TrafficData[[#This Row],[totalChallan]]</f>
        <v>1</v>
      </c>
      <c r="L2447" t="b">
        <f>TrafficData[[#This Row],[pendingAmount]]+TrafficData[[#This Row],[disposedAmount]]=TrafficData[[#This Row],[totalAmount]]</f>
        <v>1</v>
      </c>
      <c r="M2447" t="b">
        <f>TrafficData[[#This Row],[pendingCourt]]+TrafficData[[#This Row],[disposedCourt]]=TrafficData[[#This Row],[totalCourt]]</f>
        <v>1</v>
      </c>
      <c r="N2447" s="8" t="b">
        <f>AND(TrafficData[[#This Row],[disposedChallan]]&lt;=TrafficData[[#This Row],[totalChallan]],TrafficData[[#This Row],[pendingChallan]]&lt;=TrafficData[[#This Row],[totalChallan]])</f>
        <v>1</v>
      </c>
      <c r="O2447" s="8" t="b">
        <f>AND(TrafficData[[#This Row],[pendingAmount]]&lt;=TrafficData[[#This Row],[totalAmount]],TrafficData[[#This Row],[disposedAmount]]&lt;=TrafficData[[#This Row],[totalAmount]])</f>
        <v>1</v>
      </c>
      <c r="P2447" s="8" t="b">
        <f>AND(TrafficData[[#This Row],[pendingCourt]]&lt;=TrafficData[[#This Row],[totalCourt]],TrafficData[[#This Row],[disposedCourt]]&lt;=TrafficData[[#This Row],[totalCourt]])</f>
        <v>1</v>
      </c>
    </row>
    <row r="2448" spans="1:16">
      <c r="A2448" s="1">
        <v>44452</v>
      </c>
      <c r="B2448">
        <v>114015</v>
      </c>
      <c r="C2448">
        <v>54220</v>
      </c>
      <c r="D2448">
        <v>59795</v>
      </c>
      <c r="E2448">
        <v>60208941</v>
      </c>
      <c r="F2448">
        <v>62269573</v>
      </c>
      <c r="G2448">
        <v>122478514</v>
      </c>
      <c r="H2448">
        <v>29248</v>
      </c>
      <c r="I2448">
        <v>9486</v>
      </c>
      <c r="J2448">
        <v>38734</v>
      </c>
      <c r="K2448" t="b">
        <f>TrafficData[[#This Row],[disposedChallan]]+TrafficData[[#This Row],[pendingChallan]]=TrafficData[[#This Row],[totalChallan]]</f>
        <v>1</v>
      </c>
      <c r="L2448" t="b">
        <f>TrafficData[[#This Row],[pendingAmount]]+TrafficData[[#This Row],[disposedAmount]]=TrafficData[[#This Row],[totalAmount]]</f>
        <v>1</v>
      </c>
      <c r="M2448" t="b">
        <f>TrafficData[[#This Row],[pendingCourt]]+TrafficData[[#This Row],[disposedCourt]]=TrafficData[[#This Row],[totalCourt]]</f>
        <v>1</v>
      </c>
      <c r="N2448" s="8" t="b">
        <f>AND(TrafficData[[#This Row],[disposedChallan]]&lt;=TrafficData[[#This Row],[totalChallan]],TrafficData[[#This Row],[pendingChallan]]&lt;=TrafficData[[#This Row],[totalChallan]])</f>
        <v>1</v>
      </c>
      <c r="O2448" s="8" t="b">
        <f>AND(TrafficData[[#This Row],[pendingAmount]]&lt;=TrafficData[[#This Row],[totalAmount]],TrafficData[[#This Row],[disposedAmount]]&lt;=TrafficData[[#This Row],[totalAmount]])</f>
        <v>1</v>
      </c>
      <c r="P2448" s="8" t="b">
        <f>AND(TrafficData[[#This Row],[pendingCourt]]&lt;=TrafficData[[#This Row],[totalCourt]],TrafficData[[#This Row],[disposedCourt]]&lt;=TrafficData[[#This Row],[totalCourt]])</f>
        <v>1</v>
      </c>
    </row>
    <row r="2449" spans="1:16">
      <c r="A2449" s="1">
        <v>44453</v>
      </c>
      <c r="B2449">
        <v>114847</v>
      </c>
      <c r="C2449">
        <v>56021</v>
      </c>
      <c r="D2449">
        <v>58826</v>
      </c>
      <c r="E2449">
        <v>63135374</v>
      </c>
      <c r="F2449">
        <v>66054384</v>
      </c>
      <c r="G2449">
        <v>129189758</v>
      </c>
      <c r="H2449">
        <v>28969</v>
      </c>
      <c r="I2449">
        <v>9676</v>
      </c>
      <c r="J2449">
        <v>38645</v>
      </c>
      <c r="K2449" t="b">
        <f>TrafficData[[#This Row],[disposedChallan]]+TrafficData[[#This Row],[pendingChallan]]=TrafficData[[#This Row],[totalChallan]]</f>
        <v>1</v>
      </c>
      <c r="L2449" t="b">
        <f>TrafficData[[#This Row],[pendingAmount]]+TrafficData[[#This Row],[disposedAmount]]=TrafficData[[#This Row],[totalAmount]]</f>
        <v>1</v>
      </c>
      <c r="M2449" t="b">
        <f>TrafficData[[#This Row],[pendingCourt]]+TrafficData[[#This Row],[disposedCourt]]=TrafficData[[#This Row],[totalCourt]]</f>
        <v>1</v>
      </c>
      <c r="N2449" s="8" t="b">
        <f>AND(TrafficData[[#This Row],[disposedChallan]]&lt;=TrafficData[[#This Row],[totalChallan]],TrafficData[[#This Row],[pendingChallan]]&lt;=TrafficData[[#This Row],[totalChallan]])</f>
        <v>1</v>
      </c>
      <c r="O2449" s="8" t="b">
        <f>AND(TrafficData[[#This Row],[pendingAmount]]&lt;=TrafficData[[#This Row],[totalAmount]],TrafficData[[#This Row],[disposedAmount]]&lt;=TrafficData[[#This Row],[totalAmount]])</f>
        <v>1</v>
      </c>
      <c r="P2449" s="8" t="b">
        <f>AND(TrafficData[[#This Row],[pendingCourt]]&lt;=TrafficData[[#This Row],[totalCourt]],TrafficData[[#This Row],[disposedCourt]]&lt;=TrafficData[[#This Row],[totalCourt]])</f>
        <v>1</v>
      </c>
    </row>
    <row r="2450" spans="1:16">
      <c r="A2450" s="1">
        <v>44454</v>
      </c>
      <c r="B2450">
        <v>113898</v>
      </c>
      <c r="C2450">
        <v>56533</v>
      </c>
      <c r="D2450">
        <v>57365</v>
      </c>
      <c r="E2450">
        <v>63668161</v>
      </c>
      <c r="F2450">
        <v>73867797</v>
      </c>
      <c r="G2450">
        <v>137535958</v>
      </c>
      <c r="H2450">
        <v>28557</v>
      </c>
      <c r="I2450">
        <v>9329</v>
      </c>
      <c r="J2450">
        <v>37886</v>
      </c>
      <c r="K2450" t="b">
        <f>TrafficData[[#This Row],[disposedChallan]]+TrafficData[[#This Row],[pendingChallan]]=TrafficData[[#This Row],[totalChallan]]</f>
        <v>1</v>
      </c>
      <c r="L2450" t="b">
        <f>TrafficData[[#This Row],[pendingAmount]]+TrafficData[[#This Row],[disposedAmount]]=TrafficData[[#This Row],[totalAmount]]</f>
        <v>1</v>
      </c>
      <c r="M2450" t="b">
        <f>TrafficData[[#This Row],[pendingCourt]]+TrafficData[[#This Row],[disposedCourt]]=TrafficData[[#This Row],[totalCourt]]</f>
        <v>1</v>
      </c>
      <c r="N2450" s="8" t="b">
        <f>AND(TrafficData[[#This Row],[disposedChallan]]&lt;=TrafficData[[#This Row],[totalChallan]],TrafficData[[#This Row],[pendingChallan]]&lt;=TrafficData[[#This Row],[totalChallan]])</f>
        <v>1</v>
      </c>
      <c r="O2450" s="8" t="b">
        <f>AND(TrafficData[[#This Row],[pendingAmount]]&lt;=TrafficData[[#This Row],[totalAmount]],TrafficData[[#This Row],[disposedAmount]]&lt;=TrafficData[[#This Row],[totalAmount]])</f>
        <v>1</v>
      </c>
      <c r="P2450" s="8" t="b">
        <f>AND(TrafficData[[#This Row],[pendingCourt]]&lt;=TrafficData[[#This Row],[totalCourt]],TrafficData[[#This Row],[disposedCourt]]&lt;=TrafficData[[#This Row],[totalCourt]])</f>
        <v>1</v>
      </c>
    </row>
    <row r="2451" spans="1:16">
      <c r="A2451" s="1">
        <v>44455</v>
      </c>
      <c r="B2451">
        <v>98155</v>
      </c>
      <c r="C2451">
        <v>49579</v>
      </c>
      <c r="D2451">
        <v>48576</v>
      </c>
      <c r="E2451">
        <v>54187147</v>
      </c>
      <c r="F2451">
        <v>64047741</v>
      </c>
      <c r="G2451">
        <v>118234888</v>
      </c>
      <c r="H2451">
        <v>22820</v>
      </c>
      <c r="I2451">
        <v>7499</v>
      </c>
      <c r="J2451">
        <v>30319</v>
      </c>
      <c r="K2451" t="b">
        <f>TrafficData[[#This Row],[disposedChallan]]+TrafficData[[#This Row],[pendingChallan]]=TrafficData[[#This Row],[totalChallan]]</f>
        <v>1</v>
      </c>
      <c r="L2451" t="b">
        <f>TrafficData[[#This Row],[pendingAmount]]+TrafficData[[#This Row],[disposedAmount]]=TrafficData[[#This Row],[totalAmount]]</f>
        <v>1</v>
      </c>
      <c r="M2451" t="b">
        <f>TrafficData[[#This Row],[pendingCourt]]+TrafficData[[#This Row],[disposedCourt]]=TrafficData[[#This Row],[totalCourt]]</f>
        <v>1</v>
      </c>
      <c r="N2451" s="8" t="b">
        <f>AND(TrafficData[[#This Row],[disposedChallan]]&lt;=TrafficData[[#This Row],[totalChallan]],TrafficData[[#This Row],[pendingChallan]]&lt;=TrafficData[[#This Row],[totalChallan]])</f>
        <v>1</v>
      </c>
      <c r="O2451" s="8" t="b">
        <f>AND(TrafficData[[#This Row],[pendingAmount]]&lt;=TrafficData[[#This Row],[totalAmount]],TrafficData[[#This Row],[disposedAmount]]&lt;=TrafficData[[#This Row],[totalAmount]])</f>
        <v>1</v>
      </c>
      <c r="P2451" s="8" t="b">
        <f>AND(TrafficData[[#This Row],[pendingCourt]]&lt;=TrafficData[[#This Row],[totalCourt]],TrafficData[[#This Row],[disposedCourt]]&lt;=TrafficData[[#This Row],[totalCourt]])</f>
        <v>1</v>
      </c>
    </row>
    <row r="2452" spans="1:16">
      <c r="A2452" s="1">
        <v>44456</v>
      </c>
      <c r="B2452">
        <v>113806</v>
      </c>
      <c r="C2452">
        <v>56231</v>
      </c>
      <c r="D2452">
        <v>57575</v>
      </c>
      <c r="E2452">
        <v>62036881</v>
      </c>
      <c r="F2452">
        <v>61893993</v>
      </c>
      <c r="G2452">
        <v>123930874</v>
      </c>
      <c r="H2452">
        <v>28944</v>
      </c>
      <c r="I2452">
        <v>10021</v>
      </c>
      <c r="J2452">
        <v>38965</v>
      </c>
      <c r="K2452" t="b">
        <f>TrafficData[[#This Row],[disposedChallan]]+TrafficData[[#This Row],[pendingChallan]]=TrafficData[[#This Row],[totalChallan]]</f>
        <v>1</v>
      </c>
      <c r="L2452" t="b">
        <f>TrafficData[[#This Row],[pendingAmount]]+TrafficData[[#This Row],[disposedAmount]]=TrafficData[[#This Row],[totalAmount]]</f>
        <v>1</v>
      </c>
      <c r="M2452" t="b">
        <f>TrafficData[[#This Row],[pendingCourt]]+TrafficData[[#This Row],[disposedCourt]]=TrafficData[[#This Row],[totalCourt]]</f>
        <v>1</v>
      </c>
      <c r="N2452" s="8" t="b">
        <f>AND(TrafficData[[#This Row],[disposedChallan]]&lt;=TrafficData[[#This Row],[totalChallan]],TrafficData[[#This Row],[pendingChallan]]&lt;=TrafficData[[#This Row],[totalChallan]])</f>
        <v>1</v>
      </c>
      <c r="O2452" s="8" t="b">
        <f>AND(TrafficData[[#This Row],[pendingAmount]]&lt;=TrafficData[[#This Row],[totalAmount]],TrafficData[[#This Row],[disposedAmount]]&lt;=TrafficData[[#This Row],[totalAmount]])</f>
        <v>1</v>
      </c>
      <c r="P2452" s="8" t="b">
        <f>AND(TrafficData[[#This Row],[pendingCourt]]&lt;=TrafficData[[#This Row],[totalCourt]],TrafficData[[#This Row],[disposedCourt]]&lt;=TrafficData[[#This Row],[totalCourt]])</f>
        <v>1</v>
      </c>
    </row>
    <row r="2453" spans="1:16">
      <c r="A2453" s="1">
        <v>44457</v>
      </c>
      <c r="B2453">
        <v>127370</v>
      </c>
      <c r="C2453">
        <v>62762</v>
      </c>
      <c r="D2453">
        <v>64608</v>
      </c>
      <c r="E2453">
        <v>71940406</v>
      </c>
      <c r="F2453">
        <v>72639498</v>
      </c>
      <c r="G2453">
        <v>144579904</v>
      </c>
      <c r="H2453">
        <v>31098</v>
      </c>
      <c r="I2453">
        <v>10846</v>
      </c>
      <c r="J2453">
        <v>41944</v>
      </c>
      <c r="K2453" t="b">
        <f>TrafficData[[#This Row],[disposedChallan]]+TrafficData[[#This Row],[pendingChallan]]=TrafficData[[#This Row],[totalChallan]]</f>
        <v>1</v>
      </c>
      <c r="L2453" t="b">
        <f>TrafficData[[#This Row],[pendingAmount]]+TrafficData[[#This Row],[disposedAmount]]=TrafficData[[#This Row],[totalAmount]]</f>
        <v>1</v>
      </c>
      <c r="M2453" t="b">
        <f>TrafficData[[#This Row],[pendingCourt]]+TrafficData[[#This Row],[disposedCourt]]=TrafficData[[#This Row],[totalCourt]]</f>
        <v>1</v>
      </c>
      <c r="N2453" s="8" t="b">
        <f>AND(TrafficData[[#This Row],[disposedChallan]]&lt;=TrafficData[[#This Row],[totalChallan]],TrafficData[[#This Row],[pendingChallan]]&lt;=TrafficData[[#This Row],[totalChallan]])</f>
        <v>1</v>
      </c>
      <c r="O2453" s="8" t="b">
        <f>AND(TrafficData[[#This Row],[pendingAmount]]&lt;=TrafficData[[#This Row],[totalAmount]],TrafficData[[#This Row],[disposedAmount]]&lt;=TrafficData[[#This Row],[totalAmount]])</f>
        <v>1</v>
      </c>
      <c r="P2453" s="8" t="b">
        <f>AND(TrafficData[[#This Row],[pendingCourt]]&lt;=TrafficData[[#This Row],[totalCourt]],TrafficData[[#This Row],[disposedCourt]]&lt;=TrafficData[[#This Row],[totalCourt]])</f>
        <v>1</v>
      </c>
    </row>
    <row r="2454" spans="1:16">
      <c r="A2454" s="1">
        <v>44458</v>
      </c>
      <c r="B2454">
        <v>110671</v>
      </c>
      <c r="C2454">
        <v>50955</v>
      </c>
      <c r="D2454">
        <v>59716</v>
      </c>
      <c r="E2454">
        <v>60805456</v>
      </c>
      <c r="F2454">
        <v>54867449</v>
      </c>
      <c r="G2454">
        <v>115672905</v>
      </c>
      <c r="H2454">
        <v>27042</v>
      </c>
      <c r="I2454">
        <v>9316</v>
      </c>
      <c r="J2454">
        <v>36358</v>
      </c>
      <c r="K2454" t="b">
        <f>TrafficData[[#This Row],[disposedChallan]]+TrafficData[[#This Row],[pendingChallan]]=TrafficData[[#This Row],[totalChallan]]</f>
        <v>1</v>
      </c>
      <c r="L2454" t="b">
        <f>TrafficData[[#This Row],[pendingAmount]]+TrafficData[[#This Row],[disposedAmount]]=TrafficData[[#This Row],[totalAmount]]</f>
        <v>1</v>
      </c>
      <c r="M2454" t="b">
        <f>TrafficData[[#This Row],[pendingCourt]]+TrafficData[[#This Row],[disposedCourt]]=TrafficData[[#This Row],[totalCourt]]</f>
        <v>1</v>
      </c>
      <c r="N2454" s="8" t="b">
        <f>AND(TrafficData[[#This Row],[disposedChallan]]&lt;=TrafficData[[#This Row],[totalChallan]],TrafficData[[#This Row],[pendingChallan]]&lt;=TrafficData[[#This Row],[totalChallan]])</f>
        <v>1</v>
      </c>
      <c r="O2454" s="8" t="b">
        <f>AND(TrafficData[[#This Row],[pendingAmount]]&lt;=TrafficData[[#This Row],[totalAmount]],TrafficData[[#This Row],[disposedAmount]]&lt;=TrafficData[[#This Row],[totalAmount]])</f>
        <v>1</v>
      </c>
      <c r="P2454" s="8" t="b">
        <f>AND(TrafficData[[#This Row],[pendingCourt]]&lt;=TrafficData[[#This Row],[totalCourt]],TrafficData[[#This Row],[disposedCourt]]&lt;=TrafficData[[#This Row],[totalCourt]])</f>
        <v>1</v>
      </c>
    </row>
    <row r="2455" spans="1:16">
      <c r="A2455" s="1">
        <v>44459</v>
      </c>
      <c r="B2455">
        <v>124001</v>
      </c>
      <c r="C2455">
        <v>58950</v>
      </c>
      <c r="D2455">
        <v>65051</v>
      </c>
      <c r="E2455">
        <v>76963296</v>
      </c>
      <c r="F2455">
        <v>70652526</v>
      </c>
      <c r="G2455">
        <v>147615822</v>
      </c>
      <c r="H2455">
        <v>31899</v>
      </c>
      <c r="I2455">
        <v>9877</v>
      </c>
      <c r="J2455">
        <v>41776</v>
      </c>
      <c r="K2455" t="b">
        <f>TrafficData[[#This Row],[disposedChallan]]+TrafficData[[#This Row],[pendingChallan]]=TrafficData[[#This Row],[totalChallan]]</f>
        <v>1</v>
      </c>
      <c r="L2455" t="b">
        <f>TrafficData[[#This Row],[pendingAmount]]+TrafficData[[#This Row],[disposedAmount]]=TrafficData[[#This Row],[totalAmount]]</f>
        <v>1</v>
      </c>
      <c r="M2455" t="b">
        <f>TrafficData[[#This Row],[pendingCourt]]+TrafficData[[#This Row],[disposedCourt]]=TrafficData[[#This Row],[totalCourt]]</f>
        <v>1</v>
      </c>
      <c r="N2455" s="8" t="b">
        <f>AND(TrafficData[[#This Row],[disposedChallan]]&lt;=TrafficData[[#This Row],[totalChallan]],TrafficData[[#This Row],[pendingChallan]]&lt;=TrafficData[[#This Row],[totalChallan]])</f>
        <v>1</v>
      </c>
      <c r="O2455" s="8" t="b">
        <f>AND(TrafficData[[#This Row],[pendingAmount]]&lt;=TrafficData[[#This Row],[totalAmount]],TrafficData[[#This Row],[disposedAmount]]&lt;=TrafficData[[#This Row],[totalAmount]])</f>
        <v>1</v>
      </c>
      <c r="P2455" s="8" t="b">
        <f>AND(TrafficData[[#This Row],[pendingCourt]]&lt;=TrafficData[[#This Row],[totalCourt]],TrafficData[[#This Row],[disposedCourt]]&lt;=TrafficData[[#This Row],[totalCourt]])</f>
        <v>1</v>
      </c>
    </row>
    <row r="2456" spans="1:16">
      <c r="A2456" s="1">
        <v>44460</v>
      </c>
      <c r="B2456">
        <v>120851</v>
      </c>
      <c r="C2456">
        <v>58997</v>
      </c>
      <c r="D2456">
        <v>61854</v>
      </c>
      <c r="E2456">
        <v>69411559</v>
      </c>
      <c r="F2456">
        <v>72793949</v>
      </c>
      <c r="G2456">
        <v>142205508</v>
      </c>
      <c r="H2456">
        <v>28022</v>
      </c>
      <c r="I2456">
        <v>8776</v>
      </c>
      <c r="J2456">
        <v>36798</v>
      </c>
      <c r="K2456" t="b">
        <f>TrafficData[[#This Row],[disposedChallan]]+TrafficData[[#This Row],[pendingChallan]]=TrafficData[[#This Row],[totalChallan]]</f>
        <v>1</v>
      </c>
      <c r="L2456" t="b">
        <f>TrafficData[[#This Row],[pendingAmount]]+TrafficData[[#This Row],[disposedAmount]]=TrafficData[[#This Row],[totalAmount]]</f>
        <v>1</v>
      </c>
      <c r="M2456" t="b">
        <f>TrafficData[[#This Row],[pendingCourt]]+TrafficData[[#This Row],[disposedCourt]]=TrafficData[[#This Row],[totalCourt]]</f>
        <v>1</v>
      </c>
      <c r="N2456" s="8" t="b">
        <f>AND(TrafficData[[#This Row],[disposedChallan]]&lt;=TrafficData[[#This Row],[totalChallan]],TrafficData[[#This Row],[pendingChallan]]&lt;=TrafficData[[#This Row],[totalChallan]])</f>
        <v>1</v>
      </c>
      <c r="O2456" s="8" t="b">
        <f>AND(TrafficData[[#This Row],[pendingAmount]]&lt;=TrafficData[[#This Row],[totalAmount]],TrafficData[[#This Row],[disposedAmount]]&lt;=TrafficData[[#This Row],[totalAmount]])</f>
        <v>1</v>
      </c>
      <c r="P2456" s="8" t="b">
        <f>AND(TrafficData[[#This Row],[pendingCourt]]&lt;=TrafficData[[#This Row],[totalCourt]],TrafficData[[#This Row],[disposedCourt]]&lt;=TrafficData[[#This Row],[totalCourt]])</f>
        <v>1</v>
      </c>
    </row>
    <row r="2457" spans="1:16">
      <c r="A2457" s="1">
        <v>44461</v>
      </c>
      <c r="B2457">
        <v>120948</v>
      </c>
      <c r="C2457">
        <v>59074</v>
      </c>
      <c r="D2457">
        <v>61874</v>
      </c>
      <c r="E2457">
        <v>70096352</v>
      </c>
      <c r="F2457">
        <v>76026546</v>
      </c>
      <c r="G2457">
        <v>146122898</v>
      </c>
      <c r="H2457">
        <v>28408</v>
      </c>
      <c r="I2457">
        <v>9476</v>
      </c>
      <c r="J2457">
        <v>37884</v>
      </c>
      <c r="K2457" t="b">
        <f>TrafficData[[#This Row],[disposedChallan]]+TrafficData[[#This Row],[pendingChallan]]=TrafficData[[#This Row],[totalChallan]]</f>
        <v>1</v>
      </c>
      <c r="L2457" t="b">
        <f>TrafficData[[#This Row],[pendingAmount]]+TrafficData[[#This Row],[disposedAmount]]=TrafficData[[#This Row],[totalAmount]]</f>
        <v>1</v>
      </c>
      <c r="M2457" t="b">
        <f>TrafficData[[#This Row],[pendingCourt]]+TrafficData[[#This Row],[disposedCourt]]=TrafficData[[#This Row],[totalCourt]]</f>
        <v>1</v>
      </c>
      <c r="N2457" s="8" t="b">
        <f>AND(TrafficData[[#This Row],[disposedChallan]]&lt;=TrafficData[[#This Row],[totalChallan]],TrafficData[[#This Row],[pendingChallan]]&lt;=TrafficData[[#This Row],[totalChallan]])</f>
        <v>1</v>
      </c>
      <c r="O2457" s="8" t="b">
        <f>AND(TrafficData[[#This Row],[pendingAmount]]&lt;=TrafficData[[#This Row],[totalAmount]],TrafficData[[#This Row],[disposedAmount]]&lt;=TrafficData[[#This Row],[totalAmount]])</f>
        <v>1</v>
      </c>
      <c r="P2457" s="8" t="b">
        <f>AND(TrafficData[[#This Row],[pendingCourt]]&lt;=TrafficData[[#This Row],[totalCourt]],TrafficData[[#This Row],[disposedCourt]]&lt;=TrafficData[[#This Row],[totalCourt]])</f>
        <v>1</v>
      </c>
    </row>
    <row r="2458" spans="1:16">
      <c r="A2458" s="1">
        <v>44462</v>
      </c>
      <c r="B2458">
        <v>131173</v>
      </c>
      <c r="C2458">
        <v>62458</v>
      </c>
      <c r="D2458">
        <v>68715</v>
      </c>
      <c r="E2458">
        <v>73976259</v>
      </c>
      <c r="F2458">
        <v>74432303</v>
      </c>
      <c r="G2458">
        <v>148408562</v>
      </c>
      <c r="H2458">
        <v>31662</v>
      </c>
      <c r="I2458">
        <v>10035</v>
      </c>
      <c r="J2458">
        <v>41697</v>
      </c>
      <c r="K2458" t="b">
        <f>TrafficData[[#This Row],[disposedChallan]]+TrafficData[[#This Row],[pendingChallan]]=TrafficData[[#This Row],[totalChallan]]</f>
        <v>1</v>
      </c>
      <c r="L2458" t="b">
        <f>TrafficData[[#This Row],[pendingAmount]]+TrafficData[[#This Row],[disposedAmount]]=TrafficData[[#This Row],[totalAmount]]</f>
        <v>1</v>
      </c>
      <c r="M2458" t="b">
        <f>TrafficData[[#This Row],[pendingCourt]]+TrafficData[[#This Row],[disposedCourt]]=TrafficData[[#This Row],[totalCourt]]</f>
        <v>1</v>
      </c>
      <c r="N2458" s="8" t="b">
        <f>AND(TrafficData[[#This Row],[disposedChallan]]&lt;=TrafficData[[#This Row],[totalChallan]],TrafficData[[#This Row],[pendingChallan]]&lt;=TrafficData[[#This Row],[totalChallan]])</f>
        <v>1</v>
      </c>
      <c r="O2458" s="8" t="b">
        <f>AND(TrafficData[[#This Row],[pendingAmount]]&lt;=TrafficData[[#This Row],[totalAmount]],TrafficData[[#This Row],[disposedAmount]]&lt;=TrafficData[[#This Row],[totalAmount]])</f>
        <v>1</v>
      </c>
      <c r="P2458" s="8" t="b">
        <f>AND(TrafficData[[#This Row],[pendingCourt]]&lt;=TrafficData[[#This Row],[totalCourt]],TrafficData[[#This Row],[disposedCourt]]&lt;=TrafficData[[#This Row],[totalCourt]])</f>
        <v>1</v>
      </c>
    </row>
    <row r="2459" spans="1:16">
      <c r="A2459" s="1">
        <v>44463</v>
      </c>
      <c r="B2459">
        <v>128794</v>
      </c>
      <c r="C2459">
        <v>63402</v>
      </c>
      <c r="D2459">
        <v>65392</v>
      </c>
      <c r="E2459">
        <v>68170920</v>
      </c>
      <c r="F2459">
        <v>68061694</v>
      </c>
      <c r="G2459">
        <v>136232614</v>
      </c>
      <c r="H2459">
        <v>29564</v>
      </c>
      <c r="I2459">
        <v>10073</v>
      </c>
      <c r="J2459">
        <v>39637</v>
      </c>
      <c r="K2459" t="b">
        <f>TrafficData[[#This Row],[disposedChallan]]+TrafficData[[#This Row],[pendingChallan]]=TrafficData[[#This Row],[totalChallan]]</f>
        <v>1</v>
      </c>
      <c r="L2459" t="b">
        <f>TrafficData[[#This Row],[pendingAmount]]+TrafficData[[#This Row],[disposedAmount]]=TrafficData[[#This Row],[totalAmount]]</f>
        <v>1</v>
      </c>
      <c r="M2459" t="b">
        <f>TrafficData[[#This Row],[pendingCourt]]+TrafficData[[#This Row],[disposedCourt]]=TrafficData[[#This Row],[totalCourt]]</f>
        <v>1</v>
      </c>
      <c r="N2459" s="8" t="b">
        <f>AND(TrafficData[[#This Row],[disposedChallan]]&lt;=TrafficData[[#This Row],[totalChallan]],TrafficData[[#This Row],[pendingChallan]]&lt;=TrafficData[[#This Row],[totalChallan]])</f>
        <v>1</v>
      </c>
      <c r="O2459" s="8" t="b">
        <f>AND(TrafficData[[#This Row],[pendingAmount]]&lt;=TrafficData[[#This Row],[totalAmount]],TrafficData[[#This Row],[disposedAmount]]&lt;=TrafficData[[#This Row],[totalAmount]])</f>
        <v>1</v>
      </c>
      <c r="P2459" s="8" t="b">
        <f>AND(TrafficData[[#This Row],[pendingCourt]]&lt;=TrafficData[[#This Row],[totalCourt]],TrafficData[[#This Row],[disposedCourt]]&lt;=TrafficData[[#This Row],[totalCourt]])</f>
        <v>1</v>
      </c>
    </row>
    <row r="2460" spans="1:16">
      <c r="A2460" s="1">
        <v>44464</v>
      </c>
      <c r="B2460">
        <v>132823</v>
      </c>
      <c r="C2460">
        <v>64047</v>
      </c>
      <c r="D2460">
        <v>68776</v>
      </c>
      <c r="E2460">
        <v>74554314</v>
      </c>
      <c r="F2460">
        <v>69684411</v>
      </c>
      <c r="G2460">
        <v>144238725</v>
      </c>
      <c r="H2460">
        <v>30916</v>
      </c>
      <c r="I2460">
        <v>11169</v>
      </c>
      <c r="J2460">
        <v>42085</v>
      </c>
      <c r="K2460" t="b">
        <f>TrafficData[[#This Row],[disposedChallan]]+TrafficData[[#This Row],[pendingChallan]]=TrafficData[[#This Row],[totalChallan]]</f>
        <v>1</v>
      </c>
      <c r="L2460" t="b">
        <f>TrafficData[[#This Row],[pendingAmount]]+TrafficData[[#This Row],[disposedAmount]]=TrafficData[[#This Row],[totalAmount]]</f>
        <v>1</v>
      </c>
      <c r="M2460" t="b">
        <f>TrafficData[[#This Row],[pendingCourt]]+TrafficData[[#This Row],[disposedCourt]]=TrafficData[[#This Row],[totalCourt]]</f>
        <v>1</v>
      </c>
      <c r="N2460" s="8" t="b">
        <f>AND(TrafficData[[#This Row],[disposedChallan]]&lt;=TrafficData[[#This Row],[totalChallan]],TrafficData[[#This Row],[pendingChallan]]&lt;=TrafficData[[#This Row],[totalChallan]])</f>
        <v>1</v>
      </c>
      <c r="O2460" s="8" t="b">
        <f>AND(TrafficData[[#This Row],[pendingAmount]]&lt;=TrafficData[[#This Row],[totalAmount]],TrafficData[[#This Row],[disposedAmount]]&lt;=TrafficData[[#This Row],[totalAmount]])</f>
        <v>1</v>
      </c>
      <c r="P2460" s="8" t="b">
        <f>AND(TrafficData[[#This Row],[pendingCourt]]&lt;=TrafficData[[#This Row],[totalCourt]],TrafficData[[#This Row],[disposedCourt]]&lt;=TrafficData[[#This Row],[totalCourt]])</f>
        <v>1</v>
      </c>
    </row>
    <row r="2461" spans="1:16">
      <c r="A2461" s="1">
        <v>44465</v>
      </c>
      <c r="B2461">
        <v>120965</v>
      </c>
      <c r="C2461">
        <v>52987</v>
      </c>
      <c r="D2461">
        <v>67978</v>
      </c>
      <c r="E2461">
        <v>68826744</v>
      </c>
      <c r="F2461">
        <v>57405228</v>
      </c>
      <c r="G2461">
        <v>126231972</v>
      </c>
      <c r="H2461">
        <v>30970</v>
      </c>
      <c r="I2461">
        <v>10773</v>
      </c>
      <c r="J2461">
        <v>41743</v>
      </c>
      <c r="K2461" t="b">
        <f>TrafficData[[#This Row],[disposedChallan]]+TrafficData[[#This Row],[pendingChallan]]=TrafficData[[#This Row],[totalChallan]]</f>
        <v>1</v>
      </c>
      <c r="L2461" t="b">
        <f>TrafficData[[#This Row],[pendingAmount]]+TrafficData[[#This Row],[disposedAmount]]=TrafficData[[#This Row],[totalAmount]]</f>
        <v>1</v>
      </c>
      <c r="M2461" t="b">
        <f>TrafficData[[#This Row],[pendingCourt]]+TrafficData[[#This Row],[disposedCourt]]=TrafficData[[#This Row],[totalCourt]]</f>
        <v>1</v>
      </c>
      <c r="N2461" s="8" t="b">
        <f>AND(TrafficData[[#This Row],[disposedChallan]]&lt;=TrafficData[[#This Row],[totalChallan]],TrafficData[[#This Row],[pendingChallan]]&lt;=TrafficData[[#This Row],[totalChallan]])</f>
        <v>1</v>
      </c>
      <c r="O2461" s="8" t="b">
        <f>AND(TrafficData[[#This Row],[pendingAmount]]&lt;=TrafficData[[#This Row],[totalAmount]],TrafficData[[#This Row],[disposedAmount]]&lt;=TrafficData[[#This Row],[totalAmount]])</f>
        <v>1</v>
      </c>
      <c r="P2461" s="8" t="b">
        <f>AND(TrafficData[[#This Row],[pendingCourt]]&lt;=TrafficData[[#This Row],[totalCourt]],TrafficData[[#This Row],[disposedCourt]]&lt;=TrafficData[[#This Row],[totalCourt]])</f>
        <v>1</v>
      </c>
    </row>
    <row r="2462" spans="1:16">
      <c r="A2462" s="1">
        <v>44466</v>
      </c>
      <c r="B2462">
        <v>115276</v>
      </c>
      <c r="C2462">
        <v>50614</v>
      </c>
      <c r="D2462">
        <v>64662</v>
      </c>
      <c r="E2462">
        <v>70403495</v>
      </c>
      <c r="F2462">
        <v>1010541332</v>
      </c>
      <c r="G2462">
        <v>1080944827</v>
      </c>
      <c r="H2462">
        <v>31031</v>
      </c>
      <c r="I2462">
        <v>10341</v>
      </c>
      <c r="J2462">
        <v>41372</v>
      </c>
      <c r="K2462" t="b">
        <f>TrafficData[[#This Row],[disposedChallan]]+TrafficData[[#This Row],[pendingChallan]]=TrafficData[[#This Row],[totalChallan]]</f>
        <v>1</v>
      </c>
      <c r="L2462" t="b">
        <f>TrafficData[[#This Row],[pendingAmount]]+TrafficData[[#This Row],[disposedAmount]]=TrafficData[[#This Row],[totalAmount]]</f>
        <v>1</v>
      </c>
      <c r="M2462" t="b">
        <f>TrafficData[[#This Row],[pendingCourt]]+TrafficData[[#This Row],[disposedCourt]]=TrafficData[[#This Row],[totalCourt]]</f>
        <v>1</v>
      </c>
      <c r="N2462" s="8" t="b">
        <f>AND(TrafficData[[#This Row],[disposedChallan]]&lt;=TrafficData[[#This Row],[totalChallan]],TrafficData[[#This Row],[pendingChallan]]&lt;=TrafficData[[#This Row],[totalChallan]])</f>
        <v>1</v>
      </c>
      <c r="O2462" s="8" t="b">
        <f>AND(TrafficData[[#This Row],[pendingAmount]]&lt;=TrafficData[[#This Row],[totalAmount]],TrafficData[[#This Row],[disposedAmount]]&lt;=TrafficData[[#This Row],[totalAmount]])</f>
        <v>1</v>
      </c>
      <c r="P2462" s="8" t="b">
        <f>AND(TrafficData[[#This Row],[pendingCourt]]&lt;=TrafficData[[#This Row],[totalCourt]],TrafficData[[#This Row],[disposedCourt]]&lt;=TrafficData[[#This Row],[totalCourt]])</f>
        <v>1</v>
      </c>
    </row>
    <row r="2463" spans="1:16">
      <c r="A2463" s="1">
        <v>44467</v>
      </c>
      <c r="B2463">
        <v>131177</v>
      </c>
      <c r="C2463">
        <v>62130</v>
      </c>
      <c r="D2463">
        <v>69047</v>
      </c>
      <c r="E2463">
        <v>73334097</v>
      </c>
      <c r="F2463">
        <v>67543528</v>
      </c>
      <c r="G2463">
        <v>140877625</v>
      </c>
      <c r="H2463">
        <v>30695</v>
      </c>
      <c r="I2463">
        <v>10576</v>
      </c>
      <c r="J2463">
        <v>41271</v>
      </c>
      <c r="K2463" t="b">
        <f>TrafficData[[#This Row],[disposedChallan]]+TrafficData[[#This Row],[pendingChallan]]=TrafficData[[#This Row],[totalChallan]]</f>
        <v>1</v>
      </c>
      <c r="L2463" t="b">
        <f>TrafficData[[#This Row],[pendingAmount]]+TrafficData[[#This Row],[disposedAmount]]=TrafficData[[#This Row],[totalAmount]]</f>
        <v>1</v>
      </c>
      <c r="M2463" t="b">
        <f>TrafficData[[#This Row],[pendingCourt]]+TrafficData[[#This Row],[disposedCourt]]=TrafficData[[#This Row],[totalCourt]]</f>
        <v>1</v>
      </c>
      <c r="N2463" s="8" t="b">
        <f>AND(TrafficData[[#This Row],[disposedChallan]]&lt;=TrafficData[[#This Row],[totalChallan]],TrafficData[[#This Row],[pendingChallan]]&lt;=TrafficData[[#This Row],[totalChallan]])</f>
        <v>1</v>
      </c>
      <c r="O2463" s="8" t="b">
        <f>AND(TrafficData[[#This Row],[pendingAmount]]&lt;=TrafficData[[#This Row],[totalAmount]],TrafficData[[#This Row],[disposedAmount]]&lt;=TrafficData[[#This Row],[totalAmount]])</f>
        <v>1</v>
      </c>
      <c r="P2463" s="8" t="b">
        <f>AND(TrafficData[[#This Row],[pendingCourt]]&lt;=TrafficData[[#This Row],[totalCourt]],TrafficData[[#This Row],[disposedCourt]]&lt;=TrafficData[[#This Row],[totalCourt]])</f>
        <v>1</v>
      </c>
    </row>
    <row r="2464" spans="1:16">
      <c r="A2464" s="1">
        <v>44468</v>
      </c>
      <c r="B2464">
        <v>132316</v>
      </c>
      <c r="C2464">
        <v>63833</v>
      </c>
      <c r="D2464">
        <v>68483</v>
      </c>
      <c r="E2464">
        <v>74791241</v>
      </c>
      <c r="F2464">
        <v>66637700</v>
      </c>
      <c r="G2464">
        <v>141428941</v>
      </c>
      <c r="H2464">
        <v>31765</v>
      </c>
      <c r="I2464">
        <v>10870</v>
      </c>
      <c r="J2464">
        <v>42635</v>
      </c>
      <c r="K2464" t="b">
        <f>TrafficData[[#This Row],[disposedChallan]]+TrafficData[[#This Row],[pendingChallan]]=TrafficData[[#This Row],[totalChallan]]</f>
        <v>1</v>
      </c>
      <c r="L2464" t="b">
        <f>TrafficData[[#This Row],[pendingAmount]]+TrafficData[[#This Row],[disposedAmount]]=TrafficData[[#This Row],[totalAmount]]</f>
        <v>1</v>
      </c>
      <c r="M2464" t="b">
        <f>TrafficData[[#This Row],[pendingCourt]]+TrafficData[[#This Row],[disposedCourt]]=TrafficData[[#This Row],[totalCourt]]</f>
        <v>1</v>
      </c>
      <c r="N2464" s="8" t="b">
        <f>AND(TrafficData[[#This Row],[disposedChallan]]&lt;=TrafficData[[#This Row],[totalChallan]],TrafficData[[#This Row],[pendingChallan]]&lt;=TrafficData[[#This Row],[totalChallan]])</f>
        <v>1</v>
      </c>
      <c r="O2464" s="8" t="b">
        <f>AND(TrafficData[[#This Row],[pendingAmount]]&lt;=TrafficData[[#This Row],[totalAmount]],TrafficData[[#This Row],[disposedAmount]]&lt;=TrafficData[[#This Row],[totalAmount]])</f>
        <v>1</v>
      </c>
      <c r="P2464" s="8" t="b">
        <f>AND(TrafficData[[#This Row],[pendingCourt]]&lt;=TrafficData[[#This Row],[totalCourt]],TrafficData[[#This Row],[disposedCourt]]&lt;=TrafficData[[#This Row],[totalCourt]])</f>
        <v>1</v>
      </c>
    </row>
    <row r="2465" spans="1:16">
      <c r="A2465" s="1">
        <v>44469</v>
      </c>
      <c r="B2465">
        <v>128369</v>
      </c>
      <c r="C2465">
        <v>61471</v>
      </c>
      <c r="D2465">
        <v>66898</v>
      </c>
      <c r="E2465">
        <v>75450323</v>
      </c>
      <c r="F2465">
        <v>67931396</v>
      </c>
      <c r="G2465">
        <v>143381719</v>
      </c>
      <c r="H2465">
        <v>30965</v>
      </c>
      <c r="I2465">
        <v>10907</v>
      </c>
      <c r="J2465">
        <v>41872</v>
      </c>
      <c r="K2465" t="b">
        <f>TrafficData[[#This Row],[disposedChallan]]+TrafficData[[#This Row],[pendingChallan]]=TrafficData[[#This Row],[totalChallan]]</f>
        <v>1</v>
      </c>
      <c r="L2465" t="b">
        <f>TrafficData[[#This Row],[pendingAmount]]+TrafficData[[#This Row],[disposedAmount]]=TrafficData[[#This Row],[totalAmount]]</f>
        <v>1</v>
      </c>
      <c r="M2465" t="b">
        <f>TrafficData[[#This Row],[pendingCourt]]+TrafficData[[#This Row],[disposedCourt]]=TrafficData[[#This Row],[totalCourt]]</f>
        <v>1</v>
      </c>
      <c r="N2465" s="8" t="b">
        <f>AND(TrafficData[[#This Row],[disposedChallan]]&lt;=TrafficData[[#This Row],[totalChallan]],TrafficData[[#This Row],[pendingChallan]]&lt;=TrafficData[[#This Row],[totalChallan]])</f>
        <v>1</v>
      </c>
      <c r="O2465" s="8" t="b">
        <f>AND(TrafficData[[#This Row],[pendingAmount]]&lt;=TrafficData[[#This Row],[totalAmount]],TrafficData[[#This Row],[disposedAmount]]&lt;=TrafficData[[#This Row],[totalAmount]])</f>
        <v>1</v>
      </c>
      <c r="P2465" s="8" t="b">
        <f>AND(TrafficData[[#This Row],[pendingCourt]]&lt;=TrafficData[[#This Row],[totalCourt]],TrafficData[[#This Row],[disposedCourt]]&lt;=TrafficData[[#This Row],[totalCourt]])</f>
        <v>1</v>
      </c>
    </row>
    <row r="2466" spans="1:16">
      <c r="A2466" s="1">
        <v>44470</v>
      </c>
      <c r="B2466">
        <v>107991</v>
      </c>
      <c r="C2466">
        <v>53157</v>
      </c>
      <c r="D2466">
        <v>54834</v>
      </c>
      <c r="E2466">
        <v>61752841</v>
      </c>
      <c r="F2466">
        <v>65494158</v>
      </c>
      <c r="G2466">
        <v>127246999</v>
      </c>
      <c r="H2466">
        <v>26851</v>
      </c>
      <c r="I2466">
        <v>9414</v>
      </c>
      <c r="J2466">
        <v>36265</v>
      </c>
      <c r="K2466" t="b">
        <f>TrafficData[[#This Row],[disposedChallan]]+TrafficData[[#This Row],[pendingChallan]]=TrafficData[[#This Row],[totalChallan]]</f>
        <v>1</v>
      </c>
      <c r="L2466" t="b">
        <f>TrafficData[[#This Row],[pendingAmount]]+TrafficData[[#This Row],[disposedAmount]]=TrafficData[[#This Row],[totalAmount]]</f>
        <v>1</v>
      </c>
      <c r="M2466" t="b">
        <f>TrafficData[[#This Row],[pendingCourt]]+TrafficData[[#This Row],[disposedCourt]]=TrafficData[[#This Row],[totalCourt]]</f>
        <v>1</v>
      </c>
      <c r="N2466" s="8" t="b">
        <f>AND(TrafficData[[#This Row],[disposedChallan]]&lt;=TrafficData[[#This Row],[totalChallan]],TrafficData[[#This Row],[pendingChallan]]&lt;=TrafficData[[#This Row],[totalChallan]])</f>
        <v>1</v>
      </c>
      <c r="O2466" s="8" t="b">
        <f>AND(TrafficData[[#This Row],[pendingAmount]]&lt;=TrafficData[[#This Row],[totalAmount]],TrafficData[[#This Row],[disposedAmount]]&lt;=TrafficData[[#This Row],[totalAmount]])</f>
        <v>1</v>
      </c>
      <c r="P2466" s="8" t="b">
        <f>AND(TrafficData[[#This Row],[pendingCourt]]&lt;=TrafficData[[#This Row],[totalCourt]],TrafficData[[#This Row],[disposedCourt]]&lt;=TrafficData[[#This Row],[totalCourt]])</f>
        <v>1</v>
      </c>
    </row>
    <row r="2467" spans="1:16">
      <c r="A2467" s="1">
        <v>44471</v>
      </c>
      <c r="B2467">
        <v>117016</v>
      </c>
      <c r="C2467">
        <v>57895</v>
      </c>
      <c r="D2467">
        <v>59121</v>
      </c>
      <c r="E2467">
        <v>60319189</v>
      </c>
      <c r="F2467">
        <v>63783087</v>
      </c>
      <c r="G2467">
        <v>124102276</v>
      </c>
      <c r="H2467">
        <v>27999</v>
      </c>
      <c r="I2467">
        <v>10244</v>
      </c>
      <c r="J2467">
        <v>38243</v>
      </c>
      <c r="K2467" t="b">
        <f>TrafficData[[#This Row],[disposedChallan]]+TrafficData[[#This Row],[pendingChallan]]=TrafficData[[#This Row],[totalChallan]]</f>
        <v>1</v>
      </c>
      <c r="L2467" t="b">
        <f>TrafficData[[#This Row],[pendingAmount]]+TrafficData[[#This Row],[disposedAmount]]=TrafficData[[#This Row],[totalAmount]]</f>
        <v>1</v>
      </c>
      <c r="M2467" t="b">
        <f>TrafficData[[#This Row],[pendingCourt]]+TrafficData[[#This Row],[disposedCourt]]=TrafficData[[#This Row],[totalCourt]]</f>
        <v>1</v>
      </c>
      <c r="N2467" s="8" t="b">
        <f>AND(TrafficData[[#This Row],[disposedChallan]]&lt;=TrafficData[[#This Row],[totalChallan]],TrafficData[[#This Row],[pendingChallan]]&lt;=TrafficData[[#This Row],[totalChallan]])</f>
        <v>1</v>
      </c>
      <c r="O2467" s="8" t="b">
        <f>AND(TrafficData[[#This Row],[pendingAmount]]&lt;=TrafficData[[#This Row],[totalAmount]],TrafficData[[#This Row],[disposedAmount]]&lt;=TrafficData[[#This Row],[totalAmount]])</f>
        <v>1</v>
      </c>
      <c r="P2467" s="8" t="b">
        <f>AND(TrafficData[[#This Row],[pendingCourt]]&lt;=TrafficData[[#This Row],[totalCourt]],TrafficData[[#This Row],[disposedCourt]]&lt;=TrafficData[[#This Row],[totalCourt]])</f>
        <v>1</v>
      </c>
    </row>
    <row r="2468" spans="1:16">
      <c r="A2468" s="1">
        <v>44472</v>
      </c>
      <c r="B2468">
        <v>115797</v>
      </c>
      <c r="C2468">
        <v>54418</v>
      </c>
      <c r="D2468">
        <v>61379</v>
      </c>
      <c r="E2468">
        <v>59644648</v>
      </c>
      <c r="F2468">
        <v>58799526</v>
      </c>
      <c r="G2468">
        <v>118444174</v>
      </c>
      <c r="H2468">
        <v>27339</v>
      </c>
      <c r="I2468">
        <v>9878</v>
      </c>
      <c r="J2468">
        <v>37217</v>
      </c>
      <c r="K2468" t="b">
        <f>TrafficData[[#This Row],[disposedChallan]]+TrafficData[[#This Row],[pendingChallan]]=TrafficData[[#This Row],[totalChallan]]</f>
        <v>1</v>
      </c>
      <c r="L2468" t="b">
        <f>TrafficData[[#This Row],[pendingAmount]]+TrafficData[[#This Row],[disposedAmount]]=TrafficData[[#This Row],[totalAmount]]</f>
        <v>1</v>
      </c>
      <c r="M2468" t="b">
        <f>TrafficData[[#This Row],[pendingCourt]]+TrafficData[[#This Row],[disposedCourt]]=TrafficData[[#This Row],[totalCourt]]</f>
        <v>1</v>
      </c>
      <c r="N2468" s="8" t="b">
        <f>AND(TrafficData[[#This Row],[disposedChallan]]&lt;=TrafficData[[#This Row],[totalChallan]],TrafficData[[#This Row],[pendingChallan]]&lt;=TrafficData[[#This Row],[totalChallan]])</f>
        <v>1</v>
      </c>
      <c r="O2468" s="8" t="b">
        <f>AND(TrafficData[[#This Row],[pendingAmount]]&lt;=TrafficData[[#This Row],[totalAmount]],TrafficData[[#This Row],[disposedAmount]]&lt;=TrafficData[[#This Row],[totalAmount]])</f>
        <v>1</v>
      </c>
      <c r="P2468" s="8" t="b">
        <f>AND(TrafficData[[#This Row],[pendingCourt]]&lt;=TrafficData[[#This Row],[totalCourt]],TrafficData[[#This Row],[disposedCourt]]&lt;=TrafficData[[#This Row],[totalCourt]])</f>
        <v>1</v>
      </c>
    </row>
    <row r="2469" spans="1:16">
      <c r="A2469" s="1">
        <v>44473</v>
      </c>
      <c r="B2469">
        <v>121841</v>
      </c>
      <c r="C2469">
        <v>59779</v>
      </c>
      <c r="D2469">
        <v>62062</v>
      </c>
      <c r="E2469">
        <v>66958815</v>
      </c>
      <c r="F2469">
        <v>68702929</v>
      </c>
      <c r="G2469">
        <v>135661744</v>
      </c>
      <c r="H2469">
        <v>29347</v>
      </c>
      <c r="I2469">
        <v>10123</v>
      </c>
      <c r="J2469">
        <v>39470</v>
      </c>
      <c r="K2469" t="b">
        <f>TrafficData[[#This Row],[disposedChallan]]+TrafficData[[#This Row],[pendingChallan]]=TrafficData[[#This Row],[totalChallan]]</f>
        <v>1</v>
      </c>
      <c r="L2469" t="b">
        <f>TrafficData[[#This Row],[pendingAmount]]+TrafficData[[#This Row],[disposedAmount]]=TrafficData[[#This Row],[totalAmount]]</f>
        <v>1</v>
      </c>
      <c r="M2469" t="b">
        <f>TrafficData[[#This Row],[pendingCourt]]+TrafficData[[#This Row],[disposedCourt]]=TrafficData[[#This Row],[totalCourt]]</f>
        <v>1</v>
      </c>
      <c r="N2469" s="8" t="b">
        <f>AND(TrafficData[[#This Row],[disposedChallan]]&lt;=TrafficData[[#This Row],[totalChallan]],TrafficData[[#This Row],[pendingChallan]]&lt;=TrafficData[[#This Row],[totalChallan]])</f>
        <v>1</v>
      </c>
      <c r="O2469" s="8" t="b">
        <f>AND(TrafficData[[#This Row],[pendingAmount]]&lt;=TrafficData[[#This Row],[totalAmount]],TrafficData[[#This Row],[disposedAmount]]&lt;=TrafficData[[#This Row],[totalAmount]])</f>
        <v>1</v>
      </c>
      <c r="P2469" s="8" t="b">
        <f>AND(TrafficData[[#This Row],[pendingCourt]]&lt;=TrafficData[[#This Row],[totalCourt]],TrafficData[[#This Row],[disposedCourt]]&lt;=TrafficData[[#This Row],[totalCourt]])</f>
        <v>1</v>
      </c>
    </row>
    <row r="2470" spans="1:16">
      <c r="A2470" s="1">
        <v>44474</v>
      </c>
      <c r="B2470">
        <v>113989</v>
      </c>
      <c r="C2470">
        <v>55862</v>
      </c>
      <c r="D2470">
        <v>58127</v>
      </c>
      <c r="E2470">
        <v>68587648</v>
      </c>
      <c r="F2470">
        <v>76055924</v>
      </c>
      <c r="G2470">
        <v>144643572</v>
      </c>
      <c r="H2470">
        <v>28741</v>
      </c>
      <c r="I2470">
        <v>9940</v>
      </c>
      <c r="J2470">
        <v>38681</v>
      </c>
      <c r="K2470" t="b">
        <f>TrafficData[[#This Row],[disposedChallan]]+TrafficData[[#This Row],[pendingChallan]]=TrafficData[[#This Row],[totalChallan]]</f>
        <v>1</v>
      </c>
      <c r="L2470" t="b">
        <f>TrafficData[[#This Row],[pendingAmount]]+TrafficData[[#This Row],[disposedAmount]]=TrafficData[[#This Row],[totalAmount]]</f>
        <v>1</v>
      </c>
      <c r="M2470" t="b">
        <f>TrafficData[[#This Row],[pendingCourt]]+TrafficData[[#This Row],[disposedCourt]]=TrafficData[[#This Row],[totalCourt]]</f>
        <v>1</v>
      </c>
      <c r="N2470" s="8" t="b">
        <f>AND(TrafficData[[#This Row],[disposedChallan]]&lt;=TrafficData[[#This Row],[totalChallan]],TrafficData[[#This Row],[pendingChallan]]&lt;=TrafficData[[#This Row],[totalChallan]])</f>
        <v>1</v>
      </c>
      <c r="O2470" s="8" t="b">
        <f>AND(TrafficData[[#This Row],[pendingAmount]]&lt;=TrafficData[[#This Row],[totalAmount]],TrafficData[[#This Row],[disposedAmount]]&lt;=TrafficData[[#This Row],[totalAmount]])</f>
        <v>1</v>
      </c>
      <c r="P2470" s="8" t="b">
        <f>AND(TrafficData[[#This Row],[pendingCourt]]&lt;=TrafficData[[#This Row],[totalCourt]],TrafficData[[#This Row],[disposedCourt]]&lt;=TrafficData[[#This Row],[totalCourt]])</f>
        <v>1</v>
      </c>
    </row>
    <row r="2471" spans="1:16">
      <c r="A2471" s="1">
        <v>44475</v>
      </c>
      <c r="B2471">
        <v>120642</v>
      </c>
      <c r="C2471">
        <v>60543</v>
      </c>
      <c r="D2471">
        <v>60099</v>
      </c>
      <c r="E2471">
        <v>68701235</v>
      </c>
      <c r="F2471">
        <v>79880975</v>
      </c>
      <c r="G2471">
        <v>148582210</v>
      </c>
      <c r="H2471">
        <v>28031</v>
      </c>
      <c r="I2471">
        <v>9859</v>
      </c>
      <c r="J2471">
        <v>37890</v>
      </c>
      <c r="K2471" t="b">
        <f>TrafficData[[#This Row],[disposedChallan]]+TrafficData[[#This Row],[pendingChallan]]=TrafficData[[#This Row],[totalChallan]]</f>
        <v>1</v>
      </c>
      <c r="L2471" t="b">
        <f>TrafficData[[#This Row],[pendingAmount]]+TrafficData[[#This Row],[disposedAmount]]=TrafficData[[#This Row],[totalAmount]]</f>
        <v>1</v>
      </c>
      <c r="M2471" t="b">
        <f>TrafficData[[#This Row],[pendingCourt]]+TrafficData[[#This Row],[disposedCourt]]=TrafficData[[#This Row],[totalCourt]]</f>
        <v>1</v>
      </c>
      <c r="N2471" s="8" t="b">
        <f>AND(TrafficData[[#This Row],[disposedChallan]]&lt;=TrafficData[[#This Row],[totalChallan]],TrafficData[[#This Row],[pendingChallan]]&lt;=TrafficData[[#This Row],[totalChallan]])</f>
        <v>1</v>
      </c>
      <c r="O2471" s="8" t="b">
        <f>AND(TrafficData[[#This Row],[pendingAmount]]&lt;=TrafficData[[#This Row],[totalAmount]],TrafficData[[#This Row],[disposedAmount]]&lt;=TrafficData[[#This Row],[totalAmount]])</f>
        <v>1</v>
      </c>
      <c r="P2471" s="8" t="b">
        <f>AND(TrafficData[[#This Row],[pendingCourt]]&lt;=TrafficData[[#This Row],[totalCourt]],TrafficData[[#This Row],[disposedCourt]]&lt;=TrafficData[[#This Row],[totalCourt]])</f>
        <v>1</v>
      </c>
    </row>
    <row r="2472" spans="1:16">
      <c r="A2472" s="1">
        <v>44476</v>
      </c>
      <c r="B2472">
        <v>116374</v>
      </c>
      <c r="C2472">
        <v>59129</v>
      </c>
      <c r="D2472">
        <v>57245</v>
      </c>
      <c r="E2472">
        <v>70542742</v>
      </c>
      <c r="F2472">
        <v>77944234</v>
      </c>
      <c r="G2472">
        <v>148486976</v>
      </c>
      <c r="H2472">
        <v>28109</v>
      </c>
      <c r="I2472">
        <v>9825</v>
      </c>
      <c r="J2472">
        <v>37934</v>
      </c>
      <c r="K2472" t="b">
        <f>TrafficData[[#This Row],[disposedChallan]]+TrafficData[[#This Row],[pendingChallan]]=TrafficData[[#This Row],[totalChallan]]</f>
        <v>1</v>
      </c>
      <c r="L2472" t="b">
        <f>TrafficData[[#This Row],[pendingAmount]]+TrafficData[[#This Row],[disposedAmount]]=TrafficData[[#This Row],[totalAmount]]</f>
        <v>1</v>
      </c>
      <c r="M2472" t="b">
        <f>TrafficData[[#This Row],[pendingCourt]]+TrafficData[[#This Row],[disposedCourt]]=TrafficData[[#This Row],[totalCourt]]</f>
        <v>1</v>
      </c>
      <c r="N2472" s="8" t="b">
        <f>AND(TrafficData[[#This Row],[disposedChallan]]&lt;=TrafficData[[#This Row],[totalChallan]],TrafficData[[#This Row],[pendingChallan]]&lt;=TrafficData[[#This Row],[totalChallan]])</f>
        <v>1</v>
      </c>
      <c r="O2472" s="8" t="b">
        <f>AND(TrafficData[[#This Row],[pendingAmount]]&lt;=TrafficData[[#This Row],[totalAmount]],TrafficData[[#This Row],[disposedAmount]]&lt;=TrafficData[[#This Row],[totalAmount]])</f>
        <v>1</v>
      </c>
      <c r="P2472" s="8" t="b">
        <f>AND(TrafficData[[#This Row],[pendingCourt]]&lt;=TrafficData[[#This Row],[totalCourt]],TrafficData[[#This Row],[disposedCourt]]&lt;=TrafficData[[#This Row],[totalCourt]])</f>
        <v>1</v>
      </c>
    </row>
    <row r="2473" spans="1:16">
      <c r="A2473" s="1">
        <v>44477</v>
      </c>
      <c r="B2473">
        <v>81256</v>
      </c>
      <c r="C2473">
        <v>40321</v>
      </c>
      <c r="D2473">
        <v>40935</v>
      </c>
      <c r="E2473">
        <v>51176283</v>
      </c>
      <c r="F2473">
        <v>60714874</v>
      </c>
      <c r="G2473">
        <v>111891157</v>
      </c>
      <c r="H2473">
        <v>22575</v>
      </c>
      <c r="I2473">
        <v>7757</v>
      </c>
      <c r="J2473">
        <v>30332</v>
      </c>
      <c r="K2473" t="b">
        <f>TrafficData[[#This Row],[disposedChallan]]+TrafficData[[#This Row],[pendingChallan]]=TrafficData[[#This Row],[totalChallan]]</f>
        <v>1</v>
      </c>
      <c r="L2473" t="b">
        <f>TrafficData[[#This Row],[pendingAmount]]+TrafficData[[#This Row],[disposedAmount]]=TrafficData[[#This Row],[totalAmount]]</f>
        <v>1</v>
      </c>
      <c r="M2473" t="b">
        <f>TrafficData[[#This Row],[pendingCourt]]+TrafficData[[#This Row],[disposedCourt]]=TrafficData[[#This Row],[totalCourt]]</f>
        <v>1</v>
      </c>
      <c r="N2473" s="8" t="b">
        <f>AND(TrafficData[[#This Row],[disposedChallan]]&lt;=TrafficData[[#This Row],[totalChallan]],TrafficData[[#This Row],[pendingChallan]]&lt;=TrafficData[[#This Row],[totalChallan]])</f>
        <v>1</v>
      </c>
      <c r="O2473" s="8" t="b">
        <f>AND(TrafficData[[#This Row],[pendingAmount]]&lt;=TrafficData[[#This Row],[totalAmount]],TrafficData[[#This Row],[disposedAmount]]&lt;=TrafficData[[#This Row],[totalAmount]])</f>
        <v>1</v>
      </c>
      <c r="P2473" s="8" t="b">
        <f>AND(TrafficData[[#This Row],[pendingCourt]]&lt;=TrafficData[[#This Row],[totalCourt]],TrafficData[[#This Row],[disposedCourt]]&lt;=TrafficData[[#This Row],[totalCourt]])</f>
        <v>1</v>
      </c>
    </row>
    <row r="2474" spans="1:16">
      <c r="A2474" s="1">
        <v>44478</v>
      </c>
      <c r="B2474">
        <v>113543</v>
      </c>
      <c r="C2474">
        <v>58042</v>
      </c>
      <c r="D2474">
        <v>55501</v>
      </c>
      <c r="E2474">
        <v>69309663</v>
      </c>
      <c r="F2474">
        <v>77387388</v>
      </c>
      <c r="G2474">
        <v>146697051</v>
      </c>
      <c r="H2474">
        <v>29112</v>
      </c>
      <c r="I2474">
        <v>10072</v>
      </c>
      <c r="J2474">
        <v>39184</v>
      </c>
      <c r="K2474" t="b">
        <f>TrafficData[[#This Row],[disposedChallan]]+TrafficData[[#This Row],[pendingChallan]]=TrafficData[[#This Row],[totalChallan]]</f>
        <v>1</v>
      </c>
      <c r="L2474" t="b">
        <f>TrafficData[[#This Row],[pendingAmount]]+TrafficData[[#This Row],[disposedAmount]]=TrafficData[[#This Row],[totalAmount]]</f>
        <v>1</v>
      </c>
      <c r="M2474" t="b">
        <f>TrafficData[[#This Row],[pendingCourt]]+TrafficData[[#This Row],[disposedCourt]]=TrafficData[[#This Row],[totalCourt]]</f>
        <v>1</v>
      </c>
      <c r="N2474" s="8" t="b">
        <f>AND(TrafficData[[#This Row],[disposedChallan]]&lt;=TrafficData[[#This Row],[totalChallan]],TrafficData[[#This Row],[pendingChallan]]&lt;=TrafficData[[#This Row],[totalChallan]])</f>
        <v>1</v>
      </c>
      <c r="O2474" s="8" t="b">
        <f>AND(TrafficData[[#This Row],[pendingAmount]]&lt;=TrafficData[[#This Row],[totalAmount]],TrafficData[[#This Row],[disposedAmount]]&lt;=TrafficData[[#This Row],[totalAmount]])</f>
        <v>1</v>
      </c>
      <c r="P2474" s="8" t="b">
        <f>AND(TrafficData[[#This Row],[pendingCourt]]&lt;=TrafficData[[#This Row],[totalCourt]],TrafficData[[#This Row],[disposedCourt]]&lt;=TrafficData[[#This Row],[totalCourt]])</f>
        <v>1</v>
      </c>
    </row>
    <row r="2475" spans="1:16">
      <c r="A2475" s="1">
        <v>44479</v>
      </c>
      <c r="B2475">
        <v>102398</v>
      </c>
      <c r="C2475">
        <v>49482</v>
      </c>
      <c r="D2475">
        <v>52916</v>
      </c>
      <c r="E2475">
        <v>54777513</v>
      </c>
      <c r="F2475">
        <v>56246844</v>
      </c>
      <c r="G2475">
        <v>111024357</v>
      </c>
      <c r="H2475">
        <v>25197</v>
      </c>
      <c r="I2475">
        <v>8385</v>
      </c>
      <c r="J2475">
        <v>33582</v>
      </c>
      <c r="K2475" t="b">
        <f>TrafficData[[#This Row],[disposedChallan]]+TrafficData[[#This Row],[pendingChallan]]=TrafficData[[#This Row],[totalChallan]]</f>
        <v>1</v>
      </c>
      <c r="L2475" t="b">
        <f>TrafficData[[#This Row],[pendingAmount]]+TrafficData[[#This Row],[disposedAmount]]=TrafficData[[#This Row],[totalAmount]]</f>
        <v>1</v>
      </c>
      <c r="M2475" t="b">
        <f>TrafficData[[#This Row],[pendingCourt]]+TrafficData[[#This Row],[disposedCourt]]=TrafficData[[#This Row],[totalCourt]]</f>
        <v>1</v>
      </c>
      <c r="N2475" s="8" t="b">
        <f>AND(TrafficData[[#This Row],[disposedChallan]]&lt;=TrafficData[[#This Row],[totalChallan]],TrafficData[[#This Row],[pendingChallan]]&lt;=TrafficData[[#This Row],[totalChallan]])</f>
        <v>1</v>
      </c>
      <c r="O2475" s="8" t="b">
        <f>AND(TrafficData[[#This Row],[pendingAmount]]&lt;=TrafficData[[#This Row],[totalAmount]],TrafficData[[#This Row],[disposedAmount]]&lt;=TrafficData[[#This Row],[totalAmount]])</f>
        <v>1</v>
      </c>
      <c r="P2475" s="8" t="b">
        <f>AND(TrafficData[[#This Row],[pendingCourt]]&lt;=TrafficData[[#This Row],[totalCourt]],TrafficData[[#This Row],[disposedCourt]]&lt;=TrafficData[[#This Row],[totalCourt]])</f>
        <v>1</v>
      </c>
    </row>
    <row r="2476" spans="1:16">
      <c r="A2476" s="1">
        <v>44480</v>
      </c>
      <c r="B2476">
        <v>114325</v>
      </c>
      <c r="C2476">
        <v>56088</v>
      </c>
      <c r="D2476">
        <v>58237</v>
      </c>
      <c r="E2476">
        <v>72406315</v>
      </c>
      <c r="F2476">
        <v>66191752</v>
      </c>
      <c r="G2476">
        <v>138598067</v>
      </c>
      <c r="H2476">
        <v>29667</v>
      </c>
      <c r="I2476">
        <v>10426</v>
      </c>
      <c r="J2476">
        <v>40093</v>
      </c>
      <c r="K2476" t="b">
        <f>TrafficData[[#This Row],[disposedChallan]]+TrafficData[[#This Row],[pendingChallan]]=TrafficData[[#This Row],[totalChallan]]</f>
        <v>1</v>
      </c>
      <c r="L2476" t="b">
        <f>TrafficData[[#This Row],[pendingAmount]]+TrafficData[[#This Row],[disposedAmount]]=TrafficData[[#This Row],[totalAmount]]</f>
        <v>1</v>
      </c>
      <c r="M2476" t="b">
        <f>TrafficData[[#This Row],[pendingCourt]]+TrafficData[[#This Row],[disposedCourt]]=TrafficData[[#This Row],[totalCourt]]</f>
        <v>1</v>
      </c>
      <c r="N2476" s="8" t="b">
        <f>AND(TrafficData[[#This Row],[disposedChallan]]&lt;=TrafficData[[#This Row],[totalChallan]],TrafficData[[#This Row],[pendingChallan]]&lt;=TrafficData[[#This Row],[totalChallan]])</f>
        <v>1</v>
      </c>
      <c r="O2476" s="8" t="b">
        <f>AND(TrafficData[[#This Row],[pendingAmount]]&lt;=TrafficData[[#This Row],[totalAmount]],TrafficData[[#This Row],[disposedAmount]]&lt;=TrafficData[[#This Row],[totalAmount]])</f>
        <v>1</v>
      </c>
      <c r="P2476" s="8" t="b">
        <f>AND(TrafficData[[#This Row],[pendingCourt]]&lt;=TrafficData[[#This Row],[totalCourt]],TrafficData[[#This Row],[disposedCourt]]&lt;=TrafficData[[#This Row],[totalCourt]])</f>
        <v>1</v>
      </c>
    </row>
    <row r="2477" spans="1:16">
      <c r="A2477" s="1">
        <v>44481</v>
      </c>
      <c r="B2477">
        <v>100366</v>
      </c>
      <c r="C2477">
        <v>51293</v>
      </c>
      <c r="D2477">
        <v>49073</v>
      </c>
      <c r="E2477">
        <v>66308123</v>
      </c>
      <c r="F2477">
        <v>70345154</v>
      </c>
      <c r="G2477">
        <v>136653277</v>
      </c>
      <c r="H2477">
        <v>28853</v>
      </c>
      <c r="I2477">
        <v>9757</v>
      </c>
      <c r="J2477">
        <v>38610</v>
      </c>
      <c r="K2477" t="b">
        <f>TrafficData[[#This Row],[disposedChallan]]+TrafficData[[#This Row],[pendingChallan]]=TrafficData[[#This Row],[totalChallan]]</f>
        <v>1</v>
      </c>
      <c r="L2477" t="b">
        <f>TrafficData[[#This Row],[pendingAmount]]+TrafficData[[#This Row],[disposedAmount]]=TrafficData[[#This Row],[totalAmount]]</f>
        <v>1</v>
      </c>
      <c r="M2477" t="b">
        <f>TrafficData[[#This Row],[pendingCourt]]+TrafficData[[#This Row],[disposedCourt]]=TrafficData[[#This Row],[totalCourt]]</f>
        <v>1</v>
      </c>
      <c r="N2477" s="8" t="b">
        <f>AND(TrafficData[[#This Row],[disposedChallan]]&lt;=TrafficData[[#This Row],[totalChallan]],TrafficData[[#This Row],[pendingChallan]]&lt;=TrafficData[[#This Row],[totalChallan]])</f>
        <v>1</v>
      </c>
      <c r="O2477" s="8" t="b">
        <f>AND(TrafficData[[#This Row],[pendingAmount]]&lt;=TrafficData[[#This Row],[totalAmount]],TrafficData[[#This Row],[disposedAmount]]&lt;=TrafficData[[#This Row],[totalAmount]])</f>
        <v>1</v>
      </c>
      <c r="P2477" s="8" t="b">
        <f>AND(TrafficData[[#This Row],[pendingCourt]]&lt;=TrafficData[[#This Row],[totalCourt]],TrafficData[[#This Row],[disposedCourt]]&lt;=TrafficData[[#This Row],[totalCourt]])</f>
        <v>1</v>
      </c>
    </row>
    <row r="2478" spans="1:16">
      <c r="A2478" s="1">
        <v>44482</v>
      </c>
      <c r="B2478">
        <v>112817</v>
      </c>
      <c r="C2478">
        <v>57579</v>
      </c>
      <c r="D2478">
        <v>55238</v>
      </c>
      <c r="E2478">
        <v>71137364</v>
      </c>
      <c r="F2478">
        <v>71137293</v>
      </c>
      <c r="G2478">
        <v>142274657</v>
      </c>
      <c r="H2478">
        <v>28786</v>
      </c>
      <c r="I2478">
        <v>9870</v>
      </c>
      <c r="J2478">
        <v>38656</v>
      </c>
      <c r="K2478" t="b">
        <f>TrafficData[[#This Row],[disposedChallan]]+TrafficData[[#This Row],[pendingChallan]]=TrafficData[[#This Row],[totalChallan]]</f>
        <v>1</v>
      </c>
      <c r="L2478" t="b">
        <f>TrafficData[[#This Row],[pendingAmount]]+TrafficData[[#This Row],[disposedAmount]]=TrafficData[[#This Row],[totalAmount]]</f>
        <v>1</v>
      </c>
      <c r="M2478" t="b">
        <f>TrafficData[[#This Row],[pendingCourt]]+TrafficData[[#This Row],[disposedCourt]]=TrafficData[[#This Row],[totalCourt]]</f>
        <v>1</v>
      </c>
      <c r="N2478" s="8" t="b">
        <f>AND(TrafficData[[#This Row],[disposedChallan]]&lt;=TrafficData[[#This Row],[totalChallan]],TrafficData[[#This Row],[pendingChallan]]&lt;=TrafficData[[#This Row],[totalChallan]])</f>
        <v>1</v>
      </c>
      <c r="O2478" s="8" t="b">
        <f>AND(TrafficData[[#This Row],[pendingAmount]]&lt;=TrafficData[[#This Row],[totalAmount]],TrafficData[[#This Row],[disposedAmount]]&lt;=TrafficData[[#This Row],[totalAmount]])</f>
        <v>1</v>
      </c>
      <c r="P2478" s="8" t="b">
        <f>AND(TrafficData[[#This Row],[pendingCourt]]&lt;=TrafficData[[#This Row],[totalCourt]],TrafficData[[#This Row],[disposedCourt]]&lt;=TrafficData[[#This Row],[totalCourt]])</f>
        <v>1</v>
      </c>
    </row>
    <row r="2479" spans="1:16">
      <c r="A2479" s="1">
        <v>44483</v>
      </c>
      <c r="B2479">
        <v>102559</v>
      </c>
      <c r="C2479">
        <v>50662</v>
      </c>
      <c r="D2479">
        <v>51897</v>
      </c>
      <c r="E2479">
        <v>63515405</v>
      </c>
      <c r="F2479">
        <v>59543167</v>
      </c>
      <c r="G2479">
        <v>123058572</v>
      </c>
      <c r="H2479">
        <v>26134</v>
      </c>
      <c r="I2479">
        <v>9240</v>
      </c>
      <c r="J2479">
        <v>35374</v>
      </c>
      <c r="K2479" t="b">
        <f>TrafficData[[#This Row],[disposedChallan]]+TrafficData[[#This Row],[pendingChallan]]=TrafficData[[#This Row],[totalChallan]]</f>
        <v>1</v>
      </c>
      <c r="L2479" t="b">
        <f>TrafficData[[#This Row],[pendingAmount]]+TrafficData[[#This Row],[disposedAmount]]=TrafficData[[#This Row],[totalAmount]]</f>
        <v>1</v>
      </c>
      <c r="M2479" t="b">
        <f>TrafficData[[#This Row],[pendingCourt]]+TrafficData[[#This Row],[disposedCourt]]=TrafficData[[#This Row],[totalCourt]]</f>
        <v>1</v>
      </c>
      <c r="N2479" s="8" t="b">
        <f>AND(TrafficData[[#This Row],[disposedChallan]]&lt;=TrafficData[[#This Row],[totalChallan]],TrafficData[[#This Row],[pendingChallan]]&lt;=TrafficData[[#This Row],[totalChallan]])</f>
        <v>1</v>
      </c>
      <c r="O2479" s="8" t="b">
        <f>AND(TrafficData[[#This Row],[pendingAmount]]&lt;=TrafficData[[#This Row],[totalAmount]],TrafficData[[#This Row],[disposedAmount]]&lt;=TrafficData[[#This Row],[totalAmount]])</f>
        <v>1</v>
      </c>
      <c r="P2479" s="8" t="b">
        <f>AND(TrafficData[[#This Row],[pendingCourt]]&lt;=TrafficData[[#This Row],[totalCourt]],TrafficData[[#This Row],[disposedCourt]]&lt;=TrafficData[[#This Row],[totalCourt]])</f>
        <v>1</v>
      </c>
    </row>
    <row r="2480" spans="1:16">
      <c r="A2480" s="1">
        <v>44484</v>
      </c>
      <c r="B2480">
        <v>103629</v>
      </c>
      <c r="C2480">
        <v>49502</v>
      </c>
      <c r="D2480">
        <v>54127</v>
      </c>
      <c r="E2480">
        <v>58565645</v>
      </c>
      <c r="F2480">
        <v>47914029</v>
      </c>
      <c r="G2480">
        <v>106479674</v>
      </c>
      <c r="H2480">
        <v>24452</v>
      </c>
      <c r="I2480">
        <v>8875</v>
      </c>
      <c r="J2480">
        <v>33327</v>
      </c>
      <c r="K2480" t="b">
        <f>TrafficData[[#This Row],[disposedChallan]]+TrafficData[[#This Row],[pendingChallan]]=TrafficData[[#This Row],[totalChallan]]</f>
        <v>1</v>
      </c>
      <c r="L2480" t="b">
        <f>TrafficData[[#This Row],[pendingAmount]]+TrafficData[[#This Row],[disposedAmount]]=TrafficData[[#This Row],[totalAmount]]</f>
        <v>1</v>
      </c>
      <c r="M2480" t="b">
        <f>TrafficData[[#This Row],[pendingCourt]]+TrafficData[[#This Row],[disposedCourt]]=TrafficData[[#This Row],[totalCourt]]</f>
        <v>1</v>
      </c>
      <c r="N2480" s="8" t="b">
        <f>AND(TrafficData[[#This Row],[disposedChallan]]&lt;=TrafficData[[#This Row],[totalChallan]],TrafficData[[#This Row],[pendingChallan]]&lt;=TrafficData[[#This Row],[totalChallan]])</f>
        <v>1</v>
      </c>
      <c r="O2480" s="8" t="b">
        <f>AND(TrafficData[[#This Row],[pendingAmount]]&lt;=TrafficData[[#This Row],[totalAmount]],TrafficData[[#This Row],[disposedAmount]]&lt;=TrafficData[[#This Row],[totalAmount]])</f>
        <v>1</v>
      </c>
      <c r="P2480" s="8" t="b">
        <f>AND(TrafficData[[#This Row],[pendingCourt]]&lt;=TrafficData[[#This Row],[totalCourt]],TrafficData[[#This Row],[disposedCourt]]&lt;=TrafficData[[#This Row],[totalCourt]])</f>
        <v>1</v>
      </c>
    </row>
    <row r="2481" spans="1:16">
      <c r="A2481" s="1">
        <v>44485</v>
      </c>
      <c r="B2481">
        <v>106404</v>
      </c>
      <c r="C2481">
        <v>52218</v>
      </c>
      <c r="D2481">
        <v>54186</v>
      </c>
      <c r="E2481">
        <v>62856230</v>
      </c>
      <c r="F2481">
        <v>53269042</v>
      </c>
      <c r="G2481">
        <v>116125272</v>
      </c>
      <c r="H2481">
        <v>25729</v>
      </c>
      <c r="I2481">
        <v>9354</v>
      </c>
      <c r="J2481">
        <v>35083</v>
      </c>
      <c r="K2481" t="b">
        <f>TrafficData[[#This Row],[disposedChallan]]+TrafficData[[#This Row],[pendingChallan]]=TrafficData[[#This Row],[totalChallan]]</f>
        <v>1</v>
      </c>
      <c r="L2481" t="b">
        <f>TrafficData[[#This Row],[pendingAmount]]+TrafficData[[#This Row],[disposedAmount]]=TrafficData[[#This Row],[totalAmount]]</f>
        <v>1</v>
      </c>
      <c r="M2481" t="b">
        <f>TrafficData[[#This Row],[pendingCourt]]+TrafficData[[#This Row],[disposedCourt]]=TrafficData[[#This Row],[totalCourt]]</f>
        <v>1</v>
      </c>
      <c r="N2481" s="8" t="b">
        <f>AND(TrafficData[[#This Row],[disposedChallan]]&lt;=TrafficData[[#This Row],[totalChallan]],TrafficData[[#This Row],[pendingChallan]]&lt;=TrafficData[[#This Row],[totalChallan]])</f>
        <v>1</v>
      </c>
      <c r="O2481" s="8" t="b">
        <f>AND(TrafficData[[#This Row],[pendingAmount]]&lt;=TrafficData[[#This Row],[totalAmount]],TrafficData[[#This Row],[disposedAmount]]&lt;=TrafficData[[#This Row],[totalAmount]])</f>
        <v>1</v>
      </c>
      <c r="P2481" s="8" t="b">
        <f>AND(TrafficData[[#This Row],[pendingCourt]]&lt;=TrafficData[[#This Row],[totalCourt]],TrafficData[[#This Row],[disposedCourt]]&lt;=TrafficData[[#This Row],[totalCourt]])</f>
        <v>1</v>
      </c>
    </row>
    <row r="2482" spans="1:16">
      <c r="A2482" s="1">
        <v>44486</v>
      </c>
      <c r="B2482">
        <v>102164</v>
      </c>
      <c r="C2482">
        <v>47524</v>
      </c>
      <c r="D2482">
        <v>54640</v>
      </c>
      <c r="E2482">
        <v>50497481</v>
      </c>
      <c r="F2482">
        <v>51534580</v>
      </c>
      <c r="G2482">
        <v>102032061</v>
      </c>
      <c r="H2482">
        <v>23030</v>
      </c>
      <c r="I2482">
        <v>7707</v>
      </c>
      <c r="J2482">
        <v>30737</v>
      </c>
      <c r="K2482" t="b">
        <f>TrafficData[[#This Row],[disposedChallan]]+TrafficData[[#This Row],[pendingChallan]]=TrafficData[[#This Row],[totalChallan]]</f>
        <v>1</v>
      </c>
      <c r="L2482" t="b">
        <f>TrafficData[[#This Row],[pendingAmount]]+TrafficData[[#This Row],[disposedAmount]]=TrafficData[[#This Row],[totalAmount]]</f>
        <v>1</v>
      </c>
      <c r="M2482" t="b">
        <f>TrafficData[[#This Row],[pendingCourt]]+TrafficData[[#This Row],[disposedCourt]]=TrafficData[[#This Row],[totalCourt]]</f>
        <v>1</v>
      </c>
      <c r="N2482" s="8" t="b">
        <f>AND(TrafficData[[#This Row],[disposedChallan]]&lt;=TrafficData[[#This Row],[totalChallan]],TrafficData[[#This Row],[pendingChallan]]&lt;=TrafficData[[#This Row],[totalChallan]])</f>
        <v>1</v>
      </c>
      <c r="O2482" s="8" t="b">
        <f>AND(TrafficData[[#This Row],[pendingAmount]]&lt;=TrafficData[[#This Row],[totalAmount]],TrafficData[[#This Row],[disposedAmount]]&lt;=TrafficData[[#This Row],[totalAmount]])</f>
        <v>1</v>
      </c>
      <c r="P2482" s="8" t="b">
        <f>AND(TrafficData[[#This Row],[pendingCourt]]&lt;=TrafficData[[#This Row],[totalCourt]],TrafficData[[#This Row],[disposedCourt]]&lt;=TrafficData[[#This Row],[totalCourt]])</f>
        <v>1</v>
      </c>
    </row>
    <row r="2483" spans="1:16">
      <c r="A2483" s="1">
        <v>44487</v>
      </c>
      <c r="B2483">
        <v>109370</v>
      </c>
      <c r="C2483">
        <v>54768</v>
      </c>
      <c r="D2483">
        <v>54602</v>
      </c>
      <c r="E2483">
        <v>60423765</v>
      </c>
      <c r="F2483">
        <v>61148954</v>
      </c>
      <c r="G2483">
        <v>121572719</v>
      </c>
      <c r="H2483">
        <v>24002</v>
      </c>
      <c r="I2483">
        <v>8539</v>
      </c>
      <c r="J2483">
        <v>32541</v>
      </c>
      <c r="K2483" t="b">
        <f>TrafficData[[#This Row],[disposedChallan]]+TrafficData[[#This Row],[pendingChallan]]=TrafficData[[#This Row],[totalChallan]]</f>
        <v>1</v>
      </c>
      <c r="L2483" t="b">
        <f>TrafficData[[#This Row],[pendingAmount]]+TrafficData[[#This Row],[disposedAmount]]=TrafficData[[#This Row],[totalAmount]]</f>
        <v>1</v>
      </c>
      <c r="M2483" t="b">
        <f>TrafficData[[#This Row],[pendingCourt]]+TrafficData[[#This Row],[disposedCourt]]=TrafficData[[#This Row],[totalCourt]]</f>
        <v>1</v>
      </c>
      <c r="N2483" s="8" t="b">
        <f>AND(TrafficData[[#This Row],[disposedChallan]]&lt;=TrafficData[[#This Row],[totalChallan]],TrafficData[[#This Row],[pendingChallan]]&lt;=TrafficData[[#This Row],[totalChallan]])</f>
        <v>1</v>
      </c>
      <c r="O2483" s="8" t="b">
        <f>AND(TrafficData[[#This Row],[pendingAmount]]&lt;=TrafficData[[#This Row],[totalAmount]],TrafficData[[#This Row],[disposedAmount]]&lt;=TrafficData[[#This Row],[totalAmount]])</f>
        <v>1</v>
      </c>
      <c r="P2483" s="8" t="b">
        <f>AND(TrafficData[[#This Row],[pendingCourt]]&lt;=TrafficData[[#This Row],[totalCourt]],TrafficData[[#This Row],[disposedCourt]]&lt;=TrafficData[[#This Row],[totalCourt]])</f>
        <v>1</v>
      </c>
    </row>
    <row r="2484" spans="1:16">
      <c r="A2484" s="1">
        <v>44488</v>
      </c>
      <c r="B2484">
        <v>115771</v>
      </c>
      <c r="C2484">
        <v>57813</v>
      </c>
      <c r="D2484">
        <v>57958</v>
      </c>
      <c r="E2484">
        <v>64295692</v>
      </c>
      <c r="F2484">
        <v>64807064</v>
      </c>
      <c r="G2484">
        <v>129102756</v>
      </c>
      <c r="H2484">
        <v>17229</v>
      </c>
      <c r="I2484">
        <v>9135</v>
      </c>
      <c r="J2484">
        <v>26364</v>
      </c>
      <c r="K2484" t="b">
        <f>TrafficData[[#This Row],[disposedChallan]]+TrafficData[[#This Row],[pendingChallan]]=TrafficData[[#This Row],[totalChallan]]</f>
        <v>1</v>
      </c>
      <c r="L2484" t="b">
        <f>TrafficData[[#This Row],[pendingAmount]]+TrafficData[[#This Row],[disposedAmount]]=TrafficData[[#This Row],[totalAmount]]</f>
        <v>1</v>
      </c>
      <c r="M2484" t="b">
        <f>TrafficData[[#This Row],[pendingCourt]]+TrafficData[[#This Row],[disposedCourt]]=TrafficData[[#This Row],[totalCourt]]</f>
        <v>1</v>
      </c>
      <c r="N2484" s="8" t="b">
        <f>AND(TrafficData[[#This Row],[disposedChallan]]&lt;=TrafficData[[#This Row],[totalChallan]],TrafficData[[#This Row],[pendingChallan]]&lt;=TrafficData[[#This Row],[totalChallan]])</f>
        <v>1</v>
      </c>
      <c r="O2484" s="8" t="b">
        <f>AND(TrafficData[[#This Row],[pendingAmount]]&lt;=TrafficData[[#This Row],[totalAmount]],TrafficData[[#This Row],[disposedAmount]]&lt;=TrafficData[[#This Row],[totalAmount]])</f>
        <v>1</v>
      </c>
      <c r="P2484" s="8" t="b">
        <f>AND(TrafficData[[#This Row],[pendingCourt]]&lt;=TrafficData[[#This Row],[totalCourt]],TrafficData[[#This Row],[disposedCourt]]&lt;=TrafficData[[#This Row],[totalCourt]])</f>
        <v>1</v>
      </c>
    </row>
    <row r="2485" spans="1:16">
      <c r="A2485" s="1">
        <v>44489</v>
      </c>
      <c r="B2485">
        <v>114528</v>
      </c>
      <c r="C2485">
        <v>57702</v>
      </c>
      <c r="D2485">
        <v>56826</v>
      </c>
      <c r="E2485">
        <v>71356667</v>
      </c>
      <c r="F2485">
        <v>69276132</v>
      </c>
      <c r="G2485">
        <v>140632799</v>
      </c>
      <c r="H2485">
        <v>27187</v>
      </c>
      <c r="I2485">
        <v>9253</v>
      </c>
      <c r="J2485">
        <v>36440</v>
      </c>
      <c r="K2485" t="b">
        <f>TrafficData[[#This Row],[disposedChallan]]+TrafficData[[#This Row],[pendingChallan]]=TrafficData[[#This Row],[totalChallan]]</f>
        <v>1</v>
      </c>
      <c r="L2485" t="b">
        <f>TrafficData[[#This Row],[pendingAmount]]+TrafficData[[#This Row],[disposedAmount]]=TrafficData[[#This Row],[totalAmount]]</f>
        <v>1</v>
      </c>
      <c r="M2485" t="b">
        <f>TrafficData[[#This Row],[pendingCourt]]+TrafficData[[#This Row],[disposedCourt]]=TrafficData[[#This Row],[totalCourt]]</f>
        <v>1</v>
      </c>
      <c r="N2485" s="8" t="b">
        <f>AND(TrafficData[[#This Row],[disposedChallan]]&lt;=TrafficData[[#This Row],[totalChallan]],TrafficData[[#This Row],[pendingChallan]]&lt;=TrafficData[[#This Row],[totalChallan]])</f>
        <v>1</v>
      </c>
      <c r="O2485" s="8" t="b">
        <f>AND(TrafficData[[#This Row],[pendingAmount]]&lt;=TrafficData[[#This Row],[totalAmount]],TrafficData[[#This Row],[disposedAmount]]&lt;=TrafficData[[#This Row],[totalAmount]])</f>
        <v>1</v>
      </c>
      <c r="P2485" s="8" t="b">
        <f>AND(TrafficData[[#This Row],[pendingCourt]]&lt;=TrafficData[[#This Row],[totalCourt]],TrafficData[[#This Row],[disposedCourt]]&lt;=TrafficData[[#This Row],[totalCourt]])</f>
        <v>1</v>
      </c>
    </row>
    <row r="2486" spans="1:16">
      <c r="A2486" s="1">
        <v>44490</v>
      </c>
      <c r="B2486">
        <v>119047</v>
      </c>
      <c r="C2486">
        <v>58572</v>
      </c>
      <c r="D2486">
        <v>60475</v>
      </c>
      <c r="E2486">
        <v>74962594</v>
      </c>
      <c r="F2486">
        <v>72341421</v>
      </c>
      <c r="G2486">
        <v>147304015</v>
      </c>
      <c r="H2486">
        <v>29597</v>
      </c>
      <c r="I2486">
        <v>9591</v>
      </c>
      <c r="J2486">
        <v>39188</v>
      </c>
      <c r="K2486" t="b">
        <f>TrafficData[[#This Row],[disposedChallan]]+TrafficData[[#This Row],[pendingChallan]]=TrafficData[[#This Row],[totalChallan]]</f>
        <v>1</v>
      </c>
      <c r="L2486" t="b">
        <f>TrafficData[[#This Row],[pendingAmount]]+TrafficData[[#This Row],[disposedAmount]]=TrafficData[[#This Row],[totalAmount]]</f>
        <v>1</v>
      </c>
      <c r="M2486" t="b">
        <f>TrafficData[[#This Row],[pendingCourt]]+TrafficData[[#This Row],[disposedCourt]]=TrafficData[[#This Row],[totalCourt]]</f>
        <v>1</v>
      </c>
      <c r="N2486" s="8" t="b">
        <f>AND(TrafficData[[#This Row],[disposedChallan]]&lt;=TrafficData[[#This Row],[totalChallan]],TrafficData[[#This Row],[pendingChallan]]&lt;=TrafficData[[#This Row],[totalChallan]])</f>
        <v>1</v>
      </c>
      <c r="O2486" s="8" t="b">
        <f>AND(TrafficData[[#This Row],[pendingAmount]]&lt;=TrafficData[[#This Row],[totalAmount]],TrafficData[[#This Row],[disposedAmount]]&lt;=TrafficData[[#This Row],[totalAmount]])</f>
        <v>1</v>
      </c>
      <c r="P2486" s="8" t="b">
        <f>AND(TrafficData[[#This Row],[pendingCourt]]&lt;=TrafficData[[#This Row],[totalCourt]],TrafficData[[#This Row],[disposedCourt]]&lt;=TrafficData[[#This Row],[totalCourt]])</f>
        <v>1</v>
      </c>
    </row>
    <row r="2487" spans="1:16">
      <c r="A2487" s="1">
        <v>44491</v>
      </c>
      <c r="B2487">
        <v>115657</v>
      </c>
      <c r="C2487">
        <v>58535</v>
      </c>
      <c r="D2487">
        <v>57122</v>
      </c>
      <c r="E2487">
        <v>78458991</v>
      </c>
      <c r="F2487">
        <v>75152599</v>
      </c>
      <c r="G2487">
        <v>153611590</v>
      </c>
      <c r="H2487">
        <v>27866</v>
      </c>
      <c r="I2487">
        <v>9287</v>
      </c>
      <c r="J2487">
        <v>37153</v>
      </c>
      <c r="K2487" t="b">
        <f>TrafficData[[#This Row],[disposedChallan]]+TrafficData[[#This Row],[pendingChallan]]=TrafficData[[#This Row],[totalChallan]]</f>
        <v>1</v>
      </c>
      <c r="L2487" t="b">
        <f>TrafficData[[#This Row],[pendingAmount]]+TrafficData[[#This Row],[disposedAmount]]=TrafficData[[#This Row],[totalAmount]]</f>
        <v>1</v>
      </c>
      <c r="M2487" t="b">
        <f>TrafficData[[#This Row],[pendingCourt]]+TrafficData[[#This Row],[disposedCourt]]=TrafficData[[#This Row],[totalCourt]]</f>
        <v>1</v>
      </c>
      <c r="N2487" s="8" t="b">
        <f>AND(TrafficData[[#This Row],[disposedChallan]]&lt;=TrafficData[[#This Row],[totalChallan]],TrafficData[[#This Row],[pendingChallan]]&lt;=TrafficData[[#This Row],[totalChallan]])</f>
        <v>1</v>
      </c>
      <c r="O2487" s="8" t="b">
        <f>AND(TrafficData[[#This Row],[pendingAmount]]&lt;=TrafficData[[#This Row],[totalAmount]],TrafficData[[#This Row],[disposedAmount]]&lt;=TrafficData[[#This Row],[totalAmount]])</f>
        <v>1</v>
      </c>
      <c r="P2487" s="8" t="b">
        <f>AND(TrafficData[[#This Row],[pendingCourt]]&lt;=TrafficData[[#This Row],[totalCourt]],TrafficData[[#This Row],[disposedCourt]]&lt;=TrafficData[[#This Row],[totalCourt]])</f>
        <v>1</v>
      </c>
    </row>
    <row r="2488" spans="1:16">
      <c r="A2488" s="1">
        <v>44492</v>
      </c>
      <c r="B2488">
        <v>117272</v>
      </c>
      <c r="C2488">
        <v>58272</v>
      </c>
      <c r="D2488">
        <v>59000</v>
      </c>
      <c r="E2488">
        <v>79152489</v>
      </c>
      <c r="F2488">
        <v>72436582</v>
      </c>
      <c r="G2488">
        <v>151589071</v>
      </c>
      <c r="H2488">
        <v>27967</v>
      </c>
      <c r="I2488">
        <v>9644</v>
      </c>
      <c r="J2488">
        <v>37611</v>
      </c>
      <c r="K2488" t="b">
        <f>TrafficData[[#This Row],[disposedChallan]]+TrafficData[[#This Row],[pendingChallan]]=TrafficData[[#This Row],[totalChallan]]</f>
        <v>1</v>
      </c>
      <c r="L2488" t="b">
        <f>TrafficData[[#This Row],[pendingAmount]]+TrafficData[[#This Row],[disposedAmount]]=TrafficData[[#This Row],[totalAmount]]</f>
        <v>1</v>
      </c>
      <c r="M2488" t="b">
        <f>TrafficData[[#This Row],[pendingCourt]]+TrafficData[[#This Row],[disposedCourt]]=TrafficData[[#This Row],[totalCourt]]</f>
        <v>1</v>
      </c>
      <c r="N2488" s="8" t="b">
        <f>AND(TrafficData[[#This Row],[disposedChallan]]&lt;=TrafficData[[#This Row],[totalChallan]],TrafficData[[#This Row],[pendingChallan]]&lt;=TrafficData[[#This Row],[totalChallan]])</f>
        <v>1</v>
      </c>
      <c r="O2488" s="8" t="b">
        <f>AND(TrafficData[[#This Row],[pendingAmount]]&lt;=TrafficData[[#This Row],[totalAmount]],TrafficData[[#This Row],[disposedAmount]]&lt;=TrafficData[[#This Row],[totalAmount]])</f>
        <v>1</v>
      </c>
      <c r="P2488" s="8" t="b">
        <f>AND(TrafficData[[#This Row],[pendingCourt]]&lt;=TrafficData[[#This Row],[totalCourt]],TrafficData[[#This Row],[disposedCourt]]&lt;=TrafficData[[#This Row],[totalCourt]])</f>
        <v>1</v>
      </c>
    </row>
    <row r="2489" spans="1:16">
      <c r="A2489" s="1">
        <v>44493</v>
      </c>
      <c r="B2489">
        <v>95024</v>
      </c>
      <c r="C2489">
        <v>44580</v>
      </c>
      <c r="D2489">
        <v>50444</v>
      </c>
      <c r="E2489">
        <v>52180770</v>
      </c>
      <c r="F2489">
        <v>46965014</v>
      </c>
      <c r="G2489">
        <v>99145784</v>
      </c>
      <c r="H2489">
        <v>20614</v>
      </c>
      <c r="I2489">
        <v>7015</v>
      </c>
      <c r="J2489">
        <v>27629</v>
      </c>
      <c r="K2489" t="b">
        <f>TrafficData[[#This Row],[disposedChallan]]+TrafficData[[#This Row],[pendingChallan]]=TrafficData[[#This Row],[totalChallan]]</f>
        <v>1</v>
      </c>
      <c r="L2489" t="b">
        <f>TrafficData[[#This Row],[pendingAmount]]+TrafficData[[#This Row],[disposedAmount]]=TrafficData[[#This Row],[totalAmount]]</f>
        <v>1</v>
      </c>
      <c r="M2489" t="b">
        <f>TrafficData[[#This Row],[pendingCourt]]+TrafficData[[#This Row],[disposedCourt]]=TrafficData[[#This Row],[totalCourt]]</f>
        <v>1</v>
      </c>
      <c r="N2489" s="8" t="b">
        <f>AND(TrafficData[[#This Row],[disposedChallan]]&lt;=TrafficData[[#This Row],[totalChallan]],TrafficData[[#This Row],[pendingChallan]]&lt;=TrafficData[[#This Row],[totalChallan]])</f>
        <v>1</v>
      </c>
      <c r="O2489" s="8" t="b">
        <f>AND(TrafficData[[#This Row],[pendingAmount]]&lt;=TrafficData[[#This Row],[totalAmount]],TrafficData[[#This Row],[disposedAmount]]&lt;=TrafficData[[#This Row],[totalAmount]])</f>
        <v>1</v>
      </c>
      <c r="P2489" s="8" t="b">
        <f>AND(TrafficData[[#This Row],[pendingCourt]]&lt;=TrafficData[[#This Row],[totalCourt]],TrafficData[[#This Row],[disposedCourt]]&lt;=TrafficData[[#This Row],[totalCourt]])</f>
        <v>1</v>
      </c>
    </row>
    <row r="2490" spans="1:16">
      <c r="A2490" s="1">
        <v>44494</v>
      </c>
      <c r="B2490">
        <v>113387</v>
      </c>
      <c r="C2490">
        <v>56116</v>
      </c>
      <c r="D2490">
        <v>57271</v>
      </c>
      <c r="E2490">
        <v>68079322</v>
      </c>
      <c r="F2490">
        <v>59922156</v>
      </c>
      <c r="G2490">
        <v>128001478</v>
      </c>
      <c r="H2490">
        <v>24332</v>
      </c>
      <c r="I2490">
        <v>8353</v>
      </c>
      <c r="J2490">
        <v>32685</v>
      </c>
      <c r="K2490" t="b">
        <f>TrafficData[[#This Row],[disposedChallan]]+TrafficData[[#This Row],[pendingChallan]]=TrafficData[[#This Row],[totalChallan]]</f>
        <v>1</v>
      </c>
      <c r="L2490" t="b">
        <f>TrafficData[[#This Row],[pendingAmount]]+TrafficData[[#This Row],[disposedAmount]]=TrafficData[[#This Row],[totalAmount]]</f>
        <v>1</v>
      </c>
      <c r="M2490" t="b">
        <f>TrafficData[[#This Row],[pendingCourt]]+TrafficData[[#This Row],[disposedCourt]]=TrafficData[[#This Row],[totalCourt]]</f>
        <v>1</v>
      </c>
      <c r="N2490" s="8" t="b">
        <f>AND(TrafficData[[#This Row],[disposedChallan]]&lt;=TrafficData[[#This Row],[totalChallan]],TrafficData[[#This Row],[pendingChallan]]&lt;=TrafficData[[#This Row],[totalChallan]])</f>
        <v>1</v>
      </c>
      <c r="O2490" s="8" t="b">
        <f>AND(TrafficData[[#This Row],[pendingAmount]]&lt;=TrafficData[[#This Row],[totalAmount]],TrafficData[[#This Row],[disposedAmount]]&lt;=TrafficData[[#This Row],[totalAmount]])</f>
        <v>1</v>
      </c>
      <c r="P2490" s="8" t="b">
        <f>AND(TrafficData[[#This Row],[pendingCourt]]&lt;=TrafficData[[#This Row],[totalCourt]],TrafficData[[#This Row],[disposedCourt]]&lt;=TrafficData[[#This Row],[totalCourt]])</f>
        <v>1</v>
      </c>
    </row>
    <row r="2491" spans="1:16">
      <c r="A2491" s="1">
        <v>44495</v>
      </c>
      <c r="B2491">
        <v>113807</v>
      </c>
      <c r="C2491">
        <v>58986</v>
      </c>
      <c r="D2491">
        <v>54821</v>
      </c>
      <c r="E2491">
        <v>73787247</v>
      </c>
      <c r="F2491">
        <v>74161956</v>
      </c>
      <c r="G2491">
        <v>147949203</v>
      </c>
      <c r="H2491">
        <v>26257</v>
      </c>
      <c r="I2491">
        <v>9145</v>
      </c>
      <c r="J2491">
        <v>35402</v>
      </c>
      <c r="K2491" t="b">
        <f>TrafficData[[#This Row],[disposedChallan]]+TrafficData[[#This Row],[pendingChallan]]=TrafficData[[#This Row],[totalChallan]]</f>
        <v>1</v>
      </c>
      <c r="L2491" t="b">
        <f>TrafficData[[#This Row],[pendingAmount]]+TrafficData[[#This Row],[disposedAmount]]=TrafficData[[#This Row],[totalAmount]]</f>
        <v>1</v>
      </c>
      <c r="M2491" t="b">
        <f>TrafficData[[#This Row],[pendingCourt]]+TrafficData[[#This Row],[disposedCourt]]=TrafficData[[#This Row],[totalCourt]]</f>
        <v>1</v>
      </c>
      <c r="N2491" s="8" t="b">
        <f>AND(TrafficData[[#This Row],[disposedChallan]]&lt;=TrafficData[[#This Row],[totalChallan]],TrafficData[[#This Row],[pendingChallan]]&lt;=TrafficData[[#This Row],[totalChallan]])</f>
        <v>1</v>
      </c>
      <c r="O2491" s="8" t="b">
        <f>AND(TrafficData[[#This Row],[pendingAmount]]&lt;=TrafficData[[#This Row],[totalAmount]],TrafficData[[#This Row],[disposedAmount]]&lt;=TrafficData[[#This Row],[totalAmount]])</f>
        <v>1</v>
      </c>
      <c r="P2491" s="8" t="b">
        <f>AND(TrafficData[[#This Row],[pendingCourt]]&lt;=TrafficData[[#This Row],[totalCourt]],TrafficData[[#This Row],[disposedCourt]]&lt;=TrafficData[[#This Row],[totalCourt]])</f>
        <v>1</v>
      </c>
    </row>
    <row r="2492" spans="1:16">
      <c r="A2492" s="1">
        <v>44496</v>
      </c>
      <c r="B2492">
        <v>108578</v>
      </c>
      <c r="C2492">
        <v>55540</v>
      </c>
      <c r="D2492">
        <v>53038</v>
      </c>
      <c r="E2492">
        <v>72758227</v>
      </c>
      <c r="F2492">
        <v>71548896</v>
      </c>
      <c r="G2492">
        <v>144307123</v>
      </c>
      <c r="H2492">
        <v>27346</v>
      </c>
      <c r="I2492">
        <v>9621</v>
      </c>
      <c r="J2492">
        <v>36967</v>
      </c>
      <c r="K2492" t="b">
        <f>TrafficData[[#This Row],[disposedChallan]]+TrafficData[[#This Row],[pendingChallan]]=TrafficData[[#This Row],[totalChallan]]</f>
        <v>1</v>
      </c>
      <c r="L2492" t="b">
        <f>TrafficData[[#This Row],[pendingAmount]]+TrafficData[[#This Row],[disposedAmount]]=TrafficData[[#This Row],[totalAmount]]</f>
        <v>1</v>
      </c>
      <c r="M2492" t="b">
        <f>TrafficData[[#This Row],[pendingCourt]]+TrafficData[[#This Row],[disposedCourt]]=TrafficData[[#This Row],[totalCourt]]</f>
        <v>1</v>
      </c>
      <c r="N2492" s="8" t="b">
        <f>AND(TrafficData[[#This Row],[disposedChallan]]&lt;=TrafficData[[#This Row],[totalChallan]],TrafficData[[#This Row],[pendingChallan]]&lt;=TrafficData[[#This Row],[totalChallan]])</f>
        <v>1</v>
      </c>
      <c r="O2492" s="8" t="b">
        <f>AND(TrafficData[[#This Row],[pendingAmount]]&lt;=TrafficData[[#This Row],[totalAmount]],TrafficData[[#This Row],[disposedAmount]]&lt;=TrafficData[[#This Row],[totalAmount]])</f>
        <v>1</v>
      </c>
      <c r="P2492" s="8" t="b">
        <f>AND(TrafficData[[#This Row],[pendingCourt]]&lt;=TrafficData[[#This Row],[totalCourt]],TrafficData[[#This Row],[disposedCourt]]&lt;=TrafficData[[#This Row],[totalCourt]])</f>
        <v>1</v>
      </c>
    </row>
    <row r="2493" spans="1:16">
      <c r="A2493" s="1">
        <v>44497</v>
      </c>
      <c r="B2493">
        <v>106796</v>
      </c>
      <c r="C2493">
        <v>54199</v>
      </c>
      <c r="D2493">
        <v>52597</v>
      </c>
      <c r="E2493">
        <v>75665546</v>
      </c>
      <c r="F2493">
        <v>69721069</v>
      </c>
      <c r="G2493">
        <v>145386615</v>
      </c>
      <c r="H2493">
        <v>26471</v>
      </c>
      <c r="I2493">
        <v>8926</v>
      </c>
      <c r="J2493">
        <v>35397</v>
      </c>
      <c r="K2493" t="b">
        <f>TrafficData[[#This Row],[disposedChallan]]+TrafficData[[#This Row],[pendingChallan]]=TrafficData[[#This Row],[totalChallan]]</f>
        <v>1</v>
      </c>
      <c r="L2493" t="b">
        <f>TrafficData[[#This Row],[pendingAmount]]+TrafficData[[#This Row],[disposedAmount]]=TrafficData[[#This Row],[totalAmount]]</f>
        <v>1</v>
      </c>
      <c r="M2493" t="b">
        <f>TrafficData[[#This Row],[pendingCourt]]+TrafficData[[#This Row],[disposedCourt]]=TrafficData[[#This Row],[totalCourt]]</f>
        <v>1</v>
      </c>
      <c r="N2493" s="8" t="b">
        <f>AND(TrafficData[[#This Row],[disposedChallan]]&lt;=TrafficData[[#This Row],[totalChallan]],TrafficData[[#This Row],[pendingChallan]]&lt;=TrafficData[[#This Row],[totalChallan]])</f>
        <v>1</v>
      </c>
      <c r="O2493" s="8" t="b">
        <f>AND(TrafficData[[#This Row],[pendingAmount]]&lt;=TrafficData[[#This Row],[totalAmount]],TrafficData[[#This Row],[disposedAmount]]&lt;=TrafficData[[#This Row],[totalAmount]])</f>
        <v>1</v>
      </c>
      <c r="P2493" s="8" t="b">
        <f>AND(TrafficData[[#This Row],[pendingCourt]]&lt;=TrafficData[[#This Row],[totalCourt]],TrafficData[[#This Row],[disposedCourt]]&lt;=TrafficData[[#This Row],[totalCourt]])</f>
        <v>1</v>
      </c>
    </row>
    <row r="2494" spans="1:16">
      <c r="A2494" s="1">
        <v>44498</v>
      </c>
      <c r="B2494">
        <v>111053</v>
      </c>
      <c r="C2494">
        <v>56368</v>
      </c>
      <c r="D2494">
        <v>54685</v>
      </c>
      <c r="E2494">
        <v>73096195</v>
      </c>
      <c r="F2494">
        <v>74371373</v>
      </c>
      <c r="G2494">
        <v>147467568</v>
      </c>
      <c r="H2494">
        <v>28357</v>
      </c>
      <c r="I2494">
        <v>9772</v>
      </c>
      <c r="J2494">
        <v>38129</v>
      </c>
      <c r="K2494" t="b">
        <f>TrafficData[[#This Row],[disposedChallan]]+TrafficData[[#This Row],[pendingChallan]]=TrafficData[[#This Row],[totalChallan]]</f>
        <v>1</v>
      </c>
      <c r="L2494" t="b">
        <f>TrafficData[[#This Row],[pendingAmount]]+TrafficData[[#This Row],[disposedAmount]]=TrafficData[[#This Row],[totalAmount]]</f>
        <v>1</v>
      </c>
      <c r="M2494" t="b">
        <f>TrafficData[[#This Row],[pendingCourt]]+TrafficData[[#This Row],[disposedCourt]]=TrafficData[[#This Row],[totalCourt]]</f>
        <v>1</v>
      </c>
      <c r="N2494" s="8" t="b">
        <f>AND(TrafficData[[#This Row],[disposedChallan]]&lt;=TrafficData[[#This Row],[totalChallan]],TrafficData[[#This Row],[pendingChallan]]&lt;=TrafficData[[#This Row],[totalChallan]])</f>
        <v>1</v>
      </c>
      <c r="O2494" s="8" t="b">
        <f>AND(TrafficData[[#This Row],[pendingAmount]]&lt;=TrafficData[[#This Row],[totalAmount]],TrafficData[[#This Row],[disposedAmount]]&lt;=TrafficData[[#This Row],[totalAmount]])</f>
        <v>1</v>
      </c>
      <c r="P2494" s="8" t="b">
        <f>AND(TrafficData[[#This Row],[pendingCourt]]&lt;=TrafficData[[#This Row],[totalCourt]],TrafficData[[#This Row],[disposedCourt]]&lt;=TrafficData[[#This Row],[totalCourt]])</f>
        <v>1</v>
      </c>
    </row>
    <row r="2495" spans="1:16">
      <c r="A2495" s="1">
        <v>44499</v>
      </c>
      <c r="B2495">
        <v>115659</v>
      </c>
      <c r="C2495">
        <v>57951</v>
      </c>
      <c r="D2495">
        <v>57708</v>
      </c>
      <c r="E2495">
        <v>75668001</v>
      </c>
      <c r="F2495">
        <v>74523662</v>
      </c>
      <c r="G2495">
        <v>150191663</v>
      </c>
      <c r="H2495">
        <v>30604</v>
      </c>
      <c r="I2495">
        <v>10684</v>
      </c>
      <c r="J2495">
        <v>41288</v>
      </c>
      <c r="K2495" t="b">
        <f>TrafficData[[#This Row],[disposedChallan]]+TrafficData[[#This Row],[pendingChallan]]=TrafficData[[#This Row],[totalChallan]]</f>
        <v>1</v>
      </c>
      <c r="L2495" t="b">
        <f>TrafficData[[#This Row],[pendingAmount]]+TrafficData[[#This Row],[disposedAmount]]=TrafficData[[#This Row],[totalAmount]]</f>
        <v>1</v>
      </c>
      <c r="M2495" t="b">
        <f>TrafficData[[#This Row],[pendingCourt]]+TrafficData[[#This Row],[disposedCourt]]=TrafficData[[#This Row],[totalCourt]]</f>
        <v>1</v>
      </c>
      <c r="N2495" s="8" t="b">
        <f>AND(TrafficData[[#This Row],[disposedChallan]]&lt;=TrafficData[[#This Row],[totalChallan]],TrafficData[[#This Row],[pendingChallan]]&lt;=TrafficData[[#This Row],[totalChallan]])</f>
        <v>1</v>
      </c>
      <c r="O2495" s="8" t="b">
        <f>AND(TrafficData[[#This Row],[pendingAmount]]&lt;=TrafficData[[#This Row],[totalAmount]],TrafficData[[#This Row],[disposedAmount]]&lt;=TrafficData[[#This Row],[totalAmount]])</f>
        <v>1</v>
      </c>
      <c r="P2495" s="8" t="b">
        <f>AND(TrafficData[[#This Row],[pendingCourt]]&lt;=TrafficData[[#This Row],[totalCourt]],TrafficData[[#This Row],[disposedCourt]]&lt;=TrafficData[[#This Row],[totalCourt]])</f>
        <v>1</v>
      </c>
    </row>
    <row r="2496" spans="1:16">
      <c r="A2496" s="1">
        <v>44500</v>
      </c>
      <c r="B2496">
        <v>103071</v>
      </c>
      <c r="C2496">
        <v>49806</v>
      </c>
      <c r="D2496">
        <v>53265</v>
      </c>
      <c r="E2496">
        <v>61038408</v>
      </c>
      <c r="F2496">
        <v>52748887</v>
      </c>
      <c r="G2496">
        <v>113787295</v>
      </c>
      <c r="H2496">
        <v>27181</v>
      </c>
      <c r="I2496">
        <v>9463</v>
      </c>
      <c r="J2496">
        <v>36644</v>
      </c>
      <c r="K2496" t="b">
        <f>TrafficData[[#This Row],[disposedChallan]]+TrafficData[[#This Row],[pendingChallan]]=TrafficData[[#This Row],[totalChallan]]</f>
        <v>1</v>
      </c>
      <c r="L2496" t="b">
        <f>TrafficData[[#This Row],[pendingAmount]]+TrafficData[[#This Row],[disposedAmount]]=TrafficData[[#This Row],[totalAmount]]</f>
        <v>1</v>
      </c>
      <c r="M2496" t="b">
        <f>TrafficData[[#This Row],[pendingCourt]]+TrafficData[[#This Row],[disposedCourt]]=TrafficData[[#This Row],[totalCourt]]</f>
        <v>1</v>
      </c>
      <c r="N2496" s="8" t="b">
        <f>AND(TrafficData[[#This Row],[disposedChallan]]&lt;=TrafficData[[#This Row],[totalChallan]],TrafficData[[#This Row],[pendingChallan]]&lt;=TrafficData[[#This Row],[totalChallan]])</f>
        <v>1</v>
      </c>
      <c r="O2496" s="8" t="b">
        <f>AND(TrafficData[[#This Row],[pendingAmount]]&lt;=TrafficData[[#This Row],[totalAmount]],TrafficData[[#This Row],[disposedAmount]]&lt;=TrafficData[[#This Row],[totalAmount]])</f>
        <v>1</v>
      </c>
      <c r="P2496" s="8" t="b">
        <f>AND(TrafficData[[#This Row],[pendingCourt]]&lt;=TrafficData[[#This Row],[totalCourt]],TrafficData[[#This Row],[disposedCourt]]&lt;=TrafficData[[#This Row],[totalCourt]])</f>
        <v>1</v>
      </c>
    </row>
    <row r="2497" spans="1:16">
      <c r="A2497" s="1">
        <v>44501</v>
      </c>
      <c r="B2497">
        <v>110529</v>
      </c>
      <c r="C2497">
        <v>53784</v>
      </c>
      <c r="D2497">
        <v>56745</v>
      </c>
      <c r="E2497">
        <v>69899831</v>
      </c>
      <c r="F2497">
        <v>67994426</v>
      </c>
      <c r="G2497">
        <v>137894257</v>
      </c>
      <c r="H2497">
        <v>30212</v>
      </c>
      <c r="I2497">
        <v>10437</v>
      </c>
      <c r="J2497">
        <v>40649</v>
      </c>
      <c r="K2497" t="b">
        <f>TrafficData[[#This Row],[disposedChallan]]+TrafficData[[#This Row],[pendingChallan]]=TrafficData[[#This Row],[totalChallan]]</f>
        <v>1</v>
      </c>
      <c r="L2497" t="b">
        <f>TrafficData[[#This Row],[pendingAmount]]+TrafficData[[#This Row],[disposedAmount]]=TrafficData[[#This Row],[totalAmount]]</f>
        <v>1</v>
      </c>
      <c r="M2497" t="b">
        <f>TrafficData[[#This Row],[pendingCourt]]+TrafficData[[#This Row],[disposedCourt]]=TrafficData[[#This Row],[totalCourt]]</f>
        <v>1</v>
      </c>
      <c r="N2497" s="8" t="b">
        <f>AND(TrafficData[[#This Row],[disposedChallan]]&lt;=TrafficData[[#This Row],[totalChallan]],TrafficData[[#This Row],[pendingChallan]]&lt;=TrafficData[[#This Row],[totalChallan]])</f>
        <v>1</v>
      </c>
      <c r="O2497" s="8" t="b">
        <f>AND(TrafficData[[#This Row],[pendingAmount]]&lt;=TrafficData[[#This Row],[totalAmount]],TrafficData[[#This Row],[disposedAmount]]&lt;=TrafficData[[#This Row],[totalAmount]])</f>
        <v>1</v>
      </c>
      <c r="P2497" s="8" t="b">
        <f>AND(TrafficData[[#This Row],[pendingCourt]]&lt;=TrafficData[[#This Row],[totalCourt]],TrafficData[[#This Row],[disposedCourt]]&lt;=TrafficData[[#This Row],[totalCourt]])</f>
        <v>1</v>
      </c>
    </row>
    <row r="2498" spans="1:16">
      <c r="A2498" s="1">
        <v>44502</v>
      </c>
      <c r="B2498">
        <v>117953</v>
      </c>
      <c r="C2498">
        <v>55661</v>
      </c>
      <c r="D2498">
        <v>62292</v>
      </c>
      <c r="E2498">
        <v>76212801</v>
      </c>
      <c r="F2498">
        <v>69814601</v>
      </c>
      <c r="G2498">
        <v>146027402</v>
      </c>
      <c r="H2498">
        <v>33125</v>
      </c>
      <c r="I2498">
        <v>11366</v>
      </c>
      <c r="J2498">
        <v>44491</v>
      </c>
      <c r="K2498" t="b">
        <f>TrafficData[[#This Row],[disposedChallan]]+TrafficData[[#This Row],[pendingChallan]]=TrafficData[[#This Row],[totalChallan]]</f>
        <v>1</v>
      </c>
      <c r="L2498" t="b">
        <f>TrafficData[[#This Row],[pendingAmount]]+TrafficData[[#This Row],[disposedAmount]]=TrafficData[[#This Row],[totalAmount]]</f>
        <v>1</v>
      </c>
      <c r="M2498" t="b">
        <f>TrafficData[[#This Row],[pendingCourt]]+TrafficData[[#This Row],[disposedCourt]]=TrafficData[[#This Row],[totalCourt]]</f>
        <v>1</v>
      </c>
      <c r="N2498" s="8" t="b">
        <f>AND(TrafficData[[#This Row],[disposedChallan]]&lt;=TrafficData[[#This Row],[totalChallan]],TrafficData[[#This Row],[pendingChallan]]&lt;=TrafficData[[#This Row],[totalChallan]])</f>
        <v>1</v>
      </c>
      <c r="O2498" s="8" t="b">
        <f>AND(TrafficData[[#This Row],[pendingAmount]]&lt;=TrafficData[[#This Row],[totalAmount]],TrafficData[[#This Row],[disposedAmount]]&lt;=TrafficData[[#This Row],[totalAmount]])</f>
        <v>1</v>
      </c>
      <c r="P2498" s="8" t="b">
        <f>AND(TrafficData[[#This Row],[pendingCourt]]&lt;=TrafficData[[#This Row],[totalCourt]],TrafficData[[#This Row],[disposedCourt]]&lt;=TrafficData[[#This Row],[totalCourt]])</f>
        <v>1</v>
      </c>
    </row>
    <row r="2499" spans="1:16">
      <c r="A2499" s="1">
        <v>44503</v>
      </c>
      <c r="B2499">
        <v>101670</v>
      </c>
      <c r="C2499">
        <v>46986</v>
      </c>
      <c r="D2499">
        <v>54684</v>
      </c>
      <c r="E2499">
        <v>65731733</v>
      </c>
      <c r="F2499">
        <v>49464448</v>
      </c>
      <c r="G2499">
        <v>115196181</v>
      </c>
      <c r="H2499">
        <v>29046</v>
      </c>
      <c r="I2499">
        <v>9806</v>
      </c>
      <c r="J2499">
        <v>38852</v>
      </c>
      <c r="K2499" t="b">
        <f>TrafficData[[#This Row],[disposedChallan]]+TrafficData[[#This Row],[pendingChallan]]=TrafficData[[#This Row],[totalChallan]]</f>
        <v>1</v>
      </c>
      <c r="L2499" t="b">
        <f>TrafficData[[#This Row],[pendingAmount]]+TrafficData[[#This Row],[disposedAmount]]=TrafficData[[#This Row],[totalAmount]]</f>
        <v>1</v>
      </c>
      <c r="M2499" t="b">
        <f>TrafficData[[#This Row],[pendingCourt]]+TrafficData[[#This Row],[disposedCourt]]=TrafficData[[#This Row],[totalCourt]]</f>
        <v>1</v>
      </c>
      <c r="N2499" s="8" t="b">
        <f>AND(TrafficData[[#This Row],[disposedChallan]]&lt;=TrafficData[[#This Row],[totalChallan]],TrafficData[[#This Row],[pendingChallan]]&lt;=TrafficData[[#This Row],[totalChallan]])</f>
        <v>1</v>
      </c>
      <c r="O2499" s="8" t="b">
        <f>AND(TrafficData[[#This Row],[pendingAmount]]&lt;=TrafficData[[#This Row],[totalAmount]],TrafficData[[#This Row],[disposedAmount]]&lt;=TrafficData[[#This Row],[totalAmount]])</f>
        <v>1</v>
      </c>
      <c r="P2499" s="8" t="b">
        <f>AND(TrafficData[[#This Row],[pendingCourt]]&lt;=TrafficData[[#This Row],[totalCourt]],TrafficData[[#This Row],[disposedCourt]]&lt;=TrafficData[[#This Row],[totalCourt]])</f>
        <v>1</v>
      </c>
    </row>
    <row r="2500" spans="1:16">
      <c r="A2500" s="1">
        <v>44504</v>
      </c>
      <c r="B2500">
        <v>67907</v>
      </c>
      <c r="C2500">
        <v>28766</v>
      </c>
      <c r="D2500">
        <v>39141</v>
      </c>
      <c r="E2500">
        <v>44240538</v>
      </c>
      <c r="F2500">
        <v>26657101</v>
      </c>
      <c r="G2500">
        <v>70897639</v>
      </c>
      <c r="H2500">
        <v>22105</v>
      </c>
      <c r="I2500">
        <v>6632</v>
      </c>
      <c r="J2500">
        <v>28737</v>
      </c>
      <c r="K2500" t="b">
        <f>TrafficData[[#This Row],[disposedChallan]]+TrafficData[[#This Row],[pendingChallan]]=TrafficData[[#This Row],[totalChallan]]</f>
        <v>1</v>
      </c>
      <c r="L2500" t="b">
        <f>TrafficData[[#This Row],[pendingAmount]]+TrafficData[[#This Row],[disposedAmount]]=TrafficData[[#This Row],[totalAmount]]</f>
        <v>1</v>
      </c>
      <c r="M2500" t="b">
        <f>TrafficData[[#This Row],[pendingCourt]]+TrafficData[[#This Row],[disposedCourt]]=TrafficData[[#This Row],[totalCourt]]</f>
        <v>1</v>
      </c>
      <c r="N2500" s="8" t="b">
        <f>AND(TrafficData[[#This Row],[disposedChallan]]&lt;=TrafficData[[#This Row],[totalChallan]],TrafficData[[#This Row],[pendingChallan]]&lt;=TrafficData[[#This Row],[totalChallan]])</f>
        <v>1</v>
      </c>
      <c r="O2500" s="8" t="b">
        <f>AND(TrafficData[[#This Row],[pendingAmount]]&lt;=TrafficData[[#This Row],[totalAmount]],TrafficData[[#This Row],[disposedAmount]]&lt;=TrafficData[[#This Row],[totalAmount]])</f>
        <v>1</v>
      </c>
      <c r="P2500" s="8" t="b">
        <f>AND(TrafficData[[#This Row],[pendingCourt]]&lt;=TrafficData[[#This Row],[totalCourt]],TrafficData[[#This Row],[disposedCourt]]&lt;=TrafficData[[#This Row],[totalCourt]])</f>
        <v>1</v>
      </c>
    </row>
    <row r="2501" spans="1:16">
      <c r="A2501" s="1">
        <v>44505</v>
      </c>
      <c r="B2501">
        <v>105421</v>
      </c>
      <c r="C2501">
        <v>46507</v>
      </c>
      <c r="D2501">
        <v>58914</v>
      </c>
      <c r="E2501">
        <v>53408275</v>
      </c>
      <c r="F2501">
        <v>41240041</v>
      </c>
      <c r="G2501">
        <v>94648316</v>
      </c>
      <c r="H2501">
        <v>23806</v>
      </c>
      <c r="I2501">
        <v>8076</v>
      </c>
      <c r="J2501">
        <v>31882</v>
      </c>
      <c r="K2501" t="b">
        <f>TrafficData[[#This Row],[disposedChallan]]+TrafficData[[#This Row],[pendingChallan]]=TrafficData[[#This Row],[totalChallan]]</f>
        <v>1</v>
      </c>
      <c r="L2501" t="b">
        <f>TrafficData[[#This Row],[pendingAmount]]+TrafficData[[#This Row],[disposedAmount]]=TrafficData[[#This Row],[totalAmount]]</f>
        <v>1</v>
      </c>
      <c r="M2501" t="b">
        <f>TrafficData[[#This Row],[pendingCourt]]+TrafficData[[#This Row],[disposedCourt]]=TrafficData[[#This Row],[totalCourt]]</f>
        <v>1</v>
      </c>
      <c r="N2501" s="8" t="b">
        <f>AND(TrafficData[[#This Row],[disposedChallan]]&lt;=TrafficData[[#This Row],[totalChallan]],TrafficData[[#This Row],[pendingChallan]]&lt;=TrafficData[[#This Row],[totalChallan]])</f>
        <v>1</v>
      </c>
      <c r="O2501" s="8" t="b">
        <f>AND(TrafficData[[#This Row],[pendingAmount]]&lt;=TrafficData[[#This Row],[totalAmount]],TrafficData[[#This Row],[disposedAmount]]&lt;=TrafficData[[#This Row],[totalAmount]])</f>
        <v>1</v>
      </c>
      <c r="P2501" s="8" t="b">
        <f>AND(TrafficData[[#This Row],[pendingCourt]]&lt;=TrafficData[[#This Row],[totalCourt]],TrafficData[[#This Row],[disposedCourt]]&lt;=TrafficData[[#This Row],[totalCourt]])</f>
        <v>1</v>
      </c>
    </row>
    <row r="2502" spans="1:16">
      <c r="A2502" s="1">
        <v>44506</v>
      </c>
      <c r="B2502">
        <v>121978</v>
      </c>
      <c r="C2502">
        <v>56804</v>
      </c>
      <c r="D2502">
        <v>65174</v>
      </c>
      <c r="E2502">
        <v>65562125</v>
      </c>
      <c r="F2502">
        <v>46412854</v>
      </c>
      <c r="G2502">
        <v>111974979</v>
      </c>
      <c r="H2502">
        <v>30327</v>
      </c>
      <c r="I2502">
        <v>10732</v>
      </c>
      <c r="J2502">
        <v>41059</v>
      </c>
      <c r="K2502" t="b">
        <f>TrafficData[[#This Row],[disposedChallan]]+TrafficData[[#This Row],[pendingChallan]]=TrafficData[[#This Row],[totalChallan]]</f>
        <v>1</v>
      </c>
      <c r="L2502" t="b">
        <f>TrafficData[[#This Row],[pendingAmount]]+TrafficData[[#This Row],[disposedAmount]]=TrafficData[[#This Row],[totalAmount]]</f>
        <v>1</v>
      </c>
      <c r="M2502" t="b">
        <f>TrafficData[[#This Row],[pendingCourt]]+TrafficData[[#This Row],[disposedCourt]]=TrafficData[[#This Row],[totalCourt]]</f>
        <v>1</v>
      </c>
      <c r="N2502" s="8" t="b">
        <f>AND(TrafficData[[#This Row],[disposedChallan]]&lt;=TrafficData[[#This Row],[totalChallan]],TrafficData[[#This Row],[pendingChallan]]&lt;=TrafficData[[#This Row],[totalChallan]])</f>
        <v>1</v>
      </c>
      <c r="O2502" s="8" t="b">
        <f>AND(TrafficData[[#This Row],[pendingAmount]]&lt;=TrafficData[[#This Row],[totalAmount]],TrafficData[[#This Row],[disposedAmount]]&lt;=TrafficData[[#This Row],[totalAmount]])</f>
        <v>1</v>
      </c>
      <c r="P2502" s="8" t="b">
        <f>AND(TrafficData[[#This Row],[pendingCourt]]&lt;=TrafficData[[#This Row],[totalCourt]],TrafficData[[#This Row],[disposedCourt]]&lt;=TrafficData[[#This Row],[totalCourt]])</f>
        <v>1</v>
      </c>
    </row>
    <row r="2503" spans="1:16">
      <c r="A2503" s="1">
        <v>44507</v>
      </c>
      <c r="B2503">
        <v>110846</v>
      </c>
      <c r="C2503">
        <v>49778</v>
      </c>
      <c r="D2503">
        <v>61068</v>
      </c>
      <c r="E2503">
        <v>69129641</v>
      </c>
      <c r="F2503">
        <v>45839226</v>
      </c>
      <c r="G2503">
        <v>114968867</v>
      </c>
      <c r="H2503">
        <v>32877</v>
      </c>
      <c r="I2503">
        <v>10751</v>
      </c>
      <c r="J2503">
        <v>43628</v>
      </c>
      <c r="K2503" t="b">
        <f>TrafficData[[#This Row],[disposedChallan]]+TrafficData[[#This Row],[pendingChallan]]=TrafficData[[#This Row],[totalChallan]]</f>
        <v>1</v>
      </c>
      <c r="L2503" t="b">
        <f>TrafficData[[#This Row],[pendingAmount]]+TrafficData[[#This Row],[disposedAmount]]=TrafficData[[#This Row],[totalAmount]]</f>
        <v>1</v>
      </c>
      <c r="M2503" t="b">
        <f>TrafficData[[#This Row],[pendingCourt]]+TrafficData[[#This Row],[disposedCourt]]=TrafficData[[#This Row],[totalCourt]]</f>
        <v>1</v>
      </c>
      <c r="N2503" s="8" t="b">
        <f>AND(TrafficData[[#This Row],[disposedChallan]]&lt;=TrafficData[[#This Row],[totalChallan]],TrafficData[[#This Row],[pendingChallan]]&lt;=TrafficData[[#This Row],[totalChallan]])</f>
        <v>1</v>
      </c>
      <c r="O2503" s="8" t="b">
        <f>AND(TrafficData[[#This Row],[pendingAmount]]&lt;=TrafficData[[#This Row],[totalAmount]],TrafficData[[#This Row],[disposedAmount]]&lt;=TrafficData[[#This Row],[totalAmount]])</f>
        <v>1</v>
      </c>
      <c r="P2503" s="8" t="b">
        <f>AND(TrafficData[[#This Row],[pendingCourt]]&lt;=TrafficData[[#This Row],[totalCourt]],TrafficData[[#This Row],[disposedCourt]]&lt;=TrafficData[[#This Row],[totalCourt]])</f>
        <v>1</v>
      </c>
    </row>
    <row r="2504" spans="1:16">
      <c r="A2504" s="1">
        <v>44508</v>
      </c>
      <c r="B2504">
        <v>113259</v>
      </c>
      <c r="C2504">
        <v>53088</v>
      </c>
      <c r="D2504">
        <v>60171</v>
      </c>
      <c r="E2504">
        <v>83055678</v>
      </c>
      <c r="F2504">
        <v>66323757</v>
      </c>
      <c r="G2504">
        <v>149379435</v>
      </c>
      <c r="H2504">
        <v>37496</v>
      </c>
      <c r="I2504">
        <v>12248</v>
      </c>
      <c r="J2504">
        <v>49744</v>
      </c>
      <c r="K2504" t="b">
        <f>TrafficData[[#This Row],[disposedChallan]]+TrafficData[[#This Row],[pendingChallan]]=TrafficData[[#This Row],[totalChallan]]</f>
        <v>1</v>
      </c>
      <c r="L2504" t="b">
        <f>TrafficData[[#This Row],[pendingAmount]]+TrafficData[[#This Row],[disposedAmount]]=TrafficData[[#This Row],[totalAmount]]</f>
        <v>1</v>
      </c>
      <c r="M2504" t="b">
        <f>TrafficData[[#This Row],[pendingCourt]]+TrafficData[[#This Row],[disposedCourt]]=TrafficData[[#This Row],[totalCourt]]</f>
        <v>1</v>
      </c>
      <c r="N2504" s="8" t="b">
        <f>AND(TrafficData[[#This Row],[disposedChallan]]&lt;=TrafficData[[#This Row],[totalChallan]],TrafficData[[#This Row],[pendingChallan]]&lt;=TrafficData[[#This Row],[totalChallan]])</f>
        <v>1</v>
      </c>
      <c r="O2504" s="8" t="b">
        <f>AND(TrafficData[[#This Row],[pendingAmount]]&lt;=TrafficData[[#This Row],[totalAmount]],TrafficData[[#This Row],[disposedAmount]]&lt;=TrafficData[[#This Row],[totalAmount]])</f>
        <v>1</v>
      </c>
      <c r="P2504" s="8" t="b">
        <f>AND(TrafficData[[#This Row],[pendingCourt]]&lt;=TrafficData[[#This Row],[totalCourt]],TrafficData[[#This Row],[disposedCourt]]&lt;=TrafficData[[#This Row],[totalCourt]])</f>
        <v>1</v>
      </c>
    </row>
    <row r="2505" spans="1:16">
      <c r="A2505" s="1">
        <v>44509</v>
      </c>
      <c r="B2505">
        <v>116683</v>
      </c>
      <c r="C2505">
        <v>55506</v>
      </c>
      <c r="D2505">
        <v>61177</v>
      </c>
      <c r="E2505">
        <v>84192388</v>
      </c>
      <c r="F2505">
        <v>74395662</v>
      </c>
      <c r="G2505">
        <v>158588050</v>
      </c>
      <c r="H2505">
        <v>37516</v>
      </c>
      <c r="I2505">
        <v>11834</v>
      </c>
      <c r="J2505">
        <v>49350</v>
      </c>
      <c r="K2505" t="b">
        <f>TrafficData[[#This Row],[disposedChallan]]+TrafficData[[#This Row],[pendingChallan]]=TrafficData[[#This Row],[totalChallan]]</f>
        <v>1</v>
      </c>
      <c r="L2505" t="b">
        <f>TrafficData[[#This Row],[pendingAmount]]+TrafficData[[#This Row],[disposedAmount]]=TrafficData[[#This Row],[totalAmount]]</f>
        <v>1</v>
      </c>
      <c r="M2505" t="b">
        <f>TrafficData[[#This Row],[pendingCourt]]+TrafficData[[#This Row],[disposedCourt]]=TrafficData[[#This Row],[totalCourt]]</f>
        <v>1</v>
      </c>
      <c r="N2505" s="8" t="b">
        <f>AND(TrafficData[[#This Row],[disposedChallan]]&lt;=TrafficData[[#This Row],[totalChallan]],TrafficData[[#This Row],[pendingChallan]]&lt;=TrafficData[[#This Row],[totalChallan]])</f>
        <v>1</v>
      </c>
      <c r="O2505" s="8" t="b">
        <f>AND(TrafficData[[#This Row],[pendingAmount]]&lt;=TrafficData[[#This Row],[totalAmount]],TrafficData[[#This Row],[disposedAmount]]&lt;=TrafficData[[#This Row],[totalAmount]])</f>
        <v>1</v>
      </c>
      <c r="P2505" s="8" t="b">
        <f>AND(TrafficData[[#This Row],[pendingCourt]]&lt;=TrafficData[[#This Row],[totalCourt]],TrafficData[[#This Row],[disposedCourt]]&lt;=TrafficData[[#This Row],[totalCourt]])</f>
        <v>1</v>
      </c>
    </row>
    <row r="2506" spans="1:16">
      <c r="A2506" s="1">
        <v>44510</v>
      </c>
      <c r="B2506">
        <v>112401</v>
      </c>
      <c r="C2506">
        <v>54355</v>
      </c>
      <c r="D2506">
        <v>58046</v>
      </c>
      <c r="E2506">
        <v>78049044</v>
      </c>
      <c r="F2506">
        <v>79372428</v>
      </c>
      <c r="G2506">
        <v>157421472</v>
      </c>
      <c r="H2506">
        <v>34365</v>
      </c>
      <c r="I2506">
        <v>10904</v>
      </c>
      <c r="J2506">
        <v>45269</v>
      </c>
      <c r="K2506" t="b">
        <f>TrafficData[[#This Row],[disposedChallan]]+TrafficData[[#This Row],[pendingChallan]]=TrafficData[[#This Row],[totalChallan]]</f>
        <v>1</v>
      </c>
      <c r="L2506" t="b">
        <f>TrafficData[[#This Row],[pendingAmount]]+TrafficData[[#This Row],[disposedAmount]]=TrafficData[[#This Row],[totalAmount]]</f>
        <v>1</v>
      </c>
      <c r="M2506" t="b">
        <f>TrafficData[[#This Row],[pendingCourt]]+TrafficData[[#This Row],[disposedCourt]]=TrafficData[[#This Row],[totalCourt]]</f>
        <v>1</v>
      </c>
      <c r="N2506" s="8" t="b">
        <f>AND(TrafficData[[#This Row],[disposedChallan]]&lt;=TrafficData[[#This Row],[totalChallan]],TrafficData[[#This Row],[pendingChallan]]&lt;=TrafficData[[#This Row],[totalChallan]])</f>
        <v>1</v>
      </c>
      <c r="O2506" s="8" t="b">
        <f>AND(TrafficData[[#This Row],[pendingAmount]]&lt;=TrafficData[[#This Row],[totalAmount]],TrafficData[[#This Row],[disposedAmount]]&lt;=TrafficData[[#This Row],[totalAmount]])</f>
        <v>1</v>
      </c>
      <c r="P2506" s="8" t="b">
        <f>AND(TrafficData[[#This Row],[pendingCourt]]&lt;=TrafficData[[#This Row],[totalCourt]],TrafficData[[#This Row],[disposedCourt]]&lt;=TrafficData[[#This Row],[totalCourt]])</f>
        <v>1</v>
      </c>
    </row>
    <row r="2507" spans="1:16">
      <c r="A2507" s="1">
        <v>44511</v>
      </c>
      <c r="B2507">
        <v>111057</v>
      </c>
      <c r="C2507">
        <v>53282</v>
      </c>
      <c r="D2507">
        <v>57775</v>
      </c>
      <c r="E2507">
        <v>79460146</v>
      </c>
      <c r="F2507">
        <v>77594762</v>
      </c>
      <c r="G2507">
        <v>157054908</v>
      </c>
      <c r="H2507">
        <v>35469</v>
      </c>
      <c r="I2507">
        <v>10900</v>
      </c>
      <c r="J2507">
        <v>46369</v>
      </c>
      <c r="K2507" t="b">
        <f>TrafficData[[#This Row],[disposedChallan]]+TrafficData[[#This Row],[pendingChallan]]=TrafficData[[#This Row],[totalChallan]]</f>
        <v>1</v>
      </c>
      <c r="L2507" t="b">
        <f>TrafficData[[#This Row],[pendingAmount]]+TrafficData[[#This Row],[disposedAmount]]=TrafficData[[#This Row],[totalAmount]]</f>
        <v>1</v>
      </c>
      <c r="M2507" t="b">
        <f>TrafficData[[#This Row],[pendingCourt]]+TrafficData[[#This Row],[disposedCourt]]=TrafficData[[#This Row],[totalCourt]]</f>
        <v>1</v>
      </c>
      <c r="N2507" s="8" t="b">
        <f>AND(TrafficData[[#This Row],[disposedChallan]]&lt;=TrafficData[[#This Row],[totalChallan]],TrafficData[[#This Row],[pendingChallan]]&lt;=TrafficData[[#This Row],[totalChallan]])</f>
        <v>1</v>
      </c>
      <c r="O2507" s="8" t="b">
        <f>AND(TrafficData[[#This Row],[pendingAmount]]&lt;=TrafficData[[#This Row],[totalAmount]],TrafficData[[#This Row],[disposedAmount]]&lt;=TrafficData[[#This Row],[totalAmount]])</f>
        <v>1</v>
      </c>
      <c r="P2507" s="8" t="b">
        <f>AND(TrafficData[[#This Row],[pendingCourt]]&lt;=TrafficData[[#This Row],[totalCourt]],TrafficData[[#This Row],[disposedCourt]]&lt;=TrafficData[[#This Row],[totalCourt]])</f>
        <v>1</v>
      </c>
    </row>
    <row r="2508" spans="1:16">
      <c r="A2508" s="1">
        <v>44512</v>
      </c>
      <c r="B2508">
        <v>118475</v>
      </c>
      <c r="C2508">
        <v>57520</v>
      </c>
      <c r="D2508">
        <v>60955</v>
      </c>
      <c r="E2508">
        <v>80112135</v>
      </c>
      <c r="F2508">
        <v>89360657</v>
      </c>
      <c r="G2508">
        <v>169472792</v>
      </c>
      <c r="H2508">
        <v>36365</v>
      </c>
      <c r="I2508">
        <v>11082</v>
      </c>
      <c r="J2508">
        <v>47447</v>
      </c>
      <c r="K2508" t="b">
        <f>TrafficData[[#This Row],[disposedChallan]]+TrafficData[[#This Row],[pendingChallan]]=TrafficData[[#This Row],[totalChallan]]</f>
        <v>1</v>
      </c>
      <c r="L2508" t="b">
        <f>TrafficData[[#This Row],[pendingAmount]]+TrafficData[[#This Row],[disposedAmount]]=TrafficData[[#This Row],[totalAmount]]</f>
        <v>1</v>
      </c>
      <c r="M2508" t="b">
        <f>TrafficData[[#This Row],[pendingCourt]]+TrafficData[[#This Row],[disposedCourt]]=TrafficData[[#This Row],[totalCourt]]</f>
        <v>1</v>
      </c>
      <c r="N2508" s="8" t="b">
        <f>AND(TrafficData[[#This Row],[disposedChallan]]&lt;=TrafficData[[#This Row],[totalChallan]],TrafficData[[#This Row],[pendingChallan]]&lt;=TrafficData[[#This Row],[totalChallan]])</f>
        <v>1</v>
      </c>
      <c r="O2508" s="8" t="b">
        <f>AND(TrafficData[[#This Row],[pendingAmount]]&lt;=TrafficData[[#This Row],[totalAmount]],TrafficData[[#This Row],[disposedAmount]]&lt;=TrafficData[[#This Row],[totalAmount]])</f>
        <v>1</v>
      </c>
      <c r="P2508" s="8" t="b">
        <f>AND(TrafficData[[#This Row],[pendingCourt]]&lt;=TrafficData[[#This Row],[totalCourt]],TrafficData[[#This Row],[disposedCourt]]&lt;=TrafficData[[#This Row],[totalCourt]])</f>
        <v>1</v>
      </c>
    </row>
    <row r="2509" spans="1:16">
      <c r="A2509" s="1">
        <v>44513</v>
      </c>
      <c r="B2509">
        <v>122277</v>
      </c>
      <c r="C2509">
        <v>61024</v>
      </c>
      <c r="D2509">
        <v>61253</v>
      </c>
      <c r="E2509">
        <v>81819297</v>
      </c>
      <c r="F2509">
        <v>81691483</v>
      </c>
      <c r="G2509">
        <v>163510780</v>
      </c>
      <c r="H2509">
        <v>35796</v>
      </c>
      <c r="I2509">
        <v>11714</v>
      </c>
      <c r="J2509">
        <v>47510</v>
      </c>
      <c r="K2509" t="b">
        <f>TrafficData[[#This Row],[disposedChallan]]+TrafficData[[#This Row],[pendingChallan]]=TrafficData[[#This Row],[totalChallan]]</f>
        <v>1</v>
      </c>
      <c r="L2509" t="b">
        <f>TrafficData[[#This Row],[pendingAmount]]+TrafficData[[#This Row],[disposedAmount]]=TrafficData[[#This Row],[totalAmount]]</f>
        <v>1</v>
      </c>
      <c r="M2509" t="b">
        <f>TrafficData[[#This Row],[pendingCourt]]+TrafficData[[#This Row],[disposedCourt]]=TrafficData[[#This Row],[totalCourt]]</f>
        <v>1</v>
      </c>
      <c r="N2509" s="8" t="b">
        <f>AND(TrafficData[[#This Row],[disposedChallan]]&lt;=TrafficData[[#This Row],[totalChallan]],TrafficData[[#This Row],[pendingChallan]]&lt;=TrafficData[[#This Row],[totalChallan]])</f>
        <v>1</v>
      </c>
      <c r="O2509" s="8" t="b">
        <f>AND(TrafficData[[#This Row],[pendingAmount]]&lt;=TrafficData[[#This Row],[totalAmount]],TrafficData[[#This Row],[disposedAmount]]&lt;=TrafficData[[#This Row],[totalAmount]])</f>
        <v>1</v>
      </c>
      <c r="P2509" s="8" t="b">
        <f>AND(TrafficData[[#This Row],[pendingCourt]]&lt;=TrafficData[[#This Row],[totalCourt]],TrafficData[[#This Row],[disposedCourt]]&lt;=TrafficData[[#This Row],[totalCourt]])</f>
        <v>1</v>
      </c>
    </row>
    <row r="2510" spans="1:16">
      <c r="A2510" s="1">
        <v>44514</v>
      </c>
      <c r="B2510">
        <v>116390</v>
      </c>
      <c r="C2510">
        <v>53655</v>
      </c>
      <c r="D2510">
        <v>62735</v>
      </c>
      <c r="E2510">
        <v>73838805</v>
      </c>
      <c r="F2510">
        <v>64908782</v>
      </c>
      <c r="G2510">
        <v>138747587</v>
      </c>
      <c r="H2510">
        <v>34886</v>
      </c>
      <c r="I2510">
        <v>11038</v>
      </c>
      <c r="J2510">
        <v>45924</v>
      </c>
      <c r="K2510" t="b">
        <f>TrafficData[[#This Row],[disposedChallan]]+TrafficData[[#This Row],[pendingChallan]]=TrafficData[[#This Row],[totalChallan]]</f>
        <v>1</v>
      </c>
      <c r="L2510" t="b">
        <f>TrafficData[[#This Row],[pendingAmount]]+TrafficData[[#This Row],[disposedAmount]]=TrafficData[[#This Row],[totalAmount]]</f>
        <v>1</v>
      </c>
      <c r="M2510" t="b">
        <f>TrafficData[[#This Row],[pendingCourt]]+TrafficData[[#This Row],[disposedCourt]]=TrafficData[[#This Row],[totalCourt]]</f>
        <v>1</v>
      </c>
      <c r="N2510" s="8" t="b">
        <f>AND(TrafficData[[#This Row],[disposedChallan]]&lt;=TrafficData[[#This Row],[totalChallan]],TrafficData[[#This Row],[pendingChallan]]&lt;=TrafficData[[#This Row],[totalChallan]])</f>
        <v>1</v>
      </c>
      <c r="O2510" s="8" t="b">
        <f>AND(TrafficData[[#This Row],[pendingAmount]]&lt;=TrafficData[[#This Row],[totalAmount]],TrafficData[[#This Row],[disposedAmount]]&lt;=TrafficData[[#This Row],[totalAmount]])</f>
        <v>1</v>
      </c>
      <c r="P2510" s="8" t="b">
        <f>AND(TrafficData[[#This Row],[pendingCourt]]&lt;=TrafficData[[#This Row],[totalCourt]],TrafficData[[#This Row],[disposedCourt]]&lt;=TrafficData[[#This Row],[totalCourt]])</f>
        <v>1</v>
      </c>
    </row>
    <row r="2511" spans="1:16">
      <c r="A2511" s="1">
        <v>44515</v>
      </c>
      <c r="B2511">
        <v>125286</v>
      </c>
      <c r="C2511">
        <v>58652</v>
      </c>
      <c r="D2511">
        <v>66634</v>
      </c>
      <c r="E2511">
        <v>89836946</v>
      </c>
      <c r="F2511">
        <v>76045575</v>
      </c>
      <c r="G2511">
        <v>165882521</v>
      </c>
      <c r="H2511">
        <v>37538</v>
      </c>
      <c r="I2511">
        <v>11536</v>
      </c>
      <c r="J2511">
        <v>49074</v>
      </c>
      <c r="K2511" t="b">
        <f>TrafficData[[#This Row],[disposedChallan]]+TrafficData[[#This Row],[pendingChallan]]=TrafficData[[#This Row],[totalChallan]]</f>
        <v>1</v>
      </c>
      <c r="L2511" t="b">
        <f>TrafficData[[#This Row],[pendingAmount]]+TrafficData[[#This Row],[disposedAmount]]=TrafficData[[#This Row],[totalAmount]]</f>
        <v>1</v>
      </c>
      <c r="M2511" t="b">
        <f>TrafficData[[#This Row],[pendingCourt]]+TrafficData[[#This Row],[disposedCourt]]=TrafficData[[#This Row],[totalCourt]]</f>
        <v>1</v>
      </c>
      <c r="N2511" s="8" t="b">
        <f>AND(TrafficData[[#This Row],[disposedChallan]]&lt;=TrafficData[[#This Row],[totalChallan]],TrafficData[[#This Row],[pendingChallan]]&lt;=TrafficData[[#This Row],[totalChallan]])</f>
        <v>1</v>
      </c>
      <c r="O2511" s="8" t="b">
        <f>AND(TrafficData[[#This Row],[pendingAmount]]&lt;=TrafficData[[#This Row],[totalAmount]],TrafficData[[#This Row],[disposedAmount]]&lt;=TrafficData[[#This Row],[totalAmount]])</f>
        <v>1</v>
      </c>
      <c r="P2511" s="8" t="b">
        <f>AND(TrafficData[[#This Row],[pendingCourt]]&lt;=TrafficData[[#This Row],[totalCourt]],TrafficData[[#This Row],[disposedCourt]]&lt;=TrafficData[[#This Row],[totalCourt]])</f>
        <v>1</v>
      </c>
    </row>
    <row r="2512" spans="1:16">
      <c r="A2512" s="1">
        <v>44516</v>
      </c>
      <c r="B2512">
        <v>127546</v>
      </c>
      <c r="C2512">
        <v>61347</v>
      </c>
      <c r="D2512">
        <v>66199</v>
      </c>
      <c r="E2512">
        <v>89969698</v>
      </c>
      <c r="F2512">
        <v>87136029</v>
      </c>
      <c r="G2512">
        <v>177105727</v>
      </c>
      <c r="H2512">
        <v>35957</v>
      </c>
      <c r="I2512">
        <v>11463</v>
      </c>
      <c r="J2512">
        <v>47420</v>
      </c>
      <c r="K2512" t="b">
        <f>TrafficData[[#This Row],[disposedChallan]]+TrafficData[[#This Row],[pendingChallan]]=TrafficData[[#This Row],[totalChallan]]</f>
        <v>1</v>
      </c>
      <c r="L2512" t="b">
        <f>TrafficData[[#This Row],[pendingAmount]]+TrafficData[[#This Row],[disposedAmount]]=TrafficData[[#This Row],[totalAmount]]</f>
        <v>1</v>
      </c>
      <c r="M2512" t="b">
        <f>TrafficData[[#This Row],[pendingCourt]]+TrafficData[[#This Row],[disposedCourt]]=TrafficData[[#This Row],[totalCourt]]</f>
        <v>1</v>
      </c>
      <c r="N2512" s="8" t="b">
        <f>AND(TrafficData[[#This Row],[disposedChallan]]&lt;=TrafficData[[#This Row],[totalChallan]],TrafficData[[#This Row],[pendingChallan]]&lt;=TrafficData[[#This Row],[totalChallan]])</f>
        <v>1</v>
      </c>
      <c r="O2512" s="8" t="b">
        <f>AND(TrafficData[[#This Row],[pendingAmount]]&lt;=TrafficData[[#This Row],[totalAmount]],TrafficData[[#This Row],[disposedAmount]]&lt;=TrafficData[[#This Row],[totalAmount]])</f>
        <v>1</v>
      </c>
      <c r="P2512" s="8" t="b">
        <f>AND(TrafficData[[#This Row],[pendingCourt]]&lt;=TrafficData[[#This Row],[totalCourt]],TrafficData[[#This Row],[disposedCourt]]&lt;=TrafficData[[#This Row],[totalCourt]])</f>
        <v>1</v>
      </c>
    </row>
    <row r="2513" spans="1:16">
      <c r="A2513" s="1">
        <v>44517</v>
      </c>
      <c r="B2513">
        <v>125039</v>
      </c>
      <c r="C2513">
        <v>61948</v>
      </c>
      <c r="D2513">
        <v>63091</v>
      </c>
      <c r="E2513">
        <v>94841382</v>
      </c>
      <c r="F2513">
        <v>90074220</v>
      </c>
      <c r="G2513">
        <v>184915602</v>
      </c>
      <c r="H2513">
        <v>33963</v>
      </c>
      <c r="I2513">
        <v>11115</v>
      </c>
      <c r="J2513">
        <v>45078</v>
      </c>
      <c r="K2513" t="b">
        <f>TrafficData[[#This Row],[disposedChallan]]+TrafficData[[#This Row],[pendingChallan]]=TrafficData[[#This Row],[totalChallan]]</f>
        <v>1</v>
      </c>
      <c r="L2513" t="b">
        <f>TrafficData[[#This Row],[pendingAmount]]+TrafficData[[#This Row],[disposedAmount]]=TrafficData[[#This Row],[totalAmount]]</f>
        <v>1</v>
      </c>
      <c r="M2513" t="b">
        <f>TrafficData[[#This Row],[pendingCourt]]+TrafficData[[#This Row],[disposedCourt]]=TrafficData[[#This Row],[totalCourt]]</f>
        <v>1</v>
      </c>
      <c r="N2513" s="8" t="b">
        <f>AND(TrafficData[[#This Row],[disposedChallan]]&lt;=TrafficData[[#This Row],[totalChallan]],TrafficData[[#This Row],[pendingChallan]]&lt;=TrafficData[[#This Row],[totalChallan]])</f>
        <v>1</v>
      </c>
      <c r="O2513" s="8" t="b">
        <f>AND(TrafficData[[#This Row],[pendingAmount]]&lt;=TrafficData[[#This Row],[totalAmount]],TrafficData[[#This Row],[disposedAmount]]&lt;=TrafficData[[#This Row],[totalAmount]])</f>
        <v>1</v>
      </c>
      <c r="P2513" s="8" t="b">
        <f>AND(TrafficData[[#This Row],[pendingCourt]]&lt;=TrafficData[[#This Row],[totalCourt]],TrafficData[[#This Row],[disposedCourt]]&lt;=TrafficData[[#This Row],[totalCourt]])</f>
        <v>1</v>
      </c>
    </row>
    <row r="2514" spans="1:16">
      <c r="A2514" s="1">
        <v>44518</v>
      </c>
      <c r="B2514">
        <v>117539</v>
      </c>
      <c r="C2514">
        <v>56539</v>
      </c>
      <c r="D2514">
        <v>61000</v>
      </c>
      <c r="E2514">
        <v>103879183</v>
      </c>
      <c r="F2514">
        <v>87502761</v>
      </c>
      <c r="G2514">
        <v>191381944</v>
      </c>
      <c r="H2514">
        <v>36130</v>
      </c>
      <c r="I2514">
        <v>11431</v>
      </c>
      <c r="J2514">
        <v>47561</v>
      </c>
      <c r="K2514" t="b">
        <f>TrafficData[[#This Row],[disposedChallan]]+TrafficData[[#This Row],[pendingChallan]]=TrafficData[[#This Row],[totalChallan]]</f>
        <v>1</v>
      </c>
      <c r="L2514" t="b">
        <f>TrafficData[[#This Row],[pendingAmount]]+TrafficData[[#This Row],[disposedAmount]]=TrafficData[[#This Row],[totalAmount]]</f>
        <v>1</v>
      </c>
      <c r="M2514" t="b">
        <f>TrafficData[[#This Row],[pendingCourt]]+TrafficData[[#This Row],[disposedCourt]]=TrafficData[[#This Row],[totalCourt]]</f>
        <v>1</v>
      </c>
      <c r="N2514" s="8" t="b">
        <f>AND(TrafficData[[#This Row],[disposedChallan]]&lt;=TrafficData[[#This Row],[totalChallan]],TrafficData[[#This Row],[pendingChallan]]&lt;=TrafficData[[#This Row],[totalChallan]])</f>
        <v>1</v>
      </c>
      <c r="O2514" s="8" t="b">
        <f>AND(TrafficData[[#This Row],[pendingAmount]]&lt;=TrafficData[[#This Row],[totalAmount]],TrafficData[[#This Row],[disposedAmount]]&lt;=TrafficData[[#This Row],[totalAmount]])</f>
        <v>1</v>
      </c>
      <c r="P2514" s="8" t="b">
        <f>AND(TrafficData[[#This Row],[pendingCourt]]&lt;=TrafficData[[#This Row],[totalCourt]],TrafficData[[#This Row],[disposedCourt]]&lt;=TrafficData[[#This Row],[totalCourt]])</f>
        <v>1</v>
      </c>
    </row>
    <row r="2515" spans="1:16">
      <c r="A2515" s="1">
        <v>44519</v>
      </c>
      <c r="B2515">
        <v>118476</v>
      </c>
      <c r="C2515">
        <v>56253</v>
      </c>
      <c r="D2515">
        <v>62223</v>
      </c>
      <c r="E2515">
        <v>89405388</v>
      </c>
      <c r="F2515">
        <v>77190141</v>
      </c>
      <c r="G2515">
        <v>166595529</v>
      </c>
      <c r="H2515">
        <v>33427</v>
      </c>
      <c r="I2515">
        <v>9987</v>
      </c>
      <c r="J2515">
        <v>43414</v>
      </c>
      <c r="K2515" t="b">
        <f>TrafficData[[#This Row],[disposedChallan]]+TrafficData[[#This Row],[pendingChallan]]=TrafficData[[#This Row],[totalChallan]]</f>
        <v>1</v>
      </c>
      <c r="L2515" t="b">
        <f>TrafficData[[#This Row],[pendingAmount]]+TrafficData[[#This Row],[disposedAmount]]=TrafficData[[#This Row],[totalAmount]]</f>
        <v>1</v>
      </c>
      <c r="M2515" t="b">
        <f>TrafficData[[#This Row],[pendingCourt]]+TrafficData[[#This Row],[disposedCourt]]=TrafficData[[#This Row],[totalCourt]]</f>
        <v>1</v>
      </c>
      <c r="N2515" s="8" t="b">
        <f>AND(TrafficData[[#This Row],[disposedChallan]]&lt;=TrafficData[[#This Row],[totalChallan]],TrafficData[[#This Row],[pendingChallan]]&lt;=TrafficData[[#This Row],[totalChallan]])</f>
        <v>1</v>
      </c>
      <c r="O2515" s="8" t="b">
        <f>AND(TrafficData[[#This Row],[pendingAmount]]&lt;=TrafficData[[#This Row],[totalAmount]],TrafficData[[#This Row],[disposedAmount]]&lt;=TrafficData[[#This Row],[totalAmount]])</f>
        <v>1</v>
      </c>
      <c r="P2515" s="8" t="b">
        <f>AND(TrafficData[[#This Row],[pendingCourt]]&lt;=TrafficData[[#This Row],[totalCourt]],TrafficData[[#This Row],[disposedCourt]]&lt;=TrafficData[[#This Row],[totalCourt]])</f>
        <v>1</v>
      </c>
    </row>
    <row r="2516" spans="1:16">
      <c r="A2516" s="1">
        <v>44520</v>
      </c>
      <c r="B2516">
        <v>134746</v>
      </c>
      <c r="C2516">
        <v>63711</v>
      </c>
      <c r="D2516">
        <v>71035</v>
      </c>
      <c r="E2516">
        <v>100925267</v>
      </c>
      <c r="F2516">
        <v>80343979</v>
      </c>
      <c r="G2516">
        <v>181269246</v>
      </c>
      <c r="H2516">
        <v>36617</v>
      </c>
      <c r="I2516">
        <v>11264</v>
      </c>
      <c r="J2516">
        <v>47881</v>
      </c>
      <c r="K2516" t="b">
        <f>TrafficData[[#This Row],[disposedChallan]]+TrafficData[[#This Row],[pendingChallan]]=TrafficData[[#This Row],[totalChallan]]</f>
        <v>1</v>
      </c>
      <c r="L2516" t="b">
        <f>TrafficData[[#This Row],[pendingAmount]]+TrafficData[[#This Row],[disposedAmount]]=TrafficData[[#This Row],[totalAmount]]</f>
        <v>1</v>
      </c>
      <c r="M2516" t="b">
        <f>TrafficData[[#This Row],[pendingCourt]]+TrafficData[[#This Row],[disposedCourt]]=TrafficData[[#This Row],[totalCourt]]</f>
        <v>1</v>
      </c>
      <c r="N2516" s="8" t="b">
        <f>AND(TrafficData[[#This Row],[disposedChallan]]&lt;=TrafficData[[#This Row],[totalChallan]],TrafficData[[#This Row],[pendingChallan]]&lt;=TrafficData[[#This Row],[totalChallan]])</f>
        <v>1</v>
      </c>
      <c r="O2516" s="8" t="b">
        <f>AND(TrafficData[[#This Row],[pendingAmount]]&lt;=TrafficData[[#This Row],[totalAmount]],TrafficData[[#This Row],[disposedAmount]]&lt;=TrafficData[[#This Row],[totalAmount]])</f>
        <v>1</v>
      </c>
      <c r="P2516" s="8" t="b">
        <f>AND(TrafficData[[#This Row],[pendingCourt]]&lt;=TrafficData[[#This Row],[totalCourt]],TrafficData[[#This Row],[disposedCourt]]&lt;=TrafficData[[#This Row],[totalCourt]])</f>
        <v>1</v>
      </c>
    </row>
    <row r="2517" spans="1:16">
      <c r="A2517" s="1">
        <v>44521</v>
      </c>
      <c r="B2517">
        <v>122060</v>
      </c>
      <c r="C2517">
        <v>55419</v>
      </c>
      <c r="D2517">
        <v>66641</v>
      </c>
      <c r="E2517">
        <v>88950649</v>
      </c>
      <c r="F2517">
        <v>65396018</v>
      </c>
      <c r="G2517">
        <v>154346667</v>
      </c>
      <c r="H2517">
        <v>34761</v>
      </c>
      <c r="I2517">
        <v>10846</v>
      </c>
      <c r="J2517">
        <v>45607</v>
      </c>
      <c r="K2517" t="b">
        <f>TrafficData[[#This Row],[disposedChallan]]+TrafficData[[#This Row],[pendingChallan]]=TrafficData[[#This Row],[totalChallan]]</f>
        <v>1</v>
      </c>
      <c r="L2517" t="b">
        <f>TrafficData[[#This Row],[pendingAmount]]+TrafficData[[#This Row],[disposedAmount]]=TrafficData[[#This Row],[totalAmount]]</f>
        <v>1</v>
      </c>
      <c r="M2517" t="b">
        <f>TrafficData[[#This Row],[pendingCourt]]+TrafficData[[#This Row],[disposedCourt]]=TrafficData[[#This Row],[totalCourt]]</f>
        <v>1</v>
      </c>
      <c r="N2517" s="8" t="b">
        <f>AND(TrafficData[[#This Row],[disposedChallan]]&lt;=TrafficData[[#This Row],[totalChallan]],TrafficData[[#This Row],[pendingChallan]]&lt;=TrafficData[[#This Row],[totalChallan]])</f>
        <v>1</v>
      </c>
      <c r="O2517" s="8" t="b">
        <f>AND(TrafficData[[#This Row],[pendingAmount]]&lt;=TrafficData[[#This Row],[totalAmount]],TrafficData[[#This Row],[disposedAmount]]&lt;=TrafficData[[#This Row],[totalAmount]])</f>
        <v>1</v>
      </c>
      <c r="P2517" s="8" t="b">
        <f>AND(TrafficData[[#This Row],[pendingCourt]]&lt;=TrafficData[[#This Row],[totalCourt]],TrafficData[[#This Row],[disposedCourt]]&lt;=TrafficData[[#This Row],[totalCourt]])</f>
        <v>1</v>
      </c>
    </row>
    <row r="2518" spans="1:16">
      <c r="A2518" s="1">
        <v>44522</v>
      </c>
      <c r="B2518">
        <v>124568</v>
      </c>
      <c r="C2518">
        <v>58607</v>
      </c>
      <c r="D2518">
        <v>65961</v>
      </c>
      <c r="E2518">
        <v>99735411</v>
      </c>
      <c r="F2518">
        <v>74971850</v>
      </c>
      <c r="G2518">
        <v>174707261</v>
      </c>
      <c r="H2518">
        <v>29907</v>
      </c>
      <c r="I2518">
        <v>9704</v>
      </c>
      <c r="J2518">
        <v>39611</v>
      </c>
      <c r="K2518" t="b">
        <f>TrafficData[[#This Row],[disposedChallan]]+TrafficData[[#This Row],[pendingChallan]]=TrafficData[[#This Row],[totalChallan]]</f>
        <v>1</v>
      </c>
      <c r="L2518" t="b">
        <f>TrafficData[[#This Row],[pendingAmount]]+TrafficData[[#This Row],[disposedAmount]]=TrafficData[[#This Row],[totalAmount]]</f>
        <v>1</v>
      </c>
      <c r="M2518" t="b">
        <f>TrafficData[[#This Row],[pendingCourt]]+TrafficData[[#This Row],[disposedCourt]]=TrafficData[[#This Row],[totalCourt]]</f>
        <v>1</v>
      </c>
      <c r="N2518" s="8" t="b">
        <f>AND(TrafficData[[#This Row],[disposedChallan]]&lt;=TrafficData[[#This Row],[totalChallan]],TrafficData[[#This Row],[pendingChallan]]&lt;=TrafficData[[#This Row],[totalChallan]])</f>
        <v>1</v>
      </c>
      <c r="O2518" s="8" t="b">
        <f>AND(TrafficData[[#This Row],[pendingAmount]]&lt;=TrafficData[[#This Row],[totalAmount]],TrafficData[[#This Row],[disposedAmount]]&lt;=TrafficData[[#This Row],[totalAmount]])</f>
        <v>1</v>
      </c>
      <c r="P2518" s="8" t="b">
        <f>AND(TrafficData[[#This Row],[pendingCourt]]&lt;=TrafficData[[#This Row],[totalCourt]],TrafficData[[#This Row],[disposedCourt]]&lt;=TrafficData[[#This Row],[totalCourt]])</f>
        <v>1</v>
      </c>
    </row>
    <row r="2519" spans="1:16">
      <c r="A2519" s="1">
        <v>44523</v>
      </c>
      <c r="B2519">
        <v>133096</v>
      </c>
      <c r="C2519">
        <v>62254</v>
      </c>
      <c r="D2519">
        <v>70842</v>
      </c>
      <c r="E2519">
        <v>103807932</v>
      </c>
      <c r="F2519">
        <v>85256898</v>
      </c>
      <c r="G2519">
        <v>189064830</v>
      </c>
      <c r="H2519">
        <v>29053</v>
      </c>
      <c r="I2519">
        <v>9352</v>
      </c>
      <c r="J2519">
        <v>38405</v>
      </c>
      <c r="K2519" t="b">
        <f>TrafficData[[#This Row],[disposedChallan]]+TrafficData[[#This Row],[pendingChallan]]=TrafficData[[#This Row],[totalChallan]]</f>
        <v>1</v>
      </c>
      <c r="L2519" t="b">
        <f>TrafficData[[#This Row],[pendingAmount]]+TrafficData[[#This Row],[disposedAmount]]=TrafficData[[#This Row],[totalAmount]]</f>
        <v>1</v>
      </c>
      <c r="M2519" t="b">
        <f>TrafficData[[#This Row],[pendingCourt]]+TrafficData[[#This Row],[disposedCourt]]=TrafficData[[#This Row],[totalCourt]]</f>
        <v>1</v>
      </c>
      <c r="N2519" s="8" t="b">
        <f>AND(TrafficData[[#This Row],[disposedChallan]]&lt;=TrafficData[[#This Row],[totalChallan]],TrafficData[[#This Row],[pendingChallan]]&lt;=TrafficData[[#This Row],[totalChallan]])</f>
        <v>1</v>
      </c>
      <c r="O2519" s="8" t="b">
        <f>AND(TrafficData[[#This Row],[pendingAmount]]&lt;=TrafficData[[#This Row],[totalAmount]],TrafficData[[#This Row],[disposedAmount]]&lt;=TrafficData[[#This Row],[totalAmount]])</f>
        <v>1</v>
      </c>
      <c r="P2519" s="8" t="b">
        <f>AND(TrafficData[[#This Row],[pendingCourt]]&lt;=TrafficData[[#This Row],[totalCourt]],TrafficData[[#This Row],[disposedCourt]]&lt;=TrafficData[[#This Row],[totalCourt]])</f>
        <v>1</v>
      </c>
    </row>
    <row r="2520" spans="1:16">
      <c r="A2520" s="1">
        <v>44524</v>
      </c>
      <c r="B2520">
        <v>128904</v>
      </c>
      <c r="C2520">
        <v>62579</v>
      </c>
      <c r="D2520">
        <v>66325</v>
      </c>
      <c r="E2520">
        <v>93543171</v>
      </c>
      <c r="F2520">
        <v>85806312</v>
      </c>
      <c r="G2520">
        <v>179349483</v>
      </c>
      <c r="H2520">
        <v>26736</v>
      </c>
      <c r="I2520">
        <v>9079</v>
      </c>
      <c r="J2520">
        <v>35815</v>
      </c>
      <c r="K2520" t="b">
        <f>TrafficData[[#This Row],[disposedChallan]]+TrafficData[[#This Row],[pendingChallan]]=TrafficData[[#This Row],[totalChallan]]</f>
        <v>1</v>
      </c>
      <c r="L2520" t="b">
        <f>TrafficData[[#This Row],[pendingAmount]]+TrafficData[[#This Row],[disposedAmount]]=TrafficData[[#This Row],[totalAmount]]</f>
        <v>1</v>
      </c>
      <c r="M2520" t="b">
        <f>TrafficData[[#This Row],[pendingCourt]]+TrafficData[[#This Row],[disposedCourt]]=TrafficData[[#This Row],[totalCourt]]</f>
        <v>1</v>
      </c>
      <c r="N2520" s="8" t="b">
        <f>AND(TrafficData[[#This Row],[disposedChallan]]&lt;=TrafficData[[#This Row],[totalChallan]],TrafficData[[#This Row],[pendingChallan]]&lt;=TrafficData[[#This Row],[totalChallan]])</f>
        <v>1</v>
      </c>
      <c r="O2520" s="8" t="b">
        <f>AND(TrafficData[[#This Row],[pendingAmount]]&lt;=TrafficData[[#This Row],[totalAmount]],TrafficData[[#This Row],[disposedAmount]]&lt;=TrafficData[[#This Row],[totalAmount]])</f>
        <v>1</v>
      </c>
      <c r="P2520" s="8" t="b">
        <f>AND(TrafficData[[#This Row],[pendingCourt]]&lt;=TrafficData[[#This Row],[totalCourt]],TrafficData[[#This Row],[disposedCourt]]&lt;=TrafficData[[#This Row],[totalCourt]])</f>
        <v>1</v>
      </c>
    </row>
    <row r="2521" spans="1:16">
      <c r="A2521" s="1">
        <v>44525</v>
      </c>
      <c r="B2521">
        <v>120000</v>
      </c>
      <c r="C2521">
        <v>59222</v>
      </c>
      <c r="D2521">
        <v>60778</v>
      </c>
      <c r="E2521">
        <v>81726858</v>
      </c>
      <c r="F2521">
        <v>77510748</v>
      </c>
      <c r="G2521">
        <v>159237606</v>
      </c>
      <c r="H2521">
        <v>24734</v>
      </c>
      <c r="I2521">
        <v>8885</v>
      </c>
      <c r="J2521">
        <v>33619</v>
      </c>
      <c r="K2521" t="b">
        <f>TrafficData[[#This Row],[disposedChallan]]+TrafficData[[#This Row],[pendingChallan]]=TrafficData[[#This Row],[totalChallan]]</f>
        <v>1</v>
      </c>
      <c r="L2521" t="b">
        <f>TrafficData[[#This Row],[pendingAmount]]+TrafficData[[#This Row],[disposedAmount]]=TrafficData[[#This Row],[totalAmount]]</f>
        <v>1</v>
      </c>
      <c r="M2521" t="b">
        <f>TrafficData[[#This Row],[pendingCourt]]+TrafficData[[#This Row],[disposedCourt]]=TrafficData[[#This Row],[totalCourt]]</f>
        <v>1</v>
      </c>
      <c r="N2521" s="8" t="b">
        <f>AND(TrafficData[[#This Row],[disposedChallan]]&lt;=TrafficData[[#This Row],[totalChallan]],TrafficData[[#This Row],[pendingChallan]]&lt;=TrafficData[[#This Row],[totalChallan]])</f>
        <v>1</v>
      </c>
      <c r="O2521" s="8" t="b">
        <f>AND(TrafficData[[#This Row],[pendingAmount]]&lt;=TrafficData[[#This Row],[totalAmount]],TrafficData[[#This Row],[disposedAmount]]&lt;=TrafficData[[#This Row],[totalAmount]])</f>
        <v>1</v>
      </c>
      <c r="P2521" s="8" t="b">
        <f>AND(TrafficData[[#This Row],[pendingCourt]]&lt;=TrafficData[[#This Row],[totalCourt]],TrafficData[[#This Row],[disposedCourt]]&lt;=TrafficData[[#This Row],[totalCourt]])</f>
        <v>1</v>
      </c>
    </row>
    <row r="2522" spans="1:16">
      <c r="A2522" s="1">
        <v>44526</v>
      </c>
      <c r="B2522">
        <v>116347</v>
      </c>
      <c r="C2522">
        <v>57169</v>
      </c>
      <c r="D2522">
        <v>59178</v>
      </c>
      <c r="E2522">
        <v>76009052</v>
      </c>
      <c r="F2522">
        <v>76029797</v>
      </c>
      <c r="G2522">
        <v>152038849</v>
      </c>
      <c r="H2522">
        <v>24811</v>
      </c>
      <c r="I2522">
        <v>8392</v>
      </c>
      <c r="J2522">
        <v>33203</v>
      </c>
      <c r="K2522" t="b">
        <f>TrafficData[[#This Row],[disposedChallan]]+TrafficData[[#This Row],[pendingChallan]]=TrafficData[[#This Row],[totalChallan]]</f>
        <v>1</v>
      </c>
      <c r="L2522" t="b">
        <f>TrafficData[[#This Row],[pendingAmount]]+TrafficData[[#This Row],[disposedAmount]]=TrafficData[[#This Row],[totalAmount]]</f>
        <v>1</v>
      </c>
      <c r="M2522" t="b">
        <f>TrafficData[[#This Row],[pendingCourt]]+TrafficData[[#This Row],[disposedCourt]]=TrafficData[[#This Row],[totalCourt]]</f>
        <v>1</v>
      </c>
      <c r="N2522" s="8" t="b">
        <f>AND(TrafficData[[#This Row],[disposedChallan]]&lt;=TrafficData[[#This Row],[totalChallan]],TrafficData[[#This Row],[pendingChallan]]&lt;=TrafficData[[#This Row],[totalChallan]])</f>
        <v>1</v>
      </c>
      <c r="O2522" s="8" t="b">
        <f>AND(TrafficData[[#This Row],[pendingAmount]]&lt;=TrafficData[[#This Row],[totalAmount]],TrafficData[[#This Row],[disposedAmount]]&lt;=TrafficData[[#This Row],[totalAmount]])</f>
        <v>1</v>
      </c>
      <c r="P2522" s="8" t="b">
        <f>AND(TrafficData[[#This Row],[pendingCourt]]&lt;=TrafficData[[#This Row],[totalCourt]],TrafficData[[#This Row],[disposedCourt]]&lt;=TrafficData[[#This Row],[totalCourt]])</f>
        <v>1</v>
      </c>
    </row>
    <row r="2523" spans="1:16">
      <c r="A2523" s="1">
        <v>44527</v>
      </c>
      <c r="B2523">
        <v>135568</v>
      </c>
      <c r="C2523">
        <v>60716</v>
      </c>
      <c r="D2523">
        <v>74852</v>
      </c>
      <c r="E2523">
        <v>99177048</v>
      </c>
      <c r="F2523">
        <v>148966236</v>
      </c>
      <c r="G2523">
        <v>248143284</v>
      </c>
      <c r="H2523">
        <v>26504</v>
      </c>
      <c r="I2523">
        <v>8834</v>
      </c>
      <c r="J2523">
        <v>35338</v>
      </c>
      <c r="K2523" t="b">
        <f>TrafficData[[#This Row],[disposedChallan]]+TrafficData[[#This Row],[pendingChallan]]=TrafficData[[#This Row],[totalChallan]]</f>
        <v>1</v>
      </c>
      <c r="L2523" t="b">
        <f>TrafficData[[#This Row],[pendingAmount]]+TrafficData[[#This Row],[disposedAmount]]=TrafficData[[#This Row],[totalAmount]]</f>
        <v>1</v>
      </c>
      <c r="M2523" t="b">
        <f>TrafficData[[#This Row],[pendingCourt]]+TrafficData[[#This Row],[disposedCourt]]=TrafficData[[#This Row],[totalCourt]]</f>
        <v>1</v>
      </c>
      <c r="N2523" s="8" t="b">
        <f>AND(TrafficData[[#This Row],[disposedChallan]]&lt;=TrafficData[[#This Row],[totalChallan]],TrafficData[[#This Row],[pendingChallan]]&lt;=TrafficData[[#This Row],[totalChallan]])</f>
        <v>1</v>
      </c>
      <c r="O2523" s="8" t="b">
        <f>AND(TrafficData[[#This Row],[pendingAmount]]&lt;=TrafficData[[#This Row],[totalAmount]],TrafficData[[#This Row],[disposedAmount]]&lt;=TrafficData[[#This Row],[totalAmount]])</f>
        <v>1</v>
      </c>
      <c r="P2523" s="8" t="b">
        <f>AND(TrafficData[[#This Row],[pendingCourt]]&lt;=TrafficData[[#This Row],[totalCourt]],TrafficData[[#This Row],[disposedCourt]]&lt;=TrafficData[[#This Row],[totalCourt]])</f>
        <v>1</v>
      </c>
    </row>
    <row r="2524" spans="1:16">
      <c r="A2524" s="1">
        <v>44528</v>
      </c>
      <c r="B2524">
        <v>122567</v>
      </c>
      <c r="C2524">
        <v>52376</v>
      </c>
      <c r="D2524">
        <v>70191</v>
      </c>
      <c r="E2524">
        <v>86074420</v>
      </c>
      <c r="F2524">
        <v>55778196</v>
      </c>
      <c r="G2524">
        <v>141852616</v>
      </c>
      <c r="H2524">
        <v>24230</v>
      </c>
      <c r="I2524">
        <v>7722</v>
      </c>
      <c r="J2524">
        <v>31952</v>
      </c>
      <c r="K2524" t="b">
        <f>TrafficData[[#This Row],[disposedChallan]]+TrafficData[[#This Row],[pendingChallan]]=TrafficData[[#This Row],[totalChallan]]</f>
        <v>1</v>
      </c>
      <c r="L2524" t="b">
        <f>TrafficData[[#This Row],[pendingAmount]]+TrafficData[[#This Row],[disposedAmount]]=TrafficData[[#This Row],[totalAmount]]</f>
        <v>1</v>
      </c>
      <c r="M2524" t="b">
        <f>TrafficData[[#This Row],[pendingCourt]]+TrafficData[[#This Row],[disposedCourt]]=TrafficData[[#This Row],[totalCourt]]</f>
        <v>1</v>
      </c>
      <c r="N2524" s="8" t="b">
        <f>AND(TrafficData[[#This Row],[disposedChallan]]&lt;=TrafficData[[#This Row],[totalChallan]],TrafficData[[#This Row],[pendingChallan]]&lt;=TrafficData[[#This Row],[totalChallan]])</f>
        <v>1</v>
      </c>
      <c r="O2524" s="8" t="b">
        <f>AND(TrafficData[[#This Row],[pendingAmount]]&lt;=TrafficData[[#This Row],[totalAmount]],TrafficData[[#This Row],[disposedAmount]]&lt;=TrafficData[[#This Row],[totalAmount]])</f>
        <v>1</v>
      </c>
      <c r="P2524" s="8" t="b">
        <f>AND(TrafficData[[#This Row],[pendingCourt]]&lt;=TrafficData[[#This Row],[totalCourt]],TrafficData[[#This Row],[disposedCourt]]&lt;=TrafficData[[#This Row],[totalCourt]])</f>
        <v>1</v>
      </c>
    </row>
    <row r="2525" spans="1:16">
      <c r="A2525" s="1">
        <v>44529</v>
      </c>
      <c r="B2525">
        <v>132952</v>
      </c>
      <c r="C2525">
        <v>58454</v>
      </c>
      <c r="D2525">
        <v>74498</v>
      </c>
      <c r="E2525">
        <v>90945451</v>
      </c>
      <c r="F2525">
        <v>62269969</v>
      </c>
      <c r="G2525">
        <v>153215420</v>
      </c>
      <c r="H2525">
        <v>26547</v>
      </c>
      <c r="I2525">
        <v>8598</v>
      </c>
      <c r="J2525">
        <v>35145</v>
      </c>
      <c r="K2525" t="b">
        <f>TrafficData[[#This Row],[disposedChallan]]+TrafficData[[#This Row],[pendingChallan]]=TrafficData[[#This Row],[totalChallan]]</f>
        <v>1</v>
      </c>
      <c r="L2525" t="b">
        <f>TrafficData[[#This Row],[pendingAmount]]+TrafficData[[#This Row],[disposedAmount]]=TrafficData[[#This Row],[totalAmount]]</f>
        <v>1</v>
      </c>
      <c r="M2525" t="b">
        <f>TrafficData[[#This Row],[pendingCourt]]+TrafficData[[#This Row],[disposedCourt]]=TrafficData[[#This Row],[totalCourt]]</f>
        <v>1</v>
      </c>
      <c r="N2525" s="8" t="b">
        <f>AND(TrafficData[[#This Row],[disposedChallan]]&lt;=TrafficData[[#This Row],[totalChallan]],TrafficData[[#This Row],[pendingChallan]]&lt;=TrafficData[[#This Row],[totalChallan]])</f>
        <v>1</v>
      </c>
      <c r="O2525" s="8" t="b">
        <f>AND(TrafficData[[#This Row],[pendingAmount]]&lt;=TrafficData[[#This Row],[totalAmount]],TrafficData[[#This Row],[disposedAmount]]&lt;=TrafficData[[#This Row],[totalAmount]])</f>
        <v>1</v>
      </c>
      <c r="P2525" s="8" t="b">
        <f>AND(TrafficData[[#This Row],[pendingCourt]]&lt;=TrafficData[[#This Row],[totalCourt]],TrafficData[[#This Row],[disposedCourt]]&lt;=TrafficData[[#This Row],[totalCourt]])</f>
        <v>1</v>
      </c>
    </row>
    <row r="2526" spans="1:16">
      <c r="A2526" s="1">
        <v>44530</v>
      </c>
      <c r="B2526">
        <v>133537</v>
      </c>
      <c r="C2526">
        <v>60153</v>
      </c>
      <c r="D2526">
        <v>73384</v>
      </c>
      <c r="E2526">
        <v>90210804</v>
      </c>
      <c r="F2526">
        <v>64028858</v>
      </c>
      <c r="G2526">
        <v>154239662</v>
      </c>
      <c r="H2526">
        <v>24743</v>
      </c>
      <c r="I2526">
        <v>8184</v>
      </c>
      <c r="J2526">
        <v>32927</v>
      </c>
      <c r="K2526" t="b">
        <f>TrafficData[[#This Row],[disposedChallan]]+TrafficData[[#This Row],[pendingChallan]]=TrafficData[[#This Row],[totalChallan]]</f>
        <v>1</v>
      </c>
      <c r="L2526" t="b">
        <f>TrafficData[[#This Row],[pendingAmount]]+TrafficData[[#This Row],[disposedAmount]]=TrafficData[[#This Row],[totalAmount]]</f>
        <v>1</v>
      </c>
      <c r="M2526" t="b">
        <f>TrafficData[[#This Row],[pendingCourt]]+TrafficData[[#This Row],[disposedCourt]]=TrafficData[[#This Row],[totalCourt]]</f>
        <v>1</v>
      </c>
      <c r="N2526" s="8" t="b">
        <f>AND(TrafficData[[#This Row],[disposedChallan]]&lt;=TrafficData[[#This Row],[totalChallan]],TrafficData[[#This Row],[pendingChallan]]&lt;=TrafficData[[#This Row],[totalChallan]])</f>
        <v>1</v>
      </c>
      <c r="O2526" s="8" t="b">
        <f>AND(TrafficData[[#This Row],[pendingAmount]]&lt;=TrafficData[[#This Row],[totalAmount]],TrafficData[[#This Row],[disposedAmount]]&lt;=TrafficData[[#This Row],[totalAmount]])</f>
        <v>1</v>
      </c>
      <c r="P2526" s="8" t="b">
        <f>AND(TrafficData[[#This Row],[pendingCourt]]&lt;=TrafficData[[#This Row],[totalCourt]],TrafficData[[#This Row],[disposedCourt]]&lt;=TrafficData[[#This Row],[totalCourt]])</f>
        <v>1</v>
      </c>
    </row>
    <row r="2527" spans="1:16">
      <c r="A2527" s="1">
        <v>44531</v>
      </c>
      <c r="B2527">
        <v>131056</v>
      </c>
      <c r="C2527">
        <v>63226</v>
      </c>
      <c r="D2527">
        <v>67830</v>
      </c>
      <c r="E2527">
        <v>85814209</v>
      </c>
      <c r="F2527">
        <v>78513840</v>
      </c>
      <c r="G2527">
        <v>164328049</v>
      </c>
      <c r="H2527">
        <v>20810</v>
      </c>
      <c r="I2527">
        <v>7544</v>
      </c>
      <c r="J2527">
        <v>28354</v>
      </c>
      <c r="K2527" t="b">
        <f>TrafficData[[#This Row],[disposedChallan]]+TrafficData[[#This Row],[pendingChallan]]=TrafficData[[#This Row],[totalChallan]]</f>
        <v>1</v>
      </c>
      <c r="L2527" t="b">
        <f>TrafficData[[#This Row],[pendingAmount]]+TrafficData[[#This Row],[disposedAmount]]=TrafficData[[#This Row],[totalAmount]]</f>
        <v>1</v>
      </c>
      <c r="M2527" t="b">
        <f>TrafficData[[#This Row],[pendingCourt]]+TrafficData[[#This Row],[disposedCourt]]=TrafficData[[#This Row],[totalCourt]]</f>
        <v>1</v>
      </c>
      <c r="N2527" s="8" t="b">
        <f>AND(TrafficData[[#This Row],[disposedChallan]]&lt;=TrafficData[[#This Row],[totalChallan]],TrafficData[[#This Row],[pendingChallan]]&lt;=TrafficData[[#This Row],[totalChallan]])</f>
        <v>1</v>
      </c>
      <c r="O2527" s="8" t="b">
        <f>AND(TrafficData[[#This Row],[pendingAmount]]&lt;=TrafficData[[#This Row],[totalAmount]],TrafficData[[#This Row],[disposedAmount]]&lt;=TrafficData[[#This Row],[totalAmount]])</f>
        <v>1</v>
      </c>
      <c r="P2527" s="8" t="b">
        <f>AND(TrafficData[[#This Row],[pendingCourt]]&lt;=TrafficData[[#This Row],[totalCourt]],TrafficData[[#This Row],[disposedCourt]]&lt;=TrafficData[[#This Row],[totalCourt]])</f>
        <v>1</v>
      </c>
    </row>
    <row r="2528" spans="1:16">
      <c r="A2528" s="1">
        <v>44532</v>
      </c>
      <c r="B2528">
        <v>125969</v>
      </c>
      <c r="C2528">
        <v>59806</v>
      </c>
      <c r="D2528">
        <v>66163</v>
      </c>
      <c r="E2528">
        <v>85297586</v>
      </c>
      <c r="F2528">
        <v>80922081</v>
      </c>
      <c r="G2528">
        <v>166219667</v>
      </c>
      <c r="H2528">
        <v>19700</v>
      </c>
      <c r="I2528">
        <v>6900</v>
      </c>
      <c r="J2528">
        <v>26600</v>
      </c>
      <c r="K2528" t="b">
        <f>TrafficData[[#This Row],[disposedChallan]]+TrafficData[[#This Row],[pendingChallan]]=TrafficData[[#This Row],[totalChallan]]</f>
        <v>1</v>
      </c>
      <c r="L2528" t="b">
        <f>TrafficData[[#This Row],[pendingAmount]]+TrafficData[[#This Row],[disposedAmount]]=TrafficData[[#This Row],[totalAmount]]</f>
        <v>1</v>
      </c>
      <c r="M2528" t="b">
        <f>TrafficData[[#This Row],[pendingCourt]]+TrafficData[[#This Row],[disposedCourt]]=TrafficData[[#This Row],[totalCourt]]</f>
        <v>1</v>
      </c>
      <c r="N2528" s="8" t="b">
        <f>AND(TrafficData[[#This Row],[disposedChallan]]&lt;=TrafficData[[#This Row],[totalChallan]],TrafficData[[#This Row],[pendingChallan]]&lt;=TrafficData[[#This Row],[totalChallan]])</f>
        <v>1</v>
      </c>
      <c r="O2528" s="8" t="b">
        <f>AND(TrafficData[[#This Row],[pendingAmount]]&lt;=TrafficData[[#This Row],[totalAmount]],TrafficData[[#This Row],[disposedAmount]]&lt;=TrafficData[[#This Row],[totalAmount]])</f>
        <v>1</v>
      </c>
      <c r="P2528" s="8" t="b">
        <f>AND(TrafficData[[#This Row],[pendingCourt]]&lt;=TrafficData[[#This Row],[totalCourt]],TrafficData[[#This Row],[disposedCourt]]&lt;=TrafficData[[#This Row],[totalCourt]])</f>
        <v>1</v>
      </c>
    </row>
    <row r="2529" spans="1:16">
      <c r="A2529" s="1">
        <v>44533</v>
      </c>
      <c r="B2529">
        <v>130466</v>
      </c>
      <c r="C2529">
        <v>61719</v>
      </c>
      <c r="D2529">
        <v>68747</v>
      </c>
      <c r="E2529">
        <v>87677373</v>
      </c>
      <c r="F2529">
        <v>82171585</v>
      </c>
      <c r="G2529">
        <v>169848958</v>
      </c>
      <c r="H2529">
        <v>20521</v>
      </c>
      <c r="I2529">
        <v>7255</v>
      </c>
      <c r="J2529">
        <v>27776</v>
      </c>
      <c r="K2529" t="b">
        <f>TrafficData[[#This Row],[disposedChallan]]+TrafficData[[#This Row],[pendingChallan]]=TrafficData[[#This Row],[totalChallan]]</f>
        <v>1</v>
      </c>
      <c r="L2529" t="b">
        <f>TrafficData[[#This Row],[pendingAmount]]+TrafficData[[#This Row],[disposedAmount]]=TrafficData[[#This Row],[totalAmount]]</f>
        <v>1</v>
      </c>
      <c r="M2529" t="b">
        <f>TrafficData[[#This Row],[pendingCourt]]+TrafficData[[#This Row],[disposedCourt]]=TrafficData[[#This Row],[totalCourt]]</f>
        <v>1</v>
      </c>
      <c r="N2529" s="8" t="b">
        <f>AND(TrafficData[[#This Row],[disposedChallan]]&lt;=TrafficData[[#This Row],[totalChallan]],TrafficData[[#This Row],[pendingChallan]]&lt;=TrafficData[[#This Row],[totalChallan]])</f>
        <v>1</v>
      </c>
      <c r="O2529" s="8" t="b">
        <f>AND(TrafficData[[#This Row],[pendingAmount]]&lt;=TrafficData[[#This Row],[totalAmount]],TrafficData[[#This Row],[disposedAmount]]&lt;=TrafficData[[#This Row],[totalAmount]])</f>
        <v>1</v>
      </c>
      <c r="P2529" s="8" t="b">
        <f>AND(TrafficData[[#This Row],[pendingCourt]]&lt;=TrafficData[[#This Row],[totalCourt]],TrafficData[[#This Row],[disposedCourt]]&lt;=TrafficData[[#This Row],[totalCourt]])</f>
        <v>1</v>
      </c>
    </row>
    <row r="2530" spans="1:16">
      <c r="A2530" s="1">
        <v>44534</v>
      </c>
      <c r="B2530">
        <v>128411</v>
      </c>
      <c r="C2530">
        <v>61088</v>
      </c>
      <c r="D2530">
        <v>67323</v>
      </c>
      <c r="E2530">
        <v>87248657</v>
      </c>
      <c r="F2530">
        <v>85418458</v>
      </c>
      <c r="G2530">
        <v>172667115</v>
      </c>
      <c r="H2530">
        <v>17465</v>
      </c>
      <c r="I2530">
        <v>6847</v>
      </c>
      <c r="J2530">
        <v>24312</v>
      </c>
      <c r="K2530" t="b">
        <f>TrafficData[[#This Row],[disposedChallan]]+TrafficData[[#This Row],[pendingChallan]]=TrafficData[[#This Row],[totalChallan]]</f>
        <v>1</v>
      </c>
      <c r="L2530" t="b">
        <f>TrafficData[[#This Row],[pendingAmount]]+TrafficData[[#This Row],[disposedAmount]]=TrafficData[[#This Row],[totalAmount]]</f>
        <v>1</v>
      </c>
      <c r="M2530" t="b">
        <f>TrafficData[[#This Row],[pendingCourt]]+TrafficData[[#This Row],[disposedCourt]]=TrafficData[[#This Row],[totalCourt]]</f>
        <v>1</v>
      </c>
      <c r="N2530" s="8" t="b">
        <f>AND(TrafficData[[#This Row],[disposedChallan]]&lt;=TrafficData[[#This Row],[totalChallan]],TrafficData[[#This Row],[pendingChallan]]&lt;=TrafficData[[#This Row],[totalChallan]])</f>
        <v>1</v>
      </c>
      <c r="O2530" s="8" t="b">
        <f>AND(TrafficData[[#This Row],[pendingAmount]]&lt;=TrafficData[[#This Row],[totalAmount]],TrafficData[[#This Row],[disposedAmount]]&lt;=TrafficData[[#This Row],[totalAmount]])</f>
        <v>1</v>
      </c>
      <c r="P2530" s="8" t="b">
        <f>AND(TrafficData[[#This Row],[pendingCourt]]&lt;=TrafficData[[#This Row],[totalCourt]],TrafficData[[#This Row],[disposedCourt]]&lt;=TrafficData[[#This Row],[totalCourt]])</f>
        <v>1</v>
      </c>
    </row>
    <row r="2531" spans="1:16">
      <c r="A2531" s="1">
        <v>44535</v>
      </c>
      <c r="B2531">
        <v>117851</v>
      </c>
      <c r="C2531">
        <v>53269</v>
      </c>
      <c r="D2531">
        <v>64582</v>
      </c>
      <c r="E2531">
        <v>76975884</v>
      </c>
      <c r="F2531">
        <v>60218114</v>
      </c>
      <c r="G2531">
        <v>137193998</v>
      </c>
      <c r="H2531">
        <v>15840</v>
      </c>
      <c r="I2531">
        <v>6422</v>
      </c>
      <c r="J2531">
        <v>22262</v>
      </c>
      <c r="K2531" t="b">
        <f>TrafficData[[#This Row],[disposedChallan]]+TrafficData[[#This Row],[pendingChallan]]=TrafficData[[#This Row],[totalChallan]]</f>
        <v>1</v>
      </c>
      <c r="L2531" t="b">
        <f>TrafficData[[#This Row],[pendingAmount]]+TrafficData[[#This Row],[disposedAmount]]=TrafficData[[#This Row],[totalAmount]]</f>
        <v>1</v>
      </c>
      <c r="M2531" t="b">
        <f>TrafficData[[#This Row],[pendingCourt]]+TrafficData[[#This Row],[disposedCourt]]=TrafficData[[#This Row],[totalCourt]]</f>
        <v>1</v>
      </c>
      <c r="N2531" s="8" t="b">
        <f>AND(TrafficData[[#This Row],[disposedChallan]]&lt;=TrafficData[[#This Row],[totalChallan]],TrafficData[[#This Row],[pendingChallan]]&lt;=TrafficData[[#This Row],[totalChallan]])</f>
        <v>1</v>
      </c>
      <c r="O2531" s="8" t="b">
        <f>AND(TrafficData[[#This Row],[pendingAmount]]&lt;=TrafficData[[#This Row],[totalAmount]],TrafficData[[#This Row],[disposedAmount]]&lt;=TrafficData[[#This Row],[totalAmount]])</f>
        <v>1</v>
      </c>
      <c r="P2531" s="8" t="b">
        <f>AND(TrafficData[[#This Row],[pendingCourt]]&lt;=TrafficData[[#This Row],[totalCourt]],TrafficData[[#This Row],[disposedCourt]]&lt;=TrafficData[[#This Row],[totalCourt]])</f>
        <v>1</v>
      </c>
    </row>
    <row r="2532" spans="1:16">
      <c r="A2532" s="1">
        <v>44536</v>
      </c>
      <c r="B2532">
        <v>124082</v>
      </c>
      <c r="C2532">
        <v>59675</v>
      </c>
      <c r="D2532">
        <v>64407</v>
      </c>
      <c r="E2532">
        <v>88439447</v>
      </c>
      <c r="F2532">
        <v>71846411</v>
      </c>
      <c r="G2532">
        <v>160285858</v>
      </c>
      <c r="H2532">
        <v>20108</v>
      </c>
      <c r="I2532">
        <v>7476</v>
      </c>
      <c r="J2532">
        <v>27584</v>
      </c>
      <c r="K2532" t="b">
        <f>TrafficData[[#This Row],[disposedChallan]]+TrafficData[[#This Row],[pendingChallan]]=TrafficData[[#This Row],[totalChallan]]</f>
        <v>1</v>
      </c>
      <c r="L2532" t="b">
        <f>TrafficData[[#This Row],[pendingAmount]]+TrafficData[[#This Row],[disposedAmount]]=TrafficData[[#This Row],[totalAmount]]</f>
        <v>1</v>
      </c>
      <c r="M2532" t="b">
        <f>TrafficData[[#This Row],[pendingCourt]]+TrafficData[[#This Row],[disposedCourt]]=TrafficData[[#This Row],[totalCourt]]</f>
        <v>1</v>
      </c>
      <c r="N2532" s="8" t="b">
        <f>AND(TrafficData[[#This Row],[disposedChallan]]&lt;=TrafficData[[#This Row],[totalChallan]],TrafficData[[#This Row],[pendingChallan]]&lt;=TrafficData[[#This Row],[totalChallan]])</f>
        <v>1</v>
      </c>
      <c r="O2532" s="8" t="b">
        <f>AND(TrafficData[[#This Row],[pendingAmount]]&lt;=TrafficData[[#This Row],[totalAmount]],TrafficData[[#This Row],[disposedAmount]]&lt;=TrafficData[[#This Row],[totalAmount]])</f>
        <v>1</v>
      </c>
      <c r="P2532" s="8" t="b">
        <f>AND(TrafficData[[#This Row],[pendingCourt]]&lt;=TrafficData[[#This Row],[totalCourt]],TrafficData[[#This Row],[disposedCourt]]&lt;=TrafficData[[#This Row],[totalCourt]])</f>
        <v>1</v>
      </c>
    </row>
    <row r="2533" spans="1:16">
      <c r="A2533" s="1">
        <v>44537</v>
      </c>
      <c r="B2533">
        <v>125779</v>
      </c>
      <c r="C2533">
        <v>60719</v>
      </c>
      <c r="D2533">
        <v>65060</v>
      </c>
      <c r="E2533">
        <v>90151385</v>
      </c>
      <c r="F2533">
        <v>82097005</v>
      </c>
      <c r="G2533">
        <v>172248390</v>
      </c>
      <c r="H2533">
        <v>21273</v>
      </c>
      <c r="I2533">
        <v>7600</v>
      </c>
      <c r="J2533">
        <v>28873</v>
      </c>
      <c r="K2533" t="b">
        <f>TrafficData[[#This Row],[disposedChallan]]+TrafficData[[#This Row],[pendingChallan]]=TrafficData[[#This Row],[totalChallan]]</f>
        <v>1</v>
      </c>
      <c r="L2533" t="b">
        <f>TrafficData[[#This Row],[pendingAmount]]+TrafficData[[#This Row],[disposedAmount]]=TrafficData[[#This Row],[totalAmount]]</f>
        <v>1</v>
      </c>
      <c r="M2533" t="b">
        <f>TrafficData[[#This Row],[pendingCourt]]+TrafficData[[#This Row],[disposedCourt]]=TrafficData[[#This Row],[totalCourt]]</f>
        <v>1</v>
      </c>
      <c r="N2533" s="8" t="b">
        <f>AND(TrafficData[[#This Row],[disposedChallan]]&lt;=TrafficData[[#This Row],[totalChallan]],TrafficData[[#This Row],[pendingChallan]]&lt;=TrafficData[[#This Row],[totalChallan]])</f>
        <v>1</v>
      </c>
      <c r="O2533" s="8" t="b">
        <f>AND(TrafficData[[#This Row],[pendingAmount]]&lt;=TrafficData[[#This Row],[totalAmount]],TrafficData[[#This Row],[disposedAmount]]&lt;=TrafficData[[#This Row],[totalAmount]])</f>
        <v>1</v>
      </c>
      <c r="P2533" s="8" t="b">
        <f>AND(TrafficData[[#This Row],[pendingCourt]]&lt;=TrafficData[[#This Row],[totalCourt]],TrafficData[[#This Row],[disposedCourt]]&lt;=TrafficData[[#This Row],[totalCourt]])</f>
        <v>1</v>
      </c>
    </row>
    <row r="2534" spans="1:16">
      <c r="A2534" s="1">
        <v>44538</v>
      </c>
      <c r="B2534">
        <v>125986</v>
      </c>
      <c r="C2534">
        <v>62247</v>
      </c>
      <c r="D2534">
        <v>63739</v>
      </c>
      <c r="E2534">
        <v>92410406</v>
      </c>
      <c r="F2534">
        <v>87836585</v>
      </c>
      <c r="G2534">
        <v>180246991</v>
      </c>
      <c r="H2534">
        <v>22889</v>
      </c>
      <c r="I2534">
        <v>8353</v>
      </c>
      <c r="J2534">
        <v>31242</v>
      </c>
      <c r="K2534" t="b">
        <f>TrafficData[[#This Row],[disposedChallan]]+TrafficData[[#This Row],[pendingChallan]]=TrafficData[[#This Row],[totalChallan]]</f>
        <v>1</v>
      </c>
      <c r="L2534" t="b">
        <f>TrafficData[[#This Row],[pendingAmount]]+TrafficData[[#This Row],[disposedAmount]]=TrafficData[[#This Row],[totalAmount]]</f>
        <v>1</v>
      </c>
      <c r="M2534" t="b">
        <f>TrafficData[[#This Row],[pendingCourt]]+TrafficData[[#This Row],[disposedCourt]]=TrafficData[[#This Row],[totalCourt]]</f>
        <v>1</v>
      </c>
      <c r="N2534" s="8" t="b">
        <f>AND(TrafficData[[#This Row],[disposedChallan]]&lt;=TrafficData[[#This Row],[totalChallan]],TrafficData[[#This Row],[pendingChallan]]&lt;=TrafficData[[#This Row],[totalChallan]])</f>
        <v>1</v>
      </c>
      <c r="O2534" s="8" t="b">
        <f>AND(TrafficData[[#This Row],[pendingAmount]]&lt;=TrafficData[[#This Row],[totalAmount]],TrafficData[[#This Row],[disposedAmount]]&lt;=TrafficData[[#This Row],[totalAmount]])</f>
        <v>1</v>
      </c>
      <c r="P2534" s="8" t="b">
        <f>AND(TrafficData[[#This Row],[pendingCourt]]&lt;=TrafficData[[#This Row],[totalCourt]],TrafficData[[#This Row],[disposedCourt]]&lt;=TrafficData[[#This Row],[totalCourt]])</f>
        <v>1</v>
      </c>
    </row>
    <row r="2535" spans="1:16">
      <c r="A2535" s="1">
        <v>44539</v>
      </c>
      <c r="B2535">
        <v>125931</v>
      </c>
      <c r="C2535">
        <v>60040</v>
      </c>
      <c r="D2535">
        <v>65891</v>
      </c>
      <c r="E2535">
        <v>93914894</v>
      </c>
      <c r="F2535">
        <v>82511769</v>
      </c>
      <c r="G2535">
        <v>176426663</v>
      </c>
      <c r="H2535">
        <v>21036</v>
      </c>
      <c r="I2535">
        <v>7655</v>
      </c>
      <c r="J2535">
        <v>28691</v>
      </c>
      <c r="K2535" t="b">
        <f>TrafficData[[#This Row],[disposedChallan]]+TrafficData[[#This Row],[pendingChallan]]=TrafficData[[#This Row],[totalChallan]]</f>
        <v>1</v>
      </c>
      <c r="L2535" t="b">
        <f>TrafficData[[#This Row],[pendingAmount]]+TrafficData[[#This Row],[disposedAmount]]=TrafficData[[#This Row],[totalAmount]]</f>
        <v>1</v>
      </c>
      <c r="M2535" t="b">
        <f>TrafficData[[#This Row],[pendingCourt]]+TrafficData[[#This Row],[disposedCourt]]=TrafficData[[#This Row],[totalCourt]]</f>
        <v>1</v>
      </c>
      <c r="N2535" s="8" t="b">
        <f>AND(TrafficData[[#This Row],[disposedChallan]]&lt;=TrafficData[[#This Row],[totalChallan]],TrafficData[[#This Row],[pendingChallan]]&lt;=TrafficData[[#This Row],[totalChallan]])</f>
        <v>1</v>
      </c>
      <c r="O2535" s="8" t="b">
        <f>AND(TrafficData[[#This Row],[pendingAmount]]&lt;=TrafficData[[#This Row],[totalAmount]],TrafficData[[#This Row],[disposedAmount]]&lt;=TrafficData[[#This Row],[totalAmount]])</f>
        <v>1</v>
      </c>
      <c r="P2535" s="8" t="b">
        <f>AND(TrafficData[[#This Row],[pendingCourt]]&lt;=TrafficData[[#This Row],[totalCourt]],TrafficData[[#This Row],[disposedCourt]]&lt;=TrafficData[[#This Row],[totalCourt]])</f>
        <v>1</v>
      </c>
    </row>
    <row r="2536" spans="1:16">
      <c r="A2536" s="1">
        <v>44540</v>
      </c>
      <c r="B2536">
        <v>121596</v>
      </c>
      <c r="C2536">
        <v>57855</v>
      </c>
      <c r="D2536">
        <v>63741</v>
      </c>
      <c r="E2536">
        <v>89785767</v>
      </c>
      <c r="F2536">
        <v>75753433</v>
      </c>
      <c r="G2536">
        <v>165539200</v>
      </c>
      <c r="H2536">
        <v>22411</v>
      </c>
      <c r="I2536">
        <v>7539</v>
      </c>
      <c r="J2536">
        <v>29950</v>
      </c>
      <c r="K2536" t="b">
        <f>TrafficData[[#This Row],[disposedChallan]]+TrafficData[[#This Row],[pendingChallan]]=TrafficData[[#This Row],[totalChallan]]</f>
        <v>1</v>
      </c>
      <c r="L2536" t="b">
        <f>TrafficData[[#This Row],[pendingAmount]]+TrafficData[[#This Row],[disposedAmount]]=TrafficData[[#This Row],[totalAmount]]</f>
        <v>1</v>
      </c>
      <c r="M2536" t="b">
        <f>TrafficData[[#This Row],[pendingCourt]]+TrafficData[[#This Row],[disposedCourt]]=TrafficData[[#This Row],[totalCourt]]</f>
        <v>1</v>
      </c>
      <c r="N2536" s="8" t="b">
        <f>AND(TrafficData[[#This Row],[disposedChallan]]&lt;=TrafficData[[#This Row],[totalChallan]],TrafficData[[#This Row],[pendingChallan]]&lt;=TrafficData[[#This Row],[totalChallan]])</f>
        <v>1</v>
      </c>
      <c r="O2536" s="8" t="b">
        <f>AND(TrafficData[[#This Row],[pendingAmount]]&lt;=TrafficData[[#This Row],[totalAmount]],TrafficData[[#This Row],[disposedAmount]]&lt;=TrafficData[[#This Row],[totalAmount]])</f>
        <v>1</v>
      </c>
      <c r="P2536" s="8" t="b">
        <f>AND(TrafficData[[#This Row],[pendingCourt]]&lt;=TrafficData[[#This Row],[totalCourt]],TrafficData[[#This Row],[disposedCourt]]&lt;=TrafficData[[#This Row],[totalCourt]])</f>
        <v>1</v>
      </c>
    </row>
    <row r="2537" spans="1:16">
      <c r="A2537" s="1">
        <v>44541</v>
      </c>
      <c r="B2537">
        <v>119278</v>
      </c>
      <c r="C2537">
        <v>59352</v>
      </c>
      <c r="D2537">
        <v>59926</v>
      </c>
      <c r="E2537">
        <v>75027145</v>
      </c>
      <c r="F2537">
        <v>74557464</v>
      </c>
      <c r="G2537">
        <v>149584609</v>
      </c>
      <c r="H2537">
        <v>16630</v>
      </c>
      <c r="I2537">
        <v>6272</v>
      </c>
      <c r="J2537">
        <v>22902</v>
      </c>
      <c r="K2537" t="b">
        <f>TrafficData[[#This Row],[disposedChallan]]+TrafficData[[#This Row],[pendingChallan]]=TrafficData[[#This Row],[totalChallan]]</f>
        <v>1</v>
      </c>
      <c r="L2537" t="b">
        <f>TrafficData[[#This Row],[pendingAmount]]+TrafficData[[#This Row],[disposedAmount]]=TrafficData[[#This Row],[totalAmount]]</f>
        <v>1</v>
      </c>
      <c r="M2537" t="b">
        <f>TrafficData[[#This Row],[pendingCourt]]+TrafficData[[#This Row],[disposedCourt]]=TrafficData[[#This Row],[totalCourt]]</f>
        <v>1</v>
      </c>
      <c r="N2537" s="8" t="b">
        <f>AND(TrafficData[[#This Row],[disposedChallan]]&lt;=TrafficData[[#This Row],[totalChallan]],TrafficData[[#This Row],[pendingChallan]]&lt;=TrafficData[[#This Row],[totalChallan]])</f>
        <v>1</v>
      </c>
      <c r="O2537" s="8" t="b">
        <f>AND(TrafficData[[#This Row],[pendingAmount]]&lt;=TrafficData[[#This Row],[totalAmount]],TrafficData[[#This Row],[disposedAmount]]&lt;=TrafficData[[#This Row],[totalAmount]])</f>
        <v>1</v>
      </c>
      <c r="P2537" s="8" t="b">
        <f>AND(TrafficData[[#This Row],[pendingCourt]]&lt;=TrafficData[[#This Row],[totalCourt]],TrafficData[[#This Row],[disposedCourt]]&lt;=TrafficData[[#This Row],[totalCourt]])</f>
        <v>1</v>
      </c>
    </row>
    <row r="2538" spans="1:16">
      <c r="A2538" s="1">
        <v>44542</v>
      </c>
      <c r="B2538">
        <v>116094</v>
      </c>
      <c r="C2538">
        <v>51084</v>
      </c>
      <c r="D2538">
        <v>65010</v>
      </c>
      <c r="E2538">
        <v>78118495</v>
      </c>
      <c r="F2538">
        <v>56049971</v>
      </c>
      <c r="G2538">
        <v>134168466</v>
      </c>
      <c r="H2538">
        <v>16585</v>
      </c>
      <c r="I2538">
        <v>6449</v>
      </c>
      <c r="J2538">
        <v>23034</v>
      </c>
      <c r="K2538" t="b">
        <f>TrafficData[[#This Row],[disposedChallan]]+TrafficData[[#This Row],[pendingChallan]]=TrafficData[[#This Row],[totalChallan]]</f>
        <v>1</v>
      </c>
      <c r="L2538" t="b">
        <f>TrafficData[[#This Row],[pendingAmount]]+TrafficData[[#This Row],[disposedAmount]]=TrafficData[[#This Row],[totalAmount]]</f>
        <v>1</v>
      </c>
      <c r="M2538" t="b">
        <f>TrafficData[[#This Row],[pendingCourt]]+TrafficData[[#This Row],[disposedCourt]]=TrafficData[[#This Row],[totalCourt]]</f>
        <v>1</v>
      </c>
      <c r="N2538" s="8" t="b">
        <f>AND(TrafficData[[#This Row],[disposedChallan]]&lt;=TrafficData[[#This Row],[totalChallan]],TrafficData[[#This Row],[pendingChallan]]&lt;=TrafficData[[#This Row],[totalChallan]])</f>
        <v>1</v>
      </c>
      <c r="O2538" s="8" t="b">
        <f>AND(TrafficData[[#This Row],[pendingAmount]]&lt;=TrafficData[[#This Row],[totalAmount]],TrafficData[[#This Row],[disposedAmount]]&lt;=TrafficData[[#This Row],[totalAmount]])</f>
        <v>1</v>
      </c>
      <c r="P2538" s="8" t="b">
        <f>AND(TrafficData[[#This Row],[pendingCourt]]&lt;=TrafficData[[#This Row],[totalCourt]],TrafficData[[#This Row],[disposedCourt]]&lt;=TrafficData[[#This Row],[totalCourt]])</f>
        <v>1</v>
      </c>
    </row>
    <row r="2539" spans="1:16">
      <c r="A2539" s="1">
        <v>44543</v>
      </c>
      <c r="B2539">
        <v>121697</v>
      </c>
      <c r="C2539">
        <v>58319</v>
      </c>
      <c r="D2539">
        <v>63378</v>
      </c>
      <c r="E2539">
        <v>88429704</v>
      </c>
      <c r="F2539">
        <v>70205313</v>
      </c>
      <c r="G2539">
        <v>158635017</v>
      </c>
      <c r="H2539">
        <v>20364</v>
      </c>
      <c r="I2539">
        <v>7246</v>
      </c>
      <c r="J2539">
        <v>27610</v>
      </c>
      <c r="K2539" t="b">
        <f>TrafficData[[#This Row],[disposedChallan]]+TrafficData[[#This Row],[pendingChallan]]=TrafficData[[#This Row],[totalChallan]]</f>
        <v>1</v>
      </c>
      <c r="L2539" t="b">
        <f>TrafficData[[#This Row],[pendingAmount]]+TrafficData[[#This Row],[disposedAmount]]=TrafficData[[#This Row],[totalAmount]]</f>
        <v>1</v>
      </c>
      <c r="M2539" t="b">
        <f>TrafficData[[#This Row],[pendingCourt]]+TrafficData[[#This Row],[disposedCourt]]=TrafficData[[#This Row],[totalCourt]]</f>
        <v>1</v>
      </c>
      <c r="N2539" s="8" t="b">
        <f>AND(TrafficData[[#This Row],[disposedChallan]]&lt;=TrafficData[[#This Row],[totalChallan]],TrafficData[[#This Row],[pendingChallan]]&lt;=TrafficData[[#This Row],[totalChallan]])</f>
        <v>1</v>
      </c>
      <c r="O2539" s="8" t="b">
        <f>AND(TrafficData[[#This Row],[pendingAmount]]&lt;=TrafficData[[#This Row],[totalAmount]],TrafficData[[#This Row],[disposedAmount]]&lt;=TrafficData[[#This Row],[totalAmount]])</f>
        <v>1</v>
      </c>
      <c r="P2539" s="8" t="b">
        <f>AND(TrafficData[[#This Row],[pendingCourt]]&lt;=TrafficData[[#This Row],[totalCourt]],TrafficData[[#This Row],[disposedCourt]]&lt;=TrafficData[[#This Row],[totalCourt]])</f>
        <v>1</v>
      </c>
    </row>
    <row r="2540" spans="1:16">
      <c r="A2540" s="1">
        <v>44544</v>
      </c>
      <c r="B2540">
        <v>125529</v>
      </c>
      <c r="C2540">
        <v>59157</v>
      </c>
      <c r="D2540">
        <v>66372</v>
      </c>
      <c r="E2540">
        <v>94953358</v>
      </c>
      <c r="F2540">
        <v>77747870</v>
      </c>
      <c r="G2540">
        <v>172701228</v>
      </c>
      <c r="H2540">
        <v>20386</v>
      </c>
      <c r="I2540">
        <v>7437</v>
      </c>
      <c r="J2540">
        <v>27823</v>
      </c>
      <c r="K2540" t="b">
        <f>TrafficData[[#This Row],[disposedChallan]]+TrafficData[[#This Row],[pendingChallan]]=TrafficData[[#This Row],[totalChallan]]</f>
        <v>1</v>
      </c>
      <c r="L2540" t="b">
        <f>TrafficData[[#This Row],[pendingAmount]]+TrafficData[[#This Row],[disposedAmount]]=TrafficData[[#This Row],[totalAmount]]</f>
        <v>1</v>
      </c>
      <c r="M2540" t="b">
        <f>TrafficData[[#This Row],[pendingCourt]]+TrafficData[[#This Row],[disposedCourt]]=TrafficData[[#This Row],[totalCourt]]</f>
        <v>1</v>
      </c>
      <c r="N2540" s="8" t="b">
        <f>AND(TrafficData[[#This Row],[disposedChallan]]&lt;=TrafficData[[#This Row],[totalChallan]],TrafficData[[#This Row],[pendingChallan]]&lt;=TrafficData[[#This Row],[totalChallan]])</f>
        <v>1</v>
      </c>
      <c r="O2540" s="8" t="b">
        <f>AND(TrafficData[[#This Row],[pendingAmount]]&lt;=TrafficData[[#This Row],[totalAmount]],TrafficData[[#This Row],[disposedAmount]]&lt;=TrafficData[[#This Row],[totalAmount]])</f>
        <v>1</v>
      </c>
      <c r="P2540" s="8" t="b">
        <f>AND(TrafficData[[#This Row],[pendingCourt]]&lt;=TrafficData[[#This Row],[totalCourt]],TrafficData[[#This Row],[disposedCourt]]&lt;=TrafficData[[#This Row],[totalCourt]])</f>
        <v>1</v>
      </c>
    </row>
    <row r="2541" spans="1:16">
      <c r="A2541" s="1">
        <v>44545</v>
      </c>
      <c r="B2541">
        <v>134256</v>
      </c>
      <c r="C2541">
        <v>64158</v>
      </c>
      <c r="D2541">
        <v>70098</v>
      </c>
      <c r="E2541">
        <v>102992034</v>
      </c>
      <c r="F2541">
        <v>86348933</v>
      </c>
      <c r="G2541">
        <v>189340967</v>
      </c>
      <c r="H2541">
        <v>21727</v>
      </c>
      <c r="I2541">
        <v>7706</v>
      </c>
      <c r="J2541">
        <v>29433</v>
      </c>
      <c r="K2541" t="b">
        <f>TrafficData[[#This Row],[disposedChallan]]+TrafficData[[#This Row],[pendingChallan]]=TrafficData[[#This Row],[totalChallan]]</f>
        <v>1</v>
      </c>
      <c r="L2541" t="b">
        <f>TrafficData[[#This Row],[pendingAmount]]+TrafficData[[#This Row],[disposedAmount]]=TrafficData[[#This Row],[totalAmount]]</f>
        <v>1</v>
      </c>
      <c r="M2541" t="b">
        <f>TrafficData[[#This Row],[pendingCourt]]+TrafficData[[#This Row],[disposedCourt]]=TrafficData[[#This Row],[totalCourt]]</f>
        <v>1</v>
      </c>
      <c r="N2541" s="8" t="b">
        <f>AND(TrafficData[[#This Row],[disposedChallan]]&lt;=TrafficData[[#This Row],[totalChallan]],TrafficData[[#This Row],[pendingChallan]]&lt;=TrafficData[[#This Row],[totalChallan]])</f>
        <v>1</v>
      </c>
      <c r="O2541" s="8" t="b">
        <f>AND(TrafficData[[#This Row],[pendingAmount]]&lt;=TrafficData[[#This Row],[totalAmount]],TrafficData[[#This Row],[disposedAmount]]&lt;=TrafficData[[#This Row],[totalAmount]])</f>
        <v>1</v>
      </c>
      <c r="P2541" s="8" t="b">
        <f>AND(TrafficData[[#This Row],[pendingCourt]]&lt;=TrafficData[[#This Row],[totalCourt]],TrafficData[[#This Row],[disposedCourt]]&lt;=TrafficData[[#This Row],[totalCourt]])</f>
        <v>1</v>
      </c>
    </row>
    <row r="2542" spans="1:16">
      <c r="A2542" s="1">
        <v>44546</v>
      </c>
      <c r="B2542">
        <v>134670</v>
      </c>
      <c r="C2542">
        <v>62521</v>
      </c>
      <c r="D2542">
        <v>72149</v>
      </c>
      <c r="E2542">
        <v>103490949</v>
      </c>
      <c r="F2542">
        <v>82553625</v>
      </c>
      <c r="G2542">
        <v>186044574</v>
      </c>
      <c r="H2542">
        <v>21016</v>
      </c>
      <c r="I2542">
        <v>7211</v>
      </c>
      <c r="J2542">
        <v>28227</v>
      </c>
      <c r="K2542" t="b">
        <f>TrafficData[[#This Row],[disposedChallan]]+TrafficData[[#This Row],[pendingChallan]]=TrafficData[[#This Row],[totalChallan]]</f>
        <v>1</v>
      </c>
      <c r="L2542" t="b">
        <f>TrafficData[[#This Row],[pendingAmount]]+TrafficData[[#This Row],[disposedAmount]]=TrafficData[[#This Row],[totalAmount]]</f>
        <v>1</v>
      </c>
      <c r="M2542" t="b">
        <f>TrafficData[[#This Row],[pendingCourt]]+TrafficData[[#This Row],[disposedCourt]]=TrafficData[[#This Row],[totalCourt]]</f>
        <v>1</v>
      </c>
      <c r="N2542" s="8" t="b">
        <f>AND(TrafficData[[#This Row],[disposedChallan]]&lt;=TrafficData[[#This Row],[totalChallan]],TrafficData[[#This Row],[pendingChallan]]&lt;=TrafficData[[#This Row],[totalChallan]])</f>
        <v>1</v>
      </c>
      <c r="O2542" s="8" t="b">
        <f>AND(TrafficData[[#This Row],[pendingAmount]]&lt;=TrafficData[[#This Row],[totalAmount]],TrafficData[[#This Row],[disposedAmount]]&lt;=TrafficData[[#This Row],[totalAmount]])</f>
        <v>1</v>
      </c>
      <c r="P2542" s="8" t="b">
        <f>AND(TrafficData[[#This Row],[pendingCourt]]&lt;=TrafficData[[#This Row],[totalCourt]],TrafficData[[#This Row],[disposedCourt]]&lt;=TrafficData[[#This Row],[totalCourt]])</f>
        <v>1</v>
      </c>
    </row>
    <row r="2543" spans="1:16">
      <c r="A2543" s="1">
        <v>44547</v>
      </c>
      <c r="B2543">
        <v>128851</v>
      </c>
      <c r="C2543">
        <v>61330</v>
      </c>
      <c r="D2543">
        <v>67521</v>
      </c>
      <c r="E2543">
        <v>93156236</v>
      </c>
      <c r="F2543">
        <v>82157195</v>
      </c>
      <c r="G2543">
        <v>175313431</v>
      </c>
      <c r="H2543">
        <v>21209</v>
      </c>
      <c r="I2543">
        <v>7549</v>
      </c>
      <c r="J2543">
        <v>28758</v>
      </c>
      <c r="K2543" t="b">
        <f>TrafficData[[#This Row],[disposedChallan]]+TrafficData[[#This Row],[pendingChallan]]=TrafficData[[#This Row],[totalChallan]]</f>
        <v>1</v>
      </c>
      <c r="L2543" t="b">
        <f>TrafficData[[#This Row],[pendingAmount]]+TrafficData[[#This Row],[disposedAmount]]=TrafficData[[#This Row],[totalAmount]]</f>
        <v>1</v>
      </c>
      <c r="M2543" t="b">
        <f>TrafficData[[#This Row],[pendingCourt]]+TrafficData[[#This Row],[disposedCourt]]=TrafficData[[#This Row],[totalCourt]]</f>
        <v>1</v>
      </c>
      <c r="N2543" s="8" t="b">
        <f>AND(TrafficData[[#This Row],[disposedChallan]]&lt;=TrafficData[[#This Row],[totalChallan]],TrafficData[[#This Row],[pendingChallan]]&lt;=TrafficData[[#This Row],[totalChallan]])</f>
        <v>1</v>
      </c>
      <c r="O2543" s="8" t="b">
        <f>AND(TrafficData[[#This Row],[pendingAmount]]&lt;=TrafficData[[#This Row],[totalAmount]],TrafficData[[#This Row],[disposedAmount]]&lt;=TrafficData[[#This Row],[totalAmount]])</f>
        <v>1</v>
      </c>
      <c r="P2543" s="8" t="b">
        <f>AND(TrafficData[[#This Row],[pendingCourt]]&lt;=TrafficData[[#This Row],[totalCourt]],TrafficData[[#This Row],[disposedCourt]]&lt;=TrafficData[[#This Row],[totalCourt]])</f>
        <v>1</v>
      </c>
    </row>
    <row r="2544" spans="1:16">
      <c r="A2544" s="1">
        <v>44548</v>
      </c>
      <c r="B2544">
        <v>132252</v>
      </c>
      <c r="C2544">
        <v>60593</v>
      </c>
      <c r="D2544">
        <v>71659</v>
      </c>
      <c r="E2544">
        <v>97638983</v>
      </c>
      <c r="F2544">
        <v>80354531</v>
      </c>
      <c r="G2544">
        <v>177993514</v>
      </c>
      <c r="H2544">
        <v>19959</v>
      </c>
      <c r="I2544">
        <v>7195</v>
      </c>
      <c r="J2544">
        <v>27154</v>
      </c>
      <c r="K2544" t="b">
        <f>TrafficData[[#This Row],[disposedChallan]]+TrafficData[[#This Row],[pendingChallan]]=TrafficData[[#This Row],[totalChallan]]</f>
        <v>1</v>
      </c>
      <c r="L2544" t="b">
        <f>TrafficData[[#This Row],[pendingAmount]]+TrafficData[[#This Row],[disposedAmount]]=TrafficData[[#This Row],[totalAmount]]</f>
        <v>1</v>
      </c>
      <c r="M2544" t="b">
        <f>TrafficData[[#This Row],[pendingCourt]]+TrafficData[[#This Row],[disposedCourt]]=TrafficData[[#This Row],[totalCourt]]</f>
        <v>1</v>
      </c>
      <c r="N2544" s="8" t="b">
        <f>AND(TrafficData[[#This Row],[disposedChallan]]&lt;=TrafficData[[#This Row],[totalChallan]],TrafficData[[#This Row],[pendingChallan]]&lt;=TrafficData[[#This Row],[totalChallan]])</f>
        <v>1</v>
      </c>
      <c r="O2544" s="8" t="b">
        <f>AND(TrafficData[[#This Row],[pendingAmount]]&lt;=TrafficData[[#This Row],[totalAmount]],TrafficData[[#This Row],[disposedAmount]]&lt;=TrafficData[[#This Row],[totalAmount]])</f>
        <v>1</v>
      </c>
      <c r="P2544" s="8" t="b">
        <f>AND(TrafficData[[#This Row],[pendingCourt]]&lt;=TrafficData[[#This Row],[totalCourt]],TrafficData[[#This Row],[disposedCourt]]&lt;=TrafficData[[#This Row],[totalCourt]])</f>
        <v>1</v>
      </c>
    </row>
    <row r="2545" spans="1:16">
      <c r="A2545" s="1">
        <v>44549</v>
      </c>
      <c r="B2545">
        <v>124333</v>
      </c>
      <c r="C2545">
        <v>52185</v>
      </c>
      <c r="D2545">
        <v>72148</v>
      </c>
      <c r="E2545">
        <v>82745914</v>
      </c>
      <c r="F2545">
        <v>56922872</v>
      </c>
      <c r="G2545">
        <v>139668786</v>
      </c>
      <c r="H2545">
        <v>18135</v>
      </c>
      <c r="I2545">
        <v>6192</v>
      </c>
      <c r="J2545">
        <v>24327</v>
      </c>
      <c r="K2545" t="b">
        <f>TrafficData[[#This Row],[disposedChallan]]+TrafficData[[#This Row],[pendingChallan]]=TrafficData[[#This Row],[totalChallan]]</f>
        <v>1</v>
      </c>
      <c r="L2545" t="b">
        <f>TrafficData[[#This Row],[pendingAmount]]+TrafficData[[#This Row],[disposedAmount]]=TrafficData[[#This Row],[totalAmount]]</f>
        <v>1</v>
      </c>
      <c r="M2545" t="b">
        <f>TrafficData[[#This Row],[pendingCourt]]+TrafficData[[#This Row],[disposedCourt]]=TrafficData[[#This Row],[totalCourt]]</f>
        <v>1</v>
      </c>
      <c r="N2545" s="8" t="b">
        <f>AND(TrafficData[[#This Row],[disposedChallan]]&lt;=TrafficData[[#This Row],[totalChallan]],TrafficData[[#This Row],[pendingChallan]]&lt;=TrafficData[[#This Row],[totalChallan]])</f>
        <v>1</v>
      </c>
      <c r="O2545" s="8" t="b">
        <f>AND(TrafficData[[#This Row],[pendingAmount]]&lt;=TrafficData[[#This Row],[totalAmount]],TrafficData[[#This Row],[disposedAmount]]&lt;=TrafficData[[#This Row],[totalAmount]])</f>
        <v>1</v>
      </c>
      <c r="P2545" s="8" t="b">
        <f>AND(TrafficData[[#This Row],[pendingCourt]]&lt;=TrafficData[[#This Row],[totalCourt]],TrafficData[[#This Row],[disposedCourt]]&lt;=TrafficData[[#This Row],[totalCourt]])</f>
        <v>1</v>
      </c>
    </row>
    <row r="2546" spans="1:16">
      <c r="A2546" s="1">
        <v>44550</v>
      </c>
      <c r="B2546">
        <v>133481</v>
      </c>
      <c r="C2546">
        <v>61833</v>
      </c>
      <c r="D2546">
        <v>71648</v>
      </c>
      <c r="E2546">
        <v>89765733</v>
      </c>
      <c r="F2546">
        <v>71346693</v>
      </c>
      <c r="G2546">
        <v>161112426</v>
      </c>
      <c r="H2546">
        <v>21425</v>
      </c>
      <c r="I2546">
        <v>7561</v>
      </c>
      <c r="J2546">
        <v>28986</v>
      </c>
      <c r="K2546" t="b">
        <f>TrafficData[[#This Row],[disposedChallan]]+TrafficData[[#This Row],[pendingChallan]]=TrafficData[[#This Row],[totalChallan]]</f>
        <v>1</v>
      </c>
      <c r="L2546" t="b">
        <f>TrafficData[[#This Row],[pendingAmount]]+TrafficData[[#This Row],[disposedAmount]]=TrafficData[[#This Row],[totalAmount]]</f>
        <v>1</v>
      </c>
      <c r="M2546" t="b">
        <f>TrafficData[[#This Row],[pendingCourt]]+TrafficData[[#This Row],[disposedCourt]]=TrafficData[[#This Row],[totalCourt]]</f>
        <v>1</v>
      </c>
      <c r="N2546" s="8" t="b">
        <f>AND(TrafficData[[#This Row],[disposedChallan]]&lt;=TrafficData[[#This Row],[totalChallan]],TrafficData[[#This Row],[pendingChallan]]&lt;=TrafficData[[#This Row],[totalChallan]])</f>
        <v>1</v>
      </c>
      <c r="O2546" s="8" t="b">
        <f>AND(TrafficData[[#This Row],[pendingAmount]]&lt;=TrafficData[[#This Row],[totalAmount]],TrafficData[[#This Row],[disposedAmount]]&lt;=TrafficData[[#This Row],[totalAmount]])</f>
        <v>1</v>
      </c>
      <c r="P2546" s="8" t="b">
        <f>AND(TrafficData[[#This Row],[pendingCourt]]&lt;=TrafficData[[#This Row],[totalCourt]],TrafficData[[#This Row],[disposedCourt]]&lt;=TrafficData[[#This Row],[totalCourt]])</f>
        <v>1</v>
      </c>
    </row>
    <row r="2547" spans="1:16">
      <c r="A2547" s="1">
        <v>44551</v>
      </c>
      <c r="B2547">
        <v>129645</v>
      </c>
      <c r="C2547">
        <v>61375</v>
      </c>
      <c r="D2547">
        <v>68270</v>
      </c>
      <c r="E2547">
        <v>89323089</v>
      </c>
      <c r="F2547">
        <v>75218714</v>
      </c>
      <c r="G2547">
        <v>164541803</v>
      </c>
      <c r="H2547">
        <v>20594</v>
      </c>
      <c r="I2547">
        <v>7640</v>
      </c>
      <c r="J2547">
        <v>28234</v>
      </c>
      <c r="K2547" t="b">
        <f>TrafficData[[#This Row],[disposedChallan]]+TrafficData[[#This Row],[pendingChallan]]=TrafficData[[#This Row],[totalChallan]]</f>
        <v>1</v>
      </c>
      <c r="L2547" t="b">
        <f>TrafficData[[#This Row],[pendingAmount]]+TrafficData[[#This Row],[disposedAmount]]=TrafficData[[#This Row],[totalAmount]]</f>
        <v>1</v>
      </c>
      <c r="M2547" t="b">
        <f>TrafficData[[#This Row],[pendingCourt]]+TrafficData[[#This Row],[disposedCourt]]=TrafficData[[#This Row],[totalCourt]]</f>
        <v>1</v>
      </c>
      <c r="N2547" s="8" t="b">
        <f>AND(TrafficData[[#This Row],[disposedChallan]]&lt;=TrafficData[[#This Row],[totalChallan]],TrafficData[[#This Row],[pendingChallan]]&lt;=TrafficData[[#This Row],[totalChallan]])</f>
        <v>1</v>
      </c>
      <c r="O2547" s="8" t="b">
        <f>AND(TrafficData[[#This Row],[pendingAmount]]&lt;=TrafficData[[#This Row],[totalAmount]],TrafficData[[#This Row],[disposedAmount]]&lt;=TrafficData[[#This Row],[totalAmount]])</f>
        <v>1</v>
      </c>
      <c r="P2547" s="8" t="b">
        <f>AND(TrafficData[[#This Row],[pendingCourt]]&lt;=TrafficData[[#This Row],[totalCourt]],TrafficData[[#This Row],[disposedCourt]]&lt;=TrafficData[[#This Row],[totalCourt]])</f>
        <v>1</v>
      </c>
    </row>
    <row r="2548" spans="1:16">
      <c r="A2548" s="1">
        <v>44552</v>
      </c>
      <c r="B2548">
        <v>127779</v>
      </c>
      <c r="C2548">
        <v>60513</v>
      </c>
      <c r="D2548">
        <v>67266</v>
      </c>
      <c r="E2548">
        <v>92975605</v>
      </c>
      <c r="F2548">
        <v>90344502</v>
      </c>
      <c r="G2548">
        <v>183320107</v>
      </c>
      <c r="H2548">
        <v>21203</v>
      </c>
      <c r="I2548">
        <v>7672</v>
      </c>
      <c r="J2548">
        <v>28875</v>
      </c>
      <c r="K2548" t="b">
        <f>TrafficData[[#This Row],[disposedChallan]]+TrafficData[[#This Row],[pendingChallan]]=TrafficData[[#This Row],[totalChallan]]</f>
        <v>1</v>
      </c>
      <c r="L2548" t="b">
        <f>TrafficData[[#This Row],[pendingAmount]]+TrafficData[[#This Row],[disposedAmount]]=TrafficData[[#This Row],[totalAmount]]</f>
        <v>1</v>
      </c>
      <c r="M2548" t="b">
        <f>TrafficData[[#This Row],[pendingCourt]]+TrafficData[[#This Row],[disposedCourt]]=TrafficData[[#This Row],[totalCourt]]</f>
        <v>1</v>
      </c>
      <c r="N2548" s="8" t="b">
        <f>AND(TrafficData[[#This Row],[disposedChallan]]&lt;=TrafficData[[#This Row],[totalChallan]],TrafficData[[#This Row],[pendingChallan]]&lt;=TrafficData[[#This Row],[totalChallan]])</f>
        <v>1</v>
      </c>
      <c r="O2548" s="8" t="b">
        <f>AND(TrafficData[[#This Row],[pendingAmount]]&lt;=TrafficData[[#This Row],[totalAmount]],TrafficData[[#This Row],[disposedAmount]]&lt;=TrafficData[[#This Row],[totalAmount]])</f>
        <v>1</v>
      </c>
      <c r="P2548" s="8" t="b">
        <f>AND(TrafficData[[#This Row],[pendingCourt]]&lt;=TrafficData[[#This Row],[totalCourt]],TrafficData[[#This Row],[disposedCourt]]&lt;=TrafficData[[#This Row],[totalCourt]])</f>
        <v>1</v>
      </c>
    </row>
    <row r="2549" spans="1:16">
      <c r="A2549" s="1">
        <v>44553</v>
      </c>
      <c r="B2549">
        <v>131709</v>
      </c>
      <c r="C2549">
        <v>61240</v>
      </c>
      <c r="D2549">
        <v>70469</v>
      </c>
      <c r="E2549">
        <v>93833135</v>
      </c>
      <c r="F2549">
        <v>81554123</v>
      </c>
      <c r="G2549">
        <v>175387258</v>
      </c>
      <c r="H2549">
        <v>20145</v>
      </c>
      <c r="I2549">
        <v>7439</v>
      </c>
      <c r="J2549">
        <v>27584</v>
      </c>
      <c r="K2549" t="b">
        <f>TrafficData[[#This Row],[disposedChallan]]+TrafficData[[#This Row],[pendingChallan]]=TrafficData[[#This Row],[totalChallan]]</f>
        <v>1</v>
      </c>
      <c r="L2549" t="b">
        <f>TrafficData[[#This Row],[pendingAmount]]+TrafficData[[#This Row],[disposedAmount]]=TrafficData[[#This Row],[totalAmount]]</f>
        <v>1</v>
      </c>
      <c r="M2549" t="b">
        <f>TrafficData[[#This Row],[pendingCourt]]+TrafficData[[#This Row],[disposedCourt]]=TrafficData[[#This Row],[totalCourt]]</f>
        <v>1</v>
      </c>
      <c r="N2549" s="8" t="b">
        <f>AND(TrafficData[[#This Row],[disposedChallan]]&lt;=TrafficData[[#This Row],[totalChallan]],TrafficData[[#This Row],[pendingChallan]]&lt;=TrafficData[[#This Row],[totalChallan]])</f>
        <v>1</v>
      </c>
      <c r="O2549" s="8" t="b">
        <f>AND(TrafficData[[#This Row],[pendingAmount]]&lt;=TrafficData[[#This Row],[totalAmount]],TrafficData[[#This Row],[disposedAmount]]&lt;=TrafficData[[#This Row],[totalAmount]])</f>
        <v>1</v>
      </c>
      <c r="P2549" s="8" t="b">
        <f>AND(TrafficData[[#This Row],[pendingCourt]]&lt;=TrafficData[[#This Row],[totalCourt]],TrafficData[[#This Row],[disposedCourt]]&lt;=TrafficData[[#This Row],[totalCourt]])</f>
        <v>1</v>
      </c>
    </row>
    <row r="2550" spans="1:16">
      <c r="A2550" s="1">
        <v>44554</v>
      </c>
      <c r="B2550">
        <v>133105</v>
      </c>
      <c r="C2550">
        <v>62999</v>
      </c>
      <c r="D2550">
        <v>70106</v>
      </c>
      <c r="E2550">
        <v>93304659</v>
      </c>
      <c r="F2550">
        <v>79591629</v>
      </c>
      <c r="G2550">
        <v>172896288</v>
      </c>
      <c r="H2550">
        <v>22937</v>
      </c>
      <c r="I2550">
        <v>8184</v>
      </c>
      <c r="J2550">
        <v>31121</v>
      </c>
      <c r="K2550" t="b">
        <f>TrafficData[[#This Row],[disposedChallan]]+TrafficData[[#This Row],[pendingChallan]]=TrafficData[[#This Row],[totalChallan]]</f>
        <v>1</v>
      </c>
      <c r="L2550" t="b">
        <f>TrafficData[[#This Row],[pendingAmount]]+TrafficData[[#This Row],[disposedAmount]]=TrafficData[[#This Row],[totalAmount]]</f>
        <v>1</v>
      </c>
      <c r="M2550" t="b">
        <f>TrafficData[[#This Row],[pendingCourt]]+TrafficData[[#This Row],[disposedCourt]]=TrafficData[[#This Row],[totalCourt]]</f>
        <v>1</v>
      </c>
      <c r="N2550" s="8" t="b">
        <f>AND(TrafficData[[#This Row],[disposedChallan]]&lt;=TrafficData[[#This Row],[totalChallan]],TrafficData[[#This Row],[pendingChallan]]&lt;=TrafficData[[#This Row],[totalChallan]])</f>
        <v>1</v>
      </c>
      <c r="O2550" s="8" t="b">
        <f>AND(TrafficData[[#This Row],[pendingAmount]]&lt;=TrafficData[[#This Row],[totalAmount]],TrafficData[[#This Row],[disposedAmount]]&lt;=TrafficData[[#This Row],[totalAmount]])</f>
        <v>1</v>
      </c>
      <c r="P2550" s="8" t="b">
        <f>AND(TrafficData[[#This Row],[pendingCourt]]&lt;=TrafficData[[#This Row],[totalCourt]],TrafficData[[#This Row],[disposedCourt]]&lt;=TrafficData[[#This Row],[totalCourt]])</f>
        <v>1</v>
      </c>
    </row>
    <row r="2551" spans="1:16">
      <c r="A2551" s="1">
        <v>44555</v>
      </c>
      <c r="B2551">
        <v>126300</v>
      </c>
      <c r="C2551">
        <v>57061</v>
      </c>
      <c r="D2551">
        <v>69239</v>
      </c>
      <c r="E2551">
        <v>85906401</v>
      </c>
      <c r="F2551">
        <v>63580355</v>
      </c>
      <c r="G2551">
        <v>149486756</v>
      </c>
      <c r="H2551">
        <v>19473</v>
      </c>
      <c r="I2551">
        <v>7204</v>
      </c>
      <c r="J2551">
        <v>26677</v>
      </c>
      <c r="K2551" t="b">
        <f>TrafficData[[#This Row],[disposedChallan]]+TrafficData[[#This Row],[pendingChallan]]=TrafficData[[#This Row],[totalChallan]]</f>
        <v>1</v>
      </c>
      <c r="L2551" t="b">
        <f>TrafficData[[#This Row],[pendingAmount]]+TrafficData[[#This Row],[disposedAmount]]=TrafficData[[#This Row],[totalAmount]]</f>
        <v>1</v>
      </c>
      <c r="M2551" t="b">
        <f>TrafficData[[#This Row],[pendingCourt]]+TrafficData[[#This Row],[disposedCourt]]=TrafficData[[#This Row],[totalCourt]]</f>
        <v>1</v>
      </c>
      <c r="N2551" s="8" t="b">
        <f>AND(TrafficData[[#This Row],[disposedChallan]]&lt;=TrafficData[[#This Row],[totalChallan]],TrafficData[[#This Row],[pendingChallan]]&lt;=TrafficData[[#This Row],[totalChallan]])</f>
        <v>1</v>
      </c>
      <c r="O2551" s="8" t="b">
        <f>AND(TrafficData[[#This Row],[pendingAmount]]&lt;=TrafficData[[#This Row],[totalAmount]],TrafficData[[#This Row],[disposedAmount]]&lt;=TrafficData[[#This Row],[totalAmount]])</f>
        <v>1</v>
      </c>
      <c r="P2551" s="8" t="b">
        <f>AND(TrafficData[[#This Row],[pendingCourt]]&lt;=TrafficData[[#This Row],[totalCourt]],TrafficData[[#This Row],[disposedCourt]]&lt;=TrafficData[[#This Row],[totalCourt]])</f>
        <v>1</v>
      </c>
    </row>
    <row r="2552" spans="1:16">
      <c r="A2552" s="1">
        <v>44556</v>
      </c>
      <c r="B2552">
        <v>120251</v>
      </c>
      <c r="C2552">
        <v>52749</v>
      </c>
      <c r="D2552">
        <v>67502</v>
      </c>
      <c r="E2552">
        <v>75881030</v>
      </c>
      <c r="F2552">
        <v>56071954</v>
      </c>
      <c r="G2552">
        <v>131952984</v>
      </c>
      <c r="H2552">
        <v>17807</v>
      </c>
      <c r="I2552">
        <v>6414</v>
      </c>
      <c r="J2552">
        <v>24221</v>
      </c>
      <c r="K2552" t="b">
        <f>TrafficData[[#This Row],[disposedChallan]]+TrafficData[[#This Row],[pendingChallan]]=TrafficData[[#This Row],[totalChallan]]</f>
        <v>1</v>
      </c>
      <c r="L2552" t="b">
        <f>TrafficData[[#This Row],[pendingAmount]]+TrafficData[[#This Row],[disposedAmount]]=TrafficData[[#This Row],[totalAmount]]</f>
        <v>1</v>
      </c>
      <c r="M2552" t="b">
        <f>TrafficData[[#This Row],[pendingCourt]]+TrafficData[[#This Row],[disposedCourt]]=TrafficData[[#This Row],[totalCourt]]</f>
        <v>1</v>
      </c>
      <c r="N2552" s="8" t="b">
        <f>AND(TrafficData[[#This Row],[disposedChallan]]&lt;=TrafficData[[#This Row],[totalChallan]],TrafficData[[#This Row],[pendingChallan]]&lt;=TrafficData[[#This Row],[totalChallan]])</f>
        <v>1</v>
      </c>
      <c r="O2552" s="8" t="b">
        <f>AND(TrafficData[[#This Row],[pendingAmount]]&lt;=TrafficData[[#This Row],[totalAmount]],TrafficData[[#This Row],[disposedAmount]]&lt;=TrafficData[[#This Row],[totalAmount]])</f>
        <v>1</v>
      </c>
      <c r="P2552" s="8" t="b">
        <f>AND(TrafficData[[#This Row],[pendingCourt]]&lt;=TrafficData[[#This Row],[totalCourt]],TrafficData[[#This Row],[disposedCourt]]&lt;=TrafficData[[#This Row],[totalCourt]])</f>
        <v>1</v>
      </c>
    </row>
    <row r="2553" spans="1:16">
      <c r="A2553" s="1">
        <v>44557</v>
      </c>
      <c r="B2553">
        <v>119651</v>
      </c>
      <c r="C2553">
        <v>55779</v>
      </c>
      <c r="D2553">
        <v>63872</v>
      </c>
      <c r="E2553">
        <v>88096544</v>
      </c>
      <c r="F2553">
        <v>62840205</v>
      </c>
      <c r="G2553">
        <v>150936749</v>
      </c>
      <c r="H2553">
        <v>20822</v>
      </c>
      <c r="I2553">
        <v>7384</v>
      </c>
      <c r="J2553">
        <v>28206</v>
      </c>
      <c r="K2553" t="b">
        <f>TrafficData[[#This Row],[disposedChallan]]+TrafficData[[#This Row],[pendingChallan]]=TrafficData[[#This Row],[totalChallan]]</f>
        <v>1</v>
      </c>
      <c r="L2553" t="b">
        <f>TrafficData[[#This Row],[pendingAmount]]+TrafficData[[#This Row],[disposedAmount]]=TrafficData[[#This Row],[totalAmount]]</f>
        <v>1</v>
      </c>
      <c r="M2553" t="b">
        <f>TrafficData[[#This Row],[pendingCourt]]+TrafficData[[#This Row],[disposedCourt]]=TrafficData[[#This Row],[totalCourt]]</f>
        <v>1</v>
      </c>
      <c r="N2553" s="8" t="b">
        <f>AND(TrafficData[[#This Row],[disposedChallan]]&lt;=TrafficData[[#This Row],[totalChallan]],TrafficData[[#This Row],[pendingChallan]]&lt;=TrafficData[[#This Row],[totalChallan]])</f>
        <v>1</v>
      </c>
      <c r="O2553" s="8" t="b">
        <f>AND(TrafficData[[#This Row],[pendingAmount]]&lt;=TrafficData[[#This Row],[totalAmount]],TrafficData[[#This Row],[disposedAmount]]&lt;=TrafficData[[#This Row],[totalAmount]])</f>
        <v>1</v>
      </c>
      <c r="P2553" s="8" t="b">
        <f>AND(TrafficData[[#This Row],[pendingCourt]]&lt;=TrafficData[[#This Row],[totalCourt]],TrafficData[[#This Row],[disposedCourt]]&lt;=TrafficData[[#This Row],[totalCourt]])</f>
        <v>1</v>
      </c>
    </row>
    <row r="2554" spans="1:16">
      <c r="A2554" s="1">
        <v>44558</v>
      </c>
      <c r="B2554">
        <v>115574</v>
      </c>
      <c r="C2554">
        <v>55750</v>
      </c>
      <c r="D2554">
        <v>59824</v>
      </c>
      <c r="E2554">
        <v>77378446</v>
      </c>
      <c r="F2554">
        <v>69152582</v>
      </c>
      <c r="G2554">
        <v>146531028</v>
      </c>
      <c r="H2554">
        <v>18349</v>
      </c>
      <c r="I2554">
        <v>6391</v>
      </c>
      <c r="J2554">
        <v>24740</v>
      </c>
      <c r="K2554" t="b">
        <f>TrafficData[[#This Row],[disposedChallan]]+TrafficData[[#This Row],[pendingChallan]]=TrafficData[[#This Row],[totalChallan]]</f>
        <v>1</v>
      </c>
      <c r="L2554" t="b">
        <f>TrafficData[[#This Row],[pendingAmount]]+TrafficData[[#This Row],[disposedAmount]]=TrafficData[[#This Row],[totalAmount]]</f>
        <v>1</v>
      </c>
      <c r="M2554" t="b">
        <f>TrafficData[[#This Row],[pendingCourt]]+TrafficData[[#This Row],[disposedCourt]]=TrafficData[[#This Row],[totalCourt]]</f>
        <v>1</v>
      </c>
      <c r="N2554" s="8" t="b">
        <f>AND(TrafficData[[#This Row],[disposedChallan]]&lt;=TrafficData[[#This Row],[totalChallan]],TrafficData[[#This Row],[pendingChallan]]&lt;=TrafficData[[#This Row],[totalChallan]])</f>
        <v>1</v>
      </c>
      <c r="O2554" s="8" t="b">
        <f>AND(TrafficData[[#This Row],[pendingAmount]]&lt;=TrafficData[[#This Row],[totalAmount]],TrafficData[[#This Row],[disposedAmount]]&lt;=TrafficData[[#This Row],[totalAmount]])</f>
        <v>1</v>
      </c>
      <c r="P2554" s="8" t="b">
        <f>AND(TrafficData[[#This Row],[pendingCourt]]&lt;=TrafficData[[#This Row],[totalCourt]],TrafficData[[#This Row],[disposedCourt]]&lt;=TrafficData[[#This Row],[totalCourt]])</f>
        <v>1</v>
      </c>
    </row>
    <row r="2555" spans="1:16">
      <c r="A2555" s="1">
        <v>44559</v>
      </c>
      <c r="B2555">
        <v>120008</v>
      </c>
      <c r="C2555">
        <v>58193</v>
      </c>
      <c r="D2555">
        <v>61815</v>
      </c>
      <c r="E2555">
        <v>84276305</v>
      </c>
      <c r="F2555">
        <v>69654605</v>
      </c>
      <c r="G2555">
        <v>153930910</v>
      </c>
      <c r="H2555">
        <v>18511</v>
      </c>
      <c r="I2555">
        <v>7012</v>
      </c>
      <c r="J2555">
        <v>25523</v>
      </c>
      <c r="K2555" t="b">
        <f>TrafficData[[#This Row],[disposedChallan]]+TrafficData[[#This Row],[pendingChallan]]=TrafficData[[#This Row],[totalChallan]]</f>
        <v>1</v>
      </c>
      <c r="L2555" t="b">
        <f>TrafficData[[#This Row],[pendingAmount]]+TrafficData[[#This Row],[disposedAmount]]=TrafficData[[#This Row],[totalAmount]]</f>
        <v>1</v>
      </c>
      <c r="M2555" t="b">
        <f>TrafficData[[#This Row],[pendingCourt]]+TrafficData[[#This Row],[disposedCourt]]=TrafficData[[#This Row],[totalCourt]]</f>
        <v>1</v>
      </c>
      <c r="N2555" s="8" t="b">
        <f>AND(TrafficData[[#This Row],[disposedChallan]]&lt;=TrafficData[[#This Row],[totalChallan]],TrafficData[[#This Row],[pendingChallan]]&lt;=TrafficData[[#This Row],[totalChallan]])</f>
        <v>1</v>
      </c>
      <c r="O2555" s="8" t="b">
        <f>AND(TrafficData[[#This Row],[pendingAmount]]&lt;=TrafficData[[#This Row],[totalAmount]],TrafficData[[#This Row],[disposedAmount]]&lt;=TrafficData[[#This Row],[totalAmount]])</f>
        <v>1</v>
      </c>
      <c r="P2555" s="8" t="b">
        <f>AND(TrafficData[[#This Row],[pendingCourt]]&lt;=TrafficData[[#This Row],[totalCourt]],TrafficData[[#This Row],[disposedCourt]]&lt;=TrafficData[[#This Row],[totalCourt]])</f>
        <v>1</v>
      </c>
    </row>
    <row r="2556" spans="1:16">
      <c r="A2556" s="1">
        <v>44560</v>
      </c>
      <c r="B2556">
        <v>118491</v>
      </c>
      <c r="C2556">
        <v>57503</v>
      </c>
      <c r="D2556">
        <v>60988</v>
      </c>
      <c r="E2556">
        <v>82355798</v>
      </c>
      <c r="F2556">
        <v>68433077</v>
      </c>
      <c r="G2556">
        <v>150788875</v>
      </c>
      <c r="H2556">
        <v>19942</v>
      </c>
      <c r="I2556">
        <v>7287</v>
      </c>
      <c r="J2556">
        <v>27229</v>
      </c>
      <c r="K2556" t="b">
        <f>TrafficData[[#This Row],[disposedChallan]]+TrafficData[[#This Row],[pendingChallan]]=TrafficData[[#This Row],[totalChallan]]</f>
        <v>1</v>
      </c>
      <c r="L2556" t="b">
        <f>TrafficData[[#This Row],[pendingAmount]]+TrafficData[[#This Row],[disposedAmount]]=TrafficData[[#This Row],[totalAmount]]</f>
        <v>1</v>
      </c>
      <c r="M2556" t="b">
        <f>TrafficData[[#This Row],[pendingCourt]]+TrafficData[[#This Row],[disposedCourt]]=TrafficData[[#This Row],[totalCourt]]</f>
        <v>1</v>
      </c>
      <c r="N2556" s="8" t="b">
        <f>AND(TrafficData[[#This Row],[disposedChallan]]&lt;=TrafficData[[#This Row],[totalChallan]],TrafficData[[#This Row],[pendingChallan]]&lt;=TrafficData[[#This Row],[totalChallan]])</f>
        <v>1</v>
      </c>
      <c r="O2556" s="8" t="b">
        <f>AND(TrafficData[[#This Row],[pendingAmount]]&lt;=TrafficData[[#This Row],[totalAmount]],TrafficData[[#This Row],[disposedAmount]]&lt;=TrafficData[[#This Row],[totalAmount]])</f>
        <v>1</v>
      </c>
      <c r="P2556" s="8" t="b">
        <f>AND(TrafficData[[#This Row],[pendingCourt]]&lt;=TrafficData[[#This Row],[totalCourt]],TrafficData[[#This Row],[disposedCourt]]&lt;=TrafficData[[#This Row],[totalCourt]])</f>
        <v>1</v>
      </c>
    </row>
    <row r="2557" spans="1:16">
      <c r="A2557" s="1">
        <v>44561</v>
      </c>
      <c r="B2557">
        <v>117617</v>
      </c>
      <c r="C2557">
        <v>56454</v>
      </c>
      <c r="D2557">
        <v>61163</v>
      </c>
      <c r="E2557">
        <v>83493116</v>
      </c>
      <c r="F2557">
        <v>62750672</v>
      </c>
      <c r="G2557">
        <v>146243788</v>
      </c>
      <c r="H2557">
        <v>20270</v>
      </c>
      <c r="I2557">
        <v>7933</v>
      </c>
      <c r="J2557">
        <v>28203</v>
      </c>
      <c r="K2557" t="b">
        <f>TrafficData[[#This Row],[disposedChallan]]+TrafficData[[#This Row],[pendingChallan]]=TrafficData[[#This Row],[totalChallan]]</f>
        <v>1</v>
      </c>
      <c r="L2557" t="b">
        <f>TrafficData[[#This Row],[pendingAmount]]+TrafficData[[#This Row],[disposedAmount]]=TrafficData[[#This Row],[totalAmount]]</f>
        <v>1</v>
      </c>
      <c r="M2557" t="b">
        <f>TrafficData[[#This Row],[pendingCourt]]+TrafficData[[#This Row],[disposedCourt]]=TrafficData[[#This Row],[totalCourt]]</f>
        <v>1</v>
      </c>
      <c r="N2557" s="8" t="b">
        <f>AND(TrafficData[[#This Row],[disposedChallan]]&lt;=TrafficData[[#This Row],[totalChallan]],TrafficData[[#This Row],[pendingChallan]]&lt;=TrafficData[[#This Row],[totalChallan]])</f>
        <v>1</v>
      </c>
      <c r="O2557" s="8" t="b">
        <f>AND(TrafficData[[#This Row],[pendingAmount]]&lt;=TrafficData[[#This Row],[totalAmount]],TrafficData[[#This Row],[disposedAmount]]&lt;=TrafficData[[#This Row],[totalAmount]])</f>
        <v>1</v>
      </c>
      <c r="P2557" s="8" t="b">
        <f>AND(TrafficData[[#This Row],[pendingCourt]]&lt;=TrafficData[[#This Row],[totalCourt]],TrafficData[[#This Row],[disposedCourt]]&lt;=TrafficData[[#This Row],[totalCourt]])</f>
        <v>1</v>
      </c>
    </row>
    <row r="2558" spans="1:16">
      <c r="A2558" s="1">
        <v>44562</v>
      </c>
      <c r="B2558">
        <v>96103</v>
      </c>
      <c r="C2558">
        <v>44167</v>
      </c>
      <c r="D2558">
        <v>51936</v>
      </c>
      <c r="E2558">
        <v>63635652</v>
      </c>
      <c r="F2558">
        <v>53704179</v>
      </c>
      <c r="G2558">
        <v>117339831</v>
      </c>
      <c r="H2558">
        <v>17453</v>
      </c>
      <c r="I2558">
        <v>6375</v>
      </c>
      <c r="J2558">
        <v>23828</v>
      </c>
      <c r="K2558" t="b">
        <f>TrafficData[[#This Row],[disposedChallan]]+TrafficData[[#This Row],[pendingChallan]]=TrafficData[[#This Row],[totalChallan]]</f>
        <v>1</v>
      </c>
      <c r="L2558" t="b">
        <f>TrafficData[[#This Row],[pendingAmount]]+TrafficData[[#This Row],[disposedAmount]]=TrafficData[[#This Row],[totalAmount]]</f>
        <v>1</v>
      </c>
      <c r="M2558" t="b">
        <f>TrafficData[[#This Row],[pendingCourt]]+TrafficData[[#This Row],[disposedCourt]]=TrafficData[[#This Row],[totalCourt]]</f>
        <v>1</v>
      </c>
      <c r="N2558" s="8" t="b">
        <f>AND(TrafficData[[#This Row],[disposedChallan]]&lt;=TrafficData[[#This Row],[totalChallan]],TrafficData[[#This Row],[pendingChallan]]&lt;=TrafficData[[#This Row],[totalChallan]])</f>
        <v>1</v>
      </c>
      <c r="O2558" s="8" t="b">
        <f>AND(TrafficData[[#This Row],[pendingAmount]]&lt;=TrafficData[[#This Row],[totalAmount]],TrafficData[[#This Row],[disposedAmount]]&lt;=TrafficData[[#This Row],[totalAmount]])</f>
        <v>1</v>
      </c>
      <c r="P2558" s="8" t="b">
        <f>AND(TrafficData[[#This Row],[pendingCourt]]&lt;=TrafficData[[#This Row],[totalCourt]],TrafficData[[#This Row],[disposedCourt]]&lt;=TrafficData[[#This Row],[totalCourt]])</f>
        <v>1</v>
      </c>
    </row>
    <row r="2559" spans="1:16">
      <c r="A2559" s="1">
        <v>44563</v>
      </c>
      <c r="B2559">
        <v>125671</v>
      </c>
      <c r="C2559">
        <v>56252</v>
      </c>
      <c r="D2559">
        <v>69419</v>
      </c>
      <c r="E2559">
        <v>75665392</v>
      </c>
      <c r="F2559">
        <v>57770176</v>
      </c>
      <c r="G2559">
        <v>133435568</v>
      </c>
      <c r="H2559">
        <v>16923</v>
      </c>
      <c r="I2559">
        <v>5843</v>
      </c>
      <c r="J2559">
        <v>22766</v>
      </c>
      <c r="K2559" t="b">
        <f>TrafficData[[#This Row],[disposedChallan]]+TrafficData[[#This Row],[pendingChallan]]=TrafficData[[#This Row],[totalChallan]]</f>
        <v>1</v>
      </c>
      <c r="L2559" t="b">
        <f>TrafficData[[#This Row],[pendingAmount]]+TrafficData[[#This Row],[disposedAmount]]=TrafficData[[#This Row],[totalAmount]]</f>
        <v>1</v>
      </c>
      <c r="M2559" t="b">
        <f>TrafficData[[#This Row],[pendingCourt]]+TrafficData[[#This Row],[disposedCourt]]=TrafficData[[#This Row],[totalCourt]]</f>
        <v>1</v>
      </c>
      <c r="N2559" s="8" t="b">
        <f>AND(TrafficData[[#This Row],[disposedChallan]]&lt;=TrafficData[[#This Row],[totalChallan]],TrafficData[[#This Row],[pendingChallan]]&lt;=TrafficData[[#This Row],[totalChallan]])</f>
        <v>1</v>
      </c>
      <c r="O2559" s="8" t="b">
        <f>AND(TrafficData[[#This Row],[pendingAmount]]&lt;=TrafficData[[#This Row],[totalAmount]],TrafficData[[#This Row],[disposedAmount]]&lt;=TrafficData[[#This Row],[totalAmount]])</f>
        <v>1</v>
      </c>
      <c r="P2559" s="8" t="b">
        <f>AND(TrafficData[[#This Row],[pendingCourt]]&lt;=TrafficData[[#This Row],[totalCourt]],TrafficData[[#This Row],[disposedCourt]]&lt;=TrafficData[[#This Row],[totalCourt]])</f>
        <v>1</v>
      </c>
    </row>
    <row r="2560" spans="1:16">
      <c r="A2560" s="1">
        <v>44564</v>
      </c>
      <c r="B2560">
        <v>134612</v>
      </c>
      <c r="C2560">
        <v>64201</v>
      </c>
      <c r="D2560">
        <v>70411</v>
      </c>
      <c r="E2560">
        <v>85822747</v>
      </c>
      <c r="F2560">
        <v>79755645</v>
      </c>
      <c r="G2560">
        <v>165578392</v>
      </c>
      <c r="H2560">
        <v>24093</v>
      </c>
      <c r="I2560">
        <v>7872</v>
      </c>
      <c r="J2560">
        <v>31965</v>
      </c>
      <c r="K2560" t="b">
        <f>TrafficData[[#This Row],[disposedChallan]]+TrafficData[[#This Row],[pendingChallan]]=TrafficData[[#This Row],[totalChallan]]</f>
        <v>1</v>
      </c>
      <c r="L2560" t="b">
        <f>TrafficData[[#This Row],[pendingAmount]]+TrafficData[[#This Row],[disposedAmount]]=TrafficData[[#This Row],[totalAmount]]</f>
        <v>1</v>
      </c>
      <c r="M2560" t="b">
        <f>TrafficData[[#This Row],[pendingCourt]]+TrafficData[[#This Row],[disposedCourt]]=TrafficData[[#This Row],[totalCourt]]</f>
        <v>1</v>
      </c>
      <c r="N2560" s="8" t="b">
        <f>AND(TrafficData[[#This Row],[disposedChallan]]&lt;=TrafficData[[#This Row],[totalChallan]],TrafficData[[#This Row],[pendingChallan]]&lt;=TrafficData[[#This Row],[totalChallan]])</f>
        <v>1</v>
      </c>
      <c r="O2560" s="8" t="b">
        <f>AND(TrafficData[[#This Row],[pendingAmount]]&lt;=TrafficData[[#This Row],[totalAmount]],TrafficData[[#This Row],[disposedAmount]]&lt;=TrafficData[[#This Row],[totalAmount]])</f>
        <v>1</v>
      </c>
      <c r="P2560" s="8" t="b">
        <f>AND(TrafficData[[#This Row],[pendingCourt]]&lt;=TrafficData[[#This Row],[totalCourt]],TrafficData[[#This Row],[disposedCourt]]&lt;=TrafficData[[#This Row],[totalCourt]])</f>
        <v>1</v>
      </c>
    </row>
    <row r="2561" spans="1:16">
      <c r="A2561" s="1">
        <v>44565</v>
      </c>
      <c r="B2561">
        <v>137444</v>
      </c>
      <c r="C2561">
        <v>66740</v>
      </c>
      <c r="D2561">
        <v>70704</v>
      </c>
      <c r="E2561">
        <v>88853605</v>
      </c>
      <c r="F2561">
        <v>90348910</v>
      </c>
      <c r="G2561">
        <v>179202515</v>
      </c>
      <c r="H2561">
        <v>24777</v>
      </c>
      <c r="I2561">
        <v>7912</v>
      </c>
      <c r="J2561">
        <v>32689</v>
      </c>
      <c r="K2561" t="b">
        <f>TrafficData[[#This Row],[disposedChallan]]+TrafficData[[#This Row],[pendingChallan]]=TrafficData[[#This Row],[totalChallan]]</f>
        <v>1</v>
      </c>
      <c r="L2561" t="b">
        <f>TrafficData[[#This Row],[pendingAmount]]+TrafficData[[#This Row],[disposedAmount]]=TrafficData[[#This Row],[totalAmount]]</f>
        <v>1</v>
      </c>
      <c r="M2561" t="b">
        <f>TrafficData[[#This Row],[pendingCourt]]+TrafficData[[#This Row],[disposedCourt]]=TrafficData[[#This Row],[totalCourt]]</f>
        <v>1</v>
      </c>
      <c r="N2561" s="8" t="b">
        <f>AND(TrafficData[[#This Row],[disposedChallan]]&lt;=TrafficData[[#This Row],[totalChallan]],TrafficData[[#This Row],[pendingChallan]]&lt;=TrafficData[[#This Row],[totalChallan]])</f>
        <v>1</v>
      </c>
      <c r="O2561" s="8" t="b">
        <f>AND(TrafficData[[#This Row],[pendingAmount]]&lt;=TrafficData[[#This Row],[totalAmount]],TrafficData[[#This Row],[disposedAmount]]&lt;=TrafficData[[#This Row],[totalAmount]])</f>
        <v>1</v>
      </c>
      <c r="P2561" s="8" t="b">
        <f>AND(TrafficData[[#This Row],[pendingCourt]]&lt;=TrafficData[[#This Row],[totalCourt]],TrafficData[[#This Row],[disposedCourt]]&lt;=TrafficData[[#This Row],[totalCourt]])</f>
        <v>1</v>
      </c>
    </row>
    <row r="2562" spans="1:16">
      <c r="A2562" s="1">
        <v>44566</v>
      </c>
      <c r="B2562">
        <v>117571</v>
      </c>
      <c r="C2562">
        <v>57364</v>
      </c>
      <c r="D2562">
        <v>60207</v>
      </c>
      <c r="E2562">
        <v>61336911</v>
      </c>
      <c r="F2562">
        <v>83667102</v>
      </c>
      <c r="G2562">
        <v>145004013</v>
      </c>
      <c r="H2562">
        <v>16203</v>
      </c>
      <c r="I2562">
        <v>4808</v>
      </c>
      <c r="J2562">
        <v>21011</v>
      </c>
      <c r="K2562" t="b">
        <f>TrafficData[[#This Row],[disposedChallan]]+TrafficData[[#This Row],[pendingChallan]]=TrafficData[[#This Row],[totalChallan]]</f>
        <v>1</v>
      </c>
      <c r="L2562" t="b">
        <f>TrafficData[[#This Row],[pendingAmount]]+TrafficData[[#This Row],[disposedAmount]]=TrafficData[[#This Row],[totalAmount]]</f>
        <v>1</v>
      </c>
      <c r="M2562" t="b">
        <f>TrafficData[[#This Row],[pendingCourt]]+TrafficData[[#This Row],[disposedCourt]]=TrafficData[[#This Row],[totalCourt]]</f>
        <v>1</v>
      </c>
      <c r="N2562" s="8" t="b">
        <f>AND(TrafficData[[#This Row],[disposedChallan]]&lt;=TrafficData[[#This Row],[totalChallan]],TrafficData[[#This Row],[pendingChallan]]&lt;=TrafficData[[#This Row],[totalChallan]])</f>
        <v>1</v>
      </c>
      <c r="O2562" s="8" t="b">
        <f>AND(TrafficData[[#This Row],[pendingAmount]]&lt;=TrafficData[[#This Row],[totalAmount]],TrafficData[[#This Row],[disposedAmount]]&lt;=TrafficData[[#This Row],[totalAmount]])</f>
        <v>1</v>
      </c>
      <c r="P2562" s="8" t="b">
        <f>AND(TrafficData[[#This Row],[pendingCourt]]&lt;=TrafficData[[#This Row],[totalCourt]],TrafficData[[#This Row],[disposedCourt]]&lt;=TrafficData[[#This Row],[totalCourt]])</f>
        <v>1</v>
      </c>
    </row>
    <row r="2563" spans="1:16">
      <c r="A2563" s="1">
        <v>44567</v>
      </c>
      <c r="B2563">
        <v>130644</v>
      </c>
      <c r="C2563">
        <v>65213</v>
      </c>
      <c r="D2563">
        <v>65431</v>
      </c>
      <c r="E2563">
        <v>81642945</v>
      </c>
      <c r="F2563">
        <v>85949208</v>
      </c>
      <c r="G2563">
        <v>167592153</v>
      </c>
      <c r="H2563">
        <v>18918</v>
      </c>
      <c r="I2563">
        <v>7399</v>
      </c>
      <c r="J2563">
        <v>26317</v>
      </c>
      <c r="K2563" t="b">
        <f>TrafficData[[#This Row],[disposedChallan]]+TrafficData[[#This Row],[pendingChallan]]=TrafficData[[#This Row],[totalChallan]]</f>
        <v>1</v>
      </c>
      <c r="L2563" t="b">
        <f>TrafficData[[#This Row],[pendingAmount]]+TrafficData[[#This Row],[disposedAmount]]=TrafficData[[#This Row],[totalAmount]]</f>
        <v>1</v>
      </c>
      <c r="M2563" t="b">
        <f>TrafficData[[#This Row],[pendingCourt]]+TrafficData[[#This Row],[disposedCourt]]=TrafficData[[#This Row],[totalCourt]]</f>
        <v>1</v>
      </c>
      <c r="N2563" s="8" t="b">
        <f>AND(TrafficData[[#This Row],[disposedChallan]]&lt;=TrafficData[[#This Row],[totalChallan]],TrafficData[[#This Row],[pendingChallan]]&lt;=TrafficData[[#This Row],[totalChallan]])</f>
        <v>1</v>
      </c>
      <c r="O2563" s="8" t="b">
        <f>AND(TrafficData[[#This Row],[pendingAmount]]&lt;=TrafficData[[#This Row],[totalAmount]],TrafficData[[#This Row],[disposedAmount]]&lt;=TrafficData[[#This Row],[totalAmount]])</f>
        <v>1</v>
      </c>
      <c r="P2563" s="8" t="b">
        <f>AND(TrafficData[[#This Row],[pendingCourt]]&lt;=TrafficData[[#This Row],[totalCourt]],TrafficData[[#This Row],[disposedCourt]]&lt;=TrafficData[[#This Row],[totalCourt]])</f>
        <v>1</v>
      </c>
    </row>
    <row r="2564" spans="1:16">
      <c r="A2564" s="1">
        <v>44568</v>
      </c>
      <c r="B2564">
        <v>130310</v>
      </c>
      <c r="C2564">
        <v>65487</v>
      </c>
      <c r="D2564">
        <v>64823</v>
      </c>
      <c r="E2564">
        <v>80211238</v>
      </c>
      <c r="F2564">
        <v>89226847</v>
      </c>
      <c r="G2564">
        <v>169438085</v>
      </c>
      <c r="H2564">
        <v>21022</v>
      </c>
      <c r="I2564">
        <v>7556</v>
      </c>
      <c r="J2564">
        <v>28578</v>
      </c>
      <c r="K2564" t="b">
        <f>TrafficData[[#This Row],[disposedChallan]]+TrafficData[[#This Row],[pendingChallan]]=TrafficData[[#This Row],[totalChallan]]</f>
        <v>1</v>
      </c>
      <c r="L2564" t="b">
        <f>TrafficData[[#This Row],[pendingAmount]]+TrafficData[[#This Row],[disposedAmount]]=TrafficData[[#This Row],[totalAmount]]</f>
        <v>1</v>
      </c>
      <c r="M2564" t="b">
        <f>TrafficData[[#This Row],[pendingCourt]]+TrafficData[[#This Row],[disposedCourt]]=TrafficData[[#This Row],[totalCourt]]</f>
        <v>1</v>
      </c>
      <c r="N2564" s="8" t="b">
        <f>AND(TrafficData[[#This Row],[disposedChallan]]&lt;=TrafficData[[#This Row],[totalChallan]],TrafficData[[#This Row],[pendingChallan]]&lt;=TrafficData[[#This Row],[totalChallan]])</f>
        <v>1</v>
      </c>
      <c r="O2564" s="8" t="b">
        <f>AND(TrafficData[[#This Row],[pendingAmount]]&lt;=TrafficData[[#This Row],[totalAmount]],TrafficData[[#This Row],[disposedAmount]]&lt;=TrafficData[[#This Row],[totalAmount]])</f>
        <v>1</v>
      </c>
      <c r="P2564" s="8" t="b">
        <f>AND(TrafficData[[#This Row],[pendingCourt]]&lt;=TrafficData[[#This Row],[totalCourt]],TrafficData[[#This Row],[disposedCourt]]&lt;=TrafficData[[#This Row],[totalCourt]])</f>
        <v>1</v>
      </c>
    </row>
    <row r="2565" spans="1:16">
      <c r="A2565" s="1">
        <v>44569</v>
      </c>
      <c r="B2565">
        <v>111510</v>
      </c>
      <c r="C2565">
        <v>58502</v>
      </c>
      <c r="D2565">
        <v>53008</v>
      </c>
      <c r="E2565">
        <v>48823565</v>
      </c>
      <c r="F2565">
        <v>69306470</v>
      </c>
      <c r="G2565">
        <v>118130035</v>
      </c>
      <c r="H2565">
        <v>15189</v>
      </c>
      <c r="I2565">
        <v>4676</v>
      </c>
      <c r="J2565">
        <v>19865</v>
      </c>
      <c r="K2565" t="b">
        <f>TrafficData[[#This Row],[disposedChallan]]+TrafficData[[#This Row],[pendingChallan]]=TrafficData[[#This Row],[totalChallan]]</f>
        <v>1</v>
      </c>
      <c r="L2565" t="b">
        <f>TrafficData[[#This Row],[pendingAmount]]+TrafficData[[#This Row],[disposedAmount]]=TrafficData[[#This Row],[totalAmount]]</f>
        <v>1</v>
      </c>
      <c r="M2565" t="b">
        <f>TrafficData[[#This Row],[pendingCourt]]+TrafficData[[#This Row],[disposedCourt]]=TrafficData[[#This Row],[totalCourt]]</f>
        <v>1</v>
      </c>
      <c r="N2565" s="8" t="b">
        <f>AND(TrafficData[[#This Row],[disposedChallan]]&lt;=TrafficData[[#This Row],[totalChallan]],TrafficData[[#This Row],[pendingChallan]]&lt;=TrafficData[[#This Row],[totalChallan]])</f>
        <v>1</v>
      </c>
      <c r="O2565" s="8" t="b">
        <f>AND(TrafficData[[#This Row],[pendingAmount]]&lt;=TrafficData[[#This Row],[totalAmount]],TrafficData[[#This Row],[disposedAmount]]&lt;=TrafficData[[#This Row],[totalAmount]])</f>
        <v>1</v>
      </c>
      <c r="P2565" s="8" t="b">
        <f>AND(TrafficData[[#This Row],[pendingCourt]]&lt;=TrafficData[[#This Row],[totalCourt]],TrafficData[[#This Row],[disposedCourt]]&lt;=TrafficData[[#This Row],[totalCourt]])</f>
        <v>1</v>
      </c>
    </row>
    <row r="2566" spans="1:16">
      <c r="A2566" s="1">
        <v>44570</v>
      </c>
      <c r="B2566">
        <v>80839</v>
      </c>
      <c r="C2566">
        <v>39601</v>
      </c>
      <c r="D2566">
        <v>41238</v>
      </c>
      <c r="E2566">
        <v>49475864</v>
      </c>
      <c r="F2566">
        <v>53946232</v>
      </c>
      <c r="G2566">
        <v>103422096</v>
      </c>
      <c r="H2566">
        <v>15065</v>
      </c>
      <c r="I2566">
        <v>4153</v>
      </c>
      <c r="J2566">
        <v>19218</v>
      </c>
      <c r="K2566" t="b">
        <f>TrafficData[[#This Row],[disposedChallan]]+TrafficData[[#This Row],[pendingChallan]]=TrafficData[[#This Row],[totalChallan]]</f>
        <v>1</v>
      </c>
      <c r="L2566" t="b">
        <f>TrafficData[[#This Row],[pendingAmount]]+TrafficData[[#This Row],[disposedAmount]]=TrafficData[[#This Row],[totalAmount]]</f>
        <v>1</v>
      </c>
      <c r="M2566" t="b">
        <f>TrafficData[[#This Row],[pendingCourt]]+TrafficData[[#This Row],[disposedCourt]]=TrafficData[[#This Row],[totalCourt]]</f>
        <v>1</v>
      </c>
      <c r="N2566" s="8" t="b">
        <f>AND(TrafficData[[#This Row],[disposedChallan]]&lt;=TrafficData[[#This Row],[totalChallan]],TrafficData[[#This Row],[pendingChallan]]&lt;=TrafficData[[#This Row],[totalChallan]])</f>
        <v>1</v>
      </c>
      <c r="O2566" s="8" t="b">
        <f>AND(TrafficData[[#This Row],[pendingAmount]]&lt;=TrafficData[[#This Row],[totalAmount]],TrafficData[[#This Row],[disposedAmount]]&lt;=TrafficData[[#This Row],[totalAmount]])</f>
        <v>1</v>
      </c>
      <c r="P2566" s="8" t="b">
        <f>AND(TrafficData[[#This Row],[pendingCourt]]&lt;=TrafficData[[#This Row],[totalCourt]],TrafficData[[#This Row],[disposedCourt]]&lt;=TrafficData[[#This Row],[totalCourt]])</f>
        <v>1</v>
      </c>
    </row>
    <row r="2567" spans="1:16">
      <c r="A2567" s="1">
        <v>44571</v>
      </c>
      <c r="B2567">
        <v>127390</v>
      </c>
      <c r="C2567">
        <v>63887</v>
      </c>
      <c r="D2567">
        <v>63503</v>
      </c>
      <c r="E2567">
        <v>75230430</v>
      </c>
      <c r="F2567">
        <v>76853971</v>
      </c>
      <c r="G2567">
        <v>152084401</v>
      </c>
      <c r="H2567">
        <v>26979</v>
      </c>
      <c r="I2567">
        <v>8414</v>
      </c>
      <c r="J2567">
        <v>35393</v>
      </c>
      <c r="K2567" t="b">
        <f>TrafficData[[#This Row],[disposedChallan]]+TrafficData[[#This Row],[pendingChallan]]=TrafficData[[#This Row],[totalChallan]]</f>
        <v>1</v>
      </c>
      <c r="L2567" t="b">
        <f>TrafficData[[#This Row],[pendingAmount]]+TrafficData[[#This Row],[disposedAmount]]=TrafficData[[#This Row],[totalAmount]]</f>
        <v>1</v>
      </c>
      <c r="M2567" t="b">
        <f>TrafficData[[#This Row],[pendingCourt]]+TrafficData[[#This Row],[disposedCourt]]=TrafficData[[#This Row],[totalCourt]]</f>
        <v>1</v>
      </c>
      <c r="N2567" s="8" t="b">
        <f>AND(TrafficData[[#This Row],[disposedChallan]]&lt;=TrafficData[[#This Row],[totalChallan]],TrafficData[[#This Row],[pendingChallan]]&lt;=TrafficData[[#This Row],[totalChallan]])</f>
        <v>1</v>
      </c>
      <c r="O2567" s="8" t="b">
        <f>AND(TrafficData[[#This Row],[pendingAmount]]&lt;=TrafficData[[#This Row],[totalAmount]],TrafficData[[#This Row],[disposedAmount]]&lt;=TrafficData[[#This Row],[totalAmount]])</f>
        <v>1</v>
      </c>
      <c r="P2567" s="8" t="b">
        <f>AND(TrafficData[[#This Row],[pendingCourt]]&lt;=TrafficData[[#This Row],[totalCourt]],TrafficData[[#This Row],[disposedCourt]]&lt;=TrafficData[[#This Row],[totalCourt]])</f>
        <v>1</v>
      </c>
    </row>
    <row r="2568" spans="1:16">
      <c r="A2568" s="1">
        <v>44572</v>
      </c>
      <c r="B2568">
        <v>128821</v>
      </c>
      <c r="C2568">
        <v>64955</v>
      </c>
      <c r="D2568">
        <v>63866</v>
      </c>
      <c r="E2568">
        <v>80479286</v>
      </c>
      <c r="F2568">
        <v>83508235</v>
      </c>
      <c r="G2568">
        <v>163987521</v>
      </c>
      <c r="H2568">
        <v>31245</v>
      </c>
      <c r="I2568">
        <v>9043</v>
      </c>
      <c r="J2568">
        <v>40288</v>
      </c>
      <c r="K2568" t="b">
        <f>TrafficData[[#This Row],[disposedChallan]]+TrafficData[[#This Row],[pendingChallan]]=TrafficData[[#This Row],[totalChallan]]</f>
        <v>1</v>
      </c>
      <c r="L2568" t="b">
        <f>TrafficData[[#This Row],[pendingAmount]]+TrafficData[[#This Row],[disposedAmount]]=TrafficData[[#This Row],[totalAmount]]</f>
        <v>1</v>
      </c>
      <c r="M2568" t="b">
        <f>TrafficData[[#This Row],[pendingCourt]]+TrafficData[[#This Row],[disposedCourt]]=TrafficData[[#This Row],[totalCourt]]</f>
        <v>1</v>
      </c>
      <c r="N2568" s="8" t="b">
        <f>AND(TrafficData[[#This Row],[disposedChallan]]&lt;=TrafficData[[#This Row],[totalChallan]],TrafficData[[#This Row],[pendingChallan]]&lt;=TrafficData[[#This Row],[totalChallan]])</f>
        <v>1</v>
      </c>
      <c r="O2568" s="8" t="b">
        <f>AND(TrafficData[[#This Row],[pendingAmount]]&lt;=TrafficData[[#This Row],[totalAmount]],TrafficData[[#This Row],[disposedAmount]]&lt;=TrafficData[[#This Row],[totalAmount]])</f>
        <v>1</v>
      </c>
      <c r="P2568" s="8" t="b">
        <f>AND(TrafficData[[#This Row],[pendingCourt]]&lt;=TrafficData[[#This Row],[totalCourt]],TrafficData[[#This Row],[disposedCourt]]&lt;=TrafficData[[#This Row],[totalCourt]])</f>
        <v>1</v>
      </c>
    </row>
    <row r="2569" spans="1:16">
      <c r="A2569" s="1">
        <v>44573</v>
      </c>
      <c r="B2569">
        <v>128514</v>
      </c>
      <c r="C2569">
        <v>65312</v>
      </c>
      <c r="D2569">
        <v>63202</v>
      </c>
      <c r="E2569">
        <v>81650555</v>
      </c>
      <c r="F2569">
        <v>88015570</v>
      </c>
      <c r="G2569">
        <v>169666125</v>
      </c>
      <c r="H2569">
        <v>32390</v>
      </c>
      <c r="I2569">
        <v>9599</v>
      </c>
      <c r="J2569">
        <v>41989</v>
      </c>
      <c r="K2569" t="b">
        <f>TrafficData[[#This Row],[disposedChallan]]+TrafficData[[#This Row],[pendingChallan]]=TrafficData[[#This Row],[totalChallan]]</f>
        <v>1</v>
      </c>
      <c r="L2569" t="b">
        <f>TrafficData[[#This Row],[pendingAmount]]+TrafficData[[#This Row],[disposedAmount]]=TrafficData[[#This Row],[totalAmount]]</f>
        <v>1</v>
      </c>
      <c r="M2569" t="b">
        <f>TrafficData[[#This Row],[pendingCourt]]+TrafficData[[#This Row],[disposedCourt]]=TrafficData[[#This Row],[totalCourt]]</f>
        <v>1</v>
      </c>
      <c r="N2569" s="8" t="b">
        <f>AND(TrafficData[[#This Row],[disposedChallan]]&lt;=TrafficData[[#This Row],[totalChallan]],TrafficData[[#This Row],[pendingChallan]]&lt;=TrafficData[[#This Row],[totalChallan]])</f>
        <v>1</v>
      </c>
      <c r="O2569" s="8" t="b">
        <f>AND(TrafficData[[#This Row],[pendingAmount]]&lt;=TrafficData[[#This Row],[totalAmount]],TrafficData[[#This Row],[disposedAmount]]&lt;=TrafficData[[#This Row],[totalAmount]])</f>
        <v>1</v>
      </c>
      <c r="P2569" s="8" t="b">
        <f>AND(TrafficData[[#This Row],[pendingCourt]]&lt;=TrafficData[[#This Row],[totalCourt]],TrafficData[[#This Row],[disposedCourt]]&lt;=TrafficData[[#This Row],[totalCourt]])</f>
        <v>1</v>
      </c>
    </row>
    <row r="2570" spans="1:16">
      <c r="A2570" s="1">
        <v>44574</v>
      </c>
      <c r="B2570">
        <v>123292</v>
      </c>
      <c r="C2570">
        <v>61451</v>
      </c>
      <c r="D2570">
        <v>61841</v>
      </c>
      <c r="E2570">
        <v>83302067</v>
      </c>
      <c r="F2570">
        <v>81212211</v>
      </c>
      <c r="G2570">
        <v>164514278</v>
      </c>
      <c r="H2570">
        <v>32414</v>
      </c>
      <c r="I2570">
        <v>9267</v>
      </c>
      <c r="J2570">
        <v>41681</v>
      </c>
      <c r="K2570" t="b">
        <f>TrafficData[[#This Row],[disposedChallan]]+TrafficData[[#This Row],[pendingChallan]]=TrafficData[[#This Row],[totalChallan]]</f>
        <v>1</v>
      </c>
      <c r="L2570" t="b">
        <f>TrafficData[[#This Row],[pendingAmount]]+TrafficData[[#This Row],[disposedAmount]]=TrafficData[[#This Row],[totalAmount]]</f>
        <v>1</v>
      </c>
      <c r="M2570" t="b">
        <f>TrafficData[[#This Row],[pendingCourt]]+TrafficData[[#This Row],[disposedCourt]]=TrafficData[[#This Row],[totalCourt]]</f>
        <v>1</v>
      </c>
      <c r="N2570" s="8" t="b">
        <f>AND(TrafficData[[#This Row],[disposedChallan]]&lt;=TrafficData[[#This Row],[totalChallan]],TrafficData[[#This Row],[pendingChallan]]&lt;=TrafficData[[#This Row],[totalChallan]])</f>
        <v>1</v>
      </c>
      <c r="O2570" s="8" t="b">
        <f>AND(TrafficData[[#This Row],[pendingAmount]]&lt;=TrafficData[[#This Row],[totalAmount]],TrafficData[[#This Row],[disposedAmount]]&lt;=TrafficData[[#This Row],[totalAmount]])</f>
        <v>1</v>
      </c>
      <c r="P2570" s="8" t="b">
        <f>AND(TrafficData[[#This Row],[pendingCourt]]&lt;=TrafficData[[#This Row],[totalCourt]],TrafficData[[#This Row],[disposedCourt]]&lt;=TrafficData[[#This Row],[totalCourt]])</f>
        <v>1</v>
      </c>
    </row>
    <row r="2571" spans="1:16">
      <c r="A2571" s="1">
        <v>44575</v>
      </c>
      <c r="B2571">
        <v>102146</v>
      </c>
      <c r="C2571">
        <v>49588</v>
      </c>
      <c r="D2571">
        <v>52558</v>
      </c>
      <c r="E2571">
        <v>72531257</v>
      </c>
      <c r="F2571">
        <v>72331634</v>
      </c>
      <c r="G2571">
        <v>144862891</v>
      </c>
      <c r="H2571">
        <v>29726</v>
      </c>
      <c r="I2571">
        <v>8497</v>
      </c>
      <c r="J2571">
        <v>38223</v>
      </c>
      <c r="K2571" t="b">
        <f>TrafficData[[#This Row],[disposedChallan]]+TrafficData[[#This Row],[pendingChallan]]=TrafficData[[#This Row],[totalChallan]]</f>
        <v>1</v>
      </c>
      <c r="L2571" t="b">
        <f>TrafficData[[#This Row],[pendingAmount]]+TrafficData[[#This Row],[disposedAmount]]=TrafficData[[#This Row],[totalAmount]]</f>
        <v>1</v>
      </c>
      <c r="M2571" t="b">
        <f>TrafficData[[#This Row],[pendingCourt]]+TrafficData[[#This Row],[disposedCourt]]=TrafficData[[#This Row],[totalCourt]]</f>
        <v>1</v>
      </c>
      <c r="N2571" s="8" t="b">
        <f>AND(TrafficData[[#This Row],[disposedChallan]]&lt;=TrafficData[[#This Row],[totalChallan]],TrafficData[[#This Row],[pendingChallan]]&lt;=TrafficData[[#This Row],[totalChallan]])</f>
        <v>1</v>
      </c>
      <c r="O2571" s="8" t="b">
        <f>AND(TrafficData[[#This Row],[pendingAmount]]&lt;=TrafficData[[#This Row],[totalAmount]],TrafficData[[#This Row],[disposedAmount]]&lt;=TrafficData[[#This Row],[totalAmount]])</f>
        <v>1</v>
      </c>
      <c r="P2571" s="8" t="b">
        <f>AND(TrafficData[[#This Row],[pendingCourt]]&lt;=TrafficData[[#This Row],[totalCourt]],TrafficData[[#This Row],[disposedCourt]]&lt;=TrafficData[[#This Row],[totalCourt]])</f>
        <v>1</v>
      </c>
    </row>
    <row r="2572" spans="1:16">
      <c r="A2572" s="1">
        <v>44576</v>
      </c>
      <c r="B2572">
        <v>110001</v>
      </c>
      <c r="C2572">
        <v>53667</v>
      </c>
      <c r="D2572">
        <v>56334</v>
      </c>
      <c r="E2572">
        <v>66480134</v>
      </c>
      <c r="F2572">
        <v>68095828</v>
      </c>
      <c r="G2572">
        <v>134575962</v>
      </c>
      <c r="H2572">
        <v>29196</v>
      </c>
      <c r="I2572">
        <v>7432</v>
      </c>
      <c r="J2572">
        <v>36628</v>
      </c>
      <c r="K2572" t="b">
        <f>TrafficData[[#This Row],[disposedChallan]]+TrafficData[[#This Row],[pendingChallan]]=TrafficData[[#This Row],[totalChallan]]</f>
        <v>1</v>
      </c>
      <c r="L2572" t="b">
        <f>TrafficData[[#This Row],[pendingAmount]]+TrafficData[[#This Row],[disposedAmount]]=TrafficData[[#This Row],[totalAmount]]</f>
        <v>1</v>
      </c>
      <c r="M2572" t="b">
        <f>TrafficData[[#This Row],[pendingCourt]]+TrafficData[[#This Row],[disposedCourt]]=TrafficData[[#This Row],[totalCourt]]</f>
        <v>1</v>
      </c>
      <c r="N2572" s="8" t="b">
        <f>AND(TrafficData[[#This Row],[disposedChallan]]&lt;=TrafficData[[#This Row],[totalChallan]],TrafficData[[#This Row],[pendingChallan]]&lt;=TrafficData[[#This Row],[totalChallan]])</f>
        <v>1</v>
      </c>
      <c r="O2572" s="8" t="b">
        <f>AND(TrafficData[[#This Row],[pendingAmount]]&lt;=TrafficData[[#This Row],[totalAmount]],TrafficData[[#This Row],[disposedAmount]]&lt;=TrafficData[[#This Row],[totalAmount]])</f>
        <v>1</v>
      </c>
      <c r="P2572" s="8" t="b">
        <f>AND(TrafficData[[#This Row],[pendingCourt]]&lt;=TrafficData[[#This Row],[totalCourt]],TrafficData[[#This Row],[disposedCourt]]&lt;=TrafficData[[#This Row],[totalCourt]])</f>
        <v>1</v>
      </c>
    </row>
    <row r="2573" spans="1:16">
      <c r="A2573" s="1">
        <v>44577</v>
      </c>
      <c r="B2573">
        <v>89717</v>
      </c>
      <c r="C2573">
        <v>41618</v>
      </c>
      <c r="D2573">
        <v>48099</v>
      </c>
      <c r="E2573">
        <v>60005773</v>
      </c>
      <c r="F2573">
        <v>54794884</v>
      </c>
      <c r="G2573">
        <v>114800657</v>
      </c>
      <c r="H2573">
        <v>29181</v>
      </c>
      <c r="I2573">
        <v>6929</v>
      </c>
      <c r="J2573">
        <v>36110</v>
      </c>
      <c r="K2573" t="b">
        <f>TrafficData[[#This Row],[disposedChallan]]+TrafficData[[#This Row],[pendingChallan]]=TrafficData[[#This Row],[totalChallan]]</f>
        <v>1</v>
      </c>
      <c r="L2573" t="b">
        <f>TrafficData[[#This Row],[pendingAmount]]+TrafficData[[#This Row],[disposedAmount]]=TrafficData[[#This Row],[totalAmount]]</f>
        <v>1</v>
      </c>
      <c r="M2573" t="b">
        <f>TrafficData[[#This Row],[pendingCourt]]+TrafficData[[#This Row],[disposedCourt]]=TrafficData[[#This Row],[totalCourt]]</f>
        <v>1</v>
      </c>
      <c r="N2573" s="8" t="b">
        <f>AND(TrafficData[[#This Row],[disposedChallan]]&lt;=TrafficData[[#This Row],[totalChallan]],TrafficData[[#This Row],[pendingChallan]]&lt;=TrafficData[[#This Row],[totalChallan]])</f>
        <v>1</v>
      </c>
      <c r="O2573" s="8" t="b">
        <f>AND(TrafficData[[#This Row],[pendingAmount]]&lt;=TrafficData[[#This Row],[totalAmount]],TrafficData[[#This Row],[disposedAmount]]&lt;=TrafficData[[#This Row],[totalAmount]])</f>
        <v>1</v>
      </c>
      <c r="P2573" s="8" t="b">
        <f>AND(TrafficData[[#This Row],[pendingCourt]]&lt;=TrafficData[[#This Row],[totalCourt]],TrafficData[[#This Row],[disposedCourt]]&lt;=TrafficData[[#This Row],[totalCourt]])</f>
        <v>1</v>
      </c>
    </row>
    <row r="2574" spans="1:16">
      <c r="A2574" s="1">
        <v>44578</v>
      </c>
      <c r="B2574">
        <v>118952</v>
      </c>
      <c r="C2574">
        <v>58865</v>
      </c>
      <c r="D2574">
        <v>60087</v>
      </c>
      <c r="E2574">
        <v>75672798</v>
      </c>
      <c r="F2574">
        <v>72520765</v>
      </c>
      <c r="G2574">
        <v>148193563</v>
      </c>
      <c r="H2574">
        <v>32525</v>
      </c>
      <c r="I2574">
        <v>9170</v>
      </c>
      <c r="J2574">
        <v>41695</v>
      </c>
      <c r="K2574" t="b">
        <f>TrafficData[[#This Row],[disposedChallan]]+TrafficData[[#This Row],[pendingChallan]]=TrafficData[[#This Row],[totalChallan]]</f>
        <v>1</v>
      </c>
      <c r="L2574" t="b">
        <f>TrafficData[[#This Row],[pendingAmount]]+TrafficData[[#This Row],[disposedAmount]]=TrafficData[[#This Row],[totalAmount]]</f>
        <v>1</v>
      </c>
      <c r="M2574" t="b">
        <f>TrafficData[[#This Row],[pendingCourt]]+TrafficData[[#This Row],[disposedCourt]]=TrafficData[[#This Row],[totalCourt]]</f>
        <v>1</v>
      </c>
      <c r="N2574" s="8" t="b">
        <f>AND(TrafficData[[#This Row],[disposedChallan]]&lt;=TrafficData[[#This Row],[totalChallan]],TrafficData[[#This Row],[pendingChallan]]&lt;=TrafficData[[#This Row],[totalChallan]])</f>
        <v>1</v>
      </c>
      <c r="O2574" s="8" t="b">
        <f>AND(TrafficData[[#This Row],[pendingAmount]]&lt;=TrafficData[[#This Row],[totalAmount]],TrafficData[[#This Row],[disposedAmount]]&lt;=TrafficData[[#This Row],[totalAmount]])</f>
        <v>1</v>
      </c>
      <c r="P2574" s="8" t="b">
        <f>AND(TrafficData[[#This Row],[pendingCourt]]&lt;=TrafficData[[#This Row],[totalCourt]],TrafficData[[#This Row],[disposedCourt]]&lt;=TrafficData[[#This Row],[totalCourt]])</f>
        <v>1</v>
      </c>
    </row>
    <row r="2575" spans="1:16">
      <c r="A2575" s="1">
        <v>44579</v>
      </c>
      <c r="B2575">
        <v>124786</v>
      </c>
      <c r="C2575">
        <v>63228</v>
      </c>
      <c r="D2575">
        <v>61558</v>
      </c>
      <c r="E2575">
        <v>74845738</v>
      </c>
      <c r="F2575">
        <v>81234546</v>
      </c>
      <c r="G2575">
        <v>156080284</v>
      </c>
      <c r="H2575">
        <v>30871</v>
      </c>
      <c r="I2575">
        <v>8809</v>
      </c>
      <c r="J2575">
        <v>39680</v>
      </c>
      <c r="K2575" t="b">
        <f>TrafficData[[#This Row],[disposedChallan]]+TrafficData[[#This Row],[pendingChallan]]=TrafficData[[#This Row],[totalChallan]]</f>
        <v>1</v>
      </c>
      <c r="L2575" t="b">
        <f>TrafficData[[#This Row],[pendingAmount]]+TrafficData[[#This Row],[disposedAmount]]=TrafficData[[#This Row],[totalAmount]]</f>
        <v>1</v>
      </c>
      <c r="M2575" t="b">
        <f>TrafficData[[#This Row],[pendingCourt]]+TrafficData[[#This Row],[disposedCourt]]=TrafficData[[#This Row],[totalCourt]]</f>
        <v>1</v>
      </c>
      <c r="N2575" s="8" t="b">
        <f>AND(TrafficData[[#This Row],[disposedChallan]]&lt;=TrafficData[[#This Row],[totalChallan]],TrafficData[[#This Row],[pendingChallan]]&lt;=TrafficData[[#This Row],[totalChallan]])</f>
        <v>1</v>
      </c>
      <c r="O2575" s="8" t="b">
        <f>AND(TrafficData[[#This Row],[pendingAmount]]&lt;=TrafficData[[#This Row],[totalAmount]],TrafficData[[#This Row],[disposedAmount]]&lt;=TrafficData[[#This Row],[totalAmount]])</f>
        <v>1</v>
      </c>
      <c r="P2575" s="8" t="b">
        <f>AND(TrafficData[[#This Row],[pendingCourt]]&lt;=TrafficData[[#This Row],[totalCourt]],TrafficData[[#This Row],[disposedCourt]]&lt;=TrafficData[[#This Row],[totalCourt]])</f>
        <v>1</v>
      </c>
    </row>
    <row r="2576" spans="1:16">
      <c r="A2576" s="1">
        <v>44580</v>
      </c>
      <c r="B2576">
        <v>128237</v>
      </c>
      <c r="C2576">
        <v>65287</v>
      </c>
      <c r="D2576">
        <v>62950</v>
      </c>
      <c r="E2576">
        <v>82743995</v>
      </c>
      <c r="F2576">
        <v>164706353</v>
      </c>
      <c r="G2576">
        <v>247450348</v>
      </c>
      <c r="H2576">
        <v>31510</v>
      </c>
      <c r="I2576">
        <v>9526</v>
      </c>
      <c r="J2576">
        <v>41036</v>
      </c>
      <c r="K2576" t="b">
        <f>TrafficData[[#This Row],[disposedChallan]]+TrafficData[[#This Row],[pendingChallan]]=TrafficData[[#This Row],[totalChallan]]</f>
        <v>1</v>
      </c>
      <c r="L2576" t="b">
        <f>TrafficData[[#This Row],[pendingAmount]]+TrafficData[[#This Row],[disposedAmount]]=TrafficData[[#This Row],[totalAmount]]</f>
        <v>1</v>
      </c>
      <c r="M2576" t="b">
        <f>TrafficData[[#This Row],[pendingCourt]]+TrafficData[[#This Row],[disposedCourt]]=TrafficData[[#This Row],[totalCourt]]</f>
        <v>1</v>
      </c>
      <c r="N2576" s="8" t="b">
        <f>AND(TrafficData[[#This Row],[disposedChallan]]&lt;=TrafficData[[#This Row],[totalChallan]],TrafficData[[#This Row],[pendingChallan]]&lt;=TrafficData[[#This Row],[totalChallan]])</f>
        <v>1</v>
      </c>
      <c r="O2576" s="8" t="b">
        <f>AND(TrafficData[[#This Row],[pendingAmount]]&lt;=TrafficData[[#This Row],[totalAmount]],TrafficData[[#This Row],[disposedAmount]]&lt;=TrafficData[[#This Row],[totalAmount]])</f>
        <v>1</v>
      </c>
      <c r="P2576" s="8" t="b">
        <f>AND(TrafficData[[#This Row],[pendingCourt]]&lt;=TrafficData[[#This Row],[totalCourt]],TrafficData[[#This Row],[disposedCourt]]&lt;=TrafficData[[#This Row],[totalCourt]])</f>
        <v>1</v>
      </c>
    </row>
    <row r="2577" spans="1:16">
      <c r="A2577" s="1">
        <v>44581</v>
      </c>
      <c r="B2577">
        <v>123826</v>
      </c>
      <c r="C2577">
        <v>63198</v>
      </c>
      <c r="D2577">
        <v>60628</v>
      </c>
      <c r="E2577">
        <v>73000647</v>
      </c>
      <c r="F2577">
        <v>75014465</v>
      </c>
      <c r="G2577">
        <v>148015112</v>
      </c>
      <c r="H2577">
        <v>30216</v>
      </c>
      <c r="I2577">
        <v>8447</v>
      </c>
      <c r="J2577">
        <v>38663</v>
      </c>
      <c r="K2577" t="b">
        <f>TrafficData[[#This Row],[disposedChallan]]+TrafficData[[#This Row],[pendingChallan]]=TrafficData[[#This Row],[totalChallan]]</f>
        <v>1</v>
      </c>
      <c r="L2577" t="b">
        <f>TrafficData[[#This Row],[pendingAmount]]+TrafficData[[#This Row],[disposedAmount]]=TrafficData[[#This Row],[totalAmount]]</f>
        <v>1</v>
      </c>
      <c r="M2577" t="b">
        <f>TrafficData[[#This Row],[pendingCourt]]+TrafficData[[#This Row],[disposedCourt]]=TrafficData[[#This Row],[totalCourt]]</f>
        <v>1</v>
      </c>
      <c r="N2577" s="8" t="b">
        <f>AND(TrafficData[[#This Row],[disposedChallan]]&lt;=TrafficData[[#This Row],[totalChallan]],TrafficData[[#This Row],[pendingChallan]]&lt;=TrafficData[[#This Row],[totalChallan]])</f>
        <v>1</v>
      </c>
      <c r="O2577" s="8" t="b">
        <f>AND(TrafficData[[#This Row],[pendingAmount]]&lt;=TrafficData[[#This Row],[totalAmount]],TrafficData[[#This Row],[disposedAmount]]&lt;=TrafficData[[#This Row],[totalAmount]])</f>
        <v>1</v>
      </c>
      <c r="P2577" s="8" t="b">
        <f>AND(TrafficData[[#This Row],[pendingCourt]]&lt;=TrafficData[[#This Row],[totalCourt]],TrafficData[[#This Row],[disposedCourt]]&lt;=TrafficData[[#This Row],[totalCourt]])</f>
        <v>1</v>
      </c>
    </row>
    <row r="2578" spans="1:16">
      <c r="A2578" s="1">
        <v>44582</v>
      </c>
      <c r="B2578">
        <v>123257</v>
      </c>
      <c r="C2578">
        <v>61859</v>
      </c>
      <c r="D2578">
        <v>61398</v>
      </c>
      <c r="E2578">
        <v>74058376</v>
      </c>
      <c r="F2578">
        <v>82266617</v>
      </c>
      <c r="G2578">
        <v>156324993</v>
      </c>
      <c r="H2578">
        <v>30135</v>
      </c>
      <c r="I2578">
        <v>8380</v>
      </c>
      <c r="J2578">
        <v>38515</v>
      </c>
      <c r="K2578" t="b">
        <f>TrafficData[[#This Row],[disposedChallan]]+TrafficData[[#This Row],[pendingChallan]]=TrafficData[[#This Row],[totalChallan]]</f>
        <v>1</v>
      </c>
      <c r="L2578" t="b">
        <f>TrafficData[[#This Row],[pendingAmount]]+TrafficData[[#This Row],[disposedAmount]]=TrafficData[[#This Row],[totalAmount]]</f>
        <v>1</v>
      </c>
      <c r="M2578" t="b">
        <f>TrafficData[[#This Row],[pendingCourt]]+TrafficData[[#This Row],[disposedCourt]]=TrafficData[[#This Row],[totalCourt]]</f>
        <v>1</v>
      </c>
      <c r="N2578" s="8" t="b">
        <f>AND(TrafficData[[#This Row],[disposedChallan]]&lt;=TrafficData[[#This Row],[totalChallan]],TrafficData[[#This Row],[pendingChallan]]&lt;=TrafficData[[#This Row],[totalChallan]])</f>
        <v>1</v>
      </c>
      <c r="O2578" s="8" t="b">
        <f>AND(TrafficData[[#This Row],[pendingAmount]]&lt;=TrafficData[[#This Row],[totalAmount]],TrafficData[[#This Row],[disposedAmount]]&lt;=TrafficData[[#This Row],[totalAmount]])</f>
        <v>1</v>
      </c>
      <c r="P2578" s="8" t="b">
        <f>AND(TrafficData[[#This Row],[pendingCourt]]&lt;=TrafficData[[#This Row],[totalCourt]],TrafficData[[#This Row],[disposedCourt]]&lt;=TrafficData[[#This Row],[totalCourt]])</f>
        <v>1</v>
      </c>
    </row>
    <row r="2579" spans="1:16">
      <c r="A2579" s="1">
        <v>44583</v>
      </c>
      <c r="B2579">
        <v>115542</v>
      </c>
      <c r="C2579">
        <v>59091</v>
      </c>
      <c r="D2579">
        <v>56451</v>
      </c>
      <c r="E2579">
        <v>54924810</v>
      </c>
      <c r="F2579">
        <v>71143369</v>
      </c>
      <c r="G2579">
        <v>126068179</v>
      </c>
      <c r="H2579">
        <v>24023</v>
      </c>
      <c r="I2579">
        <v>6049</v>
      </c>
      <c r="J2579">
        <v>30072</v>
      </c>
      <c r="K2579" t="b">
        <f>TrafficData[[#This Row],[disposedChallan]]+TrafficData[[#This Row],[pendingChallan]]=TrafficData[[#This Row],[totalChallan]]</f>
        <v>1</v>
      </c>
      <c r="L2579" t="b">
        <f>TrafficData[[#This Row],[pendingAmount]]+TrafficData[[#This Row],[disposedAmount]]=TrafficData[[#This Row],[totalAmount]]</f>
        <v>1</v>
      </c>
      <c r="M2579" t="b">
        <f>TrafficData[[#This Row],[pendingCourt]]+TrafficData[[#This Row],[disposedCourt]]=TrafficData[[#This Row],[totalCourt]]</f>
        <v>1</v>
      </c>
      <c r="N2579" s="8" t="b">
        <f>AND(TrafficData[[#This Row],[disposedChallan]]&lt;=TrafficData[[#This Row],[totalChallan]],TrafficData[[#This Row],[pendingChallan]]&lt;=TrafficData[[#This Row],[totalChallan]])</f>
        <v>1</v>
      </c>
      <c r="O2579" s="8" t="b">
        <f>AND(TrafficData[[#This Row],[pendingAmount]]&lt;=TrafficData[[#This Row],[totalAmount]],TrafficData[[#This Row],[disposedAmount]]&lt;=TrafficData[[#This Row],[totalAmount]])</f>
        <v>1</v>
      </c>
      <c r="P2579" s="8" t="b">
        <f>AND(TrafficData[[#This Row],[pendingCourt]]&lt;=TrafficData[[#This Row],[totalCourt]],TrafficData[[#This Row],[disposedCourt]]&lt;=TrafficData[[#This Row],[totalCourt]])</f>
        <v>1</v>
      </c>
    </row>
    <row r="2580" spans="1:16">
      <c r="A2580" s="1">
        <v>44584</v>
      </c>
      <c r="B2580">
        <v>81589</v>
      </c>
      <c r="C2580">
        <v>35880</v>
      </c>
      <c r="D2580">
        <v>45709</v>
      </c>
      <c r="E2580">
        <v>51967750</v>
      </c>
      <c r="F2580">
        <v>52037159</v>
      </c>
      <c r="G2580">
        <v>104004909</v>
      </c>
      <c r="H2580">
        <v>25363</v>
      </c>
      <c r="I2580">
        <v>5905</v>
      </c>
      <c r="J2580">
        <v>31268</v>
      </c>
      <c r="K2580" t="b">
        <f>TrafficData[[#This Row],[disposedChallan]]+TrafficData[[#This Row],[pendingChallan]]=TrafficData[[#This Row],[totalChallan]]</f>
        <v>1</v>
      </c>
      <c r="L2580" t="b">
        <f>TrafficData[[#This Row],[pendingAmount]]+TrafficData[[#This Row],[disposedAmount]]=TrafficData[[#This Row],[totalAmount]]</f>
        <v>1</v>
      </c>
      <c r="M2580" t="b">
        <f>TrafficData[[#This Row],[pendingCourt]]+TrafficData[[#This Row],[disposedCourt]]=TrafficData[[#This Row],[totalCourt]]</f>
        <v>1</v>
      </c>
      <c r="N2580" s="8" t="b">
        <f>AND(TrafficData[[#This Row],[disposedChallan]]&lt;=TrafficData[[#This Row],[totalChallan]],TrafficData[[#This Row],[pendingChallan]]&lt;=TrafficData[[#This Row],[totalChallan]])</f>
        <v>1</v>
      </c>
      <c r="O2580" s="8" t="b">
        <f>AND(TrafficData[[#This Row],[pendingAmount]]&lt;=TrafficData[[#This Row],[totalAmount]],TrafficData[[#This Row],[disposedAmount]]&lt;=TrafficData[[#This Row],[totalAmount]])</f>
        <v>1</v>
      </c>
      <c r="P2580" s="8" t="b">
        <f>AND(TrafficData[[#This Row],[pendingCourt]]&lt;=TrafficData[[#This Row],[totalCourt]],TrafficData[[#This Row],[disposedCourt]]&lt;=TrafficData[[#This Row],[totalCourt]])</f>
        <v>1</v>
      </c>
    </row>
    <row r="2581" spans="1:16">
      <c r="A2581" s="1">
        <v>44585</v>
      </c>
      <c r="B2581">
        <v>131391</v>
      </c>
      <c r="C2581">
        <v>64150</v>
      </c>
      <c r="D2581">
        <v>67241</v>
      </c>
      <c r="E2581">
        <v>77036370</v>
      </c>
      <c r="F2581">
        <v>74780979</v>
      </c>
      <c r="G2581">
        <v>151817349</v>
      </c>
      <c r="H2581">
        <v>31801</v>
      </c>
      <c r="I2581">
        <v>9108</v>
      </c>
      <c r="J2581">
        <v>40909</v>
      </c>
      <c r="K2581" t="b">
        <f>TrafficData[[#This Row],[disposedChallan]]+TrafficData[[#This Row],[pendingChallan]]=TrafficData[[#This Row],[totalChallan]]</f>
        <v>1</v>
      </c>
      <c r="L2581" t="b">
        <f>TrafficData[[#This Row],[pendingAmount]]+TrafficData[[#This Row],[disposedAmount]]=TrafficData[[#This Row],[totalAmount]]</f>
        <v>1</v>
      </c>
      <c r="M2581" t="b">
        <f>TrafficData[[#This Row],[pendingCourt]]+TrafficData[[#This Row],[disposedCourt]]=TrafficData[[#This Row],[totalCourt]]</f>
        <v>1</v>
      </c>
      <c r="N2581" s="8" t="b">
        <f>AND(TrafficData[[#This Row],[disposedChallan]]&lt;=TrafficData[[#This Row],[totalChallan]],TrafficData[[#This Row],[pendingChallan]]&lt;=TrafficData[[#This Row],[totalChallan]])</f>
        <v>1</v>
      </c>
      <c r="O2581" s="8" t="b">
        <f>AND(TrafficData[[#This Row],[pendingAmount]]&lt;=TrafficData[[#This Row],[totalAmount]],TrafficData[[#This Row],[disposedAmount]]&lt;=TrafficData[[#This Row],[totalAmount]])</f>
        <v>1</v>
      </c>
      <c r="P2581" s="8" t="b">
        <f>AND(TrafficData[[#This Row],[pendingCourt]]&lt;=TrafficData[[#This Row],[totalCourt]],TrafficData[[#This Row],[disposedCourt]]&lt;=TrafficData[[#This Row],[totalCourt]])</f>
        <v>1</v>
      </c>
    </row>
    <row r="2582" spans="1:16">
      <c r="A2582" s="1">
        <v>44586</v>
      </c>
      <c r="B2582">
        <v>125049</v>
      </c>
      <c r="C2582">
        <v>63056</v>
      </c>
      <c r="D2582">
        <v>61993</v>
      </c>
      <c r="E2582">
        <v>82934038</v>
      </c>
      <c r="F2582">
        <v>83907252</v>
      </c>
      <c r="G2582">
        <v>166841290</v>
      </c>
      <c r="H2582">
        <v>32136</v>
      </c>
      <c r="I2582">
        <v>8928</v>
      </c>
      <c r="J2582">
        <v>41064</v>
      </c>
      <c r="K2582" t="b">
        <f>TrafficData[[#This Row],[disposedChallan]]+TrafficData[[#This Row],[pendingChallan]]=TrafficData[[#This Row],[totalChallan]]</f>
        <v>1</v>
      </c>
      <c r="L2582" t="b">
        <f>TrafficData[[#This Row],[pendingAmount]]+TrafficData[[#This Row],[disposedAmount]]=TrafficData[[#This Row],[totalAmount]]</f>
        <v>1</v>
      </c>
      <c r="M2582" t="b">
        <f>TrafficData[[#This Row],[pendingCourt]]+TrafficData[[#This Row],[disposedCourt]]=TrafficData[[#This Row],[totalCourt]]</f>
        <v>1</v>
      </c>
      <c r="N2582" s="8" t="b">
        <f>AND(TrafficData[[#This Row],[disposedChallan]]&lt;=TrafficData[[#This Row],[totalChallan]],TrafficData[[#This Row],[pendingChallan]]&lt;=TrafficData[[#This Row],[totalChallan]])</f>
        <v>1</v>
      </c>
      <c r="O2582" s="8" t="b">
        <f>AND(TrafficData[[#This Row],[pendingAmount]]&lt;=TrafficData[[#This Row],[totalAmount]],TrafficData[[#This Row],[disposedAmount]]&lt;=TrafficData[[#This Row],[totalAmount]])</f>
        <v>1</v>
      </c>
      <c r="P2582" s="8" t="b">
        <f>AND(TrafficData[[#This Row],[pendingCourt]]&lt;=TrafficData[[#This Row],[totalCourt]],TrafficData[[#This Row],[disposedCourt]]&lt;=TrafficData[[#This Row],[totalCourt]])</f>
        <v>1</v>
      </c>
    </row>
    <row r="2583" spans="1:16">
      <c r="A2583" s="1">
        <v>44587</v>
      </c>
      <c r="B2583">
        <v>97617</v>
      </c>
      <c r="C2583">
        <v>48924</v>
      </c>
      <c r="D2583">
        <v>48693</v>
      </c>
      <c r="E2583">
        <v>46181369</v>
      </c>
      <c r="F2583">
        <v>47296432</v>
      </c>
      <c r="G2583">
        <v>93477801</v>
      </c>
      <c r="H2583">
        <v>22646</v>
      </c>
      <c r="I2583">
        <v>6378</v>
      </c>
      <c r="J2583">
        <v>29024</v>
      </c>
      <c r="K2583" t="b">
        <f>TrafficData[[#This Row],[disposedChallan]]+TrafficData[[#This Row],[pendingChallan]]=TrafficData[[#This Row],[totalChallan]]</f>
        <v>1</v>
      </c>
      <c r="L2583" t="b">
        <f>TrafficData[[#This Row],[pendingAmount]]+TrafficData[[#This Row],[disposedAmount]]=TrafficData[[#This Row],[totalAmount]]</f>
        <v>1</v>
      </c>
      <c r="M2583" t="b">
        <f>TrafficData[[#This Row],[pendingCourt]]+TrafficData[[#This Row],[disposedCourt]]=TrafficData[[#This Row],[totalCourt]]</f>
        <v>1</v>
      </c>
      <c r="N2583" s="8" t="b">
        <f>AND(TrafficData[[#This Row],[disposedChallan]]&lt;=TrafficData[[#This Row],[totalChallan]],TrafficData[[#This Row],[pendingChallan]]&lt;=TrafficData[[#This Row],[totalChallan]])</f>
        <v>1</v>
      </c>
      <c r="O2583" s="8" t="b">
        <f>AND(TrafficData[[#This Row],[pendingAmount]]&lt;=TrafficData[[#This Row],[totalAmount]],TrafficData[[#This Row],[disposedAmount]]&lt;=TrafficData[[#This Row],[totalAmount]])</f>
        <v>1</v>
      </c>
      <c r="P2583" s="8" t="b">
        <f>AND(TrafficData[[#This Row],[pendingCourt]]&lt;=TrafficData[[#This Row],[totalCourt]],TrafficData[[#This Row],[disposedCourt]]&lt;=TrafficData[[#This Row],[totalCourt]])</f>
        <v>1</v>
      </c>
    </row>
    <row r="2584" spans="1:16">
      <c r="A2584" s="1">
        <v>44588</v>
      </c>
      <c r="B2584">
        <v>125547</v>
      </c>
      <c r="C2584">
        <v>65227</v>
      </c>
      <c r="D2584">
        <v>60320</v>
      </c>
      <c r="E2584">
        <v>81815714</v>
      </c>
      <c r="F2584">
        <v>79130468</v>
      </c>
      <c r="G2584">
        <v>160946182</v>
      </c>
      <c r="H2584">
        <v>31773</v>
      </c>
      <c r="I2584">
        <v>9564</v>
      </c>
      <c r="J2584">
        <v>41337</v>
      </c>
      <c r="K2584" t="b">
        <f>TrafficData[[#This Row],[disposedChallan]]+TrafficData[[#This Row],[pendingChallan]]=TrafficData[[#This Row],[totalChallan]]</f>
        <v>1</v>
      </c>
      <c r="L2584" t="b">
        <f>TrafficData[[#This Row],[pendingAmount]]+TrafficData[[#This Row],[disposedAmount]]=TrafficData[[#This Row],[totalAmount]]</f>
        <v>1</v>
      </c>
      <c r="M2584" t="b">
        <f>TrafficData[[#This Row],[pendingCourt]]+TrafficData[[#This Row],[disposedCourt]]=TrafficData[[#This Row],[totalCourt]]</f>
        <v>1</v>
      </c>
      <c r="N2584" s="8" t="b">
        <f>AND(TrafficData[[#This Row],[disposedChallan]]&lt;=TrafficData[[#This Row],[totalChallan]],TrafficData[[#This Row],[pendingChallan]]&lt;=TrafficData[[#This Row],[totalChallan]])</f>
        <v>1</v>
      </c>
      <c r="O2584" s="8" t="b">
        <f>AND(TrafficData[[#This Row],[pendingAmount]]&lt;=TrafficData[[#This Row],[totalAmount]],TrafficData[[#This Row],[disposedAmount]]&lt;=TrafficData[[#This Row],[totalAmount]])</f>
        <v>1</v>
      </c>
      <c r="P2584" s="8" t="b">
        <f>AND(TrafficData[[#This Row],[pendingCourt]]&lt;=TrafficData[[#This Row],[totalCourt]],TrafficData[[#This Row],[disposedCourt]]&lt;=TrafficData[[#This Row],[totalCourt]])</f>
        <v>1</v>
      </c>
    </row>
    <row r="2585" spans="1:16">
      <c r="A2585" s="1">
        <v>44589</v>
      </c>
      <c r="B2585">
        <v>123377</v>
      </c>
      <c r="C2585">
        <v>63621</v>
      </c>
      <c r="D2585">
        <v>59756</v>
      </c>
      <c r="E2585">
        <v>82011885</v>
      </c>
      <c r="F2585">
        <v>81129445</v>
      </c>
      <c r="G2585">
        <v>163141330</v>
      </c>
      <c r="H2585">
        <v>31548</v>
      </c>
      <c r="I2585">
        <v>9241</v>
      </c>
      <c r="J2585">
        <v>40789</v>
      </c>
      <c r="K2585" t="b">
        <f>TrafficData[[#This Row],[disposedChallan]]+TrafficData[[#This Row],[pendingChallan]]=TrafficData[[#This Row],[totalChallan]]</f>
        <v>1</v>
      </c>
      <c r="L2585" t="b">
        <f>TrafficData[[#This Row],[pendingAmount]]+TrafficData[[#This Row],[disposedAmount]]=TrafficData[[#This Row],[totalAmount]]</f>
        <v>1</v>
      </c>
      <c r="M2585" t="b">
        <f>TrafficData[[#This Row],[pendingCourt]]+TrafficData[[#This Row],[disposedCourt]]=TrafficData[[#This Row],[totalCourt]]</f>
        <v>1</v>
      </c>
      <c r="N2585" s="8" t="b">
        <f>AND(TrafficData[[#This Row],[disposedChallan]]&lt;=TrafficData[[#This Row],[totalChallan]],TrafficData[[#This Row],[pendingChallan]]&lt;=TrafficData[[#This Row],[totalChallan]])</f>
        <v>1</v>
      </c>
      <c r="O2585" s="8" t="b">
        <f>AND(TrafficData[[#This Row],[pendingAmount]]&lt;=TrafficData[[#This Row],[totalAmount]],TrafficData[[#This Row],[disposedAmount]]&lt;=TrafficData[[#This Row],[totalAmount]])</f>
        <v>1</v>
      </c>
      <c r="P2585" s="8" t="b">
        <f>AND(TrafficData[[#This Row],[pendingCourt]]&lt;=TrafficData[[#This Row],[totalCourt]],TrafficData[[#This Row],[disposedCourt]]&lt;=TrafficData[[#This Row],[totalCourt]])</f>
        <v>1</v>
      </c>
    </row>
    <row r="2586" spans="1:16">
      <c r="A2586" s="1">
        <v>44590</v>
      </c>
      <c r="B2586">
        <v>121530</v>
      </c>
      <c r="C2586">
        <v>63385</v>
      </c>
      <c r="D2586">
        <v>58145</v>
      </c>
      <c r="E2586">
        <v>78336509</v>
      </c>
      <c r="F2586">
        <v>81163634</v>
      </c>
      <c r="G2586">
        <v>159500143</v>
      </c>
      <c r="H2586">
        <v>30860</v>
      </c>
      <c r="I2586">
        <v>8792</v>
      </c>
      <c r="J2586">
        <v>39652</v>
      </c>
      <c r="K2586" t="b">
        <f>TrafficData[[#This Row],[disposedChallan]]+TrafficData[[#This Row],[pendingChallan]]=TrafficData[[#This Row],[totalChallan]]</f>
        <v>1</v>
      </c>
      <c r="L2586" t="b">
        <f>TrafficData[[#This Row],[pendingAmount]]+TrafficData[[#This Row],[disposedAmount]]=TrafficData[[#This Row],[totalAmount]]</f>
        <v>1</v>
      </c>
      <c r="M2586" t="b">
        <f>TrafficData[[#This Row],[pendingCourt]]+TrafficData[[#This Row],[disposedCourt]]=TrafficData[[#This Row],[totalCourt]]</f>
        <v>1</v>
      </c>
      <c r="N2586" s="8" t="b">
        <f>AND(TrafficData[[#This Row],[disposedChallan]]&lt;=TrafficData[[#This Row],[totalChallan]],TrafficData[[#This Row],[pendingChallan]]&lt;=TrafficData[[#This Row],[totalChallan]])</f>
        <v>1</v>
      </c>
      <c r="O2586" s="8" t="b">
        <f>AND(TrafficData[[#This Row],[pendingAmount]]&lt;=TrafficData[[#This Row],[totalAmount]],TrafficData[[#This Row],[disposedAmount]]&lt;=TrafficData[[#This Row],[totalAmount]])</f>
        <v>1</v>
      </c>
      <c r="P2586" s="8" t="b">
        <f>AND(TrafficData[[#This Row],[pendingCourt]]&lt;=TrafficData[[#This Row],[totalCourt]],TrafficData[[#This Row],[disposedCourt]]&lt;=TrafficData[[#This Row],[totalCourt]])</f>
        <v>1</v>
      </c>
    </row>
    <row r="2587" spans="1:16">
      <c r="A2587" s="1">
        <v>44591</v>
      </c>
      <c r="B2587">
        <v>109250</v>
      </c>
      <c r="C2587">
        <v>51163</v>
      </c>
      <c r="D2587">
        <v>58087</v>
      </c>
      <c r="E2587">
        <v>70131276</v>
      </c>
      <c r="F2587">
        <v>61601202</v>
      </c>
      <c r="G2587">
        <v>131732478</v>
      </c>
      <c r="H2587">
        <v>30096</v>
      </c>
      <c r="I2587">
        <v>9022</v>
      </c>
      <c r="J2587">
        <v>39118</v>
      </c>
      <c r="K2587" t="b">
        <f>TrafficData[[#This Row],[disposedChallan]]+TrafficData[[#This Row],[pendingChallan]]=TrafficData[[#This Row],[totalChallan]]</f>
        <v>1</v>
      </c>
      <c r="L2587" t="b">
        <f>TrafficData[[#This Row],[pendingAmount]]+TrafficData[[#This Row],[disposedAmount]]=TrafficData[[#This Row],[totalAmount]]</f>
        <v>1</v>
      </c>
      <c r="M2587" t="b">
        <f>TrafficData[[#This Row],[pendingCourt]]+TrafficData[[#This Row],[disposedCourt]]=TrafficData[[#This Row],[totalCourt]]</f>
        <v>1</v>
      </c>
      <c r="N2587" s="8" t="b">
        <f>AND(TrafficData[[#This Row],[disposedChallan]]&lt;=TrafficData[[#This Row],[totalChallan]],TrafficData[[#This Row],[pendingChallan]]&lt;=TrafficData[[#This Row],[totalChallan]])</f>
        <v>1</v>
      </c>
      <c r="O2587" s="8" t="b">
        <f>AND(TrafficData[[#This Row],[pendingAmount]]&lt;=TrafficData[[#This Row],[totalAmount]],TrafficData[[#This Row],[disposedAmount]]&lt;=TrafficData[[#This Row],[totalAmount]])</f>
        <v>1</v>
      </c>
      <c r="P2587" s="8" t="b">
        <f>AND(TrafficData[[#This Row],[pendingCourt]]&lt;=TrafficData[[#This Row],[totalCourt]],TrafficData[[#This Row],[disposedCourt]]&lt;=TrafficData[[#This Row],[totalCourt]])</f>
        <v>1</v>
      </c>
    </row>
    <row r="2588" spans="1:16">
      <c r="A2588" s="1">
        <v>44592</v>
      </c>
      <c r="B2588">
        <v>118115</v>
      </c>
      <c r="C2588">
        <v>62607</v>
      </c>
      <c r="D2588">
        <v>55508</v>
      </c>
      <c r="E2588">
        <v>78811195</v>
      </c>
      <c r="F2588">
        <v>76028352</v>
      </c>
      <c r="G2588">
        <v>154839547</v>
      </c>
      <c r="H2588">
        <v>31752</v>
      </c>
      <c r="I2588">
        <v>9704</v>
      </c>
      <c r="J2588">
        <v>41456</v>
      </c>
      <c r="K2588" t="b">
        <f>TrafficData[[#This Row],[disposedChallan]]+TrafficData[[#This Row],[pendingChallan]]=TrafficData[[#This Row],[totalChallan]]</f>
        <v>1</v>
      </c>
      <c r="L2588" t="b">
        <f>TrafficData[[#This Row],[pendingAmount]]+TrafficData[[#This Row],[disposedAmount]]=TrafficData[[#This Row],[totalAmount]]</f>
        <v>1</v>
      </c>
      <c r="M2588" t="b">
        <f>TrafficData[[#This Row],[pendingCourt]]+TrafficData[[#This Row],[disposedCourt]]=TrafficData[[#This Row],[totalCourt]]</f>
        <v>1</v>
      </c>
      <c r="N2588" s="8" t="b">
        <f>AND(TrafficData[[#This Row],[disposedChallan]]&lt;=TrafficData[[#This Row],[totalChallan]],TrafficData[[#This Row],[pendingChallan]]&lt;=TrafficData[[#This Row],[totalChallan]])</f>
        <v>1</v>
      </c>
      <c r="O2588" s="8" t="b">
        <f>AND(TrafficData[[#This Row],[pendingAmount]]&lt;=TrafficData[[#This Row],[totalAmount]],TrafficData[[#This Row],[disposedAmount]]&lt;=TrafficData[[#This Row],[totalAmount]])</f>
        <v>1</v>
      </c>
      <c r="P2588" s="8" t="b">
        <f>AND(TrafficData[[#This Row],[pendingCourt]]&lt;=TrafficData[[#This Row],[totalCourt]],TrafficData[[#This Row],[disposedCourt]]&lt;=TrafficData[[#This Row],[totalCourt]])</f>
        <v>1</v>
      </c>
    </row>
    <row r="2589" spans="1:16">
      <c r="A2589" s="1">
        <v>44593</v>
      </c>
      <c r="B2589">
        <v>125568</v>
      </c>
      <c r="C2589">
        <v>68544</v>
      </c>
      <c r="D2589">
        <v>57024</v>
      </c>
      <c r="E2589">
        <v>76824809</v>
      </c>
      <c r="F2589">
        <v>93373842</v>
      </c>
      <c r="G2589">
        <v>170198651</v>
      </c>
      <c r="H2589">
        <v>31292</v>
      </c>
      <c r="I2589">
        <v>9338</v>
      </c>
      <c r="J2589">
        <v>40630</v>
      </c>
      <c r="K2589" t="b">
        <f>TrafficData[[#This Row],[disposedChallan]]+TrafficData[[#This Row],[pendingChallan]]=TrafficData[[#This Row],[totalChallan]]</f>
        <v>1</v>
      </c>
      <c r="L2589" t="b">
        <f>TrafficData[[#This Row],[pendingAmount]]+TrafficData[[#This Row],[disposedAmount]]=TrafficData[[#This Row],[totalAmount]]</f>
        <v>1</v>
      </c>
      <c r="M2589" t="b">
        <f>TrafficData[[#This Row],[pendingCourt]]+TrafficData[[#This Row],[disposedCourt]]=TrafficData[[#This Row],[totalCourt]]</f>
        <v>1</v>
      </c>
      <c r="N2589" s="8" t="b">
        <f>AND(TrafficData[[#This Row],[disposedChallan]]&lt;=TrafficData[[#This Row],[totalChallan]],TrafficData[[#This Row],[pendingChallan]]&lt;=TrafficData[[#This Row],[totalChallan]])</f>
        <v>1</v>
      </c>
      <c r="O2589" s="8" t="b">
        <f>AND(TrafficData[[#This Row],[pendingAmount]]&lt;=TrafficData[[#This Row],[totalAmount]],TrafficData[[#This Row],[disposedAmount]]&lt;=TrafficData[[#This Row],[totalAmount]])</f>
        <v>1</v>
      </c>
      <c r="P2589" s="8" t="b">
        <f>AND(TrafficData[[#This Row],[pendingCourt]]&lt;=TrafficData[[#This Row],[totalCourt]],TrafficData[[#This Row],[disposedCourt]]&lt;=TrafficData[[#This Row],[totalCourt]])</f>
        <v>1</v>
      </c>
    </row>
    <row r="2590" spans="1:16">
      <c r="A2590" s="1">
        <v>44594</v>
      </c>
      <c r="B2590">
        <v>131407</v>
      </c>
      <c r="C2590">
        <v>71368</v>
      </c>
      <c r="D2590">
        <v>60039</v>
      </c>
      <c r="E2590">
        <v>85438508</v>
      </c>
      <c r="F2590">
        <v>104531942</v>
      </c>
      <c r="G2590">
        <v>189970450</v>
      </c>
      <c r="H2590">
        <v>34199</v>
      </c>
      <c r="I2590">
        <v>10068</v>
      </c>
      <c r="J2590">
        <v>44267</v>
      </c>
      <c r="K2590" t="b">
        <f>TrafficData[[#This Row],[disposedChallan]]+TrafficData[[#This Row],[pendingChallan]]=TrafficData[[#This Row],[totalChallan]]</f>
        <v>1</v>
      </c>
      <c r="L2590" t="b">
        <f>TrafficData[[#This Row],[pendingAmount]]+TrafficData[[#This Row],[disposedAmount]]=TrafficData[[#This Row],[totalAmount]]</f>
        <v>1</v>
      </c>
      <c r="M2590" t="b">
        <f>TrafficData[[#This Row],[pendingCourt]]+TrafficData[[#This Row],[disposedCourt]]=TrafficData[[#This Row],[totalCourt]]</f>
        <v>1</v>
      </c>
      <c r="N2590" s="8" t="b">
        <f>AND(TrafficData[[#This Row],[disposedChallan]]&lt;=TrafficData[[#This Row],[totalChallan]],TrafficData[[#This Row],[pendingChallan]]&lt;=TrafficData[[#This Row],[totalChallan]])</f>
        <v>1</v>
      </c>
      <c r="O2590" s="8" t="b">
        <f>AND(TrafficData[[#This Row],[pendingAmount]]&lt;=TrafficData[[#This Row],[totalAmount]],TrafficData[[#This Row],[disposedAmount]]&lt;=TrafficData[[#This Row],[totalAmount]])</f>
        <v>1</v>
      </c>
      <c r="P2590" s="8" t="b">
        <f>AND(TrafficData[[#This Row],[pendingCourt]]&lt;=TrafficData[[#This Row],[totalCourt]],TrafficData[[#This Row],[disposedCourt]]&lt;=TrafficData[[#This Row],[totalCourt]])</f>
        <v>1</v>
      </c>
    </row>
    <row r="2591" spans="1:16">
      <c r="A2591" s="1">
        <v>44595</v>
      </c>
      <c r="B2591">
        <v>118186</v>
      </c>
      <c r="C2591">
        <v>64356</v>
      </c>
      <c r="D2591">
        <v>53830</v>
      </c>
      <c r="E2591">
        <v>75299889</v>
      </c>
      <c r="F2591">
        <v>99167529</v>
      </c>
      <c r="G2591">
        <v>174467418</v>
      </c>
      <c r="H2591">
        <v>28281</v>
      </c>
      <c r="I2591">
        <v>8278</v>
      </c>
      <c r="J2591">
        <v>36559</v>
      </c>
      <c r="K2591" t="b">
        <f>TrafficData[[#This Row],[disposedChallan]]+TrafficData[[#This Row],[pendingChallan]]=TrafficData[[#This Row],[totalChallan]]</f>
        <v>1</v>
      </c>
      <c r="L2591" t="b">
        <f>TrafficData[[#This Row],[pendingAmount]]+TrafficData[[#This Row],[disposedAmount]]=TrafficData[[#This Row],[totalAmount]]</f>
        <v>1</v>
      </c>
      <c r="M2591" t="b">
        <f>TrafficData[[#This Row],[pendingCourt]]+TrafficData[[#This Row],[disposedCourt]]=TrafficData[[#This Row],[totalCourt]]</f>
        <v>1</v>
      </c>
      <c r="N2591" s="8" t="b">
        <f>AND(TrafficData[[#This Row],[disposedChallan]]&lt;=TrafficData[[#This Row],[totalChallan]],TrafficData[[#This Row],[pendingChallan]]&lt;=TrafficData[[#This Row],[totalChallan]])</f>
        <v>1</v>
      </c>
      <c r="O2591" s="8" t="b">
        <f>AND(TrafficData[[#This Row],[pendingAmount]]&lt;=TrafficData[[#This Row],[totalAmount]],TrafficData[[#This Row],[disposedAmount]]&lt;=TrafficData[[#This Row],[totalAmount]])</f>
        <v>1</v>
      </c>
      <c r="P2591" s="8" t="b">
        <f>AND(TrafficData[[#This Row],[pendingCourt]]&lt;=TrafficData[[#This Row],[totalCourt]],TrafficData[[#This Row],[disposedCourt]]&lt;=TrafficData[[#This Row],[totalCourt]])</f>
        <v>1</v>
      </c>
    </row>
    <row r="2592" spans="1:16">
      <c r="A2592" s="1">
        <v>44596</v>
      </c>
      <c r="B2592">
        <v>122344</v>
      </c>
      <c r="C2592">
        <v>66336</v>
      </c>
      <c r="D2592">
        <v>56008</v>
      </c>
      <c r="E2592">
        <v>79007291</v>
      </c>
      <c r="F2592">
        <v>93980496</v>
      </c>
      <c r="G2592">
        <v>172987787</v>
      </c>
      <c r="H2592">
        <v>30470</v>
      </c>
      <c r="I2592">
        <v>9485</v>
      </c>
      <c r="J2592">
        <v>39955</v>
      </c>
      <c r="K2592" t="b">
        <f>TrafficData[[#This Row],[disposedChallan]]+TrafficData[[#This Row],[pendingChallan]]=TrafficData[[#This Row],[totalChallan]]</f>
        <v>1</v>
      </c>
      <c r="L2592" t="b">
        <f>TrafficData[[#This Row],[pendingAmount]]+TrafficData[[#This Row],[disposedAmount]]=TrafficData[[#This Row],[totalAmount]]</f>
        <v>1</v>
      </c>
      <c r="M2592" t="b">
        <f>TrafficData[[#This Row],[pendingCourt]]+TrafficData[[#This Row],[disposedCourt]]=TrafficData[[#This Row],[totalCourt]]</f>
        <v>1</v>
      </c>
      <c r="N2592" s="8" t="b">
        <f>AND(TrafficData[[#This Row],[disposedChallan]]&lt;=TrafficData[[#This Row],[totalChallan]],TrafficData[[#This Row],[pendingChallan]]&lt;=TrafficData[[#This Row],[totalChallan]])</f>
        <v>1</v>
      </c>
      <c r="O2592" s="8" t="b">
        <f>AND(TrafficData[[#This Row],[pendingAmount]]&lt;=TrafficData[[#This Row],[totalAmount]],TrafficData[[#This Row],[disposedAmount]]&lt;=TrafficData[[#This Row],[totalAmount]])</f>
        <v>1</v>
      </c>
      <c r="P2592" s="8" t="b">
        <f>AND(TrafficData[[#This Row],[pendingCourt]]&lt;=TrafficData[[#This Row],[totalCourt]],TrafficData[[#This Row],[disposedCourt]]&lt;=TrafficData[[#This Row],[totalCourt]])</f>
        <v>1</v>
      </c>
    </row>
    <row r="2593" spans="1:16">
      <c r="A2593" s="1">
        <v>44597</v>
      </c>
      <c r="B2593">
        <v>122630</v>
      </c>
      <c r="C2593">
        <v>66742</v>
      </c>
      <c r="D2593">
        <v>55888</v>
      </c>
      <c r="E2593">
        <v>73172606</v>
      </c>
      <c r="F2593">
        <v>84676586</v>
      </c>
      <c r="G2593">
        <v>157849192</v>
      </c>
      <c r="H2593">
        <v>29952</v>
      </c>
      <c r="I2593">
        <v>9286</v>
      </c>
      <c r="J2593">
        <v>39238</v>
      </c>
      <c r="K2593" t="b">
        <f>TrafficData[[#This Row],[disposedChallan]]+TrafficData[[#This Row],[pendingChallan]]=TrafficData[[#This Row],[totalChallan]]</f>
        <v>1</v>
      </c>
      <c r="L2593" t="b">
        <f>TrafficData[[#This Row],[pendingAmount]]+TrafficData[[#This Row],[disposedAmount]]=TrafficData[[#This Row],[totalAmount]]</f>
        <v>1</v>
      </c>
      <c r="M2593" t="b">
        <f>TrafficData[[#This Row],[pendingCourt]]+TrafficData[[#This Row],[disposedCourt]]=TrafficData[[#This Row],[totalCourt]]</f>
        <v>1</v>
      </c>
      <c r="N2593" s="8" t="b">
        <f>AND(TrafficData[[#This Row],[disposedChallan]]&lt;=TrafficData[[#This Row],[totalChallan]],TrafficData[[#This Row],[pendingChallan]]&lt;=TrafficData[[#This Row],[totalChallan]])</f>
        <v>1</v>
      </c>
      <c r="O2593" s="8" t="b">
        <f>AND(TrafficData[[#This Row],[pendingAmount]]&lt;=TrafficData[[#This Row],[totalAmount]],TrafficData[[#This Row],[disposedAmount]]&lt;=TrafficData[[#This Row],[totalAmount]])</f>
        <v>1</v>
      </c>
      <c r="P2593" s="8" t="b">
        <f>AND(TrafficData[[#This Row],[pendingCourt]]&lt;=TrafficData[[#This Row],[totalCourt]],TrafficData[[#This Row],[disposedCourt]]&lt;=TrafficData[[#This Row],[totalCourt]])</f>
        <v>1</v>
      </c>
    </row>
    <row r="2594" spans="1:16">
      <c r="A2594" s="1">
        <v>44598</v>
      </c>
      <c r="B2594">
        <v>104381</v>
      </c>
      <c r="C2594">
        <v>51867</v>
      </c>
      <c r="D2594">
        <v>52514</v>
      </c>
      <c r="E2594">
        <v>64204271</v>
      </c>
      <c r="F2594">
        <v>67169866</v>
      </c>
      <c r="G2594">
        <v>131374137</v>
      </c>
      <c r="H2594">
        <v>27582</v>
      </c>
      <c r="I2594">
        <v>8161</v>
      </c>
      <c r="J2594">
        <v>35743</v>
      </c>
      <c r="K2594" t="b">
        <f>TrafficData[[#This Row],[disposedChallan]]+TrafficData[[#This Row],[pendingChallan]]=TrafficData[[#This Row],[totalChallan]]</f>
        <v>1</v>
      </c>
      <c r="L2594" t="b">
        <f>TrafficData[[#This Row],[pendingAmount]]+TrafficData[[#This Row],[disposedAmount]]=TrafficData[[#This Row],[totalAmount]]</f>
        <v>1</v>
      </c>
      <c r="M2594" t="b">
        <f>TrafficData[[#This Row],[pendingCourt]]+TrafficData[[#This Row],[disposedCourt]]=TrafficData[[#This Row],[totalCourt]]</f>
        <v>1</v>
      </c>
      <c r="N2594" s="8" t="b">
        <f>AND(TrafficData[[#This Row],[disposedChallan]]&lt;=TrafficData[[#This Row],[totalChallan]],TrafficData[[#This Row],[pendingChallan]]&lt;=TrafficData[[#This Row],[totalChallan]])</f>
        <v>1</v>
      </c>
      <c r="O2594" s="8" t="b">
        <f>AND(TrafficData[[#This Row],[pendingAmount]]&lt;=TrafficData[[#This Row],[totalAmount]],TrafficData[[#This Row],[disposedAmount]]&lt;=TrafficData[[#This Row],[totalAmount]])</f>
        <v>1</v>
      </c>
      <c r="P2594" s="8" t="b">
        <f>AND(TrafficData[[#This Row],[pendingCourt]]&lt;=TrafficData[[#This Row],[totalCourt]],TrafficData[[#This Row],[disposedCourt]]&lt;=TrafficData[[#This Row],[totalCourt]])</f>
        <v>1</v>
      </c>
    </row>
    <row r="2595" spans="1:16">
      <c r="A2595" s="1">
        <v>44599</v>
      </c>
      <c r="B2595">
        <v>119713</v>
      </c>
      <c r="C2595">
        <v>64702</v>
      </c>
      <c r="D2595">
        <v>55011</v>
      </c>
      <c r="E2595">
        <v>78148213</v>
      </c>
      <c r="F2595">
        <v>86569747</v>
      </c>
      <c r="G2595">
        <v>164717960</v>
      </c>
      <c r="H2595">
        <v>30266</v>
      </c>
      <c r="I2595">
        <v>9916</v>
      </c>
      <c r="J2595">
        <v>40182</v>
      </c>
      <c r="K2595" t="b">
        <f>TrafficData[[#This Row],[disposedChallan]]+TrafficData[[#This Row],[pendingChallan]]=TrafficData[[#This Row],[totalChallan]]</f>
        <v>1</v>
      </c>
      <c r="L2595" t="b">
        <f>TrafficData[[#This Row],[pendingAmount]]+TrafficData[[#This Row],[disposedAmount]]=TrafficData[[#This Row],[totalAmount]]</f>
        <v>1</v>
      </c>
      <c r="M2595" t="b">
        <f>TrafficData[[#This Row],[pendingCourt]]+TrafficData[[#This Row],[disposedCourt]]=TrafficData[[#This Row],[totalCourt]]</f>
        <v>1</v>
      </c>
      <c r="N2595" s="8" t="b">
        <f>AND(TrafficData[[#This Row],[disposedChallan]]&lt;=TrafficData[[#This Row],[totalChallan]],TrafficData[[#This Row],[pendingChallan]]&lt;=TrafficData[[#This Row],[totalChallan]])</f>
        <v>1</v>
      </c>
      <c r="O2595" s="8" t="b">
        <f>AND(TrafficData[[#This Row],[pendingAmount]]&lt;=TrafficData[[#This Row],[totalAmount]],TrafficData[[#This Row],[disposedAmount]]&lt;=TrafficData[[#This Row],[totalAmount]])</f>
        <v>1</v>
      </c>
      <c r="P2595" s="8" t="b">
        <f>AND(TrafficData[[#This Row],[pendingCourt]]&lt;=TrafficData[[#This Row],[totalCourt]],TrafficData[[#This Row],[disposedCourt]]&lt;=TrafficData[[#This Row],[totalCourt]])</f>
        <v>1</v>
      </c>
    </row>
    <row r="2596" spans="1:16">
      <c r="A2596" s="1">
        <v>44600</v>
      </c>
      <c r="B2596">
        <v>126429</v>
      </c>
      <c r="C2596">
        <v>67232</v>
      </c>
      <c r="D2596">
        <v>59197</v>
      </c>
      <c r="E2596">
        <v>81345663</v>
      </c>
      <c r="F2596">
        <v>97077487</v>
      </c>
      <c r="G2596">
        <v>178423150</v>
      </c>
      <c r="H2596">
        <v>29945</v>
      </c>
      <c r="I2596">
        <v>9213</v>
      </c>
      <c r="J2596">
        <v>39158</v>
      </c>
      <c r="K2596" t="b">
        <f>TrafficData[[#This Row],[disposedChallan]]+TrafficData[[#This Row],[pendingChallan]]=TrafficData[[#This Row],[totalChallan]]</f>
        <v>1</v>
      </c>
      <c r="L2596" t="b">
        <f>TrafficData[[#This Row],[pendingAmount]]+TrafficData[[#This Row],[disposedAmount]]=TrafficData[[#This Row],[totalAmount]]</f>
        <v>1</v>
      </c>
      <c r="M2596" t="b">
        <f>TrafficData[[#This Row],[pendingCourt]]+TrafficData[[#This Row],[disposedCourt]]=TrafficData[[#This Row],[totalCourt]]</f>
        <v>1</v>
      </c>
      <c r="N2596" s="8" t="b">
        <f>AND(TrafficData[[#This Row],[disposedChallan]]&lt;=TrafficData[[#This Row],[totalChallan]],TrafficData[[#This Row],[pendingChallan]]&lt;=TrafficData[[#This Row],[totalChallan]])</f>
        <v>1</v>
      </c>
      <c r="O2596" s="8" t="b">
        <f>AND(TrafficData[[#This Row],[pendingAmount]]&lt;=TrafficData[[#This Row],[totalAmount]],TrafficData[[#This Row],[disposedAmount]]&lt;=TrafficData[[#This Row],[totalAmount]])</f>
        <v>1</v>
      </c>
      <c r="P2596" s="8" t="b">
        <f>AND(TrafficData[[#This Row],[pendingCourt]]&lt;=TrafficData[[#This Row],[totalCourt]],TrafficData[[#This Row],[disposedCourt]]&lt;=TrafficData[[#This Row],[totalCourt]])</f>
        <v>1</v>
      </c>
    </row>
    <row r="2597" spans="1:16">
      <c r="A2597" s="1">
        <v>44601</v>
      </c>
      <c r="B2597">
        <v>120912</v>
      </c>
      <c r="C2597">
        <v>65926</v>
      </c>
      <c r="D2597">
        <v>54986</v>
      </c>
      <c r="E2597">
        <v>75451931</v>
      </c>
      <c r="F2597">
        <v>96935403</v>
      </c>
      <c r="G2597">
        <v>172387334</v>
      </c>
      <c r="H2597">
        <v>26016</v>
      </c>
      <c r="I2597">
        <v>8112</v>
      </c>
      <c r="J2597">
        <v>34128</v>
      </c>
      <c r="K2597" t="b">
        <f>TrafficData[[#This Row],[disposedChallan]]+TrafficData[[#This Row],[pendingChallan]]=TrafficData[[#This Row],[totalChallan]]</f>
        <v>1</v>
      </c>
      <c r="L2597" t="b">
        <f>TrafficData[[#This Row],[pendingAmount]]+TrafficData[[#This Row],[disposedAmount]]=TrafficData[[#This Row],[totalAmount]]</f>
        <v>1</v>
      </c>
      <c r="M2597" t="b">
        <f>TrafficData[[#This Row],[pendingCourt]]+TrafficData[[#This Row],[disposedCourt]]=TrafficData[[#This Row],[totalCourt]]</f>
        <v>1</v>
      </c>
      <c r="N2597" s="8" t="b">
        <f>AND(TrafficData[[#This Row],[disposedChallan]]&lt;=TrafficData[[#This Row],[totalChallan]],TrafficData[[#This Row],[pendingChallan]]&lt;=TrafficData[[#This Row],[totalChallan]])</f>
        <v>1</v>
      </c>
      <c r="O2597" s="8" t="b">
        <f>AND(TrafficData[[#This Row],[pendingAmount]]&lt;=TrafficData[[#This Row],[totalAmount]],TrafficData[[#This Row],[disposedAmount]]&lt;=TrafficData[[#This Row],[totalAmount]])</f>
        <v>1</v>
      </c>
      <c r="P2597" s="8" t="b">
        <f>AND(TrafficData[[#This Row],[pendingCourt]]&lt;=TrafficData[[#This Row],[totalCourt]],TrafficData[[#This Row],[disposedCourt]]&lt;=TrafficData[[#This Row],[totalCourt]])</f>
        <v>1</v>
      </c>
    </row>
    <row r="2598" spans="1:16">
      <c r="A2598" s="1">
        <v>44602</v>
      </c>
      <c r="B2598">
        <v>117000</v>
      </c>
      <c r="C2598">
        <v>62930</v>
      </c>
      <c r="D2598">
        <v>54070</v>
      </c>
      <c r="E2598">
        <v>71265298</v>
      </c>
      <c r="F2598">
        <v>90390348</v>
      </c>
      <c r="G2598">
        <v>161655646</v>
      </c>
      <c r="H2598">
        <v>25725</v>
      </c>
      <c r="I2598">
        <v>8369</v>
      </c>
      <c r="J2598">
        <v>34094</v>
      </c>
      <c r="K2598" t="b">
        <f>TrafficData[[#This Row],[disposedChallan]]+TrafficData[[#This Row],[pendingChallan]]=TrafficData[[#This Row],[totalChallan]]</f>
        <v>1</v>
      </c>
      <c r="L2598" t="b">
        <f>TrafficData[[#This Row],[pendingAmount]]+TrafficData[[#This Row],[disposedAmount]]=TrafficData[[#This Row],[totalAmount]]</f>
        <v>1</v>
      </c>
      <c r="M2598" t="b">
        <f>TrafficData[[#This Row],[pendingCourt]]+TrafficData[[#This Row],[disposedCourt]]=TrafficData[[#This Row],[totalCourt]]</f>
        <v>1</v>
      </c>
      <c r="N2598" s="8" t="b">
        <f>AND(TrafficData[[#This Row],[disposedChallan]]&lt;=TrafficData[[#This Row],[totalChallan]],TrafficData[[#This Row],[pendingChallan]]&lt;=TrafficData[[#This Row],[totalChallan]])</f>
        <v>1</v>
      </c>
      <c r="O2598" s="8" t="b">
        <f>AND(TrafficData[[#This Row],[pendingAmount]]&lt;=TrafficData[[#This Row],[totalAmount]],TrafficData[[#This Row],[disposedAmount]]&lt;=TrafficData[[#This Row],[totalAmount]])</f>
        <v>1</v>
      </c>
      <c r="P2598" s="8" t="b">
        <f>AND(TrafficData[[#This Row],[pendingCourt]]&lt;=TrafficData[[#This Row],[totalCourt]],TrafficData[[#This Row],[disposedCourt]]&lt;=TrafficData[[#This Row],[totalCourt]])</f>
        <v>1</v>
      </c>
    </row>
    <row r="2599" spans="1:16">
      <c r="A2599" s="1">
        <v>44603</v>
      </c>
      <c r="B2599">
        <v>117237</v>
      </c>
      <c r="C2599">
        <v>64613</v>
      </c>
      <c r="D2599">
        <v>52624</v>
      </c>
      <c r="E2599">
        <v>71593274</v>
      </c>
      <c r="F2599">
        <v>82007808</v>
      </c>
      <c r="G2599">
        <v>153601082</v>
      </c>
      <c r="H2599">
        <v>27756</v>
      </c>
      <c r="I2599">
        <v>8552</v>
      </c>
      <c r="J2599">
        <v>36308</v>
      </c>
      <c r="K2599" t="b">
        <f>TrafficData[[#This Row],[disposedChallan]]+TrafficData[[#This Row],[pendingChallan]]=TrafficData[[#This Row],[totalChallan]]</f>
        <v>1</v>
      </c>
      <c r="L2599" t="b">
        <f>TrafficData[[#This Row],[pendingAmount]]+TrafficData[[#This Row],[disposedAmount]]=TrafficData[[#This Row],[totalAmount]]</f>
        <v>1</v>
      </c>
      <c r="M2599" t="b">
        <f>TrafficData[[#This Row],[pendingCourt]]+TrafficData[[#This Row],[disposedCourt]]=TrafficData[[#This Row],[totalCourt]]</f>
        <v>1</v>
      </c>
      <c r="N2599" s="8" t="b">
        <f>AND(TrafficData[[#This Row],[disposedChallan]]&lt;=TrafficData[[#This Row],[totalChallan]],TrafficData[[#This Row],[pendingChallan]]&lt;=TrafficData[[#This Row],[totalChallan]])</f>
        <v>1</v>
      </c>
      <c r="O2599" s="8" t="b">
        <f>AND(TrafficData[[#This Row],[pendingAmount]]&lt;=TrafficData[[#This Row],[totalAmount]],TrafficData[[#This Row],[disposedAmount]]&lt;=TrafficData[[#This Row],[totalAmount]])</f>
        <v>1</v>
      </c>
      <c r="P2599" s="8" t="b">
        <f>AND(TrafficData[[#This Row],[pendingCourt]]&lt;=TrafficData[[#This Row],[totalCourt]],TrafficData[[#This Row],[disposedCourt]]&lt;=TrafficData[[#This Row],[totalCourt]])</f>
        <v>1</v>
      </c>
    </row>
    <row r="2600" spans="1:16">
      <c r="A2600" s="1">
        <v>44604</v>
      </c>
      <c r="B2600">
        <v>116222</v>
      </c>
      <c r="C2600">
        <v>63159</v>
      </c>
      <c r="D2600">
        <v>53063</v>
      </c>
      <c r="E2600">
        <v>66199613</v>
      </c>
      <c r="F2600">
        <v>85091799</v>
      </c>
      <c r="G2600">
        <v>151291412</v>
      </c>
      <c r="H2600">
        <v>26450</v>
      </c>
      <c r="I2600">
        <v>8419</v>
      </c>
      <c r="J2600">
        <v>34869</v>
      </c>
      <c r="K2600" t="b">
        <f>TrafficData[[#This Row],[disposedChallan]]+TrafficData[[#This Row],[pendingChallan]]=TrafficData[[#This Row],[totalChallan]]</f>
        <v>1</v>
      </c>
      <c r="L2600" t="b">
        <f>TrafficData[[#This Row],[pendingAmount]]+TrafficData[[#This Row],[disposedAmount]]=TrafficData[[#This Row],[totalAmount]]</f>
        <v>1</v>
      </c>
      <c r="M2600" t="b">
        <f>TrafficData[[#This Row],[pendingCourt]]+TrafficData[[#This Row],[disposedCourt]]=TrafficData[[#This Row],[totalCourt]]</f>
        <v>1</v>
      </c>
      <c r="N2600" s="8" t="b">
        <f>AND(TrafficData[[#This Row],[disposedChallan]]&lt;=TrafficData[[#This Row],[totalChallan]],TrafficData[[#This Row],[pendingChallan]]&lt;=TrafficData[[#This Row],[totalChallan]])</f>
        <v>1</v>
      </c>
      <c r="O2600" s="8" t="b">
        <f>AND(TrafficData[[#This Row],[pendingAmount]]&lt;=TrafficData[[#This Row],[totalAmount]],TrafficData[[#This Row],[disposedAmount]]&lt;=TrafficData[[#This Row],[totalAmount]])</f>
        <v>1</v>
      </c>
      <c r="P2600" s="8" t="b">
        <f>AND(TrafficData[[#This Row],[pendingCourt]]&lt;=TrafficData[[#This Row],[totalCourt]],TrafficData[[#This Row],[disposedCourt]]&lt;=TrafficData[[#This Row],[totalCourt]])</f>
        <v>1</v>
      </c>
    </row>
    <row r="2601" spans="1:16">
      <c r="A2601" s="1">
        <v>44605</v>
      </c>
      <c r="B2601">
        <v>108960</v>
      </c>
      <c r="C2601">
        <v>54873</v>
      </c>
      <c r="D2601">
        <v>54087</v>
      </c>
      <c r="E2601">
        <v>59979344</v>
      </c>
      <c r="F2601">
        <v>67450435</v>
      </c>
      <c r="G2601">
        <v>127429779</v>
      </c>
      <c r="H2601">
        <v>26533</v>
      </c>
      <c r="I2601">
        <v>7804</v>
      </c>
      <c r="J2601">
        <v>34337</v>
      </c>
      <c r="K2601" t="b">
        <f>TrafficData[[#This Row],[disposedChallan]]+TrafficData[[#This Row],[pendingChallan]]=TrafficData[[#This Row],[totalChallan]]</f>
        <v>1</v>
      </c>
      <c r="L2601" t="b">
        <f>TrafficData[[#This Row],[pendingAmount]]+TrafficData[[#This Row],[disposedAmount]]=TrafficData[[#This Row],[totalAmount]]</f>
        <v>1</v>
      </c>
      <c r="M2601" t="b">
        <f>TrafficData[[#This Row],[pendingCourt]]+TrafficData[[#This Row],[disposedCourt]]=TrafficData[[#This Row],[totalCourt]]</f>
        <v>1</v>
      </c>
      <c r="N2601" s="8" t="b">
        <f>AND(TrafficData[[#This Row],[disposedChallan]]&lt;=TrafficData[[#This Row],[totalChallan]],TrafficData[[#This Row],[pendingChallan]]&lt;=TrafficData[[#This Row],[totalChallan]])</f>
        <v>1</v>
      </c>
      <c r="O2601" s="8" t="b">
        <f>AND(TrafficData[[#This Row],[pendingAmount]]&lt;=TrafficData[[#This Row],[totalAmount]],TrafficData[[#This Row],[disposedAmount]]&lt;=TrafficData[[#This Row],[totalAmount]])</f>
        <v>1</v>
      </c>
      <c r="P2601" s="8" t="b">
        <f>AND(TrafficData[[#This Row],[pendingCourt]]&lt;=TrafficData[[#This Row],[totalCourt]],TrafficData[[#This Row],[disposedCourt]]&lt;=TrafficData[[#This Row],[totalCourt]])</f>
        <v>1</v>
      </c>
    </row>
    <row r="2602" spans="1:16">
      <c r="A2602" s="1">
        <v>44606</v>
      </c>
      <c r="B2602">
        <v>115093</v>
      </c>
      <c r="C2602">
        <v>60500</v>
      </c>
      <c r="D2602">
        <v>54593</v>
      </c>
      <c r="E2602">
        <v>68218239</v>
      </c>
      <c r="F2602">
        <v>78650709</v>
      </c>
      <c r="G2602">
        <v>146868948</v>
      </c>
      <c r="H2602">
        <v>29107</v>
      </c>
      <c r="I2602">
        <v>8878</v>
      </c>
      <c r="J2602">
        <v>37985</v>
      </c>
      <c r="K2602" t="b">
        <f>TrafficData[[#This Row],[disposedChallan]]+TrafficData[[#This Row],[pendingChallan]]=TrafficData[[#This Row],[totalChallan]]</f>
        <v>1</v>
      </c>
      <c r="L2602" t="b">
        <f>TrafficData[[#This Row],[pendingAmount]]+TrafficData[[#This Row],[disposedAmount]]=TrafficData[[#This Row],[totalAmount]]</f>
        <v>1</v>
      </c>
      <c r="M2602" t="b">
        <f>TrafficData[[#This Row],[pendingCourt]]+TrafficData[[#This Row],[disposedCourt]]=TrafficData[[#This Row],[totalCourt]]</f>
        <v>1</v>
      </c>
      <c r="N2602" s="8" t="b">
        <f>AND(TrafficData[[#This Row],[disposedChallan]]&lt;=TrafficData[[#This Row],[totalChallan]],TrafficData[[#This Row],[pendingChallan]]&lt;=TrafficData[[#This Row],[totalChallan]])</f>
        <v>1</v>
      </c>
      <c r="O2602" s="8" t="b">
        <f>AND(TrafficData[[#This Row],[pendingAmount]]&lt;=TrafficData[[#This Row],[totalAmount]],TrafficData[[#This Row],[disposedAmount]]&lt;=TrafficData[[#This Row],[totalAmount]])</f>
        <v>1</v>
      </c>
      <c r="P2602" s="8" t="b">
        <f>AND(TrafficData[[#This Row],[pendingCourt]]&lt;=TrafficData[[#This Row],[totalCourt]],TrafficData[[#This Row],[disposedCourt]]&lt;=TrafficData[[#This Row],[totalCourt]])</f>
        <v>1</v>
      </c>
    </row>
    <row r="2603" spans="1:16">
      <c r="A2603" s="1">
        <v>44607</v>
      </c>
      <c r="B2603">
        <v>117788</v>
      </c>
      <c r="C2603">
        <v>63141</v>
      </c>
      <c r="D2603">
        <v>54647</v>
      </c>
      <c r="E2603">
        <v>69753525</v>
      </c>
      <c r="F2603">
        <v>88568032</v>
      </c>
      <c r="G2603">
        <v>158321557</v>
      </c>
      <c r="H2603">
        <v>27482</v>
      </c>
      <c r="I2603">
        <v>8659</v>
      </c>
      <c r="J2603">
        <v>36141</v>
      </c>
      <c r="K2603" t="b">
        <f>TrafficData[[#This Row],[disposedChallan]]+TrafficData[[#This Row],[pendingChallan]]=TrafficData[[#This Row],[totalChallan]]</f>
        <v>1</v>
      </c>
      <c r="L2603" t="b">
        <f>TrafficData[[#This Row],[pendingAmount]]+TrafficData[[#This Row],[disposedAmount]]=TrafficData[[#This Row],[totalAmount]]</f>
        <v>1</v>
      </c>
      <c r="M2603" t="b">
        <f>TrafficData[[#This Row],[pendingCourt]]+TrafficData[[#This Row],[disposedCourt]]=TrafficData[[#This Row],[totalCourt]]</f>
        <v>1</v>
      </c>
      <c r="N2603" s="8" t="b">
        <f>AND(TrafficData[[#This Row],[disposedChallan]]&lt;=TrafficData[[#This Row],[totalChallan]],TrafficData[[#This Row],[pendingChallan]]&lt;=TrafficData[[#This Row],[totalChallan]])</f>
        <v>1</v>
      </c>
      <c r="O2603" s="8" t="b">
        <f>AND(TrafficData[[#This Row],[pendingAmount]]&lt;=TrafficData[[#This Row],[totalAmount]],TrafficData[[#This Row],[disposedAmount]]&lt;=TrafficData[[#This Row],[totalAmount]])</f>
        <v>1</v>
      </c>
      <c r="P2603" s="8" t="b">
        <f>AND(TrafficData[[#This Row],[pendingCourt]]&lt;=TrafficData[[#This Row],[totalCourt]],TrafficData[[#This Row],[disposedCourt]]&lt;=TrafficData[[#This Row],[totalCourt]])</f>
        <v>1</v>
      </c>
    </row>
    <row r="2604" spans="1:16">
      <c r="A2604" s="1">
        <v>44608</v>
      </c>
      <c r="B2604">
        <v>117114</v>
      </c>
      <c r="C2604">
        <v>64806</v>
      </c>
      <c r="D2604">
        <v>52308</v>
      </c>
      <c r="E2604">
        <v>67950692</v>
      </c>
      <c r="F2604">
        <v>87551465</v>
      </c>
      <c r="G2604">
        <v>155502157</v>
      </c>
      <c r="H2604">
        <v>27560</v>
      </c>
      <c r="I2604">
        <v>8347</v>
      </c>
      <c r="J2604">
        <v>35907</v>
      </c>
      <c r="K2604" t="b">
        <f>TrafficData[[#This Row],[disposedChallan]]+TrafficData[[#This Row],[pendingChallan]]=TrafficData[[#This Row],[totalChallan]]</f>
        <v>1</v>
      </c>
      <c r="L2604" t="b">
        <f>TrafficData[[#This Row],[pendingAmount]]+TrafficData[[#This Row],[disposedAmount]]=TrafficData[[#This Row],[totalAmount]]</f>
        <v>1</v>
      </c>
      <c r="M2604" t="b">
        <f>TrafficData[[#This Row],[pendingCourt]]+TrafficData[[#This Row],[disposedCourt]]=TrafficData[[#This Row],[totalCourt]]</f>
        <v>1</v>
      </c>
      <c r="N2604" s="8" t="b">
        <f>AND(TrafficData[[#This Row],[disposedChallan]]&lt;=TrafficData[[#This Row],[totalChallan]],TrafficData[[#This Row],[pendingChallan]]&lt;=TrafficData[[#This Row],[totalChallan]])</f>
        <v>1</v>
      </c>
      <c r="O2604" s="8" t="b">
        <f>AND(TrafficData[[#This Row],[pendingAmount]]&lt;=TrafficData[[#This Row],[totalAmount]],TrafficData[[#This Row],[disposedAmount]]&lt;=TrafficData[[#This Row],[totalAmount]])</f>
        <v>1</v>
      </c>
      <c r="P2604" s="8" t="b">
        <f>AND(TrafficData[[#This Row],[pendingCourt]]&lt;=TrafficData[[#This Row],[totalCourt]],TrafficData[[#This Row],[disposedCourt]]&lt;=TrafficData[[#This Row],[totalCourt]])</f>
        <v>1</v>
      </c>
    </row>
    <row r="2605" spans="1:16">
      <c r="A2605" s="1">
        <v>44609</v>
      </c>
      <c r="B2605">
        <v>109063</v>
      </c>
      <c r="C2605">
        <v>61019</v>
      </c>
      <c r="D2605">
        <v>48044</v>
      </c>
      <c r="E2605">
        <v>71201743</v>
      </c>
      <c r="F2605">
        <v>90480727</v>
      </c>
      <c r="G2605">
        <v>161682470</v>
      </c>
      <c r="H2605">
        <v>27694</v>
      </c>
      <c r="I2605">
        <v>8799</v>
      </c>
      <c r="J2605">
        <v>36493</v>
      </c>
      <c r="K2605" t="b">
        <f>TrafficData[[#This Row],[disposedChallan]]+TrafficData[[#This Row],[pendingChallan]]=TrafficData[[#This Row],[totalChallan]]</f>
        <v>1</v>
      </c>
      <c r="L2605" t="b">
        <f>TrafficData[[#This Row],[pendingAmount]]+TrafficData[[#This Row],[disposedAmount]]=TrafficData[[#This Row],[totalAmount]]</f>
        <v>1</v>
      </c>
      <c r="M2605" t="b">
        <f>TrafficData[[#This Row],[pendingCourt]]+TrafficData[[#This Row],[disposedCourt]]=TrafficData[[#This Row],[totalCourt]]</f>
        <v>1</v>
      </c>
      <c r="N2605" s="8" t="b">
        <f>AND(TrafficData[[#This Row],[disposedChallan]]&lt;=TrafficData[[#This Row],[totalChallan]],TrafficData[[#This Row],[pendingChallan]]&lt;=TrafficData[[#This Row],[totalChallan]])</f>
        <v>1</v>
      </c>
      <c r="O2605" s="8" t="b">
        <f>AND(TrafficData[[#This Row],[pendingAmount]]&lt;=TrafficData[[#This Row],[totalAmount]],TrafficData[[#This Row],[disposedAmount]]&lt;=TrafficData[[#This Row],[totalAmount]])</f>
        <v>1</v>
      </c>
      <c r="P2605" s="8" t="b">
        <f>AND(TrafficData[[#This Row],[pendingCourt]]&lt;=TrafficData[[#This Row],[totalCourt]],TrafficData[[#This Row],[disposedCourt]]&lt;=TrafficData[[#This Row],[totalCourt]])</f>
        <v>1</v>
      </c>
    </row>
    <row r="2606" spans="1:16">
      <c r="A2606" s="1">
        <v>44610</v>
      </c>
      <c r="B2606">
        <v>88107</v>
      </c>
      <c r="C2606">
        <v>51763</v>
      </c>
      <c r="D2606">
        <v>36344</v>
      </c>
      <c r="E2606">
        <v>63364955</v>
      </c>
      <c r="F2606">
        <v>86621401</v>
      </c>
      <c r="G2606">
        <v>149986356</v>
      </c>
      <c r="H2606">
        <v>26538</v>
      </c>
      <c r="I2606">
        <v>8342</v>
      </c>
      <c r="J2606">
        <v>34880</v>
      </c>
      <c r="K2606" t="b">
        <f>TrafficData[[#This Row],[disposedChallan]]+TrafficData[[#This Row],[pendingChallan]]=TrafficData[[#This Row],[totalChallan]]</f>
        <v>1</v>
      </c>
      <c r="L2606" t="b">
        <f>TrafficData[[#This Row],[pendingAmount]]+TrafficData[[#This Row],[disposedAmount]]=TrafficData[[#This Row],[totalAmount]]</f>
        <v>1</v>
      </c>
      <c r="M2606" t="b">
        <f>TrafficData[[#This Row],[pendingCourt]]+TrafficData[[#This Row],[disposedCourt]]=TrafficData[[#This Row],[totalCourt]]</f>
        <v>1</v>
      </c>
      <c r="N2606" s="8" t="b">
        <f>AND(TrafficData[[#This Row],[disposedChallan]]&lt;=TrafficData[[#This Row],[totalChallan]],TrafficData[[#This Row],[pendingChallan]]&lt;=TrafficData[[#This Row],[totalChallan]])</f>
        <v>1</v>
      </c>
      <c r="O2606" s="8" t="b">
        <f>AND(TrafficData[[#This Row],[pendingAmount]]&lt;=TrafficData[[#This Row],[totalAmount]],TrafficData[[#This Row],[disposedAmount]]&lt;=TrafficData[[#This Row],[totalAmount]])</f>
        <v>1</v>
      </c>
      <c r="P2606" s="8" t="b">
        <f>AND(TrafficData[[#This Row],[pendingCourt]]&lt;=TrafficData[[#This Row],[totalCourt]],TrafficData[[#This Row],[disposedCourt]]&lt;=TrafficData[[#This Row],[totalCourt]])</f>
        <v>1</v>
      </c>
    </row>
    <row r="2607" spans="1:16">
      <c r="A2607" s="1">
        <v>44611</v>
      </c>
      <c r="B2607">
        <v>89528</v>
      </c>
      <c r="C2607">
        <v>51466</v>
      </c>
      <c r="D2607">
        <v>38062</v>
      </c>
      <c r="E2607">
        <v>69986376</v>
      </c>
      <c r="F2607">
        <v>85069777</v>
      </c>
      <c r="G2607">
        <v>155056153</v>
      </c>
      <c r="H2607">
        <v>28631</v>
      </c>
      <c r="I2607">
        <v>9295</v>
      </c>
      <c r="J2607">
        <v>37926</v>
      </c>
      <c r="K2607" t="b">
        <f>TrafficData[[#This Row],[disposedChallan]]+TrafficData[[#This Row],[pendingChallan]]=TrafficData[[#This Row],[totalChallan]]</f>
        <v>1</v>
      </c>
      <c r="L2607" t="b">
        <f>TrafficData[[#This Row],[pendingAmount]]+TrafficData[[#This Row],[disposedAmount]]=TrafficData[[#This Row],[totalAmount]]</f>
        <v>1</v>
      </c>
      <c r="M2607" t="b">
        <f>TrafficData[[#This Row],[pendingCourt]]+TrafficData[[#This Row],[disposedCourt]]=TrafficData[[#This Row],[totalCourt]]</f>
        <v>1</v>
      </c>
      <c r="N2607" s="8" t="b">
        <f>AND(TrafficData[[#This Row],[disposedChallan]]&lt;=TrafficData[[#This Row],[totalChallan]],TrafficData[[#This Row],[pendingChallan]]&lt;=TrafficData[[#This Row],[totalChallan]])</f>
        <v>1</v>
      </c>
      <c r="O2607" s="8" t="b">
        <f>AND(TrafficData[[#This Row],[pendingAmount]]&lt;=TrafficData[[#This Row],[totalAmount]],TrafficData[[#This Row],[disposedAmount]]&lt;=TrafficData[[#This Row],[totalAmount]])</f>
        <v>1</v>
      </c>
      <c r="P2607" s="8" t="b">
        <f>AND(TrafficData[[#This Row],[pendingCourt]]&lt;=TrafficData[[#This Row],[totalCourt]],TrafficData[[#This Row],[disposedCourt]]&lt;=TrafficData[[#This Row],[totalCourt]])</f>
        <v>1</v>
      </c>
    </row>
    <row r="2608" spans="1:16">
      <c r="A2608" s="1">
        <v>44612</v>
      </c>
      <c r="B2608">
        <v>99206</v>
      </c>
      <c r="C2608">
        <v>51463</v>
      </c>
      <c r="D2608">
        <v>47743</v>
      </c>
      <c r="E2608">
        <v>62231418</v>
      </c>
      <c r="F2608">
        <v>70613979</v>
      </c>
      <c r="G2608">
        <v>132845397</v>
      </c>
      <c r="H2608">
        <v>21633</v>
      </c>
      <c r="I2608">
        <v>7172</v>
      </c>
      <c r="J2608">
        <v>28805</v>
      </c>
      <c r="K2608" t="b">
        <f>TrafficData[[#This Row],[disposedChallan]]+TrafficData[[#This Row],[pendingChallan]]=TrafficData[[#This Row],[totalChallan]]</f>
        <v>1</v>
      </c>
      <c r="L2608" t="b">
        <f>TrafficData[[#This Row],[pendingAmount]]+TrafficData[[#This Row],[disposedAmount]]=TrafficData[[#This Row],[totalAmount]]</f>
        <v>1</v>
      </c>
      <c r="M2608" t="b">
        <f>TrafficData[[#This Row],[pendingCourt]]+TrafficData[[#This Row],[disposedCourt]]=TrafficData[[#This Row],[totalCourt]]</f>
        <v>1</v>
      </c>
      <c r="N2608" s="8" t="b">
        <f>AND(TrafficData[[#This Row],[disposedChallan]]&lt;=TrafficData[[#This Row],[totalChallan]],TrafficData[[#This Row],[pendingChallan]]&lt;=TrafficData[[#This Row],[totalChallan]])</f>
        <v>1</v>
      </c>
      <c r="O2608" s="8" t="b">
        <f>AND(TrafficData[[#This Row],[pendingAmount]]&lt;=TrafficData[[#This Row],[totalAmount]],TrafficData[[#This Row],[disposedAmount]]&lt;=TrafficData[[#This Row],[totalAmount]])</f>
        <v>1</v>
      </c>
      <c r="P2608" s="8" t="b">
        <f>AND(TrafficData[[#This Row],[pendingCourt]]&lt;=TrafficData[[#This Row],[totalCourt]],TrafficData[[#This Row],[disposedCourt]]&lt;=TrafficData[[#This Row],[totalCourt]])</f>
        <v>1</v>
      </c>
    </row>
    <row r="2609" spans="1:16">
      <c r="A2609" s="1">
        <v>44613</v>
      </c>
      <c r="B2609">
        <v>118560</v>
      </c>
      <c r="C2609">
        <v>63753</v>
      </c>
      <c r="D2609">
        <v>54807</v>
      </c>
      <c r="E2609">
        <v>77029870</v>
      </c>
      <c r="F2609">
        <v>86869302</v>
      </c>
      <c r="G2609">
        <v>163899172</v>
      </c>
      <c r="H2609">
        <v>29595</v>
      </c>
      <c r="I2609">
        <v>9114</v>
      </c>
      <c r="J2609">
        <v>38709</v>
      </c>
      <c r="K2609" t="b">
        <f>TrafficData[[#This Row],[disposedChallan]]+TrafficData[[#This Row],[pendingChallan]]=TrafficData[[#This Row],[totalChallan]]</f>
        <v>1</v>
      </c>
      <c r="L2609" t="b">
        <f>TrafficData[[#This Row],[pendingAmount]]+TrafficData[[#This Row],[disposedAmount]]=TrafficData[[#This Row],[totalAmount]]</f>
        <v>1</v>
      </c>
      <c r="M2609" t="b">
        <f>TrafficData[[#This Row],[pendingCourt]]+TrafficData[[#This Row],[disposedCourt]]=TrafficData[[#This Row],[totalCourt]]</f>
        <v>1</v>
      </c>
      <c r="N2609" s="8" t="b">
        <f>AND(TrafficData[[#This Row],[disposedChallan]]&lt;=TrafficData[[#This Row],[totalChallan]],TrafficData[[#This Row],[pendingChallan]]&lt;=TrafficData[[#This Row],[totalChallan]])</f>
        <v>1</v>
      </c>
      <c r="O2609" s="8" t="b">
        <f>AND(TrafficData[[#This Row],[pendingAmount]]&lt;=TrafficData[[#This Row],[totalAmount]],TrafficData[[#This Row],[disposedAmount]]&lt;=TrafficData[[#This Row],[totalAmount]])</f>
        <v>1</v>
      </c>
      <c r="P2609" s="8" t="b">
        <f>AND(TrafficData[[#This Row],[pendingCourt]]&lt;=TrafficData[[#This Row],[totalCourt]],TrafficData[[#This Row],[disposedCourt]]&lt;=TrafficData[[#This Row],[totalCourt]])</f>
        <v>1</v>
      </c>
    </row>
    <row r="2610" spans="1:16">
      <c r="A2610" s="1">
        <v>44614</v>
      </c>
      <c r="B2610">
        <v>109650</v>
      </c>
      <c r="C2610">
        <v>59372</v>
      </c>
      <c r="D2610">
        <v>50278</v>
      </c>
      <c r="E2610">
        <v>79963179</v>
      </c>
      <c r="F2610">
        <v>90280410</v>
      </c>
      <c r="G2610">
        <v>170243589</v>
      </c>
      <c r="H2610">
        <v>28634</v>
      </c>
      <c r="I2610">
        <v>8663</v>
      </c>
      <c r="J2610">
        <v>37297</v>
      </c>
      <c r="K2610" t="b">
        <f>TrafficData[[#This Row],[disposedChallan]]+TrafficData[[#This Row],[pendingChallan]]=TrafficData[[#This Row],[totalChallan]]</f>
        <v>1</v>
      </c>
      <c r="L2610" t="b">
        <f>TrafficData[[#This Row],[pendingAmount]]+TrafficData[[#This Row],[disposedAmount]]=TrafficData[[#This Row],[totalAmount]]</f>
        <v>1</v>
      </c>
      <c r="M2610" t="b">
        <f>TrafficData[[#This Row],[pendingCourt]]+TrafficData[[#This Row],[disposedCourt]]=TrafficData[[#This Row],[totalCourt]]</f>
        <v>1</v>
      </c>
      <c r="N2610" s="8" t="b">
        <f>AND(TrafficData[[#This Row],[disposedChallan]]&lt;=TrafficData[[#This Row],[totalChallan]],TrafficData[[#This Row],[pendingChallan]]&lt;=TrafficData[[#This Row],[totalChallan]])</f>
        <v>1</v>
      </c>
      <c r="O2610" s="8" t="b">
        <f>AND(TrafficData[[#This Row],[pendingAmount]]&lt;=TrafficData[[#This Row],[totalAmount]],TrafficData[[#This Row],[disposedAmount]]&lt;=TrafficData[[#This Row],[totalAmount]])</f>
        <v>1</v>
      </c>
      <c r="P2610" s="8" t="b">
        <f>AND(TrafficData[[#This Row],[pendingCourt]]&lt;=TrafficData[[#This Row],[totalCourt]],TrafficData[[#This Row],[disposedCourt]]&lt;=TrafficData[[#This Row],[totalCourt]])</f>
        <v>1</v>
      </c>
    </row>
    <row r="2611" spans="1:16">
      <c r="A2611" s="1">
        <v>44615</v>
      </c>
      <c r="B2611">
        <v>133826</v>
      </c>
      <c r="C2611">
        <v>69282</v>
      </c>
      <c r="D2611">
        <v>64544</v>
      </c>
      <c r="E2611">
        <v>88704509</v>
      </c>
      <c r="F2611">
        <v>96464447</v>
      </c>
      <c r="G2611">
        <v>185168956</v>
      </c>
      <c r="H2611">
        <v>30324</v>
      </c>
      <c r="I2611">
        <v>8399</v>
      </c>
      <c r="J2611">
        <v>38723</v>
      </c>
      <c r="K2611" t="b">
        <f>TrafficData[[#This Row],[disposedChallan]]+TrafficData[[#This Row],[pendingChallan]]=TrafficData[[#This Row],[totalChallan]]</f>
        <v>1</v>
      </c>
      <c r="L2611" t="b">
        <f>TrafficData[[#This Row],[pendingAmount]]+TrafficData[[#This Row],[disposedAmount]]=TrafficData[[#This Row],[totalAmount]]</f>
        <v>1</v>
      </c>
      <c r="M2611" t="b">
        <f>TrafficData[[#This Row],[pendingCourt]]+TrafficData[[#This Row],[disposedCourt]]=TrafficData[[#This Row],[totalCourt]]</f>
        <v>1</v>
      </c>
      <c r="N2611" s="8" t="b">
        <f>AND(TrafficData[[#This Row],[disposedChallan]]&lt;=TrafficData[[#This Row],[totalChallan]],TrafficData[[#This Row],[pendingChallan]]&lt;=TrafficData[[#This Row],[totalChallan]])</f>
        <v>1</v>
      </c>
      <c r="O2611" s="8" t="b">
        <f>AND(TrafficData[[#This Row],[pendingAmount]]&lt;=TrafficData[[#This Row],[totalAmount]],TrafficData[[#This Row],[disposedAmount]]&lt;=TrafficData[[#This Row],[totalAmount]])</f>
        <v>1</v>
      </c>
      <c r="P2611" s="8" t="b">
        <f>AND(TrafficData[[#This Row],[pendingCourt]]&lt;=TrafficData[[#This Row],[totalCourt]],TrafficData[[#This Row],[disposedCourt]]&lt;=TrafficData[[#This Row],[totalCourt]])</f>
        <v>1</v>
      </c>
    </row>
    <row r="2612" spans="1:16">
      <c r="A2612" s="1">
        <v>44616</v>
      </c>
      <c r="B2612">
        <v>133089</v>
      </c>
      <c r="C2612">
        <v>68638</v>
      </c>
      <c r="D2612">
        <v>64451</v>
      </c>
      <c r="E2612">
        <v>86862118</v>
      </c>
      <c r="F2612">
        <v>89540960</v>
      </c>
      <c r="G2612">
        <v>176403078</v>
      </c>
      <c r="H2612">
        <v>30272</v>
      </c>
      <c r="I2612">
        <v>9272</v>
      </c>
      <c r="J2612">
        <v>39544</v>
      </c>
      <c r="K2612" t="b">
        <f>TrafficData[[#This Row],[disposedChallan]]+TrafficData[[#This Row],[pendingChallan]]=TrafficData[[#This Row],[totalChallan]]</f>
        <v>1</v>
      </c>
      <c r="L2612" t="b">
        <f>TrafficData[[#This Row],[pendingAmount]]+TrafficData[[#This Row],[disposedAmount]]=TrafficData[[#This Row],[totalAmount]]</f>
        <v>1</v>
      </c>
      <c r="M2612" t="b">
        <f>TrafficData[[#This Row],[pendingCourt]]+TrafficData[[#This Row],[disposedCourt]]=TrafficData[[#This Row],[totalCourt]]</f>
        <v>1</v>
      </c>
      <c r="N2612" s="8" t="b">
        <f>AND(TrafficData[[#This Row],[disposedChallan]]&lt;=TrafficData[[#This Row],[totalChallan]],TrafficData[[#This Row],[pendingChallan]]&lt;=TrafficData[[#This Row],[totalChallan]])</f>
        <v>1</v>
      </c>
      <c r="O2612" s="8" t="b">
        <f>AND(TrafficData[[#This Row],[pendingAmount]]&lt;=TrafficData[[#This Row],[totalAmount]],TrafficData[[#This Row],[disposedAmount]]&lt;=TrafficData[[#This Row],[totalAmount]])</f>
        <v>1</v>
      </c>
      <c r="P2612" s="8" t="b">
        <f>AND(TrafficData[[#This Row],[pendingCourt]]&lt;=TrafficData[[#This Row],[totalCourt]],TrafficData[[#This Row],[disposedCourt]]&lt;=TrafficData[[#This Row],[totalCourt]])</f>
        <v>1</v>
      </c>
    </row>
    <row r="2613" spans="1:16">
      <c r="A2613" s="1">
        <v>44617</v>
      </c>
      <c r="B2613">
        <v>134224</v>
      </c>
      <c r="C2613">
        <v>69216</v>
      </c>
      <c r="D2613">
        <v>65008</v>
      </c>
      <c r="E2613">
        <v>89052060</v>
      </c>
      <c r="F2613">
        <v>94534647</v>
      </c>
      <c r="G2613">
        <v>183586707</v>
      </c>
      <c r="H2613">
        <v>30342</v>
      </c>
      <c r="I2613">
        <v>9315</v>
      </c>
      <c r="J2613">
        <v>39657</v>
      </c>
      <c r="K2613" t="b">
        <f>TrafficData[[#This Row],[disposedChallan]]+TrafficData[[#This Row],[pendingChallan]]=TrafficData[[#This Row],[totalChallan]]</f>
        <v>1</v>
      </c>
      <c r="L2613" t="b">
        <f>TrafficData[[#This Row],[pendingAmount]]+TrafficData[[#This Row],[disposedAmount]]=TrafficData[[#This Row],[totalAmount]]</f>
        <v>1</v>
      </c>
      <c r="M2613" t="b">
        <f>TrafficData[[#This Row],[pendingCourt]]+TrafficData[[#This Row],[disposedCourt]]=TrafficData[[#This Row],[totalCourt]]</f>
        <v>1</v>
      </c>
      <c r="N2613" s="8" t="b">
        <f>AND(TrafficData[[#This Row],[disposedChallan]]&lt;=TrafficData[[#This Row],[totalChallan]],TrafficData[[#This Row],[pendingChallan]]&lt;=TrafficData[[#This Row],[totalChallan]])</f>
        <v>1</v>
      </c>
      <c r="O2613" s="8" t="b">
        <f>AND(TrafficData[[#This Row],[pendingAmount]]&lt;=TrafficData[[#This Row],[totalAmount]],TrafficData[[#This Row],[disposedAmount]]&lt;=TrafficData[[#This Row],[totalAmount]])</f>
        <v>1</v>
      </c>
      <c r="P2613" s="8" t="b">
        <f>AND(TrafficData[[#This Row],[pendingCourt]]&lt;=TrafficData[[#This Row],[totalCourt]],TrafficData[[#This Row],[disposedCourt]]&lt;=TrafficData[[#This Row],[totalCourt]])</f>
        <v>1</v>
      </c>
    </row>
    <row r="2614" spans="1:16">
      <c r="A2614" s="1">
        <v>44618</v>
      </c>
      <c r="B2614">
        <v>132384</v>
      </c>
      <c r="C2614">
        <v>68998</v>
      </c>
      <c r="D2614">
        <v>63386</v>
      </c>
      <c r="E2614">
        <v>79691922</v>
      </c>
      <c r="F2614">
        <v>82922322</v>
      </c>
      <c r="G2614">
        <v>162614244</v>
      </c>
      <c r="H2614">
        <v>28789</v>
      </c>
      <c r="I2614">
        <v>9001</v>
      </c>
      <c r="J2614">
        <v>37790</v>
      </c>
      <c r="K2614" t="b">
        <f>TrafficData[[#This Row],[disposedChallan]]+TrafficData[[#This Row],[pendingChallan]]=TrafficData[[#This Row],[totalChallan]]</f>
        <v>1</v>
      </c>
      <c r="L2614" t="b">
        <f>TrafficData[[#This Row],[pendingAmount]]+TrafficData[[#This Row],[disposedAmount]]=TrafficData[[#This Row],[totalAmount]]</f>
        <v>1</v>
      </c>
      <c r="M2614" t="b">
        <f>TrafficData[[#This Row],[pendingCourt]]+TrafficData[[#This Row],[disposedCourt]]=TrafficData[[#This Row],[totalCourt]]</f>
        <v>1</v>
      </c>
      <c r="N2614" s="8" t="b">
        <f>AND(TrafficData[[#This Row],[disposedChallan]]&lt;=TrafficData[[#This Row],[totalChallan]],TrafficData[[#This Row],[pendingChallan]]&lt;=TrafficData[[#This Row],[totalChallan]])</f>
        <v>1</v>
      </c>
      <c r="O2614" s="8" t="b">
        <f>AND(TrafficData[[#This Row],[pendingAmount]]&lt;=TrafficData[[#This Row],[totalAmount]],TrafficData[[#This Row],[disposedAmount]]&lt;=TrafficData[[#This Row],[totalAmount]])</f>
        <v>1</v>
      </c>
      <c r="P2614" s="8" t="b">
        <f>AND(TrafficData[[#This Row],[pendingCourt]]&lt;=TrafficData[[#This Row],[totalCourt]],TrafficData[[#This Row],[disposedCourt]]&lt;=TrafficData[[#This Row],[totalCourt]])</f>
        <v>1</v>
      </c>
    </row>
    <row r="2615" spans="1:16">
      <c r="A2615" s="1">
        <v>44619</v>
      </c>
      <c r="B2615">
        <v>110895</v>
      </c>
      <c r="C2615">
        <v>55408</v>
      </c>
      <c r="D2615">
        <v>55487</v>
      </c>
      <c r="E2615">
        <v>58803320</v>
      </c>
      <c r="F2615">
        <v>60414445</v>
      </c>
      <c r="G2615">
        <v>119217765</v>
      </c>
      <c r="H2615">
        <v>22866</v>
      </c>
      <c r="I2615">
        <v>7204</v>
      </c>
      <c r="J2615">
        <v>30070</v>
      </c>
      <c r="K2615" t="b">
        <f>TrafficData[[#This Row],[disposedChallan]]+TrafficData[[#This Row],[pendingChallan]]=TrafficData[[#This Row],[totalChallan]]</f>
        <v>1</v>
      </c>
      <c r="L2615" t="b">
        <f>TrafficData[[#This Row],[pendingAmount]]+TrafficData[[#This Row],[disposedAmount]]=TrafficData[[#This Row],[totalAmount]]</f>
        <v>1</v>
      </c>
      <c r="M2615" t="b">
        <f>TrafficData[[#This Row],[pendingCourt]]+TrafficData[[#This Row],[disposedCourt]]=TrafficData[[#This Row],[totalCourt]]</f>
        <v>1</v>
      </c>
      <c r="N2615" s="8" t="b">
        <f>AND(TrafficData[[#This Row],[disposedChallan]]&lt;=TrafficData[[#This Row],[totalChallan]],TrafficData[[#This Row],[pendingChallan]]&lt;=TrafficData[[#This Row],[totalChallan]])</f>
        <v>1</v>
      </c>
      <c r="O2615" s="8" t="b">
        <f>AND(TrafficData[[#This Row],[pendingAmount]]&lt;=TrafficData[[#This Row],[totalAmount]],TrafficData[[#This Row],[disposedAmount]]&lt;=TrafficData[[#This Row],[totalAmount]])</f>
        <v>1</v>
      </c>
      <c r="P2615" s="8" t="b">
        <f>AND(TrafficData[[#This Row],[pendingCourt]]&lt;=TrafficData[[#This Row],[totalCourt]],TrafficData[[#This Row],[disposedCourt]]&lt;=TrafficData[[#This Row],[totalCourt]])</f>
        <v>1</v>
      </c>
    </row>
    <row r="2616" spans="1:16">
      <c r="A2616" s="1">
        <v>44620</v>
      </c>
      <c r="B2616">
        <v>127208</v>
      </c>
      <c r="C2616">
        <v>65899</v>
      </c>
      <c r="D2616">
        <v>61309</v>
      </c>
      <c r="E2616">
        <v>74818218</v>
      </c>
      <c r="F2616">
        <v>79310384</v>
      </c>
      <c r="G2616">
        <v>154128602</v>
      </c>
      <c r="H2616">
        <v>28595</v>
      </c>
      <c r="I2616">
        <v>8990</v>
      </c>
      <c r="J2616">
        <v>37585</v>
      </c>
      <c r="K2616" t="b">
        <f>TrafficData[[#This Row],[disposedChallan]]+TrafficData[[#This Row],[pendingChallan]]=TrafficData[[#This Row],[totalChallan]]</f>
        <v>1</v>
      </c>
      <c r="L2616" t="b">
        <f>TrafficData[[#This Row],[pendingAmount]]+TrafficData[[#This Row],[disposedAmount]]=TrafficData[[#This Row],[totalAmount]]</f>
        <v>1</v>
      </c>
      <c r="M2616" t="b">
        <f>TrafficData[[#This Row],[pendingCourt]]+TrafficData[[#This Row],[disposedCourt]]=TrafficData[[#This Row],[totalCourt]]</f>
        <v>1</v>
      </c>
      <c r="N2616" s="8" t="b">
        <f>AND(TrafficData[[#This Row],[disposedChallan]]&lt;=TrafficData[[#This Row],[totalChallan]],TrafficData[[#This Row],[pendingChallan]]&lt;=TrafficData[[#This Row],[totalChallan]])</f>
        <v>1</v>
      </c>
      <c r="O2616" s="8" t="b">
        <f>AND(TrafficData[[#This Row],[pendingAmount]]&lt;=TrafficData[[#This Row],[totalAmount]],TrafficData[[#This Row],[disposedAmount]]&lt;=TrafficData[[#This Row],[totalAmount]])</f>
        <v>1</v>
      </c>
      <c r="P2616" s="8" t="b">
        <f>AND(TrafficData[[#This Row],[pendingCourt]]&lt;=TrafficData[[#This Row],[totalCourt]],TrafficData[[#This Row],[disposedCourt]]&lt;=TrafficData[[#This Row],[totalCourt]])</f>
        <v>1</v>
      </c>
    </row>
    <row r="2617" spans="1:16">
      <c r="A2617" s="1">
        <v>44621</v>
      </c>
      <c r="B2617">
        <v>120768</v>
      </c>
      <c r="C2617">
        <v>67590</v>
      </c>
      <c r="D2617">
        <v>53178</v>
      </c>
      <c r="E2617">
        <v>68643683</v>
      </c>
      <c r="F2617">
        <v>98390274</v>
      </c>
      <c r="G2617">
        <v>167033957</v>
      </c>
      <c r="H2617">
        <v>25794</v>
      </c>
      <c r="I2617">
        <v>7924</v>
      </c>
      <c r="J2617">
        <v>33718</v>
      </c>
      <c r="K2617" t="b">
        <f>TrafficData[[#This Row],[disposedChallan]]+TrafficData[[#This Row],[pendingChallan]]=TrafficData[[#This Row],[totalChallan]]</f>
        <v>1</v>
      </c>
      <c r="L2617" t="b">
        <f>TrafficData[[#This Row],[pendingAmount]]+TrafficData[[#This Row],[disposedAmount]]=TrafficData[[#This Row],[totalAmount]]</f>
        <v>1</v>
      </c>
      <c r="M2617" t="b">
        <f>TrafficData[[#This Row],[pendingCourt]]+TrafficData[[#This Row],[disposedCourt]]=TrafficData[[#This Row],[totalCourt]]</f>
        <v>1</v>
      </c>
      <c r="N2617" s="8" t="b">
        <f>AND(TrafficData[[#This Row],[disposedChallan]]&lt;=TrafficData[[#This Row],[totalChallan]],TrafficData[[#This Row],[pendingChallan]]&lt;=TrafficData[[#This Row],[totalChallan]])</f>
        <v>1</v>
      </c>
      <c r="O2617" s="8" t="b">
        <f>AND(TrafficData[[#This Row],[pendingAmount]]&lt;=TrafficData[[#This Row],[totalAmount]],TrafficData[[#This Row],[disposedAmount]]&lt;=TrafficData[[#This Row],[totalAmount]])</f>
        <v>1</v>
      </c>
      <c r="P2617" s="8" t="b">
        <f>AND(TrafficData[[#This Row],[pendingCourt]]&lt;=TrafficData[[#This Row],[totalCourt]],TrafficData[[#This Row],[disposedCourt]]&lt;=TrafficData[[#This Row],[totalCourt]])</f>
        <v>1</v>
      </c>
    </row>
    <row r="2618" spans="1:16">
      <c r="A2618" s="1">
        <v>44622</v>
      </c>
      <c r="B2618">
        <v>135040</v>
      </c>
      <c r="C2618">
        <v>75422</v>
      </c>
      <c r="D2618">
        <v>59618</v>
      </c>
      <c r="E2618">
        <v>85547202</v>
      </c>
      <c r="F2618">
        <v>121432338</v>
      </c>
      <c r="G2618">
        <v>206979540</v>
      </c>
      <c r="H2618">
        <v>31382</v>
      </c>
      <c r="I2618">
        <v>9658</v>
      </c>
      <c r="J2618">
        <v>41040</v>
      </c>
      <c r="K2618" t="b">
        <f>TrafficData[[#This Row],[disposedChallan]]+TrafficData[[#This Row],[pendingChallan]]=TrafficData[[#This Row],[totalChallan]]</f>
        <v>1</v>
      </c>
      <c r="L2618" t="b">
        <f>TrafficData[[#This Row],[pendingAmount]]+TrafficData[[#This Row],[disposedAmount]]=TrafficData[[#This Row],[totalAmount]]</f>
        <v>1</v>
      </c>
      <c r="M2618" t="b">
        <f>TrafficData[[#This Row],[pendingCourt]]+TrafficData[[#This Row],[disposedCourt]]=TrafficData[[#This Row],[totalCourt]]</f>
        <v>1</v>
      </c>
      <c r="N2618" s="8" t="b">
        <f>AND(TrafficData[[#This Row],[disposedChallan]]&lt;=TrafficData[[#This Row],[totalChallan]],TrafficData[[#This Row],[pendingChallan]]&lt;=TrafficData[[#This Row],[totalChallan]])</f>
        <v>1</v>
      </c>
      <c r="O2618" s="8" t="b">
        <f>AND(TrafficData[[#This Row],[pendingAmount]]&lt;=TrafficData[[#This Row],[totalAmount]],TrafficData[[#This Row],[disposedAmount]]&lt;=TrafficData[[#This Row],[totalAmount]])</f>
        <v>1</v>
      </c>
      <c r="P2618" s="8" t="b">
        <f>AND(TrafficData[[#This Row],[pendingCourt]]&lt;=TrafficData[[#This Row],[totalCourt]],TrafficData[[#This Row],[disposedCourt]]&lt;=TrafficData[[#This Row],[totalCourt]])</f>
        <v>1</v>
      </c>
    </row>
    <row r="2619" spans="1:16">
      <c r="A2619" s="1">
        <v>44623</v>
      </c>
      <c r="B2619">
        <v>146702</v>
      </c>
      <c r="C2619">
        <v>79707</v>
      </c>
      <c r="D2619">
        <v>66995</v>
      </c>
      <c r="E2619">
        <v>88768660</v>
      </c>
      <c r="F2619">
        <v>131542653</v>
      </c>
      <c r="G2619">
        <v>220311313</v>
      </c>
      <c r="H2619">
        <v>30273</v>
      </c>
      <c r="I2619">
        <v>9621</v>
      </c>
      <c r="J2619">
        <v>39894</v>
      </c>
      <c r="K2619" t="b">
        <f>TrafficData[[#This Row],[disposedChallan]]+TrafficData[[#This Row],[pendingChallan]]=TrafficData[[#This Row],[totalChallan]]</f>
        <v>1</v>
      </c>
      <c r="L2619" t="b">
        <f>TrafficData[[#This Row],[pendingAmount]]+TrafficData[[#This Row],[disposedAmount]]=TrafficData[[#This Row],[totalAmount]]</f>
        <v>1</v>
      </c>
      <c r="M2619" t="b">
        <f>TrafficData[[#This Row],[pendingCourt]]+TrafficData[[#This Row],[disposedCourt]]=TrafficData[[#This Row],[totalCourt]]</f>
        <v>1</v>
      </c>
      <c r="N2619" s="8" t="b">
        <f>AND(TrafficData[[#This Row],[disposedChallan]]&lt;=TrafficData[[#This Row],[totalChallan]],TrafficData[[#This Row],[pendingChallan]]&lt;=TrafficData[[#This Row],[totalChallan]])</f>
        <v>1</v>
      </c>
      <c r="O2619" s="8" t="b">
        <f>AND(TrafficData[[#This Row],[pendingAmount]]&lt;=TrafficData[[#This Row],[totalAmount]],TrafficData[[#This Row],[disposedAmount]]&lt;=TrafficData[[#This Row],[totalAmount]])</f>
        <v>1</v>
      </c>
      <c r="P2619" s="8" t="b">
        <f>AND(TrafficData[[#This Row],[pendingCourt]]&lt;=TrafficData[[#This Row],[totalCourt]],TrafficData[[#This Row],[disposedCourt]]&lt;=TrafficData[[#This Row],[totalCourt]])</f>
        <v>1</v>
      </c>
    </row>
    <row r="2620" spans="1:16">
      <c r="A2620" s="1">
        <v>44624</v>
      </c>
      <c r="B2620">
        <v>133157</v>
      </c>
      <c r="C2620">
        <v>73925</v>
      </c>
      <c r="D2620">
        <v>59232</v>
      </c>
      <c r="E2620">
        <v>80540780</v>
      </c>
      <c r="F2620">
        <v>123075529</v>
      </c>
      <c r="G2620">
        <v>203616309</v>
      </c>
      <c r="H2620">
        <v>28797</v>
      </c>
      <c r="I2620">
        <v>9314</v>
      </c>
      <c r="J2620">
        <v>38111</v>
      </c>
      <c r="K2620" t="b">
        <f>TrafficData[[#This Row],[disposedChallan]]+TrafficData[[#This Row],[pendingChallan]]=TrafficData[[#This Row],[totalChallan]]</f>
        <v>1</v>
      </c>
      <c r="L2620" t="b">
        <f>TrafficData[[#This Row],[pendingAmount]]+TrafficData[[#This Row],[disposedAmount]]=TrafficData[[#This Row],[totalAmount]]</f>
        <v>1</v>
      </c>
      <c r="M2620" t="b">
        <f>TrafficData[[#This Row],[pendingCourt]]+TrafficData[[#This Row],[disposedCourt]]=TrafficData[[#This Row],[totalCourt]]</f>
        <v>1</v>
      </c>
      <c r="N2620" s="8" t="b">
        <f>AND(TrafficData[[#This Row],[disposedChallan]]&lt;=TrafficData[[#This Row],[totalChallan]],TrafficData[[#This Row],[pendingChallan]]&lt;=TrafficData[[#This Row],[totalChallan]])</f>
        <v>1</v>
      </c>
      <c r="O2620" s="8" t="b">
        <f>AND(TrafficData[[#This Row],[pendingAmount]]&lt;=TrafficData[[#This Row],[totalAmount]],TrafficData[[#This Row],[disposedAmount]]&lt;=TrafficData[[#This Row],[totalAmount]])</f>
        <v>1</v>
      </c>
      <c r="P2620" s="8" t="b">
        <f>AND(TrafficData[[#This Row],[pendingCourt]]&lt;=TrafficData[[#This Row],[totalCourt]],TrafficData[[#This Row],[disposedCourt]]&lt;=TrafficData[[#This Row],[totalCourt]])</f>
        <v>1</v>
      </c>
    </row>
    <row r="2621" spans="1:16">
      <c r="A2621" s="1">
        <v>44625</v>
      </c>
      <c r="B2621">
        <v>145669</v>
      </c>
      <c r="C2621">
        <v>80325</v>
      </c>
      <c r="D2621">
        <v>65344</v>
      </c>
      <c r="E2621">
        <v>79924799</v>
      </c>
      <c r="F2621">
        <v>122202193</v>
      </c>
      <c r="G2621">
        <v>202126992</v>
      </c>
      <c r="H2621">
        <v>31121</v>
      </c>
      <c r="I2621">
        <v>9984</v>
      </c>
      <c r="J2621">
        <v>41105</v>
      </c>
      <c r="K2621" t="b">
        <f>TrafficData[[#This Row],[disposedChallan]]+TrafficData[[#This Row],[pendingChallan]]=TrafficData[[#This Row],[totalChallan]]</f>
        <v>1</v>
      </c>
      <c r="L2621" t="b">
        <f>TrafficData[[#This Row],[pendingAmount]]+TrafficData[[#This Row],[disposedAmount]]=TrafficData[[#This Row],[totalAmount]]</f>
        <v>1</v>
      </c>
      <c r="M2621" t="b">
        <f>TrafficData[[#This Row],[pendingCourt]]+TrafficData[[#This Row],[disposedCourt]]=TrafficData[[#This Row],[totalCourt]]</f>
        <v>1</v>
      </c>
      <c r="N2621" s="8" t="b">
        <f>AND(TrafficData[[#This Row],[disposedChallan]]&lt;=TrafficData[[#This Row],[totalChallan]],TrafficData[[#This Row],[pendingChallan]]&lt;=TrafficData[[#This Row],[totalChallan]])</f>
        <v>1</v>
      </c>
      <c r="O2621" s="8" t="b">
        <f>AND(TrafficData[[#This Row],[pendingAmount]]&lt;=TrafficData[[#This Row],[totalAmount]],TrafficData[[#This Row],[disposedAmount]]&lt;=TrafficData[[#This Row],[totalAmount]])</f>
        <v>1</v>
      </c>
      <c r="P2621" s="8" t="b">
        <f>AND(TrafficData[[#This Row],[pendingCourt]]&lt;=TrafficData[[#This Row],[totalCourt]],TrafficData[[#This Row],[disposedCourt]]&lt;=TrafficData[[#This Row],[totalCourt]])</f>
        <v>1</v>
      </c>
    </row>
    <row r="2622" spans="1:16">
      <c r="A2622" s="1">
        <v>44626</v>
      </c>
      <c r="B2622">
        <v>124241</v>
      </c>
      <c r="C2622">
        <v>65579</v>
      </c>
      <c r="D2622">
        <v>58662</v>
      </c>
      <c r="E2622">
        <v>70335234</v>
      </c>
      <c r="F2622">
        <v>94482235</v>
      </c>
      <c r="G2622">
        <v>164817469</v>
      </c>
      <c r="H2622">
        <v>29307</v>
      </c>
      <c r="I2622">
        <v>8490</v>
      </c>
      <c r="J2622">
        <v>37797</v>
      </c>
      <c r="K2622" t="b">
        <f>TrafficData[[#This Row],[disposedChallan]]+TrafficData[[#This Row],[pendingChallan]]=TrafficData[[#This Row],[totalChallan]]</f>
        <v>1</v>
      </c>
      <c r="L2622" t="b">
        <f>TrafficData[[#This Row],[pendingAmount]]+TrafficData[[#This Row],[disposedAmount]]=TrafficData[[#This Row],[totalAmount]]</f>
        <v>1</v>
      </c>
      <c r="M2622" t="b">
        <f>TrafficData[[#This Row],[pendingCourt]]+TrafficData[[#This Row],[disposedCourt]]=TrafficData[[#This Row],[totalCourt]]</f>
        <v>1</v>
      </c>
      <c r="N2622" s="8" t="b">
        <f>AND(TrafficData[[#This Row],[disposedChallan]]&lt;=TrafficData[[#This Row],[totalChallan]],TrafficData[[#This Row],[pendingChallan]]&lt;=TrafficData[[#This Row],[totalChallan]])</f>
        <v>1</v>
      </c>
      <c r="O2622" s="8" t="b">
        <f>AND(TrafficData[[#This Row],[pendingAmount]]&lt;=TrafficData[[#This Row],[totalAmount]],TrafficData[[#This Row],[disposedAmount]]&lt;=TrafficData[[#This Row],[totalAmount]])</f>
        <v>1</v>
      </c>
      <c r="P2622" s="8" t="b">
        <f>AND(TrafficData[[#This Row],[pendingCourt]]&lt;=TrafficData[[#This Row],[totalCourt]],TrafficData[[#This Row],[disposedCourt]]&lt;=TrafficData[[#This Row],[totalCourt]])</f>
        <v>1</v>
      </c>
    </row>
    <row r="2623" spans="1:16">
      <c r="A2623" s="1">
        <v>44627</v>
      </c>
      <c r="B2623">
        <v>136830</v>
      </c>
      <c r="C2623">
        <v>73319</v>
      </c>
      <c r="D2623">
        <v>63511</v>
      </c>
      <c r="E2623">
        <v>87003622</v>
      </c>
      <c r="F2623">
        <v>115221623</v>
      </c>
      <c r="G2623">
        <v>202225245</v>
      </c>
      <c r="H2623">
        <v>32725</v>
      </c>
      <c r="I2623">
        <v>9840</v>
      </c>
      <c r="J2623">
        <v>42565</v>
      </c>
      <c r="K2623" t="b">
        <f>TrafficData[[#This Row],[disposedChallan]]+TrafficData[[#This Row],[pendingChallan]]=TrafficData[[#This Row],[totalChallan]]</f>
        <v>1</v>
      </c>
      <c r="L2623" t="b">
        <f>TrafficData[[#This Row],[pendingAmount]]+TrafficData[[#This Row],[disposedAmount]]=TrafficData[[#This Row],[totalAmount]]</f>
        <v>1</v>
      </c>
      <c r="M2623" t="b">
        <f>TrafficData[[#This Row],[pendingCourt]]+TrafficData[[#This Row],[disposedCourt]]=TrafficData[[#This Row],[totalCourt]]</f>
        <v>1</v>
      </c>
      <c r="N2623" s="8" t="b">
        <f>AND(TrafficData[[#This Row],[disposedChallan]]&lt;=TrafficData[[#This Row],[totalChallan]],TrafficData[[#This Row],[pendingChallan]]&lt;=TrafficData[[#This Row],[totalChallan]])</f>
        <v>1</v>
      </c>
      <c r="O2623" s="8" t="b">
        <f>AND(TrafficData[[#This Row],[pendingAmount]]&lt;=TrafficData[[#This Row],[totalAmount]],TrafficData[[#This Row],[disposedAmount]]&lt;=TrafficData[[#This Row],[totalAmount]])</f>
        <v>1</v>
      </c>
      <c r="P2623" s="8" t="b">
        <f>AND(TrafficData[[#This Row],[pendingCourt]]&lt;=TrafficData[[#This Row],[totalCourt]],TrafficData[[#This Row],[disposedCourt]]&lt;=TrafficData[[#This Row],[totalCourt]])</f>
        <v>1</v>
      </c>
    </row>
    <row r="2624" spans="1:16">
      <c r="A2624" s="1">
        <v>44628</v>
      </c>
      <c r="B2624">
        <v>134095</v>
      </c>
      <c r="C2624">
        <v>73221</v>
      </c>
      <c r="D2624">
        <v>60874</v>
      </c>
      <c r="E2624">
        <v>90556111</v>
      </c>
      <c r="F2624">
        <v>127874275</v>
      </c>
      <c r="G2624">
        <v>218430386</v>
      </c>
      <c r="H2624">
        <v>31823</v>
      </c>
      <c r="I2624">
        <v>9689</v>
      </c>
      <c r="J2624">
        <v>41512</v>
      </c>
      <c r="K2624" t="b">
        <f>TrafficData[[#This Row],[disposedChallan]]+TrafficData[[#This Row],[pendingChallan]]=TrafficData[[#This Row],[totalChallan]]</f>
        <v>1</v>
      </c>
      <c r="L2624" t="b">
        <f>TrafficData[[#This Row],[pendingAmount]]+TrafficData[[#This Row],[disposedAmount]]=TrafficData[[#This Row],[totalAmount]]</f>
        <v>1</v>
      </c>
      <c r="M2624" t="b">
        <f>TrafficData[[#This Row],[pendingCourt]]+TrafficData[[#This Row],[disposedCourt]]=TrafficData[[#This Row],[totalCourt]]</f>
        <v>1</v>
      </c>
      <c r="N2624" s="8" t="b">
        <f>AND(TrafficData[[#This Row],[disposedChallan]]&lt;=TrafficData[[#This Row],[totalChallan]],TrafficData[[#This Row],[pendingChallan]]&lt;=TrafficData[[#This Row],[totalChallan]])</f>
        <v>1</v>
      </c>
      <c r="O2624" s="8" t="b">
        <f>AND(TrafficData[[#This Row],[pendingAmount]]&lt;=TrafficData[[#This Row],[totalAmount]],TrafficData[[#This Row],[disposedAmount]]&lt;=TrafficData[[#This Row],[totalAmount]])</f>
        <v>1</v>
      </c>
      <c r="P2624" s="8" t="b">
        <f>AND(TrafficData[[#This Row],[pendingCourt]]&lt;=TrafficData[[#This Row],[totalCourt]],TrafficData[[#This Row],[disposedCourt]]&lt;=TrafficData[[#This Row],[totalCourt]])</f>
        <v>1</v>
      </c>
    </row>
    <row r="2625" spans="1:16">
      <c r="A2625" s="1">
        <v>44629</v>
      </c>
      <c r="B2625">
        <v>140922</v>
      </c>
      <c r="C2625">
        <v>76505</v>
      </c>
      <c r="D2625">
        <v>64417</v>
      </c>
      <c r="E2625">
        <v>88882837</v>
      </c>
      <c r="F2625">
        <v>124377006</v>
      </c>
      <c r="G2625">
        <v>213259843</v>
      </c>
      <c r="H2625">
        <v>30069</v>
      </c>
      <c r="I2625">
        <v>9779</v>
      </c>
      <c r="J2625">
        <v>39848</v>
      </c>
      <c r="K2625" t="b">
        <f>TrafficData[[#This Row],[disposedChallan]]+TrafficData[[#This Row],[pendingChallan]]=TrafficData[[#This Row],[totalChallan]]</f>
        <v>1</v>
      </c>
      <c r="L2625" t="b">
        <f>TrafficData[[#This Row],[pendingAmount]]+TrafficData[[#This Row],[disposedAmount]]=TrafficData[[#This Row],[totalAmount]]</f>
        <v>1</v>
      </c>
      <c r="M2625" t="b">
        <f>TrafficData[[#This Row],[pendingCourt]]+TrafficData[[#This Row],[disposedCourt]]=TrafficData[[#This Row],[totalCourt]]</f>
        <v>1</v>
      </c>
      <c r="N2625" s="8" t="b">
        <f>AND(TrafficData[[#This Row],[disposedChallan]]&lt;=TrafficData[[#This Row],[totalChallan]],TrafficData[[#This Row],[pendingChallan]]&lt;=TrafficData[[#This Row],[totalChallan]])</f>
        <v>1</v>
      </c>
      <c r="O2625" s="8" t="b">
        <f>AND(TrafficData[[#This Row],[pendingAmount]]&lt;=TrafficData[[#This Row],[totalAmount]],TrafficData[[#This Row],[disposedAmount]]&lt;=TrafficData[[#This Row],[totalAmount]])</f>
        <v>1</v>
      </c>
      <c r="P2625" s="8" t="b">
        <f>AND(TrafficData[[#This Row],[pendingCourt]]&lt;=TrafficData[[#This Row],[totalCourt]],TrafficData[[#This Row],[disposedCourt]]&lt;=TrafficData[[#This Row],[totalCourt]])</f>
        <v>1</v>
      </c>
    </row>
    <row r="2626" spans="1:16">
      <c r="A2626" s="1">
        <v>44630</v>
      </c>
      <c r="B2626">
        <v>128851</v>
      </c>
      <c r="C2626">
        <v>70254</v>
      </c>
      <c r="D2626">
        <v>58597</v>
      </c>
      <c r="E2626">
        <v>78352964</v>
      </c>
      <c r="F2626">
        <v>108761916</v>
      </c>
      <c r="G2626">
        <v>187114880</v>
      </c>
      <c r="H2626">
        <v>26456</v>
      </c>
      <c r="I2626">
        <v>8240</v>
      </c>
      <c r="J2626">
        <v>34696</v>
      </c>
      <c r="K2626" t="b">
        <f>TrafficData[[#This Row],[disposedChallan]]+TrafficData[[#This Row],[pendingChallan]]=TrafficData[[#This Row],[totalChallan]]</f>
        <v>1</v>
      </c>
      <c r="L2626" t="b">
        <f>TrafficData[[#This Row],[pendingAmount]]+TrafficData[[#This Row],[disposedAmount]]=TrafficData[[#This Row],[totalAmount]]</f>
        <v>1</v>
      </c>
      <c r="M2626" t="b">
        <f>TrafficData[[#This Row],[pendingCourt]]+TrafficData[[#This Row],[disposedCourt]]=TrafficData[[#This Row],[totalCourt]]</f>
        <v>1</v>
      </c>
      <c r="N2626" s="8" t="b">
        <f>AND(TrafficData[[#This Row],[disposedChallan]]&lt;=TrafficData[[#This Row],[totalChallan]],TrafficData[[#This Row],[pendingChallan]]&lt;=TrafficData[[#This Row],[totalChallan]])</f>
        <v>1</v>
      </c>
      <c r="O2626" s="8" t="b">
        <f>AND(TrafficData[[#This Row],[pendingAmount]]&lt;=TrafficData[[#This Row],[totalAmount]],TrafficData[[#This Row],[disposedAmount]]&lt;=TrafficData[[#This Row],[totalAmount]])</f>
        <v>1</v>
      </c>
      <c r="P2626" s="8" t="b">
        <f>AND(TrafficData[[#This Row],[pendingCourt]]&lt;=TrafficData[[#This Row],[totalCourt]],TrafficData[[#This Row],[disposedCourt]]&lt;=TrafficData[[#This Row],[totalCourt]])</f>
        <v>1</v>
      </c>
    </row>
    <row r="2627" spans="1:16">
      <c r="A2627" s="1">
        <v>44631</v>
      </c>
      <c r="B2627">
        <v>143982</v>
      </c>
      <c r="C2627">
        <v>78056</v>
      </c>
      <c r="D2627">
        <v>65926</v>
      </c>
      <c r="E2627">
        <v>88215316</v>
      </c>
      <c r="F2627">
        <v>116102043</v>
      </c>
      <c r="G2627">
        <v>204317359</v>
      </c>
      <c r="H2627">
        <v>33068</v>
      </c>
      <c r="I2627">
        <v>10004</v>
      </c>
      <c r="J2627">
        <v>43072</v>
      </c>
      <c r="K2627" t="b">
        <f>TrafficData[[#This Row],[disposedChallan]]+TrafficData[[#This Row],[pendingChallan]]=TrafficData[[#This Row],[totalChallan]]</f>
        <v>1</v>
      </c>
      <c r="L2627" t="b">
        <f>TrafficData[[#This Row],[pendingAmount]]+TrafficData[[#This Row],[disposedAmount]]=TrafficData[[#This Row],[totalAmount]]</f>
        <v>1</v>
      </c>
      <c r="M2627" t="b">
        <f>TrafficData[[#This Row],[pendingCourt]]+TrafficData[[#This Row],[disposedCourt]]=TrafficData[[#This Row],[totalCourt]]</f>
        <v>1</v>
      </c>
      <c r="N2627" s="8" t="b">
        <f>AND(TrafficData[[#This Row],[disposedChallan]]&lt;=TrafficData[[#This Row],[totalChallan]],TrafficData[[#This Row],[pendingChallan]]&lt;=TrafficData[[#This Row],[totalChallan]])</f>
        <v>1</v>
      </c>
      <c r="O2627" s="8" t="b">
        <f>AND(TrafficData[[#This Row],[pendingAmount]]&lt;=TrafficData[[#This Row],[totalAmount]],TrafficData[[#This Row],[disposedAmount]]&lt;=TrafficData[[#This Row],[totalAmount]])</f>
        <v>1</v>
      </c>
      <c r="P2627" s="8" t="b">
        <f>AND(TrafficData[[#This Row],[pendingCourt]]&lt;=TrafficData[[#This Row],[totalCourt]],TrafficData[[#This Row],[disposedCourt]]&lt;=TrafficData[[#This Row],[totalCourt]])</f>
        <v>1</v>
      </c>
    </row>
    <row r="2628" spans="1:16">
      <c r="A2628" s="1">
        <v>44632</v>
      </c>
      <c r="B2628">
        <v>138411</v>
      </c>
      <c r="C2628">
        <v>74827</v>
      </c>
      <c r="D2628">
        <v>63584</v>
      </c>
      <c r="E2628">
        <v>80018675</v>
      </c>
      <c r="F2628">
        <v>107515166</v>
      </c>
      <c r="G2628">
        <v>187533841</v>
      </c>
      <c r="H2628">
        <v>30826</v>
      </c>
      <c r="I2628">
        <v>9452</v>
      </c>
      <c r="J2628">
        <v>40278</v>
      </c>
      <c r="K2628" t="b">
        <f>TrafficData[[#This Row],[disposedChallan]]+TrafficData[[#This Row],[pendingChallan]]=TrafficData[[#This Row],[totalChallan]]</f>
        <v>1</v>
      </c>
      <c r="L2628" t="b">
        <f>TrafficData[[#This Row],[pendingAmount]]+TrafficData[[#This Row],[disposedAmount]]=TrafficData[[#This Row],[totalAmount]]</f>
        <v>1</v>
      </c>
      <c r="M2628" t="b">
        <f>TrafficData[[#This Row],[pendingCourt]]+TrafficData[[#This Row],[disposedCourt]]=TrafficData[[#This Row],[totalCourt]]</f>
        <v>1</v>
      </c>
      <c r="N2628" s="8" t="b">
        <f>AND(TrafficData[[#This Row],[disposedChallan]]&lt;=TrafficData[[#This Row],[totalChallan]],TrafficData[[#This Row],[pendingChallan]]&lt;=TrafficData[[#This Row],[totalChallan]])</f>
        <v>1</v>
      </c>
      <c r="O2628" s="8" t="b">
        <f>AND(TrafficData[[#This Row],[pendingAmount]]&lt;=TrafficData[[#This Row],[totalAmount]],TrafficData[[#This Row],[disposedAmount]]&lt;=TrafficData[[#This Row],[totalAmount]])</f>
        <v>1</v>
      </c>
      <c r="P2628" s="8" t="b">
        <f>AND(TrafficData[[#This Row],[pendingCourt]]&lt;=TrafficData[[#This Row],[totalCourt]],TrafficData[[#This Row],[disposedCourt]]&lt;=TrafficData[[#This Row],[totalCourt]])</f>
        <v>1</v>
      </c>
    </row>
    <row r="2629" spans="1:16">
      <c r="A2629" s="1">
        <v>44633</v>
      </c>
      <c r="B2629">
        <v>127896</v>
      </c>
      <c r="C2629">
        <v>64809</v>
      </c>
      <c r="D2629">
        <v>63087</v>
      </c>
      <c r="E2629">
        <v>84251612</v>
      </c>
      <c r="F2629">
        <v>91237529</v>
      </c>
      <c r="G2629">
        <v>175489141</v>
      </c>
      <c r="H2629">
        <v>32357</v>
      </c>
      <c r="I2629">
        <v>9351</v>
      </c>
      <c r="J2629">
        <v>41708</v>
      </c>
      <c r="K2629" t="b">
        <f>TrafficData[[#This Row],[disposedChallan]]+TrafficData[[#This Row],[pendingChallan]]=TrafficData[[#This Row],[totalChallan]]</f>
        <v>1</v>
      </c>
      <c r="L2629" t="b">
        <f>TrafficData[[#This Row],[pendingAmount]]+TrafficData[[#This Row],[disposedAmount]]=TrafficData[[#This Row],[totalAmount]]</f>
        <v>1</v>
      </c>
      <c r="M2629" t="b">
        <f>TrafficData[[#This Row],[pendingCourt]]+TrafficData[[#This Row],[disposedCourt]]=TrafficData[[#This Row],[totalCourt]]</f>
        <v>1</v>
      </c>
      <c r="N2629" s="8" t="b">
        <f>AND(TrafficData[[#This Row],[disposedChallan]]&lt;=TrafficData[[#This Row],[totalChallan]],TrafficData[[#This Row],[pendingChallan]]&lt;=TrafficData[[#This Row],[totalChallan]])</f>
        <v>1</v>
      </c>
      <c r="O2629" s="8" t="b">
        <f>AND(TrafficData[[#This Row],[pendingAmount]]&lt;=TrafficData[[#This Row],[totalAmount]],TrafficData[[#This Row],[disposedAmount]]&lt;=TrafficData[[#This Row],[totalAmount]])</f>
        <v>1</v>
      </c>
      <c r="P2629" s="8" t="b">
        <f>AND(TrafficData[[#This Row],[pendingCourt]]&lt;=TrafficData[[#This Row],[totalCourt]],TrafficData[[#This Row],[disposedCourt]]&lt;=TrafficData[[#This Row],[totalCourt]])</f>
        <v>1</v>
      </c>
    </row>
    <row r="2630" spans="1:16">
      <c r="A2630" s="1">
        <v>44634</v>
      </c>
      <c r="B2630">
        <v>142052</v>
      </c>
      <c r="C2630">
        <v>74561</v>
      </c>
      <c r="D2630">
        <v>67491</v>
      </c>
      <c r="E2630">
        <v>100034642</v>
      </c>
      <c r="F2630">
        <v>111949421</v>
      </c>
      <c r="G2630">
        <v>211984063</v>
      </c>
      <c r="H2630">
        <v>30810</v>
      </c>
      <c r="I2630">
        <v>9925</v>
      </c>
      <c r="J2630">
        <v>40735</v>
      </c>
      <c r="K2630" t="b">
        <f>TrafficData[[#This Row],[disposedChallan]]+TrafficData[[#This Row],[pendingChallan]]=TrafficData[[#This Row],[totalChallan]]</f>
        <v>1</v>
      </c>
      <c r="L2630" t="b">
        <f>TrafficData[[#This Row],[pendingAmount]]+TrafficData[[#This Row],[disposedAmount]]=TrafficData[[#This Row],[totalAmount]]</f>
        <v>1</v>
      </c>
      <c r="M2630" t="b">
        <f>TrafficData[[#This Row],[pendingCourt]]+TrafficData[[#This Row],[disposedCourt]]=TrafficData[[#This Row],[totalCourt]]</f>
        <v>1</v>
      </c>
      <c r="N2630" s="8" t="b">
        <f>AND(TrafficData[[#This Row],[disposedChallan]]&lt;=TrafficData[[#This Row],[totalChallan]],TrafficData[[#This Row],[pendingChallan]]&lt;=TrafficData[[#This Row],[totalChallan]])</f>
        <v>1</v>
      </c>
      <c r="O2630" s="8" t="b">
        <f>AND(TrafficData[[#This Row],[pendingAmount]]&lt;=TrafficData[[#This Row],[totalAmount]],TrafficData[[#This Row],[disposedAmount]]&lt;=TrafficData[[#This Row],[totalAmount]])</f>
        <v>1</v>
      </c>
      <c r="P2630" s="8" t="b">
        <f>AND(TrafficData[[#This Row],[pendingCourt]]&lt;=TrafficData[[#This Row],[totalCourt]],TrafficData[[#This Row],[disposedCourt]]&lt;=TrafficData[[#This Row],[totalCourt]])</f>
        <v>1</v>
      </c>
    </row>
    <row r="2631" spans="1:16">
      <c r="A2631" s="1">
        <v>44635</v>
      </c>
      <c r="B2631">
        <v>149286</v>
      </c>
      <c r="C2631">
        <v>76178</v>
      </c>
      <c r="D2631">
        <v>73108</v>
      </c>
      <c r="E2631">
        <v>96017355</v>
      </c>
      <c r="F2631">
        <v>115454186</v>
      </c>
      <c r="G2631">
        <v>211471541</v>
      </c>
      <c r="H2631">
        <v>35993</v>
      </c>
      <c r="I2631">
        <v>11159</v>
      </c>
      <c r="J2631">
        <v>47152</v>
      </c>
      <c r="K2631" t="b">
        <f>TrafficData[[#This Row],[disposedChallan]]+TrafficData[[#This Row],[pendingChallan]]=TrafficData[[#This Row],[totalChallan]]</f>
        <v>1</v>
      </c>
      <c r="L2631" t="b">
        <f>TrafficData[[#This Row],[pendingAmount]]+TrafficData[[#This Row],[disposedAmount]]=TrafficData[[#This Row],[totalAmount]]</f>
        <v>1</v>
      </c>
      <c r="M2631" t="b">
        <f>TrafficData[[#This Row],[pendingCourt]]+TrafficData[[#This Row],[disposedCourt]]=TrafficData[[#This Row],[totalCourt]]</f>
        <v>1</v>
      </c>
      <c r="N2631" s="8" t="b">
        <f>AND(TrafficData[[#This Row],[disposedChallan]]&lt;=TrafficData[[#This Row],[totalChallan]],TrafficData[[#This Row],[pendingChallan]]&lt;=TrafficData[[#This Row],[totalChallan]])</f>
        <v>1</v>
      </c>
      <c r="O2631" s="8" t="b">
        <f>AND(TrafficData[[#This Row],[pendingAmount]]&lt;=TrafficData[[#This Row],[totalAmount]],TrafficData[[#This Row],[disposedAmount]]&lt;=TrafficData[[#This Row],[totalAmount]])</f>
        <v>1</v>
      </c>
      <c r="P2631" s="8" t="b">
        <f>AND(TrafficData[[#This Row],[pendingCourt]]&lt;=TrafficData[[#This Row],[totalCourt]],TrafficData[[#This Row],[disposedCourt]]&lt;=TrafficData[[#This Row],[totalCourt]])</f>
        <v>1</v>
      </c>
    </row>
    <row r="2632" spans="1:16">
      <c r="A2632" s="1">
        <v>44636</v>
      </c>
      <c r="B2632">
        <v>141828</v>
      </c>
      <c r="C2632">
        <v>74642</v>
      </c>
      <c r="D2632">
        <v>67186</v>
      </c>
      <c r="E2632">
        <v>88369729</v>
      </c>
      <c r="F2632">
        <v>109323260</v>
      </c>
      <c r="G2632">
        <v>197692989</v>
      </c>
      <c r="H2632">
        <v>33735</v>
      </c>
      <c r="I2632">
        <v>9942</v>
      </c>
      <c r="J2632">
        <v>43677</v>
      </c>
      <c r="K2632" t="b">
        <f>TrafficData[[#This Row],[disposedChallan]]+TrafficData[[#This Row],[pendingChallan]]=TrafficData[[#This Row],[totalChallan]]</f>
        <v>1</v>
      </c>
      <c r="L2632" t="b">
        <f>TrafficData[[#This Row],[pendingAmount]]+TrafficData[[#This Row],[disposedAmount]]=TrafficData[[#This Row],[totalAmount]]</f>
        <v>1</v>
      </c>
      <c r="M2632" t="b">
        <f>TrafficData[[#This Row],[pendingCourt]]+TrafficData[[#This Row],[disposedCourt]]=TrafficData[[#This Row],[totalCourt]]</f>
        <v>1</v>
      </c>
      <c r="N2632" s="8" t="b">
        <f>AND(TrafficData[[#This Row],[disposedChallan]]&lt;=TrafficData[[#This Row],[totalChallan]],TrafficData[[#This Row],[pendingChallan]]&lt;=TrafficData[[#This Row],[totalChallan]])</f>
        <v>1</v>
      </c>
      <c r="O2632" s="8" t="b">
        <f>AND(TrafficData[[#This Row],[pendingAmount]]&lt;=TrafficData[[#This Row],[totalAmount]],TrafficData[[#This Row],[disposedAmount]]&lt;=TrafficData[[#This Row],[totalAmount]])</f>
        <v>1</v>
      </c>
      <c r="P2632" s="8" t="b">
        <f>AND(TrafficData[[#This Row],[pendingCourt]]&lt;=TrafficData[[#This Row],[totalCourt]],TrafficData[[#This Row],[disposedCourt]]&lt;=TrafficData[[#This Row],[totalCourt]])</f>
        <v>1</v>
      </c>
    </row>
    <row r="2633" spans="1:16">
      <c r="A2633" s="1">
        <v>44637</v>
      </c>
      <c r="B2633">
        <v>124957</v>
      </c>
      <c r="C2633">
        <v>64159</v>
      </c>
      <c r="D2633">
        <v>60798</v>
      </c>
      <c r="E2633">
        <v>70260004</v>
      </c>
      <c r="F2633">
        <v>70537023</v>
      </c>
      <c r="G2633">
        <v>140797027</v>
      </c>
      <c r="H2633">
        <v>28880</v>
      </c>
      <c r="I2633">
        <v>8345</v>
      </c>
      <c r="J2633">
        <v>37225</v>
      </c>
      <c r="K2633" t="b">
        <f>TrafficData[[#This Row],[disposedChallan]]+TrafficData[[#This Row],[pendingChallan]]=TrafficData[[#This Row],[totalChallan]]</f>
        <v>1</v>
      </c>
      <c r="L2633" t="b">
        <f>TrafficData[[#This Row],[pendingAmount]]+TrafficData[[#This Row],[disposedAmount]]=TrafficData[[#This Row],[totalAmount]]</f>
        <v>1</v>
      </c>
      <c r="M2633" t="b">
        <f>TrafficData[[#This Row],[pendingCourt]]+TrafficData[[#This Row],[disposedCourt]]=TrafficData[[#This Row],[totalCourt]]</f>
        <v>1</v>
      </c>
      <c r="N2633" s="8" t="b">
        <f>AND(TrafficData[[#This Row],[disposedChallan]]&lt;=TrafficData[[#This Row],[totalChallan]],TrafficData[[#This Row],[pendingChallan]]&lt;=TrafficData[[#This Row],[totalChallan]])</f>
        <v>1</v>
      </c>
      <c r="O2633" s="8" t="b">
        <f>AND(TrafficData[[#This Row],[pendingAmount]]&lt;=TrafficData[[#This Row],[totalAmount]],TrafficData[[#This Row],[disposedAmount]]&lt;=TrafficData[[#This Row],[totalAmount]])</f>
        <v>1</v>
      </c>
      <c r="P2633" s="8" t="b">
        <f>AND(TrafficData[[#This Row],[pendingCourt]]&lt;=TrafficData[[#This Row],[totalCourt]],TrafficData[[#This Row],[disposedCourt]]&lt;=TrafficData[[#This Row],[totalCourt]])</f>
        <v>1</v>
      </c>
    </row>
    <row r="2634" spans="1:16">
      <c r="A2634" s="1">
        <v>44638</v>
      </c>
      <c r="B2634">
        <v>106619</v>
      </c>
      <c r="C2634">
        <v>51597</v>
      </c>
      <c r="D2634">
        <v>55022</v>
      </c>
      <c r="E2634">
        <v>59971240</v>
      </c>
      <c r="F2634">
        <v>45179977</v>
      </c>
      <c r="G2634">
        <v>105151217</v>
      </c>
      <c r="H2634">
        <v>26363</v>
      </c>
      <c r="I2634">
        <v>6481</v>
      </c>
      <c r="J2634">
        <v>32844</v>
      </c>
      <c r="K2634" t="b">
        <f>TrafficData[[#This Row],[disposedChallan]]+TrafficData[[#This Row],[pendingChallan]]=TrafficData[[#This Row],[totalChallan]]</f>
        <v>1</v>
      </c>
      <c r="L2634" t="b">
        <f>TrafficData[[#This Row],[pendingAmount]]+TrafficData[[#This Row],[disposedAmount]]=TrafficData[[#This Row],[totalAmount]]</f>
        <v>1</v>
      </c>
      <c r="M2634" t="b">
        <f>TrafficData[[#This Row],[pendingCourt]]+TrafficData[[#This Row],[disposedCourt]]=TrafficData[[#This Row],[totalCourt]]</f>
        <v>1</v>
      </c>
      <c r="N2634" s="8" t="b">
        <f>AND(TrafficData[[#This Row],[disposedChallan]]&lt;=TrafficData[[#This Row],[totalChallan]],TrafficData[[#This Row],[pendingChallan]]&lt;=TrafficData[[#This Row],[totalChallan]])</f>
        <v>1</v>
      </c>
      <c r="O2634" s="8" t="b">
        <f>AND(TrafficData[[#This Row],[pendingAmount]]&lt;=TrafficData[[#This Row],[totalAmount]],TrafficData[[#This Row],[disposedAmount]]&lt;=TrafficData[[#This Row],[totalAmount]])</f>
        <v>1</v>
      </c>
      <c r="P2634" s="8" t="b">
        <f>AND(TrafficData[[#This Row],[pendingCourt]]&lt;=TrafficData[[#This Row],[totalCourt]],TrafficData[[#This Row],[disposedCourt]]&lt;=TrafficData[[#This Row],[totalCourt]])</f>
        <v>1</v>
      </c>
    </row>
    <row r="2635" spans="1:16">
      <c r="A2635" s="1">
        <v>44639</v>
      </c>
      <c r="B2635">
        <v>105533</v>
      </c>
      <c r="C2635">
        <v>57680</v>
      </c>
      <c r="D2635">
        <v>47853</v>
      </c>
      <c r="E2635">
        <v>46754567</v>
      </c>
      <c r="F2635">
        <v>49298868</v>
      </c>
      <c r="G2635">
        <v>96053435</v>
      </c>
      <c r="H2635">
        <v>15730</v>
      </c>
      <c r="I2635">
        <v>5102</v>
      </c>
      <c r="J2635">
        <v>20832</v>
      </c>
      <c r="K2635" t="b">
        <f>TrafficData[[#This Row],[disposedChallan]]+TrafficData[[#This Row],[pendingChallan]]=TrafficData[[#This Row],[totalChallan]]</f>
        <v>1</v>
      </c>
      <c r="L2635" t="b">
        <f>TrafficData[[#This Row],[pendingAmount]]+TrafficData[[#This Row],[disposedAmount]]=TrafficData[[#This Row],[totalAmount]]</f>
        <v>1</v>
      </c>
      <c r="M2635" t="b">
        <f>TrafficData[[#This Row],[pendingCourt]]+TrafficData[[#This Row],[disposedCourt]]=TrafficData[[#This Row],[totalCourt]]</f>
        <v>1</v>
      </c>
      <c r="N2635" s="8" t="b">
        <f>AND(TrafficData[[#This Row],[disposedChallan]]&lt;=TrafficData[[#This Row],[totalChallan]],TrafficData[[#This Row],[pendingChallan]]&lt;=TrafficData[[#This Row],[totalChallan]])</f>
        <v>1</v>
      </c>
      <c r="O2635" s="8" t="b">
        <f>AND(TrafficData[[#This Row],[pendingAmount]]&lt;=TrafficData[[#This Row],[totalAmount]],TrafficData[[#This Row],[disposedAmount]]&lt;=TrafficData[[#This Row],[totalAmount]])</f>
        <v>1</v>
      </c>
      <c r="P2635" s="8" t="b">
        <f>AND(TrafficData[[#This Row],[pendingCourt]]&lt;=TrafficData[[#This Row],[totalCourt]],TrafficData[[#This Row],[disposedCourt]]&lt;=TrafficData[[#This Row],[totalCourt]])</f>
        <v>1</v>
      </c>
    </row>
    <row r="2636" spans="1:16">
      <c r="A2636" s="1">
        <v>44640</v>
      </c>
      <c r="B2636">
        <v>87064</v>
      </c>
      <c r="C2636">
        <v>41789</v>
      </c>
      <c r="D2636">
        <v>45275</v>
      </c>
      <c r="E2636">
        <v>47770772</v>
      </c>
      <c r="F2636">
        <v>46543467</v>
      </c>
      <c r="G2636">
        <v>94314239</v>
      </c>
      <c r="H2636">
        <v>21370</v>
      </c>
      <c r="I2636">
        <v>6565</v>
      </c>
      <c r="J2636">
        <v>27935</v>
      </c>
      <c r="K2636" t="b">
        <f>TrafficData[[#This Row],[disposedChallan]]+TrafficData[[#This Row],[pendingChallan]]=TrafficData[[#This Row],[totalChallan]]</f>
        <v>1</v>
      </c>
      <c r="L2636" t="b">
        <f>TrafficData[[#This Row],[pendingAmount]]+TrafficData[[#This Row],[disposedAmount]]=TrafficData[[#This Row],[totalAmount]]</f>
        <v>1</v>
      </c>
      <c r="M2636" t="b">
        <f>TrafficData[[#This Row],[pendingCourt]]+TrafficData[[#This Row],[disposedCourt]]=TrafficData[[#This Row],[totalCourt]]</f>
        <v>1</v>
      </c>
      <c r="N2636" s="8" t="b">
        <f>AND(TrafficData[[#This Row],[disposedChallan]]&lt;=TrafficData[[#This Row],[totalChallan]],TrafficData[[#This Row],[pendingChallan]]&lt;=TrafficData[[#This Row],[totalChallan]])</f>
        <v>1</v>
      </c>
      <c r="O2636" s="8" t="b">
        <f>AND(TrafficData[[#This Row],[pendingAmount]]&lt;=TrafficData[[#This Row],[totalAmount]],TrafficData[[#This Row],[disposedAmount]]&lt;=TrafficData[[#This Row],[totalAmount]])</f>
        <v>1</v>
      </c>
      <c r="P2636" s="8" t="b">
        <f>AND(TrafficData[[#This Row],[pendingCourt]]&lt;=TrafficData[[#This Row],[totalCourt]],TrafficData[[#This Row],[disposedCourt]]&lt;=TrafficData[[#This Row],[totalCourt]])</f>
        <v>1</v>
      </c>
    </row>
    <row r="2637" spans="1:16">
      <c r="A2637" s="1">
        <v>44641</v>
      </c>
      <c r="B2637">
        <v>141616</v>
      </c>
      <c r="C2637">
        <v>71337</v>
      </c>
      <c r="D2637">
        <v>70279</v>
      </c>
      <c r="E2637">
        <v>94672039</v>
      </c>
      <c r="F2637">
        <v>89524891</v>
      </c>
      <c r="G2637">
        <v>184196930</v>
      </c>
      <c r="H2637">
        <v>36879</v>
      </c>
      <c r="I2637">
        <v>10497</v>
      </c>
      <c r="J2637">
        <v>47376</v>
      </c>
      <c r="K2637" t="b">
        <f>TrafficData[[#This Row],[disposedChallan]]+TrafficData[[#This Row],[pendingChallan]]=TrafficData[[#This Row],[totalChallan]]</f>
        <v>1</v>
      </c>
      <c r="L2637" t="b">
        <f>TrafficData[[#This Row],[pendingAmount]]+TrafficData[[#This Row],[disposedAmount]]=TrafficData[[#This Row],[totalAmount]]</f>
        <v>1</v>
      </c>
      <c r="M2637" t="b">
        <f>TrafficData[[#This Row],[pendingCourt]]+TrafficData[[#This Row],[disposedCourt]]=TrafficData[[#This Row],[totalCourt]]</f>
        <v>1</v>
      </c>
      <c r="N2637" s="8" t="b">
        <f>AND(TrafficData[[#This Row],[disposedChallan]]&lt;=TrafficData[[#This Row],[totalChallan]],TrafficData[[#This Row],[pendingChallan]]&lt;=TrafficData[[#This Row],[totalChallan]])</f>
        <v>1</v>
      </c>
      <c r="O2637" s="8" t="b">
        <f>AND(TrafficData[[#This Row],[pendingAmount]]&lt;=TrafficData[[#This Row],[totalAmount]],TrafficData[[#This Row],[disposedAmount]]&lt;=TrafficData[[#This Row],[totalAmount]])</f>
        <v>1</v>
      </c>
      <c r="P2637" s="8" t="b">
        <f>AND(TrafficData[[#This Row],[pendingCourt]]&lt;=TrafficData[[#This Row],[totalCourt]],TrafficData[[#This Row],[disposedCourt]]&lt;=TrafficData[[#This Row],[totalCourt]])</f>
        <v>1</v>
      </c>
    </row>
    <row r="2638" spans="1:16">
      <c r="A2638" s="1">
        <v>44642</v>
      </c>
      <c r="B2638">
        <v>144049</v>
      </c>
      <c r="C2638">
        <v>74528</v>
      </c>
      <c r="D2638">
        <v>69521</v>
      </c>
      <c r="E2638">
        <v>94732091</v>
      </c>
      <c r="F2638">
        <v>97489742</v>
      </c>
      <c r="G2638">
        <v>192221833</v>
      </c>
      <c r="H2638">
        <v>34777</v>
      </c>
      <c r="I2638">
        <v>10355</v>
      </c>
      <c r="J2638">
        <v>45132</v>
      </c>
      <c r="K2638" t="b">
        <f>TrafficData[[#This Row],[disposedChallan]]+TrafficData[[#This Row],[pendingChallan]]=TrafficData[[#This Row],[totalChallan]]</f>
        <v>1</v>
      </c>
      <c r="L2638" t="b">
        <f>TrafficData[[#This Row],[pendingAmount]]+TrafficData[[#This Row],[disposedAmount]]=TrafficData[[#This Row],[totalAmount]]</f>
        <v>1</v>
      </c>
      <c r="M2638" t="b">
        <f>TrafficData[[#This Row],[pendingCourt]]+TrafficData[[#This Row],[disposedCourt]]=TrafficData[[#This Row],[totalCourt]]</f>
        <v>1</v>
      </c>
      <c r="N2638" s="8" t="b">
        <f>AND(TrafficData[[#This Row],[disposedChallan]]&lt;=TrafficData[[#This Row],[totalChallan]],TrafficData[[#This Row],[pendingChallan]]&lt;=TrafficData[[#This Row],[totalChallan]])</f>
        <v>1</v>
      </c>
      <c r="O2638" s="8" t="b">
        <f>AND(TrafficData[[#This Row],[pendingAmount]]&lt;=TrafficData[[#This Row],[totalAmount]],TrafficData[[#This Row],[disposedAmount]]&lt;=TrafficData[[#This Row],[totalAmount]])</f>
        <v>1</v>
      </c>
      <c r="P2638" s="8" t="b">
        <f>AND(TrafficData[[#This Row],[pendingCourt]]&lt;=TrafficData[[#This Row],[totalCourt]],TrafficData[[#This Row],[disposedCourt]]&lt;=TrafficData[[#This Row],[totalCourt]])</f>
        <v>1</v>
      </c>
    </row>
    <row r="2639" spans="1:16">
      <c r="A2639" s="1">
        <v>44643</v>
      </c>
      <c r="B2639">
        <v>140444</v>
      </c>
      <c r="C2639">
        <v>73494</v>
      </c>
      <c r="D2639">
        <v>66950</v>
      </c>
      <c r="E2639">
        <v>90926641</v>
      </c>
      <c r="F2639">
        <v>110048595</v>
      </c>
      <c r="G2639">
        <v>200975236</v>
      </c>
      <c r="H2639">
        <v>33283</v>
      </c>
      <c r="I2639">
        <v>9303</v>
      </c>
      <c r="J2639">
        <v>42586</v>
      </c>
      <c r="K2639" t="b">
        <f>TrafficData[[#This Row],[disposedChallan]]+TrafficData[[#This Row],[pendingChallan]]=TrafficData[[#This Row],[totalChallan]]</f>
        <v>1</v>
      </c>
      <c r="L2639" t="b">
        <f>TrafficData[[#This Row],[pendingAmount]]+TrafficData[[#This Row],[disposedAmount]]=TrafficData[[#This Row],[totalAmount]]</f>
        <v>1</v>
      </c>
      <c r="M2639" t="b">
        <f>TrafficData[[#This Row],[pendingCourt]]+TrafficData[[#This Row],[disposedCourt]]=TrafficData[[#This Row],[totalCourt]]</f>
        <v>1</v>
      </c>
      <c r="N2639" s="8" t="b">
        <f>AND(TrafficData[[#This Row],[disposedChallan]]&lt;=TrafficData[[#This Row],[totalChallan]],TrafficData[[#This Row],[pendingChallan]]&lt;=TrafficData[[#This Row],[totalChallan]])</f>
        <v>1</v>
      </c>
      <c r="O2639" s="8" t="b">
        <f>AND(TrafficData[[#This Row],[pendingAmount]]&lt;=TrafficData[[#This Row],[totalAmount]],TrafficData[[#This Row],[disposedAmount]]&lt;=TrafficData[[#This Row],[totalAmount]])</f>
        <v>1</v>
      </c>
      <c r="P2639" s="8" t="b">
        <f>AND(TrafficData[[#This Row],[pendingCourt]]&lt;=TrafficData[[#This Row],[totalCourt]],TrafficData[[#This Row],[disposedCourt]]&lt;=TrafficData[[#This Row],[totalCourt]])</f>
        <v>1</v>
      </c>
    </row>
    <row r="2640" spans="1:16">
      <c r="A2640" s="1">
        <v>44644</v>
      </c>
      <c r="B2640">
        <v>144970</v>
      </c>
      <c r="C2640">
        <v>76262</v>
      </c>
      <c r="D2640">
        <v>68708</v>
      </c>
      <c r="E2640">
        <v>100843175</v>
      </c>
      <c r="F2640">
        <v>106962057</v>
      </c>
      <c r="G2640">
        <v>207805232</v>
      </c>
      <c r="H2640">
        <v>32275</v>
      </c>
      <c r="I2640">
        <v>9608</v>
      </c>
      <c r="J2640">
        <v>41883</v>
      </c>
      <c r="K2640" t="b">
        <f>TrafficData[[#This Row],[disposedChallan]]+TrafficData[[#This Row],[pendingChallan]]=TrafficData[[#This Row],[totalChallan]]</f>
        <v>1</v>
      </c>
      <c r="L2640" t="b">
        <f>TrafficData[[#This Row],[pendingAmount]]+TrafficData[[#This Row],[disposedAmount]]=TrafficData[[#This Row],[totalAmount]]</f>
        <v>1</v>
      </c>
      <c r="M2640" t="b">
        <f>TrafficData[[#This Row],[pendingCourt]]+TrafficData[[#This Row],[disposedCourt]]=TrafficData[[#This Row],[totalCourt]]</f>
        <v>1</v>
      </c>
      <c r="N2640" s="8" t="b">
        <f>AND(TrafficData[[#This Row],[disposedChallan]]&lt;=TrafficData[[#This Row],[totalChallan]],TrafficData[[#This Row],[pendingChallan]]&lt;=TrafficData[[#This Row],[totalChallan]])</f>
        <v>1</v>
      </c>
      <c r="O2640" s="8" t="b">
        <f>AND(TrafficData[[#This Row],[pendingAmount]]&lt;=TrafficData[[#This Row],[totalAmount]],TrafficData[[#This Row],[disposedAmount]]&lt;=TrafficData[[#This Row],[totalAmount]])</f>
        <v>1</v>
      </c>
      <c r="P2640" s="8" t="b">
        <f>AND(TrafficData[[#This Row],[pendingCourt]]&lt;=TrafficData[[#This Row],[totalCourt]],TrafficData[[#This Row],[disposedCourt]]&lt;=TrafficData[[#This Row],[totalCourt]])</f>
        <v>1</v>
      </c>
    </row>
    <row r="2641" spans="1:16">
      <c r="A2641" s="1">
        <v>44645</v>
      </c>
      <c r="B2641">
        <v>138193</v>
      </c>
      <c r="C2641">
        <v>72917</v>
      </c>
      <c r="D2641">
        <v>65276</v>
      </c>
      <c r="E2641">
        <v>96156318</v>
      </c>
      <c r="F2641">
        <v>104946016</v>
      </c>
      <c r="G2641">
        <v>201102334</v>
      </c>
      <c r="H2641">
        <v>32170</v>
      </c>
      <c r="I2641">
        <v>9362</v>
      </c>
      <c r="J2641">
        <v>41532</v>
      </c>
      <c r="K2641" t="b">
        <f>TrafficData[[#This Row],[disposedChallan]]+TrafficData[[#This Row],[pendingChallan]]=TrafficData[[#This Row],[totalChallan]]</f>
        <v>1</v>
      </c>
      <c r="L2641" t="b">
        <f>TrafficData[[#This Row],[pendingAmount]]+TrafficData[[#This Row],[disposedAmount]]=TrafficData[[#This Row],[totalAmount]]</f>
        <v>1</v>
      </c>
      <c r="M2641" t="b">
        <f>TrafficData[[#This Row],[pendingCourt]]+TrafficData[[#This Row],[disposedCourt]]=TrafficData[[#This Row],[totalCourt]]</f>
        <v>1</v>
      </c>
      <c r="N2641" s="8" t="b">
        <f>AND(TrafficData[[#This Row],[disposedChallan]]&lt;=TrafficData[[#This Row],[totalChallan]],TrafficData[[#This Row],[pendingChallan]]&lt;=TrafficData[[#This Row],[totalChallan]])</f>
        <v>1</v>
      </c>
      <c r="O2641" s="8" t="b">
        <f>AND(TrafficData[[#This Row],[pendingAmount]]&lt;=TrafficData[[#This Row],[totalAmount]],TrafficData[[#This Row],[disposedAmount]]&lt;=TrafficData[[#This Row],[totalAmount]])</f>
        <v>1</v>
      </c>
      <c r="P2641" s="8" t="b">
        <f>AND(TrafficData[[#This Row],[pendingCourt]]&lt;=TrafficData[[#This Row],[totalCourt]],TrafficData[[#This Row],[disposedCourt]]&lt;=TrafficData[[#This Row],[totalCourt]])</f>
        <v>1</v>
      </c>
    </row>
    <row r="2642" spans="1:16">
      <c r="A2642" s="1">
        <v>44646</v>
      </c>
      <c r="B2642">
        <v>135307</v>
      </c>
      <c r="C2642">
        <v>73118</v>
      </c>
      <c r="D2642">
        <v>62189</v>
      </c>
      <c r="E2642">
        <v>90658027</v>
      </c>
      <c r="F2642">
        <v>103451215</v>
      </c>
      <c r="G2642">
        <v>194109242</v>
      </c>
      <c r="H2642">
        <v>32299</v>
      </c>
      <c r="I2642">
        <v>9430</v>
      </c>
      <c r="J2642">
        <v>41729</v>
      </c>
      <c r="K2642" t="b">
        <f>TrafficData[[#This Row],[disposedChallan]]+TrafficData[[#This Row],[pendingChallan]]=TrafficData[[#This Row],[totalChallan]]</f>
        <v>1</v>
      </c>
      <c r="L2642" t="b">
        <f>TrafficData[[#This Row],[pendingAmount]]+TrafficData[[#This Row],[disposedAmount]]=TrafficData[[#This Row],[totalAmount]]</f>
        <v>1</v>
      </c>
      <c r="M2642" t="b">
        <f>TrafficData[[#This Row],[pendingCourt]]+TrafficData[[#This Row],[disposedCourt]]=TrafficData[[#This Row],[totalCourt]]</f>
        <v>1</v>
      </c>
      <c r="N2642" s="8" t="b">
        <f>AND(TrafficData[[#This Row],[disposedChallan]]&lt;=TrafficData[[#This Row],[totalChallan]],TrafficData[[#This Row],[pendingChallan]]&lt;=TrafficData[[#This Row],[totalChallan]])</f>
        <v>1</v>
      </c>
      <c r="O2642" s="8" t="b">
        <f>AND(TrafficData[[#This Row],[pendingAmount]]&lt;=TrafficData[[#This Row],[totalAmount]],TrafficData[[#This Row],[disposedAmount]]&lt;=TrafficData[[#This Row],[totalAmount]])</f>
        <v>1</v>
      </c>
      <c r="P2642" s="8" t="b">
        <f>AND(TrafficData[[#This Row],[pendingCourt]]&lt;=TrafficData[[#This Row],[totalCourt]],TrafficData[[#This Row],[disposedCourt]]&lt;=TrafficData[[#This Row],[totalCourt]])</f>
        <v>1</v>
      </c>
    </row>
    <row r="2643" spans="1:16">
      <c r="A2643" s="1">
        <v>44647</v>
      </c>
      <c r="B2643">
        <v>122369</v>
      </c>
      <c r="C2643">
        <v>60822</v>
      </c>
      <c r="D2643">
        <v>61547</v>
      </c>
      <c r="E2643">
        <v>76817949</v>
      </c>
      <c r="F2643">
        <v>83516157</v>
      </c>
      <c r="G2643">
        <v>160334106</v>
      </c>
      <c r="H2643">
        <v>28876</v>
      </c>
      <c r="I2643">
        <v>8283</v>
      </c>
      <c r="J2643">
        <v>37159</v>
      </c>
      <c r="K2643" t="b">
        <f>TrafficData[[#This Row],[disposedChallan]]+TrafficData[[#This Row],[pendingChallan]]=TrafficData[[#This Row],[totalChallan]]</f>
        <v>1</v>
      </c>
      <c r="L2643" t="b">
        <f>TrafficData[[#This Row],[pendingAmount]]+TrafficData[[#This Row],[disposedAmount]]=TrafficData[[#This Row],[totalAmount]]</f>
        <v>1</v>
      </c>
      <c r="M2643" t="b">
        <f>TrafficData[[#This Row],[pendingCourt]]+TrafficData[[#This Row],[disposedCourt]]=TrafficData[[#This Row],[totalCourt]]</f>
        <v>1</v>
      </c>
      <c r="N2643" s="8" t="b">
        <f>AND(TrafficData[[#This Row],[disposedChallan]]&lt;=TrafficData[[#This Row],[totalChallan]],TrafficData[[#This Row],[pendingChallan]]&lt;=TrafficData[[#This Row],[totalChallan]])</f>
        <v>1</v>
      </c>
      <c r="O2643" s="8" t="b">
        <f>AND(TrafficData[[#This Row],[pendingAmount]]&lt;=TrafficData[[#This Row],[totalAmount]],TrafficData[[#This Row],[disposedAmount]]&lt;=TrafficData[[#This Row],[totalAmount]])</f>
        <v>1</v>
      </c>
      <c r="P2643" s="8" t="b">
        <f>AND(TrafficData[[#This Row],[pendingCourt]]&lt;=TrafficData[[#This Row],[totalCourt]],TrafficData[[#This Row],[disposedCourt]]&lt;=TrafficData[[#This Row],[totalCourt]])</f>
        <v>1</v>
      </c>
    </row>
    <row r="2644" spans="1:16">
      <c r="A2644" s="1">
        <v>44648</v>
      </c>
      <c r="B2644">
        <v>116944</v>
      </c>
      <c r="C2644">
        <v>55368</v>
      </c>
      <c r="D2644">
        <v>61576</v>
      </c>
      <c r="E2644">
        <v>91746751</v>
      </c>
      <c r="F2644">
        <v>86259385</v>
      </c>
      <c r="G2644">
        <v>178006136</v>
      </c>
      <c r="H2644">
        <v>30242</v>
      </c>
      <c r="I2644">
        <v>9257</v>
      </c>
      <c r="J2644">
        <v>39499</v>
      </c>
      <c r="K2644" t="b">
        <f>TrafficData[[#This Row],[disposedChallan]]+TrafficData[[#This Row],[pendingChallan]]=TrafficData[[#This Row],[totalChallan]]</f>
        <v>1</v>
      </c>
      <c r="L2644" t="b">
        <f>TrafficData[[#This Row],[pendingAmount]]+TrafficData[[#This Row],[disposedAmount]]=TrafficData[[#This Row],[totalAmount]]</f>
        <v>1</v>
      </c>
      <c r="M2644" t="b">
        <f>TrafficData[[#This Row],[pendingCourt]]+TrafficData[[#This Row],[disposedCourt]]=TrafficData[[#This Row],[totalCourt]]</f>
        <v>1</v>
      </c>
      <c r="N2644" s="8" t="b">
        <f>AND(TrafficData[[#This Row],[disposedChallan]]&lt;=TrafficData[[#This Row],[totalChallan]],TrafficData[[#This Row],[pendingChallan]]&lt;=TrafficData[[#This Row],[totalChallan]])</f>
        <v>1</v>
      </c>
      <c r="O2644" s="8" t="b">
        <f>AND(TrafficData[[#This Row],[pendingAmount]]&lt;=TrafficData[[#This Row],[totalAmount]],TrafficData[[#This Row],[disposedAmount]]&lt;=TrafficData[[#This Row],[totalAmount]])</f>
        <v>1</v>
      </c>
      <c r="P2644" s="8" t="b">
        <f>AND(TrafficData[[#This Row],[pendingCourt]]&lt;=TrafficData[[#This Row],[totalCourt]],TrafficData[[#This Row],[disposedCourt]]&lt;=TrafficData[[#This Row],[totalCourt]])</f>
        <v>1</v>
      </c>
    </row>
    <row r="2645" spans="1:16">
      <c r="A2645" s="1">
        <v>44649</v>
      </c>
      <c r="B2645">
        <v>125651</v>
      </c>
      <c r="C2645">
        <v>60277</v>
      </c>
      <c r="D2645">
        <v>65374</v>
      </c>
      <c r="E2645">
        <v>93060865</v>
      </c>
      <c r="F2645">
        <v>95454129</v>
      </c>
      <c r="G2645">
        <v>188514994</v>
      </c>
      <c r="H2645">
        <v>29709</v>
      </c>
      <c r="I2645">
        <v>9479</v>
      </c>
      <c r="J2645">
        <v>39188</v>
      </c>
      <c r="K2645" t="b">
        <f>TrafficData[[#This Row],[disposedChallan]]+TrafficData[[#This Row],[pendingChallan]]=TrafficData[[#This Row],[totalChallan]]</f>
        <v>1</v>
      </c>
      <c r="L2645" t="b">
        <f>TrafficData[[#This Row],[pendingAmount]]+TrafficData[[#This Row],[disposedAmount]]=TrafficData[[#This Row],[totalAmount]]</f>
        <v>1</v>
      </c>
      <c r="M2645" t="b">
        <f>TrafficData[[#This Row],[pendingCourt]]+TrafficData[[#This Row],[disposedCourt]]=TrafficData[[#This Row],[totalCourt]]</f>
        <v>1</v>
      </c>
      <c r="N2645" s="8" t="b">
        <f>AND(TrafficData[[#This Row],[disposedChallan]]&lt;=TrafficData[[#This Row],[totalChallan]],TrafficData[[#This Row],[pendingChallan]]&lt;=TrafficData[[#This Row],[totalChallan]])</f>
        <v>1</v>
      </c>
      <c r="O2645" s="8" t="b">
        <f>AND(TrafficData[[#This Row],[pendingAmount]]&lt;=TrafficData[[#This Row],[totalAmount]],TrafficData[[#This Row],[disposedAmount]]&lt;=TrafficData[[#This Row],[totalAmount]])</f>
        <v>1</v>
      </c>
      <c r="P2645" s="8" t="b">
        <f>AND(TrafficData[[#This Row],[pendingCourt]]&lt;=TrafficData[[#This Row],[totalCourt]],TrafficData[[#This Row],[disposedCourt]]&lt;=TrafficData[[#This Row],[totalCourt]])</f>
        <v>1</v>
      </c>
    </row>
    <row r="2646" spans="1:16">
      <c r="A2646" s="1">
        <v>44650</v>
      </c>
      <c r="B2646">
        <v>131904</v>
      </c>
      <c r="C2646">
        <v>68831</v>
      </c>
      <c r="D2646">
        <v>63073</v>
      </c>
      <c r="E2646">
        <v>97435568</v>
      </c>
      <c r="F2646">
        <v>93890056</v>
      </c>
      <c r="G2646">
        <v>191325624</v>
      </c>
      <c r="H2646">
        <v>30262</v>
      </c>
      <c r="I2646">
        <v>9356</v>
      </c>
      <c r="J2646">
        <v>39618</v>
      </c>
      <c r="K2646" t="b">
        <f>TrafficData[[#This Row],[disposedChallan]]+TrafficData[[#This Row],[pendingChallan]]=TrafficData[[#This Row],[totalChallan]]</f>
        <v>1</v>
      </c>
      <c r="L2646" t="b">
        <f>TrafficData[[#This Row],[pendingAmount]]+TrafficData[[#This Row],[disposedAmount]]=TrafficData[[#This Row],[totalAmount]]</f>
        <v>1</v>
      </c>
      <c r="M2646" t="b">
        <f>TrafficData[[#This Row],[pendingCourt]]+TrafficData[[#This Row],[disposedCourt]]=TrafficData[[#This Row],[totalCourt]]</f>
        <v>1</v>
      </c>
      <c r="N2646" s="8" t="b">
        <f>AND(TrafficData[[#This Row],[disposedChallan]]&lt;=TrafficData[[#This Row],[totalChallan]],TrafficData[[#This Row],[pendingChallan]]&lt;=TrafficData[[#This Row],[totalChallan]])</f>
        <v>1</v>
      </c>
      <c r="O2646" s="8" t="b">
        <f>AND(TrafficData[[#This Row],[pendingAmount]]&lt;=TrafficData[[#This Row],[totalAmount]],TrafficData[[#This Row],[disposedAmount]]&lt;=TrafficData[[#This Row],[totalAmount]])</f>
        <v>1</v>
      </c>
      <c r="P2646" s="8" t="b">
        <f>AND(TrafficData[[#This Row],[pendingCourt]]&lt;=TrafficData[[#This Row],[totalCourt]],TrafficData[[#This Row],[disposedCourt]]&lt;=TrafficData[[#This Row],[totalCourt]])</f>
        <v>1</v>
      </c>
    </row>
    <row r="2647" spans="1:16">
      <c r="A2647" s="1">
        <v>44651</v>
      </c>
      <c r="B2647">
        <v>130130</v>
      </c>
      <c r="C2647">
        <v>67595</v>
      </c>
      <c r="D2647">
        <v>62535</v>
      </c>
      <c r="E2647">
        <v>96146311</v>
      </c>
      <c r="F2647">
        <v>90246407</v>
      </c>
      <c r="G2647">
        <v>186392718</v>
      </c>
      <c r="H2647">
        <v>32156</v>
      </c>
      <c r="I2647">
        <v>9970</v>
      </c>
      <c r="J2647">
        <v>42126</v>
      </c>
      <c r="K2647" t="b">
        <f>TrafficData[[#This Row],[disposedChallan]]+TrafficData[[#This Row],[pendingChallan]]=TrafficData[[#This Row],[totalChallan]]</f>
        <v>1</v>
      </c>
      <c r="L2647" t="b">
        <f>TrafficData[[#This Row],[pendingAmount]]+TrafficData[[#This Row],[disposedAmount]]=TrafficData[[#This Row],[totalAmount]]</f>
        <v>1</v>
      </c>
      <c r="M2647" t="b">
        <f>TrafficData[[#This Row],[pendingCourt]]+TrafficData[[#This Row],[disposedCourt]]=TrafficData[[#This Row],[totalCourt]]</f>
        <v>1</v>
      </c>
      <c r="N2647" s="8" t="b">
        <f>AND(TrafficData[[#This Row],[disposedChallan]]&lt;=TrafficData[[#This Row],[totalChallan]],TrafficData[[#This Row],[pendingChallan]]&lt;=TrafficData[[#This Row],[totalChallan]])</f>
        <v>1</v>
      </c>
      <c r="O2647" s="8" t="b">
        <f>AND(TrafficData[[#This Row],[pendingAmount]]&lt;=TrafficData[[#This Row],[totalAmount]],TrafficData[[#This Row],[disposedAmount]]&lt;=TrafficData[[#This Row],[totalAmount]])</f>
        <v>1</v>
      </c>
      <c r="P2647" s="8" t="b">
        <f>AND(TrafficData[[#This Row],[pendingCourt]]&lt;=TrafficData[[#This Row],[totalCourt]],TrafficData[[#This Row],[disposedCourt]]&lt;=TrafficData[[#This Row],[totalCourt]])</f>
        <v>1</v>
      </c>
    </row>
    <row r="2648" spans="1:16">
      <c r="A2648" s="1">
        <v>44652</v>
      </c>
      <c r="B2648">
        <v>132413</v>
      </c>
      <c r="C2648">
        <v>68714</v>
      </c>
      <c r="D2648">
        <v>63699</v>
      </c>
      <c r="E2648">
        <v>80580660</v>
      </c>
      <c r="F2648">
        <v>101038280</v>
      </c>
      <c r="G2648">
        <v>181618940</v>
      </c>
      <c r="H2648">
        <v>33728</v>
      </c>
      <c r="I2648">
        <v>10183</v>
      </c>
      <c r="J2648">
        <v>43911</v>
      </c>
      <c r="K2648" t="b">
        <f>TrafficData[[#This Row],[disposedChallan]]+TrafficData[[#This Row],[pendingChallan]]=TrafficData[[#This Row],[totalChallan]]</f>
        <v>1</v>
      </c>
      <c r="L2648" t="b">
        <f>TrafficData[[#This Row],[pendingAmount]]+TrafficData[[#This Row],[disposedAmount]]=TrafficData[[#This Row],[totalAmount]]</f>
        <v>1</v>
      </c>
      <c r="M2648" t="b">
        <f>TrafficData[[#This Row],[pendingCourt]]+TrafficData[[#This Row],[disposedCourt]]=TrafficData[[#This Row],[totalCourt]]</f>
        <v>1</v>
      </c>
      <c r="N2648" s="8" t="b">
        <f>AND(TrafficData[[#This Row],[disposedChallan]]&lt;=TrafficData[[#This Row],[totalChallan]],TrafficData[[#This Row],[pendingChallan]]&lt;=TrafficData[[#This Row],[totalChallan]])</f>
        <v>1</v>
      </c>
      <c r="O2648" s="8" t="b">
        <f>AND(TrafficData[[#This Row],[pendingAmount]]&lt;=TrafficData[[#This Row],[totalAmount]],TrafficData[[#This Row],[disposedAmount]]&lt;=TrafficData[[#This Row],[totalAmount]])</f>
        <v>1</v>
      </c>
      <c r="P2648" s="8" t="b">
        <f>AND(TrafficData[[#This Row],[pendingCourt]]&lt;=TrafficData[[#This Row],[totalCourt]],TrafficData[[#This Row],[disposedCourt]]&lt;=TrafficData[[#This Row],[totalCourt]])</f>
        <v>1</v>
      </c>
    </row>
    <row r="2649" spans="1:16">
      <c r="A2649" s="1">
        <v>44653</v>
      </c>
      <c r="B2649">
        <v>130721</v>
      </c>
      <c r="C2649">
        <v>68334</v>
      </c>
      <c r="D2649">
        <v>62387</v>
      </c>
      <c r="E2649">
        <v>81985305</v>
      </c>
      <c r="F2649">
        <v>93562191</v>
      </c>
      <c r="G2649">
        <v>175547496</v>
      </c>
      <c r="H2649">
        <v>31718</v>
      </c>
      <c r="I2649">
        <v>9808</v>
      </c>
      <c r="J2649">
        <v>41526</v>
      </c>
      <c r="K2649" t="b">
        <f>TrafficData[[#This Row],[disposedChallan]]+TrafficData[[#This Row],[pendingChallan]]=TrafficData[[#This Row],[totalChallan]]</f>
        <v>1</v>
      </c>
      <c r="L2649" t="b">
        <f>TrafficData[[#This Row],[pendingAmount]]+TrafficData[[#This Row],[disposedAmount]]=TrafficData[[#This Row],[totalAmount]]</f>
        <v>1</v>
      </c>
      <c r="M2649" t="b">
        <f>TrafficData[[#This Row],[pendingCourt]]+TrafficData[[#This Row],[disposedCourt]]=TrafficData[[#This Row],[totalCourt]]</f>
        <v>1</v>
      </c>
      <c r="N2649" s="8" t="b">
        <f>AND(TrafficData[[#This Row],[disposedChallan]]&lt;=TrafficData[[#This Row],[totalChallan]],TrafficData[[#This Row],[pendingChallan]]&lt;=TrafficData[[#This Row],[totalChallan]])</f>
        <v>1</v>
      </c>
      <c r="O2649" s="8" t="b">
        <f>AND(TrafficData[[#This Row],[pendingAmount]]&lt;=TrafficData[[#This Row],[totalAmount]],TrafficData[[#This Row],[disposedAmount]]&lt;=TrafficData[[#This Row],[totalAmount]])</f>
        <v>1</v>
      </c>
      <c r="P2649" s="8" t="b">
        <f>AND(TrafficData[[#This Row],[pendingCourt]]&lt;=TrafficData[[#This Row],[totalCourt]],TrafficData[[#This Row],[disposedCourt]]&lt;=TrafficData[[#This Row],[totalCourt]])</f>
        <v>1</v>
      </c>
    </row>
    <row r="2650" spans="1:16">
      <c r="A2650" s="1">
        <v>44654</v>
      </c>
      <c r="B2650">
        <v>109656</v>
      </c>
      <c r="C2650">
        <v>56101</v>
      </c>
      <c r="D2650">
        <v>53555</v>
      </c>
      <c r="E2650">
        <v>62091990</v>
      </c>
      <c r="F2650">
        <v>76006610</v>
      </c>
      <c r="G2650">
        <v>138098600</v>
      </c>
      <c r="H2650">
        <v>25129</v>
      </c>
      <c r="I2650">
        <v>7849</v>
      </c>
      <c r="J2650">
        <v>32978</v>
      </c>
      <c r="K2650" t="b">
        <f>TrafficData[[#This Row],[disposedChallan]]+TrafficData[[#This Row],[pendingChallan]]=TrafficData[[#This Row],[totalChallan]]</f>
        <v>1</v>
      </c>
      <c r="L2650" t="b">
        <f>TrafficData[[#This Row],[pendingAmount]]+TrafficData[[#This Row],[disposedAmount]]=TrafficData[[#This Row],[totalAmount]]</f>
        <v>1</v>
      </c>
      <c r="M2650" t="b">
        <f>TrafficData[[#This Row],[pendingCourt]]+TrafficData[[#This Row],[disposedCourt]]=TrafficData[[#This Row],[totalCourt]]</f>
        <v>1</v>
      </c>
      <c r="N2650" s="8" t="b">
        <f>AND(TrafficData[[#This Row],[disposedChallan]]&lt;=TrafficData[[#This Row],[totalChallan]],TrafficData[[#This Row],[pendingChallan]]&lt;=TrafficData[[#This Row],[totalChallan]])</f>
        <v>1</v>
      </c>
      <c r="O2650" s="8" t="b">
        <f>AND(TrafficData[[#This Row],[pendingAmount]]&lt;=TrafficData[[#This Row],[totalAmount]],TrafficData[[#This Row],[disposedAmount]]&lt;=TrafficData[[#This Row],[totalAmount]])</f>
        <v>1</v>
      </c>
      <c r="P2650" s="8" t="b">
        <f>AND(TrafficData[[#This Row],[pendingCourt]]&lt;=TrafficData[[#This Row],[totalCourt]],TrafficData[[#This Row],[disposedCourt]]&lt;=TrafficData[[#This Row],[totalCourt]])</f>
        <v>1</v>
      </c>
    </row>
    <row r="2651" spans="1:16">
      <c r="A2651" s="1">
        <v>44655</v>
      </c>
      <c r="B2651">
        <v>124388</v>
      </c>
      <c r="C2651">
        <v>65552</v>
      </c>
      <c r="D2651">
        <v>58836</v>
      </c>
      <c r="E2651">
        <v>84219983</v>
      </c>
      <c r="F2651">
        <v>94459764</v>
      </c>
      <c r="G2651">
        <v>178679747</v>
      </c>
      <c r="H2651">
        <v>30100</v>
      </c>
      <c r="I2651">
        <v>9744</v>
      </c>
      <c r="J2651">
        <v>39844</v>
      </c>
      <c r="K2651" t="b">
        <f>TrafficData[[#This Row],[disposedChallan]]+TrafficData[[#This Row],[pendingChallan]]=TrafficData[[#This Row],[totalChallan]]</f>
        <v>1</v>
      </c>
      <c r="L2651" t="b">
        <f>TrafficData[[#This Row],[pendingAmount]]+TrafficData[[#This Row],[disposedAmount]]=TrafficData[[#This Row],[totalAmount]]</f>
        <v>1</v>
      </c>
      <c r="M2651" t="b">
        <f>TrafficData[[#This Row],[pendingCourt]]+TrafficData[[#This Row],[disposedCourt]]=TrafficData[[#This Row],[totalCourt]]</f>
        <v>1</v>
      </c>
      <c r="N2651" s="8" t="b">
        <f>AND(TrafficData[[#This Row],[disposedChallan]]&lt;=TrafficData[[#This Row],[totalChallan]],TrafficData[[#This Row],[pendingChallan]]&lt;=TrafficData[[#This Row],[totalChallan]])</f>
        <v>1</v>
      </c>
      <c r="O2651" s="8" t="b">
        <f>AND(TrafficData[[#This Row],[pendingAmount]]&lt;=TrafficData[[#This Row],[totalAmount]],TrafficData[[#This Row],[disposedAmount]]&lt;=TrafficData[[#This Row],[totalAmount]])</f>
        <v>1</v>
      </c>
      <c r="P2651" s="8" t="b">
        <f>AND(TrafficData[[#This Row],[pendingCourt]]&lt;=TrafficData[[#This Row],[totalCourt]],TrafficData[[#This Row],[disposedCourt]]&lt;=TrafficData[[#This Row],[totalCourt]])</f>
        <v>1</v>
      </c>
    </row>
    <row r="2652" spans="1:16">
      <c r="A2652" s="1">
        <v>44656</v>
      </c>
      <c r="B2652">
        <v>133536</v>
      </c>
      <c r="C2652">
        <v>69534</v>
      </c>
      <c r="D2652">
        <v>64002</v>
      </c>
      <c r="E2652">
        <v>100851284</v>
      </c>
      <c r="F2652">
        <v>107994421</v>
      </c>
      <c r="G2652">
        <v>208845705</v>
      </c>
      <c r="H2652">
        <v>35610</v>
      </c>
      <c r="I2652">
        <v>10575</v>
      </c>
      <c r="J2652">
        <v>46185</v>
      </c>
      <c r="K2652" t="b">
        <f>TrafficData[[#This Row],[disposedChallan]]+TrafficData[[#This Row],[pendingChallan]]=TrafficData[[#This Row],[totalChallan]]</f>
        <v>1</v>
      </c>
      <c r="L2652" t="b">
        <f>TrafficData[[#This Row],[pendingAmount]]+TrafficData[[#This Row],[disposedAmount]]=TrafficData[[#This Row],[totalAmount]]</f>
        <v>1</v>
      </c>
      <c r="M2652" t="b">
        <f>TrafficData[[#This Row],[pendingCourt]]+TrafficData[[#This Row],[disposedCourt]]=TrafficData[[#This Row],[totalCourt]]</f>
        <v>1</v>
      </c>
      <c r="N2652" s="8" t="b">
        <f>AND(TrafficData[[#This Row],[disposedChallan]]&lt;=TrafficData[[#This Row],[totalChallan]],TrafficData[[#This Row],[pendingChallan]]&lt;=TrafficData[[#This Row],[totalChallan]])</f>
        <v>1</v>
      </c>
      <c r="O2652" s="8" t="b">
        <f>AND(TrafficData[[#This Row],[pendingAmount]]&lt;=TrafficData[[#This Row],[totalAmount]],TrafficData[[#This Row],[disposedAmount]]&lt;=TrafficData[[#This Row],[totalAmount]])</f>
        <v>1</v>
      </c>
      <c r="P2652" s="8" t="b">
        <f>AND(TrafficData[[#This Row],[pendingCourt]]&lt;=TrafficData[[#This Row],[totalCourt]],TrafficData[[#This Row],[disposedCourt]]&lt;=TrafficData[[#This Row],[totalCourt]])</f>
        <v>1</v>
      </c>
    </row>
    <row r="2653" spans="1:16">
      <c r="A2653" s="1">
        <v>44657</v>
      </c>
      <c r="B2653">
        <v>132793</v>
      </c>
      <c r="C2653">
        <v>68234</v>
      </c>
      <c r="D2653">
        <v>64559</v>
      </c>
      <c r="E2653">
        <v>97443742</v>
      </c>
      <c r="F2653">
        <v>109021099</v>
      </c>
      <c r="G2653">
        <v>206464841</v>
      </c>
      <c r="H2653">
        <v>35811</v>
      </c>
      <c r="I2653">
        <v>10605</v>
      </c>
      <c r="J2653">
        <v>46416</v>
      </c>
      <c r="K2653" t="b">
        <f>TrafficData[[#This Row],[disposedChallan]]+TrafficData[[#This Row],[pendingChallan]]=TrafficData[[#This Row],[totalChallan]]</f>
        <v>1</v>
      </c>
      <c r="L2653" t="b">
        <f>TrafficData[[#This Row],[pendingAmount]]+TrafficData[[#This Row],[disposedAmount]]=TrafficData[[#This Row],[totalAmount]]</f>
        <v>1</v>
      </c>
      <c r="M2653" t="b">
        <f>TrafficData[[#This Row],[pendingCourt]]+TrafficData[[#This Row],[disposedCourt]]=TrafficData[[#This Row],[totalCourt]]</f>
        <v>1</v>
      </c>
      <c r="N2653" s="8" t="b">
        <f>AND(TrafficData[[#This Row],[disposedChallan]]&lt;=TrafficData[[#This Row],[totalChallan]],TrafficData[[#This Row],[pendingChallan]]&lt;=TrafficData[[#This Row],[totalChallan]])</f>
        <v>1</v>
      </c>
      <c r="O2653" s="8" t="b">
        <f>AND(TrafficData[[#This Row],[pendingAmount]]&lt;=TrafficData[[#This Row],[totalAmount]],TrafficData[[#This Row],[disposedAmount]]&lt;=TrafficData[[#This Row],[totalAmount]])</f>
        <v>1</v>
      </c>
      <c r="P2653" s="8" t="b">
        <f>AND(TrafficData[[#This Row],[pendingCourt]]&lt;=TrafficData[[#This Row],[totalCourt]],TrafficData[[#This Row],[disposedCourt]]&lt;=TrafficData[[#This Row],[totalCourt]])</f>
        <v>1</v>
      </c>
    </row>
    <row r="2654" spans="1:16">
      <c r="A2654" s="1">
        <v>44658</v>
      </c>
      <c r="B2654">
        <v>132361</v>
      </c>
      <c r="C2654">
        <v>68821</v>
      </c>
      <c r="D2654">
        <v>63540</v>
      </c>
      <c r="E2654">
        <v>98140097</v>
      </c>
      <c r="F2654">
        <v>110283737</v>
      </c>
      <c r="G2654">
        <v>208423834</v>
      </c>
      <c r="H2654">
        <v>33719</v>
      </c>
      <c r="I2654">
        <v>10202</v>
      </c>
      <c r="J2654">
        <v>43921</v>
      </c>
      <c r="K2654" t="b">
        <f>TrafficData[[#This Row],[disposedChallan]]+TrafficData[[#This Row],[pendingChallan]]=TrafficData[[#This Row],[totalChallan]]</f>
        <v>1</v>
      </c>
      <c r="L2654" t="b">
        <f>TrafficData[[#This Row],[pendingAmount]]+TrafficData[[#This Row],[disposedAmount]]=TrafficData[[#This Row],[totalAmount]]</f>
        <v>1</v>
      </c>
      <c r="M2654" t="b">
        <f>TrafficData[[#This Row],[pendingCourt]]+TrafficData[[#This Row],[disposedCourt]]=TrafficData[[#This Row],[totalCourt]]</f>
        <v>1</v>
      </c>
      <c r="N2654" s="8" t="b">
        <f>AND(TrafficData[[#This Row],[disposedChallan]]&lt;=TrafficData[[#This Row],[totalChallan]],TrafficData[[#This Row],[pendingChallan]]&lt;=TrafficData[[#This Row],[totalChallan]])</f>
        <v>1</v>
      </c>
      <c r="O2654" s="8" t="b">
        <f>AND(TrafficData[[#This Row],[pendingAmount]]&lt;=TrafficData[[#This Row],[totalAmount]],TrafficData[[#This Row],[disposedAmount]]&lt;=TrafficData[[#This Row],[totalAmount]])</f>
        <v>1</v>
      </c>
      <c r="P2654" s="8" t="b">
        <f>AND(TrafficData[[#This Row],[pendingCourt]]&lt;=TrafficData[[#This Row],[totalCourt]],TrafficData[[#This Row],[disposedCourt]]&lt;=TrafficData[[#This Row],[totalCourt]])</f>
        <v>1</v>
      </c>
    </row>
    <row r="2655" spans="1:16">
      <c r="A2655" s="1">
        <v>44659</v>
      </c>
      <c r="B2655">
        <v>128740</v>
      </c>
      <c r="C2655">
        <v>64728</v>
      </c>
      <c r="D2655">
        <v>64012</v>
      </c>
      <c r="E2655">
        <v>88586634</v>
      </c>
      <c r="F2655">
        <v>96663597</v>
      </c>
      <c r="G2655">
        <v>185250231</v>
      </c>
      <c r="H2655">
        <v>34490</v>
      </c>
      <c r="I2655">
        <v>10364</v>
      </c>
      <c r="J2655">
        <v>44854</v>
      </c>
      <c r="K2655" t="b">
        <f>TrafficData[[#This Row],[disposedChallan]]+TrafficData[[#This Row],[pendingChallan]]=TrafficData[[#This Row],[totalChallan]]</f>
        <v>1</v>
      </c>
      <c r="L2655" t="b">
        <f>TrafficData[[#This Row],[pendingAmount]]+TrafficData[[#This Row],[disposedAmount]]=TrafficData[[#This Row],[totalAmount]]</f>
        <v>1</v>
      </c>
      <c r="M2655" t="b">
        <f>TrafficData[[#This Row],[pendingCourt]]+TrafficData[[#This Row],[disposedCourt]]=TrafficData[[#This Row],[totalCourt]]</f>
        <v>1</v>
      </c>
      <c r="N2655" s="8" t="b">
        <f>AND(TrafficData[[#This Row],[disposedChallan]]&lt;=TrafficData[[#This Row],[totalChallan]],TrafficData[[#This Row],[pendingChallan]]&lt;=TrafficData[[#This Row],[totalChallan]])</f>
        <v>1</v>
      </c>
      <c r="O2655" s="8" t="b">
        <f>AND(TrafficData[[#This Row],[pendingAmount]]&lt;=TrafficData[[#This Row],[totalAmount]],TrafficData[[#This Row],[disposedAmount]]&lt;=TrafficData[[#This Row],[totalAmount]])</f>
        <v>1</v>
      </c>
      <c r="P2655" s="8" t="b">
        <f>AND(TrafficData[[#This Row],[pendingCourt]]&lt;=TrafficData[[#This Row],[totalCourt]],TrafficData[[#This Row],[disposedCourt]]&lt;=TrafficData[[#This Row],[totalCourt]])</f>
        <v>1</v>
      </c>
    </row>
    <row r="2656" spans="1:16">
      <c r="A2656" s="1">
        <v>44660</v>
      </c>
      <c r="B2656">
        <v>126845</v>
      </c>
      <c r="C2656">
        <v>65715</v>
      </c>
      <c r="D2656">
        <v>61130</v>
      </c>
      <c r="E2656">
        <v>79475900</v>
      </c>
      <c r="F2656">
        <v>83660928</v>
      </c>
      <c r="G2656">
        <v>163136828</v>
      </c>
      <c r="H2656">
        <v>31998</v>
      </c>
      <c r="I2656">
        <v>10196</v>
      </c>
      <c r="J2656">
        <v>42194</v>
      </c>
      <c r="K2656" t="b">
        <f>TrafficData[[#This Row],[disposedChallan]]+TrafficData[[#This Row],[pendingChallan]]=TrafficData[[#This Row],[totalChallan]]</f>
        <v>1</v>
      </c>
      <c r="L2656" t="b">
        <f>TrafficData[[#This Row],[pendingAmount]]+TrafficData[[#This Row],[disposedAmount]]=TrafficData[[#This Row],[totalAmount]]</f>
        <v>1</v>
      </c>
      <c r="M2656" t="b">
        <f>TrafficData[[#This Row],[pendingCourt]]+TrafficData[[#This Row],[disposedCourt]]=TrafficData[[#This Row],[totalCourt]]</f>
        <v>1</v>
      </c>
      <c r="N2656" s="8" t="b">
        <f>AND(TrafficData[[#This Row],[disposedChallan]]&lt;=TrafficData[[#This Row],[totalChallan]],TrafficData[[#This Row],[pendingChallan]]&lt;=TrafficData[[#This Row],[totalChallan]])</f>
        <v>1</v>
      </c>
      <c r="O2656" s="8" t="b">
        <f>AND(TrafficData[[#This Row],[pendingAmount]]&lt;=TrafficData[[#This Row],[totalAmount]],TrafficData[[#This Row],[disposedAmount]]&lt;=TrafficData[[#This Row],[totalAmount]])</f>
        <v>1</v>
      </c>
      <c r="P2656" s="8" t="b">
        <f>AND(TrafficData[[#This Row],[pendingCourt]]&lt;=TrafficData[[#This Row],[totalCourt]],TrafficData[[#This Row],[disposedCourt]]&lt;=TrafficData[[#This Row],[totalCourt]])</f>
        <v>1</v>
      </c>
    </row>
    <row r="2657" spans="1:16">
      <c r="A2657" s="1">
        <v>44661</v>
      </c>
      <c r="B2657">
        <v>104931</v>
      </c>
      <c r="C2657">
        <v>52925</v>
      </c>
      <c r="D2657">
        <v>52006</v>
      </c>
      <c r="E2657">
        <v>62688790</v>
      </c>
      <c r="F2657">
        <v>64800714</v>
      </c>
      <c r="G2657">
        <v>127489504</v>
      </c>
      <c r="H2657">
        <v>25187</v>
      </c>
      <c r="I2657">
        <v>8169</v>
      </c>
      <c r="J2657">
        <v>33356</v>
      </c>
      <c r="K2657" t="b">
        <f>TrafficData[[#This Row],[disposedChallan]]+TrafficData[[#This Row],[pendingChallan]]=TrafficData[[#This Row],[totalChallan]]</f>
        <v>1</v>
      </c>
      <c r="L2657" t="b">
        <f>TrafficData[[#This Row],[pendingAmount]]+TrafficData[[#This Row],[disposedAmount]]=TrafficData[[#This Row],[totalAmount]]</f>
        <v>1</v>
      </c>
      <c r="M2657" t="b">
        <f>TrafficData[[#This Row],[pendingCourt]]+TrafficData[[#This Row],[disposedCourt]]=TrafficData[[#This Row],[totalCourt]]</f>
        <v>1</v>
      </c>
      <c r="N2657" s="8" t="b">
        <f>AND(TrafficData[[#This Row],[disposedChallan]]&lt;=TrafficData[[#This Row],[totalChallan]],TrafficData[[#This Row],[pendingChallan]]&lt;=TrafficData[[#This Row],[totalChallan]])</f>
        <v>1</v>
      </c>
      <c r="O2657" s="8" t="b">
        <f>AND(TrafficData[[#This Row],[pendingAmount]]&lt;=TrafficData[[#This Row],[totalAmount]],TrafficData[[#This Row],[disposedAmount]]&lt;=TrafficData[[#This Row],[totalAmount]])</f>
        <v>1</v>
      </c>
      <c r="P2657" s="8" t="b">
        <f>AND(TrafficData[[#This Row],[pendingCourt]]&lt;=TrafficData[[#This Row],[totalCourt]],TrafficData[[#This Row],[disposedCourt]]&lt;=TrafficData[[#This Row],[totalCourt]])</f>
        <v>1</v>
      </c>
    </row>
    <row r="2658" spans="1:16">
      <c r="A2658" s="1">
        <v>44662</v>
      </c>
      <c r="B2658">
        <v>134624</v>
      </c>
      <c r="C2658">
        <v>65922</v>
      </c>
      <c r="D2658">
        <v>68702</v>
      </c>
      <c r="E2658">
        <v>91606108</v>
      </c>
      <c r="F2658">
        <v>88775301</v>
      </c>
      <c r="G2658">
        <v>180381409</v>
      </c>
      <c r="H2658">
        <v>37604</v>
      </c>
      <c r="I2658">
        <v>11185</v>
      </c>
      <c r="J2658">
        <v>48789</v>
      </c>
      <c r="K2658" t="b">
        <f>TrafficData[[#This Row],[disposedChallan]]+TrafficData[[#This Row],[pendingChallan]]=TrafficData[[#This Row],[totalChallan]]</f>
        <v>1</v>
      </c>
      <c r="L2658" t="b">
        <f>TrafficData[[#This Row],[pendingAmount]]+TrafficData[[#This Row],[disposedAmount]]=TrafficData[[#This Row],[totalAmount]]</f>
        <v>1</v>
      </c>
      <c r="M2658" t="b">
        <f>TrafficData[[#This Row],[pendingCourt]]+TrafficData[[#This Row],[disposedCourt]]=TrafficData[[#This Row],[totalCourt]]</f>
        <v>1</v>
      </c>
      <c r="N2658" s="8" t="b">
        <f>AND(TrafficData[[#This Row],[disposedChallan]]&lt;=TrafficData[[#This Row],[totalChallan]],TrafficData[[#This Row],[pendingChallan]]&lt;=TrafficData[[#This Row],[totalChallan]])</f>
        <v>1</v>
      </c>
      <c r="O2658" s="8" t="b">
        <f>AND(TrafficData[[#This Row],[pendingAmount]]&lt;=TrafficData[[#This Row],[totalAmount]],TrafficData[[#This Row],[disposedAmount]]&lt;=TrafficData[[#This Row],[totalAmount]])</f>
        <v>1</v>
      </c>
      <c r="P2658" s="8" t="b">
        <f>AND(TrafficData[[#This Row],[pendingCourt]]&lt;=TrafficData[[#This Row],[totalCourt]],TrafficData[[#This Row],[disposedCourt]]&lt;=TrafficData[[#This Row],[totalCourt]])</f>
        <v>1</v>
      </c>
    </row>
    <row r="2659" spans="1:16">
      <c r="A2659" s="1">
        <v>44663</v>
      </c>
      <c r="B2659">
        <v>132531</v>
      </c>
      <c r="C2659">
        <v>66955</v>
      </c>
      <c r="D2659">
        <v>65576</v>
      </c>
      <c r="E2659">
        <v>94686866</v>
      </c>
      <c r="F2659">
        <v>102255695</v>
      </c>
      <c r="G2659">
        <v>196942561</v>
      </c>
      <c r="H2659">
        <v>34778</v>
      </c>
      <c r="I2659">
        <v>10647</v>
      </c>
      <c r="J2659">
        <v>45425</v>
      </c>
      <c r="K2659" t="b">
        <f>TrafficData[[#This Row],[disposedChallan]]+TrafficData[[#This Row],[pendingChallan]]=TrafficData[[#This Row],[totalChallan]]</f>
        <v>1</v>
      </c>
      <c r="L2659" t="b">
        <f>TrafficData[[#This Row],[pendingAmount]]+TrafficData[[#This Row],[disposedAmount]]=TrafficData[[#This Row],[totalAmount]]</f>
        <v>1</v>
      </c>
      <c r="M2659" t="b">
        <f>TrafficData[[#This Row],[pendingCourt]]+TrafficData[[#This Row],[disposedCourt]]=TrafficData[[#This Row],[totalCourt]]</f>
        <v>1</v>
      </c>
      <c r="N2659" s="8" t="b">
        <f>AND(TrafficData[[#This Row],[disposedChallan]]&lt;=TrafficData[[#This Row],[totalChallan]],TrafficData[[#This Row],[pendingChallan]]&lt;=TrafficData[[#This Row],[totalChallan]])</f>
        <v>1</v>
      </c>
      <c r="O2659" s="8" t="b">
        <f>AND(TrafficData[[#This Row],[pendingAmount]]&lt;=TrafficData[[#This Row],[totalAmount]],TrafficData[[#This Row],[disposedAmount]]&lt;=TrafficData[[#This Row],[totalAmount]])</f>
        <v>1</v>
      </c>
      <c r="P2659" s="8" t="b">
        <f>AND(TrafficData[[#This Row],[pendingCourt]]&lt;=TrafficData[[#This Row],[totalCourt]],TrafficData[[#This Row],[disposedCourt]]&lt;=TrafficData[[#This Row],[totalCourt]])</f>
        <v>1</v>
      </c>
    </row>
    <row r="2660" spans="1:16">
      <c r="A2660" s="1">
        <v>44664</v>
      </c>
      <c r="B2660">
        <v>131961</v>
      </c>
      <c r="C2660">
        <v>65366</v>
      </c>
      <c r="D2660">
        <v>66595</v>
      </c>
      <c r="E2660">
        <v>89895636</v>
      </c>
      <c r="F2660">
        <v>96842110</v>
      </c>
      <c r="G2660">
        <v>186737746</v>
      </c>
      <c r="H2660">
        <v>37200</v>
      </c>
      <c r="I2660">
        <v>11129</v>
      </c>
      <c r="J2660">
        <v>48329</v>
      </c>
      <c r="K2660" t="b">
        <f>TrafficData[[#This Row],[disposedChallan]]+TrafficData[[#This Row],[pendingChallan]]=TrafficData[[#This Row],[totalChallan]]</f>
        <v>1</v>
      </c>
      <c r="L2660" t="b">
        <f>TrafficData[[#This Row],[pendingAmount]]+TrafficData[[#This Row],[disposedAmount]]=TrafficData[[#This Row],[totalAmount]]</f>
        <v>1</v>
      </c>
      <c r="M2660" t="b">
        <f>TrafficData[[#This Row],[pendingCourt]]+TrafficData[[#This Row],[disposedCourt]]=TrafficData[[#This Row],[totalCourt]]</f>
        <v>1</v>
      </c>
      <c r="N2660" s="8" t="b">
        <f>AND(TrafficData[[#This Row],[disposedChallan]]&lt;=TrafficData[[#This Row],[totalChallan]],TrafficData[[#This Row],[pendingChallan]]&lt;=TrafficData[[#This Row],[totalChallan]])</f>
        <v>1</v>
      </c>
      <c r="O2660" s="8" t="b">
        <f>AND(TrafficData[[#This Row],[pendingAmount]]&lt;=TrafficData[[#This Row],[totalAmount]],TrafficData[[#This Row],[disposedAmount]]&lt;=TrafficData[[#This Row],[totalAmount]])</f>
        <v>1</v>
      </c>
      <c r="P2660" s="8" t="b">
        <f>AND(TrafficData[[#This Row],[pendingCourt]]&lt;=TrafficData[[#This Row],[totalCourt]],TrafficData[[#This Row],[disposedCourt]]&lt;=TrafficData[[#This Row],[totalCourt]])</f>
        <v>1</v>
      </c>
    </row>
    <row r="2661" spans="1:16">
      <c r="A2661" s="1">
        <v>44665</v>
      </c>
      <c r="B2661">
        <v>114374</v>
      </c>
      <c r="C2661">
        <v>56295</v>
      </c>
      <c r="D2661">
        <v>58079</v>
      </c>
      <c r="E2661">
        <v>76065433</v>
      </c>
      <c r="F2661">
        <v>69819444</v>
      </c>
      <c r="G2661">
        <v>145884877</v>
      </c>
      <c r="H2661">
        <v>32184</v>
      </c>
      <c r="I2661">
        <v>9946</v>
      </c>
      <c r="J2661">
        <v>42130</v>
      </c>
      <c r="K2661" t="b">
        <f>TrafficData[[#This Row],[disposedChallan]]+TrafficData[[#This Row],[pendingChallan]]=TrafficData[[#This Row],[totalChallan]]</f>
        <v>1</v>
      </c>
      <c r="L2661" t="b">
        <f>TrafficData[[#This Row],[pendingAmount]]+TrafficData[[#This Row],[disposedAmount]]=TrafficData[[#This Row],[totalAmount]]</f>
        <v>1</v>
      </c>
      <c r="M2661" t="b">
        <f>TrafficData[[#This Row],[pendingCourt]]+TrafficData[[#This Row],[disposedCourt]]=TrafficData[[#This Row],[totalCourt]]</f>
        <v>1</v>
      </c>
      <c r="N2661" s="8" t="b">
        <f>AND(TrafficData[[#This Row],[disposedChallan]]&lt;=TrafficData[[#This Row],[totalChallan]],TrafficData[[#This Row],[pendingChallan]]&lt;=TrafficData[[#This Row],[totalChallan]])</f>
        <v>1</v>
      </c>
      <c r="O2661" s="8" t="b">
        <f>AND(TrafficData[[#This Row],[pendingAmount]]&lt;=TrafficData[[#This Row],[totalAmount]],TrafficData[[#This Row],[disposedAmount]]&lt;=TrafficData[[#This Row],[totalAmount]])</f>
        <v>1</v>
      </c>
      <c r="P2661" s="8" t="b">
        <f>AND(TrafficData[[#This Row],[pendingCourt]]&lt;=TrafficData[[#This Row],[totalCourt]],TrafficData[[#This Row],[disposedCourt]]&lt;=TrafficData[[#This Row],[totalCourt]])</f>
        <v>1</v>
      </c>
    </row>
    <row r="2662" spans="1:16">
      <c r="A2662" s="1">
        <v>44666</v>
      </c>
      <c r="B2662">
        <v>114232</v>
      </c>
      <c r="C2662">
        <v>54037</v>
      </c>
      <c r="D2662">
        <v>60195</v>
      </c>
      <c r="E2662">
        <v>79790143</v>
      </c>
      <c r="F2662">
        <v>68022968</v>
      </c>
      <c r="G2662">
        <v>147813111</v>
      </c>
      <c r="H2662">
        <v>33282</v>
      </c>
      <c r="I2662">
        <v>10238</v>
      </c>
      <c r="J2662">
        <v>43520</v>
      </c>
      <c r="K2662" t="b">
        <f>TrafficData[[#This Row],[disposedChallan]]+TrafficData[[#This Row],[pendingChallan]]=TrafficData[[#This Row],[totalChallan]]</f>
        <v>1</v>
      </c>
      <c r="L2662" t="b">
        <f>TrafficData[[#This Row],[pendingAmount]]+TrafficData[[#This Row],[disposedAmount]]=TrafficData[[#This Row],[totalAmount]]</f>
        <v>1</v>
      </c>
      <c r="M2662" t="b">
        <f>TrafficData[[#This Row],[pendingCourt]]+TrafficData[[#This Row],[disposedCourt]]=TrafficData[[#This Row],[totalCourt]]</f>
        <v>1</v>
      </c>
      <c r="N2662" s="8" t="b">
        <f>AND(TrafficData[[#This Row],[disposedChallan]]&lt;=TrafficData[[#This Row],[totalChallan]],TrafficData[[#This Row],[pendingChallan]]&lt;=TrafficData[[#This Row],[totalChallan]])</f>
        <v>1</v>
      </c>
      <c r="O2662" s="8" t="b">
        <f>AND(TrafficData[[#This Row],[pendingAmount]]&lt;=TrafficData[[#This Row],[totalAmount]],TrafficData[[#This Row],[disposedAmount]]&lt;=TrafficData[[#This Row],[totalAmount]])</f>
        <v>1</v>
      </c>
      <c r="P2662" s="8" t="b">
        <f>AND(TrafficData[[#This Row],[pendingCourt]]&lt;=TrafficData[[#This Row],[totalCourt]],TrafficData[[#This Row],[disposedCourt]]&lt;=TrafficData[[#This Row],[totalCourt]])</f>
        <v>1</v>
      </c>
    </row>
    <row r="2663" spans="1:16">
      <c r="A2663" s="1">
        <v>44667</v>
      </c>
      <c r="B2663">
        <v>125526</v>
      </c>
      <c r="C2663">
        <v>62795</v>
      </c>
      <c r="D2663">
        <v>62731</v>
      </c>
      <c r="E2663">
        <v>83459762</v>
      </c>
      <c r="F2663">
        <v>78264783</v>
      </c>
      <c r="G2663">
        <v>161724545</v>
      </c>
      <c r="H2663">
        <v>35579</v>
      </c>
      <c r="I2663">
        <v>10712</v>
      </c>
      <c r="J2663">
        <v>46291</v>
      </c>
      <c r="K2663" t="b">
        <f>TrafficData[[#This Row],[disposedChallan]]+TrafficData[[#This Row],[pendingChallan]]=TrafficData[[#This Row],[totalChallan]]</f>
        <v>1</v>
      </c>
      <c r="L2663" t="b">
        <f>TrafficData[[#This Row],[pendingAmount]]+TrafficData[[#This Row],[disposedAmount]]=TrafficData[[#This Row],[totalAmount]]</f>
        <v>1</v>
      </c>
      <c r="M2663" t="b">
        <f>TrafficData[[#This Row],[pendingCourt]]+TrafficData[[#This Row],[disposedCourt]]=TrafficData[[#This Row],[totalCourt]]</f>
        <v>1</v>
      </c>
      <c r="N2663" s="8" t="b">
        <f>AND(TrafficData[[#This Row],[disposedChallan]]&lt;=TrafficData[[#This Row],[totalChallan]],TrafficData[[#This Row],[pendingChallan]]&lt;=TrafficData[[#This Row],[totalChallan]])</f>
        <v>1</v>
      </c>
      <c r="O2663" s="8" t="b">
        <f>AND(TrafficData[[#This Row],[pendingAmount]]&lt;=TrafficData[[#This Row],[totalAmount]],TrafficData[[#This Row],[disposedAmount]]&lt;=TrafficData[[#This Row],[totalAmount]])</f>
        <v>1</v>
      </c>
      <c r="P2663" s="8" t="b">
        <f>AND(TrafficData[[#This Row],[pendingCourt]]&lt;=TrafficData[[#This Row],[totalCourt]],TrafficData[[#This Row],[disposedCourt]]&lt;=TrafficData[[#This Row],[totalCourt]])</f>
        <v>1</v>
      </c>
    </row>
    <row r="2664" spans="1:16">
      <c r="A2664" s="1">
        <v>44668</v>
      </c>
      <c r="B2664">
        <v>110178</v>
      </c>
      <c r="C2664">
        <v>52111</v>
      </c>
      <c r="D2664">
        <v>58067</v>
      </c>
      <c r="E2664">
        <v>67322075</v>
      </c>
      <c r="F2664">
        <v>58415651</v>
      </c>
      <c r="G2664">
        <v>125737726</v>
      </c>
      <c r="H2664">
        <v>32277</v>
      </c>
      <c r="I2664">
        <v>9627</v>
      </c>
      <c r="J2664">
        <v>41904</v>
      </c>
      <c r="K2664" t="b">
        <f>TrafficData[[#This Row],[disposedChallan]]+TrafficData[[#This Row],[pendingChallan]]=TrafficData[[#This Row],[totalChallan]]</f>
        <v>1</v>
      </c>
      <c r="L2664" t="b">
        <f>TrafficData[[#This Row],[pendingAmount]]+TrafficData[[#This Row],[disposedAmount]]=TrafficData[[#This Row],[totalAmount]]</f>
        <v>1</v>
      </c>
      <c r="M2664" t="b">
        <f>TrafficData[[#This Row],[pendingCourt]]+TrafficData[[#This Row],[disposedCourt]]=TrafficData[[#This Row],[totalCourt]]</f>
        <v>1</v>
      </c>
      <c r="N2664" s="8" t="b">
        <f>AND(TrafficData[[#This Row],[disposedChallan]]&lt;=TrafficData[[#This Row],[totalChallan]],TrafficData[[#This Row],[pendingChallan]]&lt;=TrafficData[[#This Row],[totalChallan]])</f>
        <v>1</v>
      </c>
      <c r="O2664" s="8" t="b">
        <f>AND(TrafficData[[#This Row],[pendingAmount]]&lt;=TrafficData[[#This Row],[totalAmount]],TrafficData[[#This Row],[disposedAmount]]&lt;=TrafficData[[#This Row],[totalAmount]])</f>
        <v>1</v>
      </c>
      <c r="P2664" s="8" t="b">
        <f>AND(TrafficData[[#This Row],[pendingCourt]]&lt;=TrafficData[[#This Row],[totalCourt]],TrafficData[[#This Row],[disposedCourt]]&lt;=TrafficData[[#This Row],[totalCourt]])</f>
        <v>1</v>
      </c>
    </row>
    <row r="2665" spans="1:16">
      <c r="A2665" s="1">
        <v>44669</v>
      </c>
      <c r="B2665">
        <v>131730</v>
      </c>
      <c r="C2665">
        <v>63886</v>
      </c>
      <c r="D2665">
        <v>67844</v>
      </c>
      <c r="E2665">
        <v>85827819</v>
      </c>
      <c r="F2665">
        <v>78268696</v>
      </c>
      <c r="G2665">
        <v>164096515</v>
      </c>
      <c r="H2665">
        <v>38683</v>
      </c>
      <c r="I2665">
        <v>11177</v>
      </c>
      <c r="J2665">
        <v>49860</v>
      </c>
      <c r="K2665" t="b">
        <f>TrafficData[[#This Row],[disposedChallan]]+TrafficData[[#This Row],[pendingChallan]]=TrafficData[[#This Row],[totalChallan]]</f>
        <v>1</v>
      </c>
      <c r="L2665" t="b">
        <f>TrafficData[[#This Row],[pendingAmount]]+TrafficData[[#This Row],[disposedAmount]]=TrafficData[[#This Row],[totalAmount]]</f>
        <v>1</v>
      </c>
      <c r="M2665" t="b">
        <f>TrafficData[[#This Row],[pendingCourt]]+TrafficData[[#This Row],[disposedCourt]]=TrafficData[[#This Row],[totalCourt]]</f>
        <v>1</v>
      </c>
      <c r="N2665" s="8" t="b">
        <f>AND(TrafficData[[#This Row],[disposedChallan]]&lt;=TrafficData[[#This Row],[totalChallan]],TrafficData[[#This Row],[pendingChallan]]&lt;=TrafficData[[#This Row],[totalChallan]])</f>
        <v>1</v>
      </c>
      <c r="O2665" s="8" t="b">
        <f>AND(TrafficData[[#This Row],[pendingAmount]]&lt;=TrafficData[[#This Row],[totalAmount]],TrafficData[[#This Row],[disposedAmount]]&lt;=TrafficData[[#This Row],[totalAmount]])</f>
        <v>1</v>
      </c>
      <c r="P2665" s="8" t="b">
        <f>AND(TrafficData[[#This Row],[pendingCourt]]&lt;=TrafficData[[#This Row],[totalCourt]],TrafficData[[#This Row],[disposedCourt]]&lt;=TrafficData[[#This Row],[totalCourt]])</f>
        <v>1</v>
      </c>
    </row>
    <row r="2666" spans="1:16">
      <c r="A2666" s="1">
        <v>44670</v>
      </c>
      <c r="B2666">
        <v>128474</v>
      </c>
      <c r="C2666">
        <v>63993</v>
      </c>
      <c r="D2666">
        <v>64481</v>
      </c>
      <c r="E2666">
        <v>87987053</v>
      </c>
      <c r="F2666">
        <v>89700577</v>
      </c>
      <c r="G2666">
        <v>177687630</v>
      </c>
      <c r="H2666">
        <v>36766</v>
      </c>
      <c r="I2666">
        <v>10586</v>
      </c>
      <c r="J2666">
        <v>47352</v>
      </c>
      <c r="K2666" t="b">
        <f>TrafficData[[#This Row],[disposedChallan]]+TrafficData[[#This Row],[pendingChallan]]=TrafficData[[#This Row],[totalChallan]]</f>
        <v>1</v>
      </c>
      <c r="L2666" t="b">
        <f>TrafficData[[#This Row],[pendingAmount]]+TrafficData[[#This Row],[disposedAmount]]=TrafficData[[#This Row],[totalAmount]]</f>
        <v>1</v>
      </c>
      <c r="M2666" t="b">
        <f>TrafficData[[#This Row],[pendingCourt]]+TrafficData[[#This Row],[disposedCourt]]=TrafficData[[#This Row],[totalCourt]]</f>
        <v>1</v>
      </c>
      <c r="N2666" s="8" t="b">
        <f>AND(TrafficData[[#This Row],[disposedChallan]]&lt;=TrafficData[[#This Row],[totalChallan]],TrafficData[[#This Row],[pendingChallan]]&lt;=TrafficData[[#This Row],[totalChallan]])</f>
        <v>1</v>
      </c>
      <c r="O2666" s="8" t="b">
        <f>AND(TrafficData[[#This Row],[pendingAmount]]&lt;=TrafficData[[#This Row],[totalAmount]],TrafficData[[#This Row],[disposedAmount]]&lt;=TrafficData[[#This Row],[totalAmount]])</f>
        <v>1</v>
      </c>
      <c r="P2666" s="8" t="b">
        <f>AND(TrafficData[[#This Row],[pendingCourt]]&lt;=TrafficData[[#This Row],[totalCourt]],TrafficData[[#This Row],[disposedCourt]]&lt;=TrafficData[[#This Row],[totalCourt]])</f>
        <v>1</v>
      </c>
    </row>
    <row r="2667" spans="1:16">
      <c r="A2667" s="1">
        <v>44671</v>
      </c>
      <c r="B2667">
        <v>137930</v>
      </c>
      <c r="C2667">
        <v>68211</v>
      </c>
      <c r="D2667">
        <v>69719</v>
      </c>
      <c r="E2667">
        <v>94810352</v>
      </c>
      <c r="F2667">
        <v>93481826</v>
      </c>
      <c r="G2667">
        <v>188292178</v>
      </c>
      <c r="H2667">
        <v>39038</v>
      </c>
      <c r="I2667">
        <v>11058</v>
      </c>
      <c r="J2667">
        <v>50096</v>
      </c>
      <c r="K2667" t="b">
        <f>TrafficData[[#This Row],[disposedChallan]]+TrafficData[[#This Row],[pendingChallan]]=TrafficData[[#This Row],[totalChallan]]</f>
        <v>1</v>
      </c>
      <c r="L2667" t="b">
        <f>TrafficData[[#This Row],[pendingAmount]]+TrafficData[[#This Row],[disposedAmount]]=TrafficData[[#This Row],[totalAmount]]</f>
        <v>1</v>
      </c>
      <c r="M2667" t="b">
        <f>TrafficData[[#This Row],[pendingCourt]]+TrafficData[[#This Row],[disposedCourt]]=TrafficData[[#This Row],[totalCourt]]</f>
        <v>1</v>
      </c>
      <c r="N2667" s="8" t="b">
        <f>AND(TrafficData[[#This Row],[disposedChallan]]&lt;=TrafficData[[#This Row],[totalChallan]],TrafficData[[#This Row],[pendingChallan]]&lt;=TrafficData[[#This Row],[totalChallan]])</f>
        <v>1</v>
      </c>
      <c r="O2667" s="8" t="b">
        <f>AND(TrafficData[[#This Row],[pendingAmount]]&lt;=TrafficData[[#This Row],[totalAmount]],TrafficData[[#This Row],[disposedAmount]]&lt;=TrafficData[[#This Row],[totalAmount]])</f>
        <v>1</v>
      </c>
      <c r="P2667" s="8" t="b">
        <f>AND(TrafficData[[#This Row],[pendingCourt]]&lt;=TrafficData[[#This Row],[totalCourt]],TrafficData[[#This Row],[disposedCourt]]&lt;=TrafficData[[#This Row],[totalCourt]])</f>
        <v>1</v>
      </c>
    </row>
    <row r="2668" spans="1:16">
      <c r="A2668" s="1">
        <v>44672</v>
      </c>
      <c r="B2668">
        <v>140039</v>
      </c>
      <c r="C2668">
        <v>68547</v>
      </c>
      <c r="D2668">
        <v>71492</v>
      </c>
      <c r="E2668">
        <v>95412637</v>
      </c>
      <c r="F2668">
        <v>94641978</v>
      </c>
      <c r="G2668">
        <v>190054615</v>
      </c>
      <c r="H2668">
        <v>38394</v>
      </c>
      <c r="I2668">
        <v>10893</v>
      </c>
      <c r="J2668">
        <v>49287</v>
      </c>
      <c r="K2668" t="b">
        <f>TrafficData[[#This Row],[disposedChallan]]+TrafficData[[#This Row],[pendingChallan]]=TrafficData[[#This Row],[totalChallan]]</f>
        <v>1</v>
      </c>
      <c r="L2668" t="b">
        <f>TrafficData[[#This Row],[pendingAmount]]+TrafficData[[#This Row],[disposedAmount]]=TrafficData[[#This Row],[totalAmount]]</f>
        <v>1</v>
      </c>
      <c r="M2668" t="b">
        <f>TrafficData[[#This Row],[pendingCourt]]+TrafficData[[#This Row],[disposedCourt]]=TrafficData[[#This Row],[totalCourt]]</f>
        <v>1</v>
      </c>
      <c r="N2668" s="8" t="b">
        <f>AND(TrafficData[[#This Row],[disposedChallan]]&lt;=TrafficData[[#This Row],[totalChallan]],TrafficData[[#This Row],[pendingChallan]]&lt;=TrafficData[[#This Row],[totalChallan]])</f>
        <v>1</v>
      </c>
      <c r="O2668" s="8" t="b">
        <f>AND(TrafficData[[#This Row],[pendingAmount]]&lt;=TrafficData[[#This Row],[totalAmount]],TrafficData[[#This Row],[disposedAmount]]&lt;=TrafficData[[#This Row],[totalAmount]])</f>
        <v>1</v>
      </c>
      <c r="P2668" s="8" t="b">
        <f>AND(TrafficData[[#This Row],[pendingCourt]]&lt;=TrafficData[[#This Row],[totalCourt]],TrafficData[[#This Row],[disposedCourt]]&lt;=TrafficData[[#This Row],[totalCourt]])</f>
        <v>1</v>
      </c>
    </row>
    <row r="2669" spans="1:16">
      <c r="A2669" s="1">
        <v>44673</v>
      </c>
      <c r="B2669">
        <v>135075</v>
      </c>
      <c r="C2669">
        <v>67489</v>
      </c>
      <c r="D2669">
        <v>67586</v>
      </c>
      <c r="E2669">
        <v>94793802</v>
      </c>
      <c r="F2669">
        <v>89929404</v>
      </c>
      <c r="G2669">
        <v>184723206</v>
      </c>
      <c r="H2669">
        <v>36289</v>
      </c>
      <c r="I2669">
        <v>10565</v>
      </c>
      <c r="J2669">
        <v>46854</v>
      </c>
      <c r="K2669" t="b">
        <f>TrafficData[[#This Row],[disposedChallan]]+TrafficData[[#This Row],[pendingChallan]]=TrafficData[[#This Row],[totalChallan]]</f>
        <v>1</v>
      </c>
      <c r="L2669" t="b">
        <f>TrafficData[[#This Row],[pendingAmount]]+TrafficData[[#This Row],[disposedAmount]]=TrafficData[[#This Row],[totalAmount]]</f>
        <v>1</v>
      </c>
      <c r="M2669" t="b">
        <f>TrafficData[[#This Row],[pendingCourt]]+TrafficData[[#This Row],[disposedCourt]]=TrafficData[[#This Row],[totalCourt]]</f>
        <v>1</v>
      </c>
      <c r="N2669" s="8" t="b">
        <f>AND(TrafficData[[#This Row],[disposedChallan]]&lt;=TrafficData[[#This Row],[totalChallan]],TrafficData[[#This Row],[pendingChallan]]&lt;=TrafficData[[#This Row],[totalChallan]])</f>
        <v>1</v>
      </c>
      <c r="O2669" s="8" t="b">
        <f>AND(TrafficData[[#This Row],[pendingAmount]]&lt;=TrafficData[[#This Row],[totalAmount]],TrafficData[[#This Row],[disposedAmount]]&lt;=TrafficData[[#This Row],[totalAmount]])</f>
        <v>1</v>
      </c>
      <c r="P2669" s="8" t="b">
        <f>AND(TrafficData[[#This Row],[pendingCourt]]&lt;=TrafficData[[#This Row],[totalCourt]],TrafficData[[#This Row],[disposedCourt]]&lt;=TrafficData[[#This Row],[totalCourt]])</f>
        <v>1</v>
      </c>
    </row>
    <row r="2670" spans="1:16">
      <c r="A2670" s="1">
        <v>44674</v>
      </c>
      <c r="B2670">
        <v>134835</v>
      </c>
      <c r="C2670">
        <v>66906</v>
      </c>
      <c r="D2670">
        <v>67929</v>
      </c>
      <c r="E2670">
        <v>97288445</v>
      </c>
      <c r="F2670">
        <v>80608740</v>
      </c>
      <c r="G2670">
        <v>177897185</v>
      </c>
      <c r="H2670">
        <v>37850</v>
      </c>
      <c r="I2670">
        <v>11073</v>
      </c>
      <c r="J2670">
        <v>48923</v>
      </c>
      <c r="K2670" t="b">
        <f>TrafficData[[#This Row],[disposedChallan]]+TrafficData[[#This Row],[pendingChallan]]=TrafficData[[#This Row],[totalChallan]]</f>
        <v>1</v>
      </c>
      <c r="L2670" t="b">
        <f>TrafficData[[#This Row],[pendingAmount]]+TrafficData[[#This Row],[disposedAmount]]=TrafficData[[#This Row],[totalAmount]]</f>
        <v>1</v>
      </c>
      <c r="M2670" t="b">
        <f>TrafficData[[#This Row],[pendingCourt]]+TrafficData[[#This Row],[disposedCourt]]=TrafficData[[#This Row],[totalCourt]]</f>
        <v>1</v>
      </c>
      <c r="N2670" s="8" t="b">
        <f>AND(TrafficData[[#This Row],[disposedChallan]]&lt;=TrafficData[[#This Row],[totalChallan]],TrafficData[[#This Row],[pendingChallan]]&lt;=TrafficData[[#This Row],[totalChallan]])</f>
        <v>1</v>
      </c>
      <c r="O2670" s="8" t="b">
        <f>AND(TrafficData[[#This Row],[pendingAmount]]&lt;=TrafficData[[#This Row],[totalAmount]],TrafficData[[#This Row],[disposedAmount]]&lt;=TrafficData[[#This Row],[totalAmount]])</f>
        <v>1</v>
      </c>
      <c r="P2670" s="8" t="b">
        <f>AND(TrafficData[[#This Row],[pendingCourt]]&lt;=TrafficData[[#This Row],[totalCourt]],TrafficData[[#This Row],[disposedCourt]]&lt;=TrafficData[[#This Row],[totalCourt]])</f>
        <v>1</v>
      </c>
    </row>
    <row r="2671" spans="1:16">
      <c r="A2671" s="1">
        <v>44675</v>
      </c>
      <c r="B2671">
        <v>123729</v>
      </c>
      <c r="C2671">
        <v>58296</v>
      </c>
      <c r="D2671">
        <v>65433</v>
      </c>
      <c r="E2671">
        <v>77039617</v>
      </c>
      <c r="F2671">
        <v>67133927</v>
      </c>
      <c r="G2671">
        <v>144173544</v>
      </c>
      <c r="H2671">
        <v>37330</v>
      </c>
      <c r="I2671">
        <v>10891</v>
      </c>
      <c r="J2671">
        <v>48221</v>
      </c>
      <c r="K2671" t="b">
        <f>TrafficData[[#This Row],[disposedChallan]]+TrafficData[[#This Row],[pendingChallan]]=TrafficData[[#This Row],[totalChallan]]</f>
        <v>1</v>
      </c>
      <c r="L2671" t="b">
        <f>TrafficData[[#This Row],[pendingAmount]]+TrafficData[[#This Row],[disposedAmount]]=TrafficData[[#This Row],[totalAmount]]</f>
        <v>1</v>
      </c>
      <c r="M2671" t="b">
        <f>TrafficData[[#This Row],[pendingCourt]]+TrafficData[[#This Row],[disposedCourt]]=TrafficData[[#This Row],[totalCourt]]</f>
        <v>1</v>
      </c>
      <c r="N2671" s="8" t="b">
        <f>AND(TrafficData[[#This Row],[disposedChallan]]&lt;=TrafficData[[#This Row],[totalChallan]],TrafficData[[#This Row],[pendingChallan]]&lt;=TrafficData[[#This Row],[totalChallan]])</f>
        <v>1</v>
      </c>
      <c r="O2671" s="8" t="b">
        <f>AND(TrafficData[[#This Row],[pendingAmount]]&lt;=TrafficData[[#This Row],[totalAmount]],TrafficData[[#This Row],[disposedAmount]]&lt;=TrafficData[[#This Row],[totalAmount]])</f>
        <v>1</v>
      </c>
      <c r="P2671" s="8" t="b">
        <f>AND(TrafficData[[#This Row],[pendingCourt]]&lt;=TrafficData[[#This Row],[totalCourt]],TrafficData[[#This Row],[disposedCourt]]&lt;=TrafficData[[#This Row],[totalCourt]])</f>
        <v>1</v>
      </c>
    </row>
    <row r="2672" spans="1:16">
      <c r="A2672" s="1">
        <v>44676</v>
      </c>
      <c r="B2672">
        <v>140008</v>
      </c>
      <c r="C2672">
        <v>69087</v>
      </c>
      <c r="D2672">
        <v>70921</v>
      </c>
      <c r="E2672">
        <v>93556705</v>
      </c>
      <c r="F2672">
        <v>83185372</v>
      </c>
      <c r="G2672">
        <v>176742077</v>
      </c>
      <c r="H2672">
        <v>39680</v>
      </c>
      <c r="I2672">
        <v>11813</v>
      </c>
      <c r="J2672">
        <v>51493</v>
      </c>
      <c r="K2672" t="b">
        <f>TrafficData[[#This Row],[disposedChallan]]+TrafficData[[#This Row],[pendingChallan]]=TrafficData[[#This Row],[totalChallan]]</f>
        <v>1</v>
      </c>
      <c r="L2672" t="b">
        <f>TrafficData[[#This Row],[pendingAmount]]+TrafficData[[#This Row],[disposedAmount]]=TrafficData[[#This Row],[totalAmount]]</f>
        <v>1</v>
      </c>
      <c r="M2672" t="b">
        <f>TrafficData[[#This Row],[pendingCourt]]+TrafficData[[#This Row],[disposedCourt]]=TrafficData[[#This Row],[totalCourt]]</f>
        <v>1</v>
      </c>
      <c r="N2672" s="8" t="b">
        <f>AND(TrafficData[[#This Row],[disposedChallan]]&lt;=TrafficData[[#This Row],[totalChallan]],TrafficData[[#This Row],[pendingChallan]]&lt;=TrafficData[[#This Row],[totalChallan]])</f>
        <v>1</v>
      </c>
      <c r="O2672" s="8" t="b">
        <f>AND(TrafficData[[#This Row],[pendingAmount]]&lt;=TrafficData[[#This Row],[totalAmount]],TrafficData[[#This Row],[disposedAmount]]&lt;=TrafficData[[#This Row],[totalAmount]])</f>
        <v>1</v>
      </c>
      <c r="P2672" s="8" t="b">
        <f>AND(TrafficData[[#This Row],[pendingCourt]]&lt;=TrafficData[[#This Row],[totalCourt]],TrafficData[[#This Row],[disposedCourt]]&lt;=TrafficData[[#This Row],[totalCourt]])</f>
        <v>1</v>
      </c>
    </row>
    <row r="2673" spans="1:16">
      <c r="A2673" s="1">
        <v>44677</v>
      </c>
      <c r="B2673">
        <v>134144</v>
      </c>
      <c r="C2673">
        <v>67951</v>
      </c>
      <c r="D2673">
        <v>66193</v>
      </c>
      <c r="E2673">
        <v>93493255</v>
      </c>
      <c r="F2673">
        <v>91616832</v>
      </c>
      <c r="G2673">
        <v>185110087</v>
      </c>
      <c r="H2673">
        <v>37207</v>
      </c>
      <c r="I2673">
        <v>11120</v>
      </c>
      <c r="J2673">
        <v>48327</v>
      </c>
      <c r="K2673" t="b">
        <f>TrafficData[[#This Row],[disposedChallan]]+TrafficData[[#This Row],[pendingChallan]]=TrafficData[[#This Row],[totalChallan]]</f>
        <v>1</v>
      </c>
      <c r="L2673" t="b">
        <f>TrafficData[[#This Row],[pendingAmount]]+TrafficData[[#This Row],[disposedAmount]]=TrafficData[[#This Row],[totalAmount]]</f>
        <v>1</v>
      </c>
      <c r="M2673" t="b">
        <f>TrafficData[[#This Row],[pendingCourt]]+TrafficData[[#This Row],[disposedCourt]]=TrafficData[[#This Row],[totalCourt]]</f>
        <v>1</v>
      </c>
      <c r="N2673" s="8" t="b">
        <f>AND(TrafficData[[#This Row],[disposedChallan]]&lt;=TrafficData[[#This Row],[totalChallan]],TrafficData[[#This Row],[pendingChallan]]&lt;=TrafficData[[#This Row],[totalChallan]])</f>
        <v>1</v>
      </c>
      <c r="O2673" s="8" t="b">
        <f>AND(TrafficData[[#This Row],[pendingAmount]]&lt;=TrafficData[[#This Row],[totalAmount]],TrafficData[[#This Row],[disposedAmount]]&lt;=TrafficData[[#This Row],[totalAmount]])</f>
        <v>1</v>
      </c>
      <c r="P2673" s="8" t="b">
        <f>AND(TrafficData[[#This Row],[pendingCourt]]&lt;=TrafficData[[#This Row],[totalCourt]],TrafficData[[#This Row],[disposedCourt]]&lt;=TrafficData[[#This Row],[totalCourt]])</f>
        <v>1</v>
      </c>
    </row>
    <row r="2674" spans="1:16">
      <c r="A2674" s="1">
        <v>44678</v>
      </c>
      <c r="B2674">
        <v>134355</v>
      </c>
      <c r="C2674">
        <v>68744</v>
      </c>
      <c r="D2674">
        <v>65611</v>
      </c>
      <c r="E2674">
        <v>95029886</v>
      </c>
      <c r="F2674">
        <v>94320620</v>
      </c>
      <c r="G2674">
        <v>189350506</v>
      </c>
      <c r="H2674">
        <v>38843</v>
      </c>
      <c r="I2674">
        <v>11720</v>
      </c>
      <c r="J2674">
        <v>50563</v>
      </c>
      <c r="K2674" t="b">
        <f>TrafficData[[#This Row],[disposedChallan]]+TrafficData[[#This Row],[pendingChallan]]=TrafficData[[#This Row],[totalChallan]]</f>
        <v>1</v>
      </c>
      <c r="L2674" t="b">
        <f>TrafficData[[#This Row],[pendingAmount]]+TrafficData[[#This Row],[disposedAmount]]=TrafficData[[#This Row],[totalAmount]]</f>
        <v>1</v>
      </c>
      <c r="M2674" t="b">
        <f>TrafficData[[#This Row],[pendingCourt]]+TrafficData[[#This Row],[disposedCourt]]=TrafficData[[#This Row],[totalCourt]]</f>
        <v>1</v>
      </c>
      <c r="N2674" s="8" t="b">
        <f>AND(TrafficData[[#This Row],[disposedChallan]]&lt;=TrafficData[[#This Row],[totalChallan]],TrafficData[[#This Row],[pendingChallan]]&lt;=TrafficData[[#This Row],[totalChallan]])</f>
        <v>1</v>
      </c>
      <c r="O2674" s="8" t="b">
        <f>AND(TrafficData[[#This Row],[pendingAmount]]&lt;=TrafficData[[#This Row],[totalAmount]],TrafficData[[#This Row],[disposedAmount]]&lt;=TrafficData[[#This Row],[totalAmount]])</f>
        <v>1</v>
      </c>
      <c r="P2674" s="8" t="b">
        <f>AND(TrafficData[[#This Row],[pendingCourt]]&lt;=TrafficData[[#This Row],[totalCourt]],TrafficData[[#This Row],[disposedCourt]]&lt;=TrafficData[[#This Row],[totalCourt]])</f>
        <v>1</v>
      </c>
    </row>
    <row r="2675" spans="1:16">
      <c r="A2675" s="1">
        <v>44679</v>
      </c>
      <c r="B2675">
        <v>127350</v>
      </c>
      <c r="C2675">
        <v>66804</v>
      </c>
      <c r="D2675">
        <v>60546</v>
      </c>
      <c r="E2675">
        <v>81591381</v>
      </c>
      <c r="F2675">
        <v>92971525</v>
      </c>
      <c r="G2675">
        <v>174562906</v>
      </c>
      <c r="H2675">
        <v>31439</v>
      </c>
      <c r="I2675">
        <v>9989</v>
      </c>
      <c r="J2675">
        <v>41428</v>
      </c>
      <c r="K2675" t="b">
        <f>TrafficData[[#This Row],[disposedChallan]]+TrafficData[[#This Row],[pendingChallan]]=TrafficData[[#This Row],[totalChallan]]</f>
        <v>1</v>
      </c>
      <c r="L2675" t="b">
        <f>TrafficData[[#This Row],[pendingAmount]]+TrafficData[[#This Row],[disposedAmount]]=TrafficData[[#This Row],[totalAmount]]</f>
        <v>1</v>
      </c>
      <c r="M2675" t="b">
        <f>TrafficData[[#This Row],[pendingCourt]]+TrafficData[[#This Row],[disposedCourt]]=TrafficData[[#This Row],[totalCourt]]</f>
        <v>1</v>
      </c>
      <c r="N2675" s="8" t="b">
        <f>AND(TrafficData[[#This Row],[disposedChallan]]&lt;=TrafficData[[#This Row],[totalChallan]],TrafficData[[#This Row],[pendingChallan]]&lt;=TrafficData[[#This Row],[totalChallan]])</f>
        <v>1</v>
      </c>
      <c r="O2675" s="8" t="b">
        <f>AND(TrafficData[[#This Row],[pendingAmount]]&lt;=TrafficData[[#This Row],[totalAmount]],TrafficData[[#This Row],[disposedAmount]]&lt;=TrafficData[[#This Row],[totalAmount]])</f>
        <v>1</v>
      </c>
      <c r="P2675" s="8" t="b">
        <f>AND(TrafficData[[#This Row],[pendingCourt]]&lt;=TrafficData[[#This Row],[totalCourt]],TrafficData[[#This Row],[disposedCourt]]&lt;=TrafficData[[#This Row],[totalCourt]])</f>
        <v>1</v>
      </c>
    </row>
    <row r="2676" spans="1:16">
      <c r="A2676" s="1">
        <v>44680</v>
      </c>
      <c r="B2676">
        <v>128746</v>
      </c>
      <c r="C2676">
        <v>64847</v>
      </c>
      <c r="D2676">
        <v>63899</v>
      </c>
      <c r="E2676">
        <v>89426384</v>
      </c>
      <c r="F2676">
        <v>88040513</v>
      </c>
      <c r="G2676">
        <v>177466897</v>
      </c>
      <c r="H2676">
        <v>36131</v>
      </c>
      <c r="I2676">
        <v>10819</v>
      </c>
      <c r="J2676">
        <v>46950</v>
      </c>
      <c r="K2676" t="b">
        <f>TrafficData[[#This Row],[disposedChallan]]+TrafficData[[#This Row],[pendingChallan]]=TrafficData[[#This Row],[totalChallan]]</f>
        <v>1</v>
      </c>
      <c r="L2676" t="b">
        <f>TrafficData[[#This Row],[pendingAmount]]+TrafficData[[#This Row],[disposedAmount]]=TrafficData[[#This Row],[totalAmount]]</f>
        <v>1</v>
      </c>
      <c r="M2676" t="b">
        <f>TrafficData[[#This Row],[pendingCourt]]+TrafficData[[#This Row],[disposedCourt]]=TrafficData[[#This Row],[totalCourt]]</f>
        <v>1</v>
      </c>
      <c r="N2676" s="8" t="b">
        <f>AND(TrafficData[[#This Row],[disposedChallan]]&lt;=TrafficData[[#This Row],[totalChallan]],TrafficData[[#This Row],[pendingChallan]]&lt;=TrafficData[[#This Row],[totalChallan]])</f>
        <v>1</v>
      </c>
      <c r="O2676" s="8" t="b">
        <f>AND(TrafficData[[#This Row],[pendingAmount]]&lt;=TrafficData[[#This Row],[totalAmount]],TrafficData[[#This Row],[disposedAmount]]&lt;=TrafficData[[#This Row],[totalAmount]])</f>
        <v>1</v>
      </c>
      <c r="P2676" s="8" t="b">
        <f>AND(TrafficData[[#This Row],[pendingCourt]]&lt;=TrafficData[[#This Row],[totalCourt]],TrafficData[[#This Row],[disposedCourt]]&lt;=TrafficData[[#This Row],[totalCourt]])</f>
        <v>1</v>
      </c>
    </row>
    <row r="2677" spans="1:16">
      <c r="A2677" s="1">
        <v>44681</v>
      </c>
      <c r="B2677">
        <v>130372</v>
      </c>
      <c r="C2677">
        <v>65545</v>
      </c>
      <c r="D2677">
        <v>64827</v>
      </c>
      <c r="E2677">
        <v>85001512</v>
      </c>
      <c r="F2677">
        <v>81445332</v>
      </c>
      <c r="G2677">
        <v>166446844</v>
      </c>
      <c r="H2677">
        <v>38240</v>
      </c>
      <c r="I2677">
        <v>11047</v>
      </c>
      <c r="J2677">
        <v>49287</v>
      </c>
      <c r="K2677" t="b">
        <f>TrafficData[[#This Row],[disposedChallan]]+TrafficData[[#This Row],[pendingChallan]]=TrafficData[[#This Row],[totalChallan]]</f>
        <v>1</v>
      </c>
      <c r="L2677" t="b">
        <f>TrafficData[[#This Row],[pendingAmount]]+TrafficData[[#This Row],[disposedAmount]]=TrafficData[[#This Row],[totalAmount]]</f>
        <v>1</v>
      </c>
      <c r="M2677" t="b">
        <f>TrafficData[[#This Row],[pendingCourt]]+TrafficData[[#This Row],[disposedCourt]]=TrafficData[[#This Row],[totalCourt]]</f>
        <v>1</v>
      </c>
      <c r="N2677" s="8" t="b">
        <f>AND(TrafficData[[#This Row],[disposedChallan]]&lt;=TrafficData[[#This Row],[totalChallan]],TrafficData[[#This Row],[pendingChallan]]&lt;=TrafficData[[#This Row],[totalChallan]])</f>
        <v>1</v>
      </c>
      <c r="O2677" s="8" t="b">
        <f>AND(TrafficData[[#This Row],[pendingAmount]]&lt;=TrafficData[[#This Row],[totalAmount]],TrafficData[[#This Row],[disposedAmount]]&lt;=TrafficData[[#This Row],[totalAmount]])</f>
        <v>1</v>
      </c>
      <c r="P2677" s="8" t="b">
        <f>AND(TrafficData[[#This Row],[pendingCourt]]&lt;=TrafficData[[#This Row],[totalCourt]],TrafficData[[#This Row],[disposedCourt]]&lt;=TrafficData[[#This Row],[totalCourt]])</f>
        <v>1</v>
      </c>
    </row>
    <row r="2678" spans="1:16">
      <c r="A2678" s="1">
        <v>44682</v>
      </c>
      <c r="B2678">
        <v>121263</v>
      </c>
      <c r="C2678">
        <v>59103</v>
      </c>
      <c r="D2678">
        <v>62160</v>
      </c>
      <c r="E2678">
        <v>71682742</v>
      </c>
      <c r="F2678">
        <v>75708468</v>
      </c>
      <c r="G2678">
        <v>147391210</v>
      </c>
      <c r="H2678">
        <v>34271</v>
      </c>
      <c r="I2678">
        <v>9566</v>
      </c>
      <c r="J2678">
        <v>43837</v>
      </c>
      <c r="K2678" t="b">
        <f>TrafficData[[#This Row],[disposedChallan]]+TrafficData[[#This Row],[pendingChallan]]=TrafficData[[#This Row],[totalChallan]]</f>
        <v>1</v>
      </c>
      <c r="L2678" t="b">
        <f>TrafficData[[#This Row],[pendingAmount]]+TrafficData[[#This Row],[disposedAmount]]=TrafficData[[#This Row],[totalAmount]]</f>
        <v>1</v>
      </c>
      <c r="M2678" t="b">
        <f>TrafficData[[#This Row],[pendingCourt]]+TrafficData[[#This Row],[disposedCourt]]=TrafficData[[#This Row],[totalCourt]]</f>
        <v>1</v>
      </c>
      <c r="N2678" s="8" t="b">
        <f>AND(TrafficData[[#This Row],[disposedChallan]]&lt;=TrafficData[[#This Row],[totalChallan]],TrafficData[[#This Row],[pendingChallan]]&lt;=TrafficData[[#This Row],[totalChallan]])</f>
        <v>1</v>
      </c>
      <c r="O2678" s="8" t="b">
        <f>AND(TrafficData[[#This Row],[pendingAmount]]&lt;=TrafficData[[#This Row],[totalAmount]],TrafficData[[#This Row],[disposedAmount]]&lt;=TrafficData[[#This Row],[totalAmount]])</f>
        <v>1</v>
      </c>
      <c r="P2678" s="8" t="b">
        <f>AND(TrafficData[[#This Row],[pendingCourt]]&lt;=TrafficData[[#This Row],[totalCourt]],TrafficData[[#This Row],[disposedCourt]]&lt;=TrafficData[[#This Row],[totalCourt]])</f>
        <v>1</v>
      </c>
    </row>
    <row r="2679" spans="1:16">
      <c r="A2679" s="1">
        <v>44683</v>
      </c>
      <c r="B2679">
        <v>134686</v>
      </c>
      <c r="C2679">
        <v>67152</v>
      </c>
      <c r="D2679">
        <v>67534</v>
      </c>
      <c r="E2679">
        <v>83748292</v>
      </c>
      <c r="F2679">
        <v>90836511</v>
      </c>
      <c r="G2679">
        <v>174584803</v>
      </c>
      <c r="H2679">
        <v>36836</v>
      </c>
      <c r="I2679">
        <v>10926</v>
      </c>
      <c r="J2679">
        <v>47762</v>
      </c>
      <c r="K2679" t="b">
        <f>TrafficData[[#This Row],[disposedChallan]]+TrafficData[[#This Row],[pendingChallan]]=TrafficData[[#This Row],[totalChallan]]</f>
        <v>1</v>
      </c>
      <c r="L2679" t="b">
        <f>TrafficData[[#This Row],[pendingAmount]]+TrafficData[[#This Row],[disposedAmount]]=TrafficData[[#This Row],[totalAmount]]</f>
        <v>1</v>
      </c>
      <c r="M2679" t="b">
        <f>TrafficData[[#This Row],[pendingCourt]]+TrafficData[[#This Row],[disposedCourt]]=TrafficData[[#This Row],[totalCourt]]</f>
        <v>1</v>
      </c>
      <c r="N2679" s="8" t="b">
        <f>AND(TrafficData[[#This Row],[disposedChallan]]&lt;=TrafficData[[#This Row],[totalChallan]],TrafficData[[#This Row],[pendingChallan]]&lt;=TrafficData[[#This Row],[totalChallan]])</f>
        <v>1</v>
      </c>
      <c r="O2679" s="8" t="b">
        <f>AND(TrafficData[[#This Row],[pendingAmount]]&lt;=TrafficData[[#This Row],[totalAmount]],TrafficData[[#This Row],[disposedAmount]]&lt;=TrafficData[[#This Row],[totalAmount]])</f>
        <v>1</v>
      </c>
      <c r="P2679" s="8" t="b">
        <f>AND(TrafficData[[#This Row],[pendingCourt]]&lt;=TrafficData[[#This Row],[totalCourt]],TrafficData[[#This Row],[disposedCourt]]&lt;=TrafficData[[#This Row],[totalCourt]])</f>
        <v>1</v>
      </c>
    </row>
    <row r="2680" spans="1:16">
      <c r="A2680" s="1">
        <v>44684</v>
      </c>
      <c r="B2680">
        <v>116930</v>
      </c>
      <c r="C2680">
        <v>55881</v>
      </c>
      <c r="D2680">
        <v>61049</v>
      </c>
      <c r="E2680">
        <v>70762221</v>
      </c>
      <c r="F2680">
        <v>65683732</v>
      </c>
      <c r="G2680">
        <v>136445953</v>
      </c>
      <c r="H2680">
        <v>31906</v>
      </c>
      <c r="I2680">
        <v>8721</v>
      </c>
      <c r="J2680">
        <v>40627</v>
      </c>
      <c r="K2680" t="b">
        <f>TrafficData[[#This Row],[disposedChallan]]+TrafficData[[#This Row],[pendingChallan]]=TrafficData[[#This Row],[totalChallan]]</f>
        <v>1</v>
      </c>
      <c r="L2680" t="b">
        <f>TrafficData[[#This Row],[pendingAmount]]+TrafficData[[#This Row],[disposedAmount]]=TrafficData[[#This Row],[totalAmount]]</f>
        <v>1</v>
      </c>
      <c r="M2680" t="b">
        <f>TrafficData[[#This Row],[pendingCourt]]+TrafficData[[#This Row],[disposedCourt]]=TrafficData[[#This Row],[totalCourt]]</f>
        <v>1</v>
      </c>
      <c r="N2680" s="8" t="b">
        <f>AND(TrafficData[[#This Row],[disposedChallan]]&lt;=TrafficData[[#This Row],[totalChallan]],TrafficData[[#This Row],[pendingChallan]]&lt;=TrafficData[[#This Row],[totalChallan]])</f>
        <v>1</v>
      </c>
      <c r="O2680" s="8" t="b">
        <f>AND(TrafficData[[#This Row],[pendingAmount]]&lt;=TrafficData[[#This Row],[totalAmount]],TrafficData[[#This Row],[disposedAmount]]&lt;=TrafficData[[#This Row],[totalAmount]])</f>
        <v>1</v>
      </c>
      <c r="P2680" s="8" t="b">
        <f>AND(TrafficData[[#This Row],[pendingCourt]]&lt;=TrafficData[[#This Row],[totalCourt]],TrafficData[[#This Row],[disposedCourt]]&lt;=TrafficData[[#This Row],[totalCourt]])</f>
        <v>1</v>
      </c>
    </row>
    <row r="2681" spans="1:16">
      <c r="A2681" s="1">
        <v>44685</v>
      </c>
      <c r="B2681">
        <v>131905</v>
      </c>
      <c r="C2681">
        <v>66446</v>
      </c>
      <c r="D2681">
        <v>65459</v>
      </c>
      <c r="E2681">
        <v>87872566</v>
      </c>
      <c r="F2681">
        <v>92655029</v>
      </c>
      <c r="G2681">
        <v>180527595</v>
      </c>
      <c r="H2681">
        <v>34619</v>
      </c>
      <c r="I2681">
        <v>9895</v>
      </c>
      <c r="J2681">
        <v>44514</v>
      </c>
      <c r="K2681" t="b">
        <f>TrafficData[[#This Row],[disposedChallan]]+TrafficData[[#This Row],[pendingChallan]]=TrafficData[[#This Row],[totalChallan]]</f>
        <v>1</v>
      </c>
      <c r="L2681" t="b">
        <f>TrafficData[[#This Row],[pendingAmount]]+TrafficData[[#This Row],[disposedAmount]]=TrafficData[[#This Row],[totalAmount]]</f>
        <v>1</v>
      </c>
      <c r="M2681" t="b">
        <f>TrafficData[[#This Row],[pendingCourt]]+TrafficData[[#This Row],[disposedCourt]]=TrafficData[[#This Row],[totalCourt]]</f>
        <v>1</v>
      </c>
      <c r="N2681" s="8" t="b">
        <f>AND(TrafficData[[#This Row],[disposedChallan]]&lt;=TrafficData[[#This Row],[totalChallan]],TrafficData[[#This Row],[pendingChallan]]&lt;=TrafficData[[#This Row],[totalChallan]])</f>
        <v>1</v>
      </c>
      <c r="O2681" s="8" t="b">
        <f>AND(TrafficData[[#This Row],[pendingAmount]]&lt;=TrafficData[[#This Row],[totalAmount]],TrafficData[[#This Row],[disposedAmount]]&lt;=TrafficData[[#This Row],[totalAmount]])</f>
        <v>1</v>
      </c>
      <c r="P2681" s="8" t="b">
        <f>AND(TrafficData[[#This Row],[pendingCourt]]&lt;=TrafficData[[#This Row],[totalCourt]],TrafficData[[#This Row],[disposedCourt]]&lt;=TrafficData[[#This Row],[totalCourt]])</f>
        <v>1</v>
      </c>
    </row>
    <row r="2682" spans="1:16">
      <c r="A2682" s="1">
        <v>44686</v>
      </c>
      <c r="B2682">
        <v>136627</v>
      </c>
      <c r="C2682">
        <v>70598</v>
      </c>
      <c r="D2682">
        <v>66029</v>
      </c>
      <c r="E2682">
        <v>95309400</v>
      </c>
      <c r="F2682">
        <v>112875022</v>
      </c>
      <c r="G2682">
        <v>208184422</v>
      </c>
      <c r="H2682">
        <v>37606</v>
      </c>
      <c r="I2682">
        <v>10704</v>
      </c>
      <c r="J2682">
        <v>48310</v>
      </c>
      <c r="K2682" t="b">
        <f>TrafficData[[#This Row],[disposedChallan]]+TrafficData[[#This Row],[pendingChallan]]=TrafficData[[#This Row],[totalChallan]]</f>
        <v>1</v>
      </c>
      <c r="L2682" t="b">
        <f>TrafficData[[#This Row],[pendingAmount]]+TrafficData[[#This Row],[disposedAmount]]=TrafficData[[#This Row],[totalAmount]]</f>
        <v>1</v>
      </c>
      <c r="M2682" t="b">
        <f>TrafficData[[#This Row],[pendingCourt]]+TrafficData[[#This Row],[disposedCourt]]=TrafficData[[#This Row],[totalCourt]]</f>
        <v>1</v>
      </c>
      <c r="N2682" s="8" t="b">
        <f>AND(TrafficData[[#This Row],[disposedChallan]]&lt;=TrafficData[[#This Row],[totalChallan]],TrafficData[[#This Row],[pendingChallan]]&lt;=TrafficData[[#This Row],[totalChallan]])</f>
        <v>1</v>
      </c>
      <c r="O2682" s="8" t="b">
        <f>AND(TrafficData[[#This Row],[pendingAmount]]&lt;=TrafficData[[#This Row],[totalAmount]],TrafficData[[#This Row],[disposedAmount]]&lt;=TrafficData[[#This Row],[totalAmount]])</f>
        <v>1</v>
      </c>
      <c r="P2682" s="8" t="b">
        <f>AND(TrafficData[[#This Row],[pendingCourt]]&lt;=TrafficData[[#This Row],[totalCourt]],TrafficData[[#This Row],[disposedCourt]]&lt;=TrafficData[[#This Row],[totalCourt]])</f>
        <v>1</v>
      </c>
    </row>
    <row r="2683" spans="1:16">
      <c r="A2683" s="1">
        <v>44687</v>
      </c>
      <c r="B2683">
        <v>136165</v>
      </c>
      <c r="C2683">
        <v>71422</v>
      </c>
      <c r="D2683">
        <v>64743</v>
      </c>
      <c r="E2683">
        <v>91130021</v>
      </c>
      <c r="F2683">
        <v>113938899</v>
      </c>
      <c r="G2683">
        <v>205068920</v>
      </c>
      <c r="H2683">
        <v>36531</v>
      </c>
      <c r="I2683">
        <v>10444</v>
      </c>
      <c r="J2683">
        <v>46975</v>
      </c>
      <c r="K2683" t="b">
        <f>TrafficData[[#This Row],[disposedChallan]]+TrafficData[[#This Row],[pendingChallan]]=TrafficData[[#This Row],[totalChallan]]</f>
        <v>1</v>
      </c>
      <c r="L2683" t="b">
        <f>TrafficData[[#This Row],[pendingAmount]]+TrafficData[[#This Row],[disposedAmount]]=TrafficData[[#This Row],[totalAmount]]</f>
        <v>1</v>
      </c>
      <c r="M2683" t="b">
        <f>TrafficData[[#This Row],[pendingCourt]]+TrafficData[[#This Row],[disposedCourt]]=TrafficData[[#This Row],[totalCourt]]</f>
        <v>1</v>
      </c>
      <c r="N2683" s="8" t="b">
        <f>AND(TrafficData[[#This Row],[disposedChallan]]&lt;=TrafficData[[#This Row],[totalChallan]],TrafficData[[#This Row],[pendingChallan]]&lt;=TrafficData[[#This Row],[totalChallan]])</f>
        <v>1</v>
      </c>
      <c r="O2683" s="8" t="b">
        <f>AND(TrafficData[[#This Row],[pendingAmount]]&lt;=TrafficData[[#This Row],[totalAmount]],TrafficData[[#This Row],[disposedAmount]]&lt;=TrafficData[[#This Row],[totalAmount]])</f>
        <v>1</v>
      </c>
      <c r="P2683" s="8" t="b">
        <f>AND(TrafficData[[#This Row],[pendingCourt]]&lt;=TrafficData[[#This Row],[totalCourt]],TrafficData[[#This Row],[disposedCourt]]&lt;=TrafficData[[#This Row],[totalCourt]])</f>
        <v>1</v>
      </c>
    </row>
    <row r="2684" spans="1:16">
      <c r="A2684" s="1">
        <v>44688</v>
      </c>
      <c r="B2684">
        <v>135145</v>
      </c>
      <c r="C2684">
        <v>70754</v>
      </c>
      <c r="D2684">
        <v>64391</v>
      </c>
      <c r="E2684">
        <v>89154554</v>
      </c>
      <c r="F2684">
        <v>106297671</v>
      </c>
      <c r="G2684">
        <v>195452225</v>
      </c>
      <c r="H2684">
        <v>38384</v>
      </c>
      <c r="I2684">
        <v>10768</v>
      </c>
      <c r="J2684">
        <v>49152</v>
      </c>
      <c r="K2684" t="b">
        <f>TrafficData[[#This Row],[disposedChallan]]+TrafficData[[#This Row],[pendingChallan]]=TrafficData[[#This Row],[totalChallan]]</f>
        <v>1</v>
      </c>
      <c r="L2684" t="b">
        <f>TrafficData[[#This Row],[pendingAmount]]+TrafficData[[#This Row],[disposedAmount]]=TrafficData[[#This Row],[totalAmount]]</f>
        <v>1</v>
      </c>
      <c r="M2684" t="b">
        <f>TrafficData[[#This Row],[pendingCourt]]+TrafficData[[#This Row],[disposedCourt]]=TrafficData[[#This Row],[totalCourt]]</f>
        <v>1</v>
      </c>
      <c r="N2684" s="8" t="b">
        <f>AND(TrafficData[[#This Row],[disposedChallan]]&lt;=TrafficData[[#This Row],[totalChallan]],TrafficData[[#This Row],[pendingChallan]]&lt;=TrafficData[[#This Row],[totalChallan]])</f>
        <v>1</v>
      </c>
      <c r="O2684" s="8" t="b">
        <f>AND(TrafficData[[#This Row],[pendingAmount]]&lt;=TrafficData[[#This Row],[totalAmount]],TrafficData[[#This Row],[disposedAmount]]&lt;=TrafficData[[#This Row],[totalAmount]])</f>
        <v>1</v>
      </c>
      <c r="P2684" s="8" t="b">
        <f>AND(TrafficData[[#This Row],[pendingCourt]]&lt;=TrafficData[[#This Row],[totalCourt]],TrafficData[[#This Row],[disposedCourt]]&lt;=TrafficData[[#This Row],[totalCourt]])</f>
        <v>1</v>
      </c>
    </row>
    <row r="2685" spans="1:16">
      <c r="A2685" s="1">
        <v>44689</v>
      </c>
      <c r="B2685">
        <v>116888</v>
      </c>
      <c r="C2685">
        <v>57068</v>
      </c>
      <c r="D2685">
        <v>59820</v>
      </c>
      <c r="E2685">
        <v>73731659</v>
      </c>
      <c r="F2685">
        <v>73975557</v>
      </c>
      <c r="G2685">
        <v>147707216</v>
      </c>
      <c r="H2685">
        <v>36032</v>
      </c>
      <c r="I2685">
        <v>9605</v>
      </c>
      <c r="J2685">
        <v>45637</v>
      </c>
      <c r="K2685" t="b">
        <f>TrafficData[[#This Row],[disposedChallan]]+TrafficData[[#This Row],[pendingChallan]]=TrafficData[[#This Row],[totalChallan]]</f>
        <v>1</v>
      </c>
      <c r="L2685" t="b">
        <f>TrafficData[[#This Row],[pendingAmount]]+TrafficData[[#This Row],[disposedAmount]]=TrafficData[[#This Row],[totalAmount]]</f>
        <v>1</v>
      </c>
      <c r="M2685" t="b">
        <f>TrafficData[[#This Row],[pendingCourt]]+TrafficData[[#This Row],[disposedCourt]]=TrafficData[[#This Row],[totalCourt]]</f>
        <v>1</v>
      </c>
      <c r="N2685" s="8" t="b">
        <f>AND(TrafficData[[#This Row],[disposedChallan]]&lt;=TrafficData[[#This Row],[totalChallan]],TrafficData[[#This Row],[pendingChallan]]&lt;=TrafficData[[#This Row],[totalChallan]])</f>
        <v>1</v>
      </c>
      <c r="O2685" s="8" t="b">
        <f>AND(TrafficData[[#This Row],[pendingAmount]]&lt;=TrafficData[[#This Row],[totalAmount]],TrafficData[[#This Row],[disposedAmount]]&lt;=TrafficData[[#This Row],[totalAmount]])</f>
        <v>1</v>
      </c>
      <c r="P2685" s="8" t="b">
        <f>AND(TrafficData[[#This Row],[pendingCourt]]&lt;=TrafficData[[#This Row],[totalCourt]],TrafficData[[#This Row],[disposedCourt]]&lt;=TrafficData[[#This Row],[totalCourt]])</f>
        <v>1</v>
      </c>
    </row>
    <row r="2686" spans="1:16">
      <c r="A2686" s="1">
        <v>44690</v>
      </c>
      <c r="B2686">
        <v>129247</v>
      </c>
      <c r="C2686">
        <v>66070</v>
      </c>
      <c r="D2686">
        <v>63177</v>
      </c>
      <c r="E2686">
        <v>91498699</v>
      </c>
      <c r="F2686">
        <v>93957569</v>
      </c>
      <c r="G2686">
        <v>185456268</v>
      </c>
      <c r="H2686">
        <v>39063</v>
      </c>
      <c r="I2686">
        <v>10785</v>
      </c>
      <c r="J2686">
        <v>49848</v>
      </c>
      <c r="K2686" t="b">
        <f>TrafficData[[#This Row],[disposedChallan]]+TrafficData[[#This Row],[pendingChallan]]=TrafficData[[#This Row],[totalChallan]]</f>
        <v>1</v>
      </c>
      <c r="L2686" t="b">
        <f>TrafficData[[#This Row],[pendingAmount]]+TrafficData[[#This Row],[disposedAmount]]=TrafficData[[#This Row],[totalAmount]]</f>
        <v>1</v>
      </c>
      <c r="M2686" t="b">
        <f>TrafficData[[#This Row],[pendingCourt]]+TrafficData[[#This Row],[disposedCourt]]=TrafficData[[#This Row],[totalCourt]]</f>
        <v>1</v>
      </c>
      <c r="N2686" s="8" t="b">
        <f>AND(TrafficData[[#This Row],[disposedChallan]]&lt;=TrafficData[[#This Row],[totalChallan]],TrafficData[[#This Row],[pendingChallan]]&lt;=TrafficData[[#This Row],[totalChallan]])</f>
        <v>1</v>
      </c>
      <c r="O2686" s="8" t="b">
        <f>AND(TrafficData[[#This Row],[pendingAmount]]&lt;=TrafficData[[#This Row],[totalAmount]],TrafficData[[#This Row],[disposedAmount]]&lt;=TrafficData[[#This Row],[totalAmount]])</f>
        <v>1</v>
      </c>
      <c r="P2686" s="8" t="b">
        <f>AND(TrafficData[[#This Row],[pendingCourt]]&lt;=TrafficData[[#This Row],[totalCourt]],TrafficData[[#This Row],[disposedCourt]]&lt;=TrafficData[[#This Row],[totalCourt]])</f>
        <v>1</v>
      </c>
    </row>
    <row r="2687" spans="1:16">
      <c r="A2687" s="1">
        <v>44691</v>
      </c>
      <c r="B2687">
        <v>126376</v>
      </c>
      <c r="C2687">
        <v>64589</v>
      </c>
      <c r="D2687">
        <v>61787</v>
      </c>
      <c r="E2687">
        <v>94456626</v>
      </c>
      <c r="F2687">
        <v>103103663</v>
      </c>
      <c r="G2687">
        <v>197560289</v>
      </c>
      <c r="H2687">
        <v>36578</v>
      </c>
      <c r="I2687">
        <v>10176</v>
      </c>
      <c r="J2687">
        <v>46754</v>
      </c>
      <c r="K2687" t="b">
        <f>TrafficData[[#This Row],[disposedChallan]]+TrafficData[[#This Row],[pendingChallan]]=TrafficData[[#This Row],[totalChallan]]</f>
        <v>1</v>
      </c>
      <c r="L2687" t="b">
        <f>TrafficData[[#This Row],[pendingAmount]]+TrafficData[[#This Row],[disposedAmount]]=TrafficData[[#This Row],[totalAmount]]</f>
        <v>1</v>
      </c>
      <c r="M2687" t="b">
        <f>TrafficData[[#This Row],[pendingCourt]]+TrafficData[[#This Row],[disposedCourt]]=TrafficData[[#This Row],[totalCourt]]</f>
        <v>1</v>
      </c>
      <c r="N2687" s="8" t="b">
        <f>AND(TrafficData[[#This Row],[disposedChallan]]&lt;=TrafficData[[#This Row],[totalChallan]],TrafficData[[#This Row],[pendingChallan]]&lt;=TrafficData[[#This Row],[totalChallan]])</f>
        <v>1</v>
      </c>
      <c r="O2687" s="8" t="b">
        <f>AND(TrafficData[[#This Row],[pendingAmount]]&lt;=TrafficData[[#This Row],[totalAmount]],TrafficData[[#This Row],[disposedAmount]]&lt;=TrafficData[[#This Row],[totalAmount]])</f>
        <v>1</v>
      </c>
      <c r="P2687" s="8" t="b">
        <f>AND(TrafficData[[#This Row],[pendingCourt]]&lt;=TrafficData[[#This Row],[totalCourt]],TrafficData[[#This Row],[disposedCourt]]&lt;=TrafficData[[#This Row],[totalCourt]])</f>
        <v>1</v>
      </c>
    </row>
    <row r="2688" spans="1:16">
      <c r="A2688" s="1">
        <v>44692</v>
      </c>
      <c r="B2688">
        <v>130034</v>
      </c>
      <c r="C2688">
        <v>67636</v>
      </c>
      <c r="D2688">
        <v>62398</v>
      </c>
      <c r="E2688">
        <v>92357895</v>
      </c>
      <c r="F2688">
        <v>107773795</v>
      </c>
      <c r="G2688">
        <v>200131690</v>
      </c>
      <c r="H2688">
        <v>37379</v>
      </c>
      <c r="I2688">
        <v>10423</v>
      </c>
      <c r="J2688">
        <v>47802</v>
      </c>
      <c r="K2688" t="b">
        <f>TrafficData[[#This Row],[disposedChallan]]+TrafficData[[#This Row],[pendingChallan]]=TrafficData[[#This Row],[totalChallan]]</f>
        <v>1</v>
      </c>
      <c r="L2688" t="b">
        <f>TrafficData[[#This Row],[pendingAmount]]+TrafficData[[#This Row],[disposedAmount]]=TrafficData[[#This Row],[totalAmount]]</f>
        <v>1</v>
      </c>
      <c r="M2688" t="b">
        <f>TrafficData[[#This Row],[pendingCourt]]+TrafficData[[#This Row],[disposedCourt]]=TrafficData[[#This Row],[totalCourt]]</f>
        <v>1</v>
      </c>
      <c r="N2688" s="8" t="b">
        <f>AND(TrafficData[[#This Row],[disposedChallan]]&lt;=TrafficData[[#This Row],[totalChallan]],TrafficData[[#This Row],[pendingChallan]]&lt;=TrafficData[[#This Row],[totalChallan]])</f>
        <v>1</v>
      </c>
      <c r="O2688" s="8" t="b">
        <f>AND(TrafficData[[#This Row],[pendingAmount]]&lt;=TrafficData[[#This Row],[totalAmount]],TrafficData[[#This Row],[disposedAmount]]&lt;=TrafficData[[#This Row],[totalAmount]])</f>
        <v>1</v>
      </c>
      <c r="P2688" s="8" t="b">
        <f>AND(TrafficData[[#This Row],[pendingCourt]]&lt;=TrafficData[[#This Row],[totalCourt]],TrafficData[[#This Row],[disposedCourt]]&lt;=TrafficData[[#This Row],[totalCourt]])</f>
        <v>1</v>
      </c>
    </row>
    <row r="2689" spans="1:16">
      <c r="A2689" s="1">
        <v>44693</v>
      </c>
      <c r="B2689">
        <v>126432</v>
      </c>
      <c r="C2689">
        <v>63913</v>
      </c>
      <c r="D2689">
        <v>62519</v>
      </c>
      <c r="E2689">
        <v>97381779</v>
      </c>
      <c r="F2689">
        <v>98413030</v>
      </c>
      <c r="G2689">
        <v>195794809</v>
      </c>
      <c r="H2689">
        <v>37660</v>
      </c>
      <c r="I2689">
        <v>10556</v>
      </c>
      <c r="J2689">
        <v>48216</v>
      </c>
      <c r="K2689" t="b">
        <f>TrafficData[[#This Row],[disposedChallan]]+TrafficData[[#This Row],[pendingChallan]]=TrafficData[[#This Row],[totalChallan]]</f>
        <v>1</v>
      </c>
      <c r="L2689" t="b">
        <f>TrafficData[[#This Row],[pendingAmount]]+TrafficData[[#This Row],[disposedAmount]]=TrafficData[[#This Row],[totalAmount]]</f>
        <v>1</v>
      </c>
      <c r="M2689" t="b">
        <f>TrafficData[[#This Row],[pendingCourt]]+TrafficData[[#This Row],[disposedCourt]]=TrafficData[[#This Row],[totalCourt]]</f>
        <v>1</v>
      </c>
      <c r="N2689" s="8" t="b">
        <f>AND(TrafficData[[#This Row],[disposedChallan]]&lt;=TrafficData[[#This Row],[totalChallan]],TrafficData[[#This Row],[pendingChallan]]&lt;=TrafficData[[#This Row],[totalChallan]])</f>
        <v>1</v>
      </c>
      <c r="O2689" s="8" t="b">
        <f>AND(TrafficData[[#This Row],[pendingAmount]]&lt;=TrafficData[[#This Row],[totalAmount]],TrafficData[[#This Row],[disposedAmount]]&lt;=TrafficData[[#This Row],[totalAmount]])</f>
        <v>1</v>
      </c>
      <c r="P2689" s="8" t="b">
        <f>AND(TrafficData[[#This Row],[pendingCourt]]&lt;=TrafficData[[#This Row],[totalCourt]],TrafficData[[#This Row],[disposedCourt]]&lt;=TrafficData[[#This Row],[totalCourt]])</f>
        <v>1</v>
      </c>
    </row>
    <row r="2690" spans="1:16">
      <c r="A2690" s="1">
        <v>44694</v>
      </c>
      <c r="B2690">
        <v>127802</v>
      </c>
      <c r="C2690">
        <v>66178</v>
      </c>
      <c r="D2690">
        <v>61624</v>
      </c>
      <c r="E2690">
        <v>88996684</v>
      </c>
      <c r="F2690">
        <v>99740340</v>
      </c>
      <c r="G2690">
        <v>188737024</v>
      </c>
      <c r="H2690">
        <v>37831</v>
      </c>
      <c r="I2690">
        <v>10579</v>
      </c>
      <c r="J2690">
        <v>48410</v>
      </c>
      <c r="K2690" t="b">
        <f>TrafficData[[#This Row],[disposedChallan]]+TrafficData[[#This Row],[pendingChallan]]=TrafficData[[#This Row],[totalChallan]]</f>
        <v>1</v>
      </c>
      <c r="L2690" t="b">
        <f>TrafficData[[#This Row],[pendingAmount]]+TrafficData[[#This Row],[disposedAmount]]=TrafficData[[#This Row],[totalAmount]]</f>
        <v>1</v>
      </c>
      <c r="M2690" t="b">
        <f>TrafficData[[#This Row],[pendingCourt]]+TrafficData[[#This Row],[disposedCourt]]=TrafficData[[#This Row],[totalCourt]]</f>
        <v>1</v>
      </c>
      <c r="N2690" s="8" t="b">
        <f>AND(TrafficData[[#This Row],[disposedChallan]]&lt;=TrafficData[[#This Row],[totalChallan]],TrafficData[[#This Row],[pendingChallan]]&lt;=TrafficData[[#This Row],[totalChallan]])</f>
        <v>1</v>
      </c>
      <c r="O2690" s="8" t="b">
        <f>AND(TrafficData[[#This Row],[pendingAmount]]&lt;=TrafficData[[#This Row],[totalAmount]],TrafficData[[#This Row],[disposedAmount]]&lt;=TrafficData[[#This Row],[totalAmount]])</f>
        <v>1</v>
      </c>
      <c r="P2690" s="8" t="b">
        <f>AND(TrafficData[[#This Row],[pendingCourt]]&lt;=TrafficData[[#This Row],[totalCourt]],TrafficData[[#This Row],[disposedCourt]]&lt;=TrafficData[[#This Row],[totalCourt]])</f>
        <v>1</v>
      </c>
    </row>
    <row r="2691" spans="1:16">
      <c r="A2691" s="1">
        <v>44695</v>
      </c>
      <c r="B2691">
        <v>121584</v>
      </c>
      <c r="C2691">
        <v>63132</v>
      </c>
      <c r="D2691">
        <v>58452</v>
      </c>
      <c r="E2691">
        <v>79303635</v>
      </c>
      <c r="F2691">
        <v>92618784</v>
      </c>
      <c r="G2691">
        <v>171922419</v>
      </c>
      <c r="H2691">
        <v>34065</v>
      </c>
      <c r="I2691">
        <v>9703</v>
      </c>
      <c r="J2691">
        <v>43768</v>
      </c>
      <c r="K2691" t="b">
        <f>TrafficData[[#This Row],[disposedChallan]]+TrafficData[[#This Row],[pendingChallan]]=TrafficData[[#This Row],[totalChallan]]</f>
        <v>1</v>
      </c>
      <c r="L2691" t="b">
        <f>TrafficData[[#This Row],[pendingAmount]]+TrafficData[[#This Row],[disposedAmount]]=TrafficData[[#This Row],[totalAmount]]</f>
        <v>1</v>
      </c>
      <c r="M2691" t="b">
        <f>TrafficData[[#This Row],[pendingCourt]]+TrafficData[[#This Row],[disposedCourt]]=TrafficData[[#This Row],[totalCourt]]</f>
        <v>1</v>
      </c>
      <c r="N2691" s="8" t="b">
        <f>AND(TrafficData[[#This Row],[disposedChallan]]&lt;=TrafficData[[#This Row],[totalChallan]],TrafficData[[#This Row],[pendingChallan]]&lt;=TrafficData[[#This Row],[totalChallan]])</f>
        <v>1</v>
      </c>
      <c r="O2691" s="8" t="b">
        <f>AND(TrafficData[[#This Row],[pendingAmount]]&lt;=TrafficData[[#This Row],[totalAmount]],TrafficData[[#This Row],[disposedAmount]]&lt;=TrafficData[[#This Row],[totalAmount]])</f>
        <v>1</v>
      </c>
      <c r="P2691" s="8" t="b">
        <f>AND(TrafficData[[#This Row],[pendingCourt]]&lt;=TrafficData[[#This Row],[totalCourt]],TrafficData[[#This Row],[disposedCourt]]&lt;=TrafficData[[#This Row],[totalCourt]])</f>
        <v>1</v>
      </c>
    </row>
    <row r="2692" spans="1:16">
      <c r="A2692" s="1">
        <v>44696</v>
      </c>
      <c r="B2692">
        <v>112786</v>
      </c>
      <c r="C2692">
        <v>54064</v>
      </c>
      <c r="D2692">
        <v>58722</v>
      </c>
      <c r="E2692">
        <v>86910173</v>
      </c>
      <c r="F2692">
        <v>75210469</v>
      </c>
      <c r="G2692">
        <v>162120642</v>
      </c>
      <c r="H2692">
        <v>31689</v>
      </c>
      <c r="I2692">
        <v>8843</v>
      </c>
      <c r="J2692">
        <v>40532</v>
      </c>
      <c r="K2692" t="b">
        <f>TrafficData[[#This Row],[disposedChallan]]+TrafficData[[#This Row],[pendingChallan]]=TrafficData[[#This Row],[totalChallan]]</f>
        <v>1</v>
      </c>
      <c r="L2692" t="b">
        <f>TrafficData[[#This Row],[pendingAmount]]+TrafficData[[#This Row],[disposedAmount]]=TrafficData[[#This Row],[totalAmount]]</f>
        <v>1</v>
      </c>
      <c r="M2692" t="b">
        <f>TrafficData[[#This Row],[pendingCourt]]+TrafficData[[#This Row],[disposedCourt]]=TrafficData[[#This Row],[totalCourt]]</f>
        <v>1</v>
      </c>
      <c r="N2692" s="8" t="b">
        <f>AND(TrafficData[[#This Row],[disposedChallan]]&lt;=TrafficData[[#This Row],[totalChallan]],TrafficData[[#This Row],[pendingChallan]]&lt;=TrafficData[[#This Row],[totalChallan]])</f>
        <v>1</v>
      </c>
      <c r="O2692" s="8" t="b">
        <f>AND(TrafficData[[#This Row],[pendingAmount]]&lt;=TrafficData[[#This Row],[totalAmount]],TrafficData[[#This Row],[disposedAmount]]&lt;=TrafficData[[#This Row],[totalAmount]])</f>
        <v>1</v>
      </c>
      <c r="P2692" s="8" t="b">
        <f>AND(TrafficData[[#This Row],[pendingCourt]]&lt;=TrafficData[[#This Row],[totalCourt]],TrafficData[[#This Row],[disposedCourt]]&lt;=TrafficData[[#This Row],[totalCourt]])</f>
        <v>1</v>
      </c>
    </row>
    <row r="2693" spans="1:16">
      <c r="A2693" s="1">
        <v>44697</v>
      </c>
      <c r="B2693">
        <v>121533</v>
      </c>
      <c r="C2693">
        <v>61154</v>
      </c>
      <c r="D2693">
        <v>60379</v>
      </c>
      <c r="E2693">
        <v>86662220</v>
      </c>
      <c r="F2693">
        <v>79469721</v>
      </c>
      <c r="G2693">
        <v>166131941</v>
      </c>
      <c r="H2693">
        <v>31986</v>
      </c>
      <c r="I2693">
        <v>9003</v>
      </c>
      <c r="J2693">
        <v>40989</v>
      </c>
      <c r="K2693" t="b">
        <f>TrafficData[[#This Row],[disposedChallan]]+TrafficData[[#This Row],[pendingChallan]]=TrafficData[[#This Row],[totalChallan]]</f>
        <v>1</v>
      </c>
      <c r="L2693" t="b">
        <f>TrafficData[[#This Row],[pendingAmount]]+TrafficData[[#This Row],[disposedAmount]]=TrafficData[[#This Row],[totalAmount]]</f>
        <v>1</v>
      </c>
      <c r="M2693" t="b">
        <f>TrafficData[[#This Row],[pendingCourt]]+TrafficData[[#This Row],[disposedCourt]]=TrafficData[[#This Row],[totalCourt]]</f>
        <v>1</v>
      </c>
      <c r="N2693" s="8" t="b">
        <f>AND(TrafficData[[#This Row],[disposedChallan]]&lt;=TrafficData[[#This Row],[totalChallan]],TrafficData[[#This Row],[pendingChallan]]&lt;=TrafficData[[#This Row],[totalChallan]])</f>
        <v>1</v>
      </c>
      <c r="O2693" s="8" t="b">
        <f>AND(TrafficData[[#This Row],[pendingAmount]]&lt;=TrafficData[[#This Row],[totalAmount]],TrafficData[[#This Row],[disposedAmount]]&lt;=TrafficData[[#This Row],[totalAmount]])</f>
        <v>1</v>
      </c>
      <c r="P2693" s="8" t="b">
        <f>AND(TrafficData[[#This Row],[pendingCourt]]&lt;=TrafficData[[#This Row],[totalCourt]],TrafficData[[#This Row],[disposedCourt]]&lt;=TrafficData[[#This Row],[totalCourt]])</f>
        <v>1</v>
      </c>
    </row>
    <row r="2694" spans="1:16">
      <c r="A2694" s="1">
        <v>44698</v>
      </c>
      <c r="B2694">
        <v>132132</v>
      </c>
      <c r="C2694">
        <v>64629</v>
      </c>
      <c r="D2694">
        <v>67503</v>
      </c>
      <c r="E2694">
        <v>91950484</v>
      </c>
      <c r="F2694">
        <v>102830978</v>
      </c>
      <c r="G2694">
        <v>194781462</v>
      </c>
      <c r="H2694">
        <v>34639</v>
      </c>
      <c r="I2694">
        <v>9710</v>
      </c>
      <c r="J2694">
        <v>44349</v>
      </c>
      <c r="K2694" t="b">
        <f>TrafficData[[#This Row],[disposedChallan]]+TrafficData[[#This Row],[pendingChallan]]=TrafficData[[#This Row],[totalChallan]]</f>
        <v>1</v>
      </c>
      <c r="L2694" t="b">
        <f>TrafficData[[#This Row],[pendingAmount]]+TrafficData[[#This Row],[disposedAmount]]=TrafficData[[#This Row],[totalAmount]]</f>
        <v>1</v>
      </c>
      <c r="M2694" t="b">
        <f>TrafficData[[#This Row],[pendingCourt]]+TrafficData[[#This Row],[disposedCourt]]=TrafficData[[#This Row],[totalCourt]]</f>
        <v>1</v>
      </c>
      <c r="N2694" s="8" t="b">
        <f>AND(TrafficData[[#This Row],[disposedChallan]]&lt;=TrafficData[[#This Row],[totalChallan]],TrafficData[[#This Row],[pendingChallan]]&lt;=TrafficData[[#This Row],[totalChallan]])</f>
        <v>1</v>
      </c>
      <c r="O2694" s="8" t="b">
        <f>AND(TrafficData[[#This Row],[pendingAmount]]&lt;=TrafficData[[#This Row],[totalAmount]],TrafficData[[#This Row],[disposedAmount]]&lt;=TrafficData[[#This Row],[totalAmount]])</f>
        <v>1</v>
      </c>
      <c r="P2694" s="8" t="b">
        <f>AND(TrafficData[[#This Row],[pendingCourt]]&lt;=TrafficData[[#This Row],[totalCourt]],TrafficData[[#This Row],[disposedCourt]]&lt;=TrafficData[[#This Row],[totalCourt]])</f>
        <v>1</v>
      </c>
    </row>
    <row r="2695" spans="1:16">
      <c r="A2695" s="1">
        <v>44699</v>
      </c>
      <c r="B2695">
        <v>130510</v>
      </c>
      <c r="C2695">
        <v>65303</v>
      </c>
      <c r="D2695">
        <v>65207</v>
      </c>
      <c r="E2695">
        <v>96274534</v>
      </c>
      <c r="F2695">
        <v>106525512</v>
      </c>
      <c r="G2695">
        <v>202800046</v>
      </c>
      <c r="H2695">
        <v>37460</v>
      </c>
      <c r="I2695">
        <v>10399</v>
      </c>
      <c r="J2695">
        <v>47859</v>
      </c>
      <c r="K2695" t="b">
        <f>TrafficData[[#This Row],[disposedChallan]]+TrafficData[[#This Row],[pendingChallan]]=TrafficData[[#This Row],[totalChallan]]</f>
        <v>1</v>
      </c>
      <c r="L2695" t="b">
        <f>TrafficData[[#This Row],[pendingAmount]]+TrafficData[[#This Row],[disposedAmount]]=TrafficData[[#This Row],[totalAmount]]</f>
        <v>1</v>
      </c>
      <c r="M2695" t="b">
        <f>TrafficData[[#This Row],[pendingCourt]]+TrafficData[[#This Row],[disposedCourt]]=TrafficData[[#This Row],[totalCourt]]</f>
        <v>1</v>
      </c>
      <c r="N2695" s="8" t="b">
        <f>AND(TrafficData[[#This Row],[disposedChallan]]&lt;=TrafficData[[#This Row],[totalChallan]],TrafficData[[#This Row],[pendingChallan]]&lt;=TrafficData[[#This Row],[totalChallan]])</f>
        <v>1</v>
      </c>
      <c r="O2695" s="8" t="b">
        <f>AND(TrafficData[[#This Row],[pendingAmount]]&lt;=TrafficData[[#This Row],[totalAmount]],TrafficData[[#This Row],[disposedAmount]]&lt;=TrafficData[[#This Row],[totalAmount]])</f>
        <v>1</v>
      </c>
      <c r="P2695" s="8" t="b">
        <f>AND(TrafficData[[#This Row],[pendingCourt]]&lt;=TrafficData[[#This Row],[totalCourt]],TrafficData[[#This Row],[disposedCourt]]&lt;=TrafficData[[#This Row],[totalCourt]])</f>
        <v>1</v>
      </c>
    </row>
    <row r="2696" spans="1:16">
      <c r="A2696" s="1">
        <v>44700</v>
      </c>
      <c r="B2696">
        <v>135193</v>
      </c>
      <c r="C2696">
        <v>67019</v>
      </c>
      <c r="D2696">
        <v>68174</v>
      </c>
      <c r="E2696">
        <v>111412911</v>
      </c>
      <c r="F2696">
        <v>107857444</v>
      </c>
      <c r="G2696">
        <v>219270355</v>
      </c>
      <c r="H2696">
        <v>43800</v>
      </c>
      <c r="I2696">
        <v>12169</v>
      </c>
      <c r="J2696">
        <v>55969</v>
      </c>
      <c r="K2696" t="b">
        <f>TrafficData[[#This Row],[disposedChallan]]+TrafficData[[#This Row],[pendingChallan]]=TrafficData[[#This Row],[totalChallan]]</f>
        <v>1</v>
      </c>
      <c r="L2696" t="b">
        <f>TrafficData[[#This Row],[pendingAmount]]+TrafficData[[#This Row],[disposedAmount]]=TrafficData[[#This Row],[totalAmount]]</f>
        <v>1</v>
      </c>
      <c r="M2696" t="b">
        <f>TrafficData[[#This Row],[pendingCourt]]+TrafficData[[#This Row],[disposedCourt]]=TrafficData[[#This Row],[totalCourt]]</f>
        <v>1</v>
      </c>
      <c r="N2696" s="8" t="b">
        <f>AND(TrafficData[[#This Row],[disposedChallan]]&lt;=TrafficData[[#This Row],[totalChallan]],TrafficData[[#This Row],[pendingChallan]]&lt;=TrafficData[[#This Row],[totalChallan]])</f>
        <v>1</v>
      </c>
      <c r="O2696" s="8" t="b">
        <f>AND(TrafficData[[#This Row],[pendingAmount]]&lt;=TrafficData[[#This Row],[totalAmount]],TrafficData[[#This Row],[disposedAmount]]&lt;=TrafficData[[#This Row],[totalAmount]])</f>
        <v>1</v>
      </c>
      <c r="P2696" s="8" t="b">
        <f>AND(TrafficData[[#This Row],[pendingCourt]]&lt;=TrafficData[[#This Row],[totalCourt]],TrafficData[[#This Row],[disposedCourt]]&lt;=TrafficData[[#This Row],[totalCourt]])</f>
        <v>1</v>
      </c>
    </row>
    <row r="2697" spans="1:16">
      <c r="A2697" s="1">
        <v>44701</v>
      </c>
      <c r="B2697">
        <v>139120</v>
      </c>
      <c r="C2697">
        <v>69187</v>
      </c>
      <c r="D2697">
        <v>69933</v>
      </c>
      <c r="E2697">
        <v>101860965</v>
      </c>
      <c r="F2697">
        <v>116532715</v>
      </c>
      <c r="G2697">
        <v>218393680</v>
      </c>
      <c r="H2697">
        <v>43939</v>
      </c>
      <c r="I2697">
        <v>12522</v>
      </c>
      <c r="J2697">
        <v>56461</v>
      </c>
      <c r="K2697" t="b">
        <f>TrafficData[[#This Row],[disposedChallan]]+TrafficData[[#This Row],[pendingChallan]]=TrafficData[[#This Row],[totalChallan]]</f>
        <v>1</v>
      </c>
      <c r="L2697" t="b">
        <f>TrafficData[[#This Row],[pendingAmount]]+TrafficData[[#This Row],[disposedAmount]]=TrafficData[[#This Row],[totalAmount]]</f>
        <v>1</v>
      </c>
      <c r="M2697" t="b">
        <f>TrafficData[[#This Row],[pendingCourt]]+TrafficData[[#This Row],[disposedCourt]]=TrafficData[[#This Row],[totalCourt]]</f>
        <v>1</v>
      </c>
      <c r="N2697" s="8" t="b">
        <f>AND(TrafficData[[#This Row],[disposedChallan]]&lt;=TrafficData[[#This Row],[totalChallan]],TrafficData[[#This Row],[pendingChallan]]&lt;=TrafficData[[#This Row],[totalChallan]])</f>
        <v>1</v>
      </c>
      <c r="O2697" s="8" t="b">
        <f>AND(TrafficData[[#This Row],[pendingAmount]]&lt;=TrafficData[[#This Row],[totalAmount]],TrafficData[[#This Row],[disposedAmount]]&lt;=TrafficData[[#This Row],[totalAmount]])</f>
        <v>1</v>
      </c>
      <c r="P2697" s="8" t="b">
        <f>AND(TrafficData[[#This Row],[pendingCourt]]&lt;=TrafficData[[#This Row],[totalCourt]],TrafficData[[#This Row],[disposedCourt]]&lt;=TrafficData[[#This Row],[totalCourt]])</f>
        <v>1</v>
      </c>
    </row>
    <row r="2698" spans="1:16">
      <c r="A2698" s="1">
        <v>44702</v>
      </c>
      <c r="B2698">
        <v>135056</v>
      </c>
      <c r="C2698">
        <v>69584</v>
      </c>
      <c r="D2698">
        <v>65472</v>
      </c>
      <c r="E2698">
        <v>98704415</v>
      </c>
      <c r="F2698">
        <v>99081341</v>
      </c>
      <c r="G2698">
        <v>197785756</v>
      </c>
      <c r="H2698">
        <v>42872</v>
      </c>
      <c r="I2698">
        <v>12132</v>
      </c>
      <c r="J2698">
        <v>55004</v>
      </c>
      <c r="K2698" t="b">
        <f>TrafficData[[#This Row],[disposedChallan]]+TrafficData[[#This Row],[pendingChallan]]=TrafficData[[#This Row],[totalChallan]]</f>
        <v>1</v>
      </c>
      <c r="L2698" t="b">
        <f>TrafficData[[#This Row],[pendingAmount]]+TrafficData[[#This Row],[disposedAmount]]=TrafficData[[#This Row],[totalAmount]]</f>
        <v>1</v>
      </c>
      <c r="M2698" t="b">
        <f>TrafficData[[#This Row],[pendingCourt]]+TrafficData[[#This Row],[disposedCourt]]=TrafficData[[#This Row],[totalCourt]]</f>
        <v>1</v>
      </c>
      <c r="N2698" s="8" t="b">
        <f>AND(TrafficData[[#This Row],[disposedChallan]]&lt;=TrafficData[[#This Row],[totalChallan]],TrafficData[[#This Row],[pendingChallan]]&lt;=TrafficData[[#This Row],[totalChallan]])</f>
        <v>1</v>
      </c>
      <c r="O2698" s="8" t="b">
        <f>AND(TrafficData[[#This Row],[pendingAmount]]&lt;=TrafficData[[#This Row],[totalAmount]],TrafficData[[#This Row],[disposedAmount]]&lt;=TrafficData[[#This Row],[totalAmount]])</f>
        <v>1</v>
      </c>
      <c r="P2698" s="8" t="b">
        <f>AND(TrafficData[[#This Row],[pendingCourt]]&lt;=TrafficData[[#This Row],[totalCourt]],TrafficData[[#This Row],[disposedCourt]]&lt;=TrafficData[[#This Row],[totalCourt]])</f>
        <v>1</v>
      </c>
    </row>
    <row r="2699" spans="1:16">
      <c r="A2699" s="1">
        <v>44703</v>
      </c>
      <c r="B2699">
        <v>118719</v>
      </c>
      <c r="C2699">
        <v>59818</v>
      </c>
      <c r="D2699">
        <v>58901</v>
      </c>
      <c r="E2699">
        <v>90398721</v>
      </c>
      <c r="F2699">
        <v>76760628</v>
      </c>
      <c r="G2699">
        <v>167159349</v>
      </c>
      <c r="H2699">
        <v>41284</v>
      </c>
      <c r="I2699">
        <v>11187</v>
      </c>
      <c r="J2699">
        <v>52471</v>
      </c>
      <c r="K2699" t="b">
        <f>TrafficData[[#This Row],[disposedChallan]]+TrafficData[[#This Row],[pendingChallan]]=TrafficData[[#This Row],[totalChallan]]</f>
        <v>1</v>
      </c>
      <c r="L2699" t="b">
        <f>TrafficData[[#This Row],[pendingAmount]]+TrafficData[[#This Row],[disposedAmount]]=TrafficData[[#This Row],[totalAmount]]</f>
        <v>1</v>
      </c>
      <c r="M2699" t="b">
        <f>TrafficData[[#This Row],[pendingCourt]]+TrafficData[[#This Row],[disposedCourt]]=TrafficData[[#This Row],[totalCourt]]</f>
        <v>1</v>
      </c>
      <c r="N2699" s="8" t="b">
        <f>AND(TrafficData[[#This Row],[disposedChallan]]&lt;=TrafficData[[#This Row],[totalChallan]],TrafficData[[#This Row],[pendingChallan]]&lt;=TrafficData[[#This Row],[totalChallan]])</f>
        <v>1</v>
      </c>
      <c r="O2699" s="8" t="b">
        <f>AND(TrafficData[[#This Row],[pendingAmount]]&lt;=TrafficData[[#This Row],[totalAmount]],TrafficData[[#This Row],[disposedAmount]]&lt;=TrafficData[[#This Row],[totalAmount]])</f>
        <v>1</v>
      </c>
      <c r="P2699" s="8" t="b">
        <f>AND(TrafficData[[#This Row],[pendingCourt]]&lt;=TrafficData[[#This Row],[totalCourt]],TrafficData[[#This Row],[disposedCourt]]&lt;=TrafficData[[#This Row],[totalCourt]])</f>
        <v>1</v>
      </c>
    </row>
    <row r="2700" spans="1:16">
      <c r="A2700" s="1">
        <v>44704</v>
      </c>
      <c r="B2700">
        <v>127920</v>
      </c>
      <c r="C2700">
        <v>67541</v>
      </c>
      <c r="D2700">
        <v>60379</v>
      </c>
      <c r="E2700">
        <v>96822643</v>
      </c>
      <c r="F2700">
        <v>89337094</v>
      </c>
      <c r="G2700">
        <v>186159737</v>
      </c>
      <c r="H2700">
        <v>39905</v>
      </c>
      <c r="I2700">
        <v>11633</v>
      </c>
      <c r="J2700">
        <v>51538</v>
      </c>
      <c r="K2700" t="b">
        <f>TrafficData[[#This Row],[disposedChallan]]+TrafficData[[#This Row],[pendingChallan]]=TrafficData[[#This Row],[totalChallan]]</f>
        <v>1</v>
      </c>
      <c r="L2700" t="b">
        <f>TrafficData[[#This Row],[pendingAmount]]+TrafficData[[#This Row],[disposedAmount]]=TrafficData[[#This Row],[totalAmount]]</f>
        <v>1</v>
      </c>
      <c r="M2700" t="b">
        <f>TrafficData[[#This Row],[pendingCourt]]+TrafficData[[#This Row],[disposedCourt]]=TrafficData[[#This Row],[totalCourt]]</f>
        <v>1</v>
      </c>
      <c r="N2700" s="8" t="b">
        <f>AND(TrafficData[[#This Row],[disposedChallan]]&lt;=TrafficData[[#This Row],[totalChallan]],TrafficData[[#This Row],[pendingChallan]]&lt;=TrafficData[[#This Row],[totalChallan]])</f>
        <v>1</v>
      </c>
      <c r="O2700" s="8" t="b">
        <f>AND(TrafficData[[#This Row],[pendingAmount]]&lt;=TrafficData[[#This Row],[totalAmount]],TrafficData[[#This Row],[disposedAmount]]&lt;=TrafficData[[#This Row],[totalAmount]])</f>
        <v>1</v>
      </c>
      <c r="P2700" s="8" t="b">
        <f>AND(TrafficData[[#This Row],[pendingCourt]]&lt;=TrafficData[[#This Row],[totalCourt]],TrafficData[[#This Row],[disposedCourt]]&lt;=TrafficData[[#This Row],[totalCourt]])</f>
        <v>1</v>
      </c>
    </row>
    <row r="2701" spans="1:16">
      <c r="A2701" s="1">
        <v>44705</v>
      </c>
      <c r="B2701">
        <v>129816</v>
      </c>
      <c r="C2701">
        <v>68344</v>
      </c>
      <c r="D2701">
        <v>61472</v>
      </c>
      <c r="E2701">
        <v>108467770</v>
      </c>
      <c r="F2701">
        <v>102472774</v>
      </c>
      <c r="G2701">
        <v>210940544</v>
      </c>
      <c r="H2701">
        <v>42671</v>
      </c>
      <c r="I2701">
        <v>12265</v>
      </c>
      <c r="J2701">
        <v>54936</v>
      </c>
      <c r="K2701" t="b">
        <f>TrafficData[[#This Row],[disposedChallan]]+TrafficData[[#This Row],[pendingChallan]]=TrafficData[[#This Row],[totalChallan]]</f>
        <v>1</v>
      </c>
      <c r="L2701" t="b">
        <f>TrafficData[[#This Row],[pendingAmount]]+TrafficData[[#This Row],[disposedAmount]]=TrafficData[[#This Row],[totalAmount]]</f>
        <v>1</v>
      </c>
      <c r="M2701" t="b">
        <f>TrafficData[[#This Row],[pendingCourt]]+TrafficData[[#This Row],[disposedCourt]]=TrafficData[[#This Row],[totalCourt]]</f>
        <v>1</v>
      </c>
      <c r="N2701" s="8" t="b">
        <f>AND(TrafficData[[#This Row],[disposedChallan]]&lt;=TrafficData[[#This Row],[totalChallan]],TrafficData[[#This Row],[pendingChallan]]&lt;=TrafficData[[#This Row],[totalChallan]])</f>
        <v>1</v>
      </c>
      <c r="O2701" s="8" t="b">
        <f>AND(TrafficData[[#This Row],[pendingAmount]]&lt;=TrafficData[[#This Row],[totalAmount]],TrafficData[[#This Row],[disposedAmount]]&lt;=TrafficData[[#This Row],[totalAmount]])</f>
        <v>1</v>
      </c>
      <c r="P2701" s="8" t="b">
        <f>AND(TrafficData[[#This Row],[pendingCourt]]&lt;=TrafficData[[#This Row],[totalCourt]],TrafficData[[#This Row],[disposedCourt]]&lt;=TrafficData[[#This Row],[totalCourt]])</f>
        <v>1</v>
      </c>
    </row>
    <row r="2702" spans="1:16">
      <c r="A2702" s="1">
        <v>44706</v>
      </c>
      <c r="B2702">
        <v>137182</v>
      </c>
      <c r="C2702">
        <v>71085</v>
      </c>
      <c r="D2702">
        <v>66097</v>
      </c>
      <c r="E2702">
        <v>113637812</v>
      </c>
      <c r="F2702">
        <v>105386884</v>
      </c>
      <c r="G2702">
        <v>219024696</v>
      </c>
      <c r="H2702">
        <v>47604</v>
      </c>
      <c r="I2702">
        <v>13332</v>
      </c>
      <c r="J2702">
        <v>60936</v>
      </c>
      <c r="K2702" t="b">
        <f>TrafficData[[#This Row],[disposedChallan]]+TrafficData[[#This Row],[pendingChallan]]=TrafficData[[#This Row],[totalChallan]]</f>
        <v>1</v>
      </c>
      <c r="L2702" t="b">
        <f>TrafficData[[#This Row],[pendingAmount]]+TrafficData[[#This Row],[disposedAmount]]=TrafficData[[#This Row],[totalAmount]]</f>
        <v>1</v>
      </c>
      <c r="M2702" t="b">
        <f>TrafficData[[#This Row],[pendingCourt]]+TrafficData[[#This Row],[disposedCourt]]=TrafficData[[#This Row],[totalCourt]]</f>
        <v>1</v>
      </c>
      <c r="N2702" s="8" t="b">
        <f>AND(TrafficData[[#This Row],[disposedChallan]]&lt;=TrafficData[[#This Row],[totalChallan]],TrafficData[[#This Row],[pendingChallan]]&lt;=TrafficData[[#This Row],[totalChallan]])</f>
        <v>1</v>
      </c>
      <c r="O2702" s="8" t="b">
        <f>AND(TrafficData[[#This Row],[pendingAmount]]&lt;=TrafficData[[#This Row],[totalAmount]],TrafficData[[#This Row],[disposedAmount]]&lt;=TrafficData[[#This Row],[totalAmount]])</f>
        <v>1</v>
      </c>
      <c r="P2702" s="8" t="b">
        <f>AND(TrafficData[[#This Row],[pendingCourt]]&lt;=TrafficData[[#This Row],[totalCourt]],TrafficData[[#This Row],[disposedCourt]]&lt;=TrafficData[[#This Row],[totalCourt]])</f>
        <v>1</v>
      </c>
    </row>
    <row r="2703" spans="1:16">
      <c r="A2703" s="1">
        <v>44707</v>
      </c>
      <c r="B2703">
        <v>138179</v>
      </c>
      <c r="C2703">
        <v>69830</v>
      </c>
      <c r="D2703">
        <v>68349</v>
      </c>
      <c r="E2703">
        <v>108578915</v>
      </c>
      <c r="F2703">
        <v>99147334</v>
      </c>
      <c r="G2703">
        <v>207726249</v>
      </c>
      <c r="H2703">
        <v>47137</v>
      </c>
      <c r="I2703">
        <v>12863</v>
      </c>
      <c r="J2703">
        <v>60000</v>
      </c>
      <c r="K2703" t="b">
        <f>TrafficData[[#This Row],[disposedChallan]]+TrafficData[[#This Row],[pendingChallan]]=TrafficData[[#This Row],[totalChallan]]</f>
        <v>1</v>
      </c>
      <c r="L2703" t="b">
        <f>TrafficData[[#This Row],[pendingAmount]]+TrafficData[[#This Row],[disposedAmount]]=TrafficData[[#This Row],[totalAmount]]</f>
        <v>1</v>
      </c>
      <c r="M2703" t="b">
        <f>TrafficData[[#This Row],[pendingCourt]]+TrafficData[[#This Row],[disposedCourt]]=TrafficData[[#This Row],[totalCourt]]</f>
        <v>1</v>
      </c>
      <c r="N2703" s="8" t="b">
        <f>AND(TrafficData[[#This Row],[disposedChallan]]&lt;=TrafficData[[#This Row],[totalChallan]],TrafficData[[#This Row],[pendingChallan]]&lt;=TrafficData[[#This Row],[totalChallan]])</f>
        <v>1</v>
      </c>
      <c r="O2703" s="8" t="b">
        <f>AND(TrafficData[[#This Row],[pendingAmount]]&lt;=TrafficData[[#This Row],[totalAmount]],TrafficData[[#This Row],[disposedAmount]]&lt;=TrafficData[[#This Row],[totalAmount]])</f>
        <v>1</v>
      </c>
      <c r="P2703" s="8" t="b">
        <f>AND(TrafficData[[#This Row],[pendingCourt]]&lt;=TrafficData[[#This Row],[totalCourt]],TrafficData[[#This Row],[disposedCourt]]&lt;=TrafficData[[#This Row],[totalCourt]])</f>
        <v>1</v>
      </c>
    </row>
    <row r="2704" spans="1:16">
      <c r="A2704" s="1">
        <v>44708</v>
      </c>
      <c r="B2704">
        <v>136208</v>
      </c>
      <c r="C2704">
        <v>70312</v>
      </c>
      <c r="D2704">
        <v>65896</v>
      </c>
      <c r="E2704">
        <v>108709553</v>
      </c>
      <c r="F2704">
        <v>102157068</v>
      </c>
      <c r="G2704">
        <v>210866621</v>
      </c>
      <c r="H2704">
        <v>44689</v>
      </c>
      <c r="I2704">
        <v>12284</v>
      </c>
      <c r="J2704">
        <v>56973</v>
      </c>
      <c r="K2704" t="b">
        <f>TrafficData[[#This Row],[disposedChallan]]+TrafficData[[#This Row],[pendingChallan]]=TrafficData[[#This Row],[totalChallan]]</f>
        <v>1</v>
      </c>
      <c r="L2704" t="b">
        <f>TrafficData[[#This Row],[pendingAmount]]+TrafficData[[#This Row],[disposedAmount]]=TrafficData[[#This Row],[totalAmount]]</f>
        <v>1</v>
      </c>
      <c r="M2704" t="b">
        <f>TrafficData[[#This Row],[pendingCourt]]+TrafficData[[#This Row],[disposedCourt]]=TrafficData[[#This Row],[totalCourt]]</f>
        <v>1</v>
      </c>
      <c r="N2704" s="8" t="b">
        <f>AND(TrafficData[[#This Row],[disposedChallan]]&lt;=TrafficData[[#This Row],[totalChallan]],TrafficData[[#This Row],[pendingChallan]]&lt;=TrafficData[[#This Row],[totalChallan]])</f>
        <v>1</v>
      </c>
      <c r="O2704" s="8" t="b">
        <f>AND(TrafficData[[#This Row],[pendingAmount]]&lt;=TrafficData[[#This Row],[totalAmount]],TrafficData[[#This Row],[disposedAmount]]&lt;=TrafficData[[#This Row],[totalAmount]])</f>
        <v>1</v>
      </c>
      <c r="P2704" s="8" t="b">
        <f>AND(TrafficData[[#This Row],[pendingCourt]]&lt;=TrafficData[[#This Row],[totalCourt]],TrafficData[[#This Row],[disposedCourt]]&lt;=TrafficData[[#This Row],[totalCourt]])</f>
        <v>1</v>
      </c>
    </row>
    <row r="2705" spans="1:16">
      <c r="A2705" s="1">
        <v>44709</v>
      </c>
      <c r="B2705">
        <v>137791</v>
      </c>
      <c r="C2705">
        <v>70154</v>
      </c>
      <c r="D2705">
        <v>67637</v>
      </c>
      <c r="E2705">
        <v>105985635</v>
      </c>
      <c r="F2705">
        <v>92441700</v>
      </c>
      <c r="G2705">
        <v>198427335</v>
      </c>
      <c r="H2705">
        <v>45874</v>
      </c>
      <c r="I2705">
        <v>12641</v>
      </c>
      <c r="J2705">
        <v>58515</v>
      </c>
      <c r="K2705" t="b">
        <f>TrafficData[[#This Row],[disposedChallan]]+TrafficData[[#This Row],[pendingChallan]]=TrafficData[[#This Row],[totalChallan]]</f>
        <v>1</v>
      </c>
      <c r="L2705" t="b">
        <f>TrafficData[[#This Row],[pendingAmount]]+TrafficData[[#This Row],[disposedAmount]]=TrafficData[[#This Row],[totalAmount]]</f>
        <v>1</v>
      </c>
      <c r="M2705" t="b">
        <f>TrafficData[[#This Row],[pendingCourt]]+TrafficData[[#This Row],[disposedCourt]]=TrafficData[[#This Row],[totalCourt]]</f>
        <v>1</v>
      </c>
      <c r="N2705" s="8" t="b">
        <f>AND(TrafficData[[#This Row],[disposedChallan]]&lt;=TrafficData[[#This Row],[totalChallan]],TrafficData[[#This Row],[pendingChallan]]&lt;=TrafficData[[#This Row],[totalChallan]])</f>
        <v>1</v>
      </c>
      <c r="O2705" s="8" t="b">
        <f>AND(TrafficData[[#This Row],[pendingAmount]]&lt;=TrafficData[[#This Row],[totalAmount]],TrafficData[[#This Row],[disposedAmount]]&lt;=TrafficData[[#This Row],[totalAmount]])</f>
        <v>1</v>
      </c>
      <c r="P2705" s="8" t="b">
        <f>AND(TrafficData[[#This Row],[pendingCourt]]&lt;=TrafficData[[#This Row],[totalCourt]],TrafficData[[#This Row],[disposedCourt]]&lt;=TrafficData[[#This Row],[totalCourt]])</f>
        <v>1</v>
      </c>
    </row>
    <row r="2706" spans="1:16">
      <c r="A2706" s="1">
        <v>44710</v>
      </c>
      <c r="B2706">
        <v>127038</v>
      </c>
      <c r="C2706">
        <v>61105</v>
      </c>
      <c r="D2706">
        <v>65933</v>
      </c>
      <c r="E2706">
        <v>96364760</v>
      </c>
      <c r="F2706">
        <v>70783520</v>
      </c>
      <c r="G2706">
        <v>167148280</v>
      </c>
      <c r="H2706">
        <v>43936</v>
      </c>
      <c r="I2706">
        <v>11290</v>
      </c>
      <c r="J2706">
        <v>55226</v>
      </c>
      <c r="K2706" t="b">
        <f>TrafficData[[#This Row],[disposedChallan]]+TrafficData[[#This Row],[pendingChallan]]=TrafficData[[#This Row],[totalChallan]]</f>
        <v>1</v>
      </c>
      <c r="L2706" t="b">
        <f>TrafficData[[#This Row],[pendingAmount]]+TrafficData[[#This Row],[disposedAmount]]=TrafficData[[#This Row],[totalAmount]]</f>
        <v>1</v>
      </c>
      <c r="M2706" t="b">
        <f>TrafficData[[#This Row],[pendingCourt]]+TrafficData[[#This Row],[disposedCourt]]=TrafficData[[#This Row],[totalCourt]]</f>
        <v>1</v>
      </c>
      <c r="N2706" s="8" t="b">
        <f>AND(TrafficData[[#This Row],[disposedChallan]]&lt;=TrafficData[[#This Row],[totalChallan]],TrafficData[[#This Row],[pendingChallan]]&lt;=TrafficData[[#This Row],[totalChallan]])</f>
        <v>1</v>
      </c>
      <c r="O2706" s="8" t="b">
        <f>AND(TrafficData[[#This Row],[pendingAmount]]&lt;=TrafficData[[#This Row],[totalAmount]],TrafficData[[#This Row],[disposedAmount]]&lt;=TrafficData[[#This Row],[totalAmount]])</f>
        <v>1</v>
      </c>
      <c r="P2706" s="8" t="b">
        <f>AND(TrafficData[[#This Row],[pendingCourt]]&lt;=TrafficData[[#This Row],[totalCourt]],TrafficData[[#This Row],[disposedCourt]]&lt;=TrafficData[[#This Row],[totalCourt]])</f>
        <v>1</v>
      </c>
    </row>
    <row r="2707" spans="1:16">
      <c r="A2707" s="1">
        <v>44711</v>
      </c>
      <c r="B2707">
        <v>131452</v>
      </c>
      <c r="C2707">
        <v>67714</v>
      </c>
      <c r="D2707">
        <v>63738</v>
      </c>
      <c r="E2707">
        <v>104073101</v>
      </c>
      <c r="F2707">
        <v>83849276</v>
      </c>
      <c r="G2707">
        <v>187922377</v>
      </c>
      <c r="H2707">
        <v>44047</v>
      </c>
      <c r="I2707">
        <v>11091</v>
      </c>
      <c r="J2707">
        <v>55138</v>
      </c>
      <c r="K2707" t="b">
        <f>TrafficData[[#This Row],[disposedChallan]]+TrafficData[[#This Row],[pendingChallan]]=TrafficData[[#This Row],[totalChallan]]</f>
        <v>1</v>
      </c>
      <c r="L2707" t="b">
        <f>TrafficData[[#This Row],[pendingAmount]]+TrafficData[[#This Row],[disposedAmount]]=TrafficData[[#This Row],[totalAmount]]</f>
        <v>1</v>
      </c>
      <c r="M2707" t="b">
        <f>TrafficData[[#This Row],[pendingCourt]]+TrafficData[[#This Row],[disposedCourt]]=TrafficData[[#This Row],[totalCourt]]</f>
        <v>1</v>
      </c>
      <c r="N2707" s="8" t="b">
        <f>AND(TrafficData[[#This Row],[disposedChallan]]&lt;=TrafficData[[#This Row],[totalChallan]],TrafficData[[#This Row],[pendingChallan]]&lt;=TrafficData[[#This Row],[totalChallan]])</f>
        <v>1</v>
      </c>
      <c r="O2707" s="8" t="b">
        <f>AND(TrafficData[[#This Row],[pendingAmount]]&lt;=TrafficData[[#This Row],[totalAmount]],TrafficData[[#This Row],[disposedAmount]]&lt;=TrafficData[[#This Row],[totalAmount]])</f>
        <v>1</v>
      </c>
      <c r="P2707" s="8" t="b">
        <f>AND(TrafficData[[#This Row],[pendingCourt]]&lt;=TrafficData[[#This Row],[totalCourt]],TrafficData[[#This Row],[disposedCourt]]&lt;=TrafficData[[#This Row],[totalCourt]])</f>
        <v>1</v>
      </c>
    </row>
    <row r="2708" spans="1:16">
      <c r="A2708" s="1">
        <v>44712</v>
      </c>
      <c r="B2708">
        <v>128934</v>
      </c>
      <c r="C2708">
        <v>65337</v>
      </c>
      <c r="D2708">
        <v>63597</v>
      </c>
      <c r="E2708">
        <v>104002051</v>
      </c>
      <c r="F2708">
        <v>85467287</v>
      </c>
      <c r="G2708">
        <v>189469338</v>
      </c>
      <c r="H2708">
        <v>42145</v>
      </c>
      <c r="I2708">
        <v>11066</v>
      </c>
      <c r="J2708">
        <v>53211</v>
      </c>
      <c r="K2708" t="b">
        <f>TrafficData[[#This Row],[disposedChallan]]+TrafficData[[#This Row],[pendingChallan]]=TrafficData[[#This Row],[totalChallan]]</f>
        <v>1</v>
      </c>
      <c r="L2708" t="b">
        <f>TrafficData[[#This Row],[pendingAmount]]+TrafficData[[#This Row],[disposedAmount]]=TrafficData[[#This Row],[totalAmount]]</f>
        <v>1</v>
      </c>
      <c r="M2708" t="b">
        <f>TrafficData[[#This Row],[pendingCourt]]+TrafficData[[#This Row],[disposedCourt]]=TrafficData[[#This Row],[totalCourt]]</f>
        <v>1</v>
      </c>
      <c r="N2708" s="8" t="b">
        <f>AND(TrafficData[[#This Row],[disposedChallan]]&lt;=TrafficData[[#This Row],[totalChallan]],TrafficData[[#This Row],[pendingChallan]]&lt;=TrafficData[[#This Row],[totalChallan]])</f>
        <v>1</v>
      </c>
      <c r="O2708" s="8" t="b">
        <f>AND(TrafficData[[#This Row],[pendingAmount]]&lt;=TrafficData[[#This Row],[totalAmount]],TrafficData[[#This Row],[disposedAmount]]&lt;=TrafficData[[#This Row],[totalAmount]])</f>
        <v>1</v>
      </c>
      <c r="P2708" s="8" t="b">
        <f>AND(TrafficData[[#This Row],[pendingCourt]]&lt;=TrafficData[[#This Row],[totalCourt]],TrafficData[[#This Row],[disposedCourt]]&lt;=TrafficData[[#This Row],[totalCourt]])</f>
        <v>1</v>
      </c>
    </row>
    <row r="2709" spans="1:16">
      <c r="A2709" s="1">
        <v>44713</v>
      </c>
      <c r="B2709">
        <v>136494</v>
      </c>
      <c r="C2709">
        <v>73787</v>
      </c>
      <c r="D2709">
        <v>62707</v>
      </c>
      <c r="E2709">
        <v>102635036</v>
      </c>
      <c r="F2709">
        <v>115737131</v>
      </c>
      <c r="G2709">
        <v>218372167</v>
      </c>
      <c r="H2709">
        <v>42745</v>
      </c>
      <c r="I2709">
        <v>11653</v>
      </c>
      <c r="J2709">
        <v>54398</v>
      </c>
      <c r="K2709" t="b">
        <f>TrafficData[[#This Row],[disposedChallan]]+TrafficData[[#This Row],[pendingChallan]]=TrafficData[[#This Row],[totalChallan]]</f>
        <v>1</v>
      </c>
      <c r="L2709" t="b">
        <f>TrafficData[[#This Row],[pendingAmount]]+TrafficData[[#This Row],[disposedAmount]]=TrafficData[[#This Row],[totalAmount]]</f>
        <v>1</v>
      </c>
      <c r="M2709" t="b">
        <f>TrafficData[[#This Row],[pendingCourt]]+TrafficData[[#This Row],[disposedCourt]]=TrafficData[[#This Row],[totalCourt]]</f>
        <v>1</v>
      </c>
      <c r="N2709" s="8" t="b">
        <f>AND(TrafficData[[#This Row],[disposedChallan]]&lt;=TrafficData[[#This Row],[totalChallan]],TrafficData[[#This Row],[pendingChallan]]&lt;=TrafficData[[#This Row],[totalChallan]])</f>
        <v>1</v>
      </c>
      <c r="O2709" s="8" t="b">
        <f>AND(TrafficData[[#This Row],[pendingAmount]]&lt;=TrafficData[[#This Row],[totalAmount]],TrafficData[[#This Row],[disposedAmount]]&lt;=TrafficData[[#This Row],[totalAmount]])</f>
        <v>1</v>
      </c>
      <c r="P2709" s="8" t="b">
        <f>AND(TrafficData[[#This Row],[pendingCourt]]&lt;=TrafficData[[#This Row],[totalCourt]],TrafficData[[#This Row],[disposedCourt]]&lt;=TrafficData[[#This Row],[totalCourt]])</f>
        <v>1</v>
      </c>
    </row>
    <row r="2710" spans="1:16">
      <c r="A2710" s="1">
        <v>44714</v>
      </c>
      <c r="B2710">
        <v>139532</v>
      </c>
      <c r="C2710">
        <v>75803</v>
      </c>
      <c r="D2710">
        <v>63729</v>
      </c>
      <c r="E2710">
        <v>108380250</v>
      </c>
      <c r="F2710">
        <v>117003332</v>
      </c>
      <c r="G2710">
        <v>225383582</v>
      </c>
      <c r="H2710">
        <v>42664</v>
      </c>
      <c r="I2710">
        <v>11332</v>
      </c>
      <c r="J2710">
        <v>53996</v>
      </c>
      <c r="K2710" t="b">
        <f>TrafficData[[#This Row],[disposedChallan]]+TrafficData[[#This Row],[pendingChallan]]=TrafficData[[#This Row],[totalChallan]]</f>
        <v>1</v>
      </c>
      <c r="L2710" t="b">
        <f>TrafficData[[#This Row],[pendingAmount]]+TrafficData[[#This Row],[disposedAmount]]=TrafficData[[#This Row],[totalAmount]]</f>
        <v>1</v>
      </c>
      <c r="M2710" t="b">
        <f>TrafficData[[#This Row],[pendingCourt]]+TrafficData[[#This Row],[disposedCourt]]=TrafficData[[#This Row],[totalCourt]]</f>
        <v>1</v>
      </c>
      <c r="N2710" s="8" t="b">
        <f>AND(TrafficData[[#This Row],[disposedChallan]]&lt;=TrafficData[[#This Row],[totalChallan]],TrafficData[[#This Row],[pendingChallan]]&lt;=TrafficData[[#This Row],[totalChallan]])</f>
        <v>1</v>
      </c>
      <c r="O2710" s="8" t="b">
        <f>AND(TrafficData[[#This Row],[pendingAmount]]&lt;=TrafficData[[#This Row],[totalAmount]],TrafficData[[#This Row],[disposedAmount]]&lt;=TrafficData[[#This Row],[totalAmount]])</f>
        <v>1</v>
      </c>
      <c r="P2710" s="8" t="b">
        <f>AND(TrafficData[[#This Row],[pendingCourt]]&lt;=TrafficData[[#This Row],[totalCourt]],TrafficData[[#This Row],[disposedCourt]]&lt;=TrafficData[[#This Row],[totalCourt]])</f>
        <v>1</v>
      </c>
    </row>
    <row r="2711" spans="1:16">
      <c r="A2711" s="1">
        <v>44715</v>
      </c>
      <c r="B2711">
        <v>137413</v>
      </c>
      <c r="C2711">
        <v>73809</v>
      </c>
      <c r="D2711">
        <v>63604</v>
      </c>
      <c r="E2711">
        <v>100261952</v>
      </c>
      <c r="F2711">
        <v>114728021</v>
      </c>
      <c r="G2711">
        <v>214989973</v>
      </c>
      <c r="H2711">
        <v>42079</v>
      </c>
      <c r="I2711">
        <v>10908</v>
      </c>
      <c r="J2711">
        <v>52987</v>
      </c>
      <c r="K2711" t="b">
        <f>TrafficData[[#This Row],[disposedChallan]]+TrafficData[[#This Row],[pendingChallan]]=TrafficData[[#This Row],[totalChallan]]</f>
        <v>1</v>
      </c>
      <c r="L2711" t="b">
        <f>TrafficData[[#This Row],[pendingAmount]]+TrafficData[[#This Row],[disposedAmount]]=TrafficData[[#This Row],[totalAmount]]</f>
        <v>1</v>
      </c>
      <c r="M2711" t="b">
        <f>TrafficData[[#This Row],[pendingCourt]]+TrafficData[[#This Row],[disposedCourt]]=TrafficData[[#This Row],[totalCourt]]</f>
        <v>1</v>
      </c>
      <c r="N2711" s="8" t="b">
        <f>AND(TrafficData[[#This Row],[disposedChallan]]&lt;=TrafficData[[#This Row],[totalChallan]],TrafficData[[#This Row],[pendingChallan]]&lt;=TrafficData[[#This Row],[totalChallan]])</f>
        <v>1</v>
      </c>
      <c r="O2711" s="8" t="b">
        <f>AND(TrafficData[[#This Row],[pendingAmount]]&lt;=TrafficData[[#This Row],[totalAmount]],TrafficData[[#This Row],[disposedAmount]]&lt;=TrafficData[[#This Row],[totalAmount]])</f>
        <v>1</v>
      </c>
      <c r="P2711" s="8" t="b">
        <f>AND(TrafficData[[#This Row],[pendingCourt]]&lt;=TrafficData[[#This Row],[totalCourt]],TrafficData[[#This Row],[disposedCourt]]&lt;=TrafficData[[#This Row],[totalCourt]])</f>
        <v>1</v>
      </c>
    </row>
    <row r="2712" spans="1:16">
      <c r="A2712" s="1">
        <v>44716</v>
      </c>
      <c r="B2712">
        <v>142554</v>
      </c>
      <c r="C2712">
        <v>75871</v>
      </c>
      <c r="D2712">
        <v>66683</v>
      </c>
      <c r="E2712">
        <v>108765285</v>
      </c>
      <c r="F2712">
        <v>111134237</v>
      </c>
      <c r="G2712">
        <v>219899522</v>
      </c>
      <c r="H2712">
        <v>41560</v>
      </c>
      <c r="I2712">
        <v>11089</v>
      </c>
      <c r="J2712">
        <v>52649</v>
      </c>
      <c r="K2712" t="b">
        <f>TrafficData[[#This Row],[disposedChallan]]+TrafficData[[#This Row],[pendingChallan]]=TrafficData[[#This Row],[totalChallan]]</f>
        <v>1</v>
      </c>
      <c r="L2712" t="b">
        <f>TrafficData[[#This Row],[pendingAmount]]+TrafficData[[#This Row],[disposedAmount]]=TrafficData[[#This Row],[totalAmount]]</f>
        <v>1</v>
      </c>
      <c r="M2712" t="b">
        <f>TrafficData[[#This Row],[pendingCourt]]+TrafficData[[#This Row],[disposedCourt]]=TrafficData[[#This Row],[totalCourt]]</f>
        <v>1</v>
      </c>
      <c r="N2712" s="8" t="b">
        <f>AND(TrafficData[[#This Row],[disposedChallan]]&lt;=TrafficData[[#This Row],[totalChallan]],TrafficData[[#This Row],[pendingChallan]]&lt;=TrafficData[[#This Row],[totalChallan]])</f>
        <v>1</v>
      </c>
      <c r="O2712" s="8" t="b">
        <f>AND(TrafficData[[#This Row],[pendingAmount]]&lt;=TrafficData[[#This Row],[totalAmount]],TrafficData[[#This Row],[disposedAmount]]&lt;=TrafficData[[#This Row],[totalAmount]])</f>
        <v>1</v>
      </c>
      <c r="P2712" s="8" t="b">
        <f>AND(TrafficData[[#This Row],[pendingCourt]]&lt;=TrafficData[[#This Row],[totalCourt]],TrafficData[[#This Row],[disposedCourt]]&lt;=TrafficData[[#This Row],[totalCourt]])</f>
        <v>1</v>
      </c>
    </row>
    <row r="2713" spans="1:16">
      <c r="A2713" s="1">
        <v>44717</v>
      </c>
      <c r="B2713">
        <v>122242</v>
      </c>
      <c r="C2713">
        <v>62791</v>
      </c>
      <c r="D2713">
        <v>59451</v>
      </c>
      <c r="E2713">
        <v>84365261</v>
      </c>
      <c r="F2713">
        <v>81681677</v>
      </c>
      <c r="G2713">
        <v>166046938</v>
      </c>
      <c r="H2713">
        <v>38651</v>
      </c>
      <c r="I2713">
        <v>9913</v>
      </c>
      <c r="J2713">
        <v>48564</v>
      </c>
      <c r="K2713" t="b">
        <f>TrafficData[[#This Row],[disposedChallan]]+TrafficData[[#This Row],[pendingChallan]]=TrafficData[[#This Row],[totalChallan]]</f>
        <v>1</v>
      </c>
      <c r="L2713" t="b">
        <f>TrafficData[[#This Row],[pendingAmount]]+TrafficData[[#This Row],[disposedAmount]]=TrafficData[[#This Row],[totalAmount]]</f>
        <v>1</v>
      </c>
      <c r="M2713" t="b">
        <f>TrafficData[[#This Row],[pendingCourt]]+TrafficData[[#This Row],[disposedCourt]]=TrafficData[[#This Row],[totalCourt]]</f>
        <v>1</v>
      </c>
      <c r="N2713" s="8" t="b">
        <f>AND(TrafficData[[#This Row],[disposedChallan]]&lt;=TrafficData[[#This Row],[totalChallan]],TrafficData[[#This Row],[pendingChallan]]&lt;=TrafficData[[#This Row],[totalChallan]])</f>
        <v>1</v>
      </c>
      <c r="O2713" s="8" t="b">
        <f>AND(TrafficData[[#This Row],[pendingAmount]]&lt;=TrafficData[[#This Row],[totalAmount]],TrafficData[[#This Row],[disposedAmount]]&lt;=TrafficData[[#This Row],[totalAmount]])</f>
        <v>1</v>
      </c>
      <c r="P2713" s="8" t="b">
        <f>AND(TrafficData[[#This Row],[pendingCourt]]&lt;=TrafficData[[#This Row],[totalCourt]],TrafficData[[#This Row],[disposedCourt]]&lt;=TrafficData[[#This Row],[totalCourt]])</f>
        <v>1</v>
      </c>
    </row>
    <row r="2714" spans="1:16">
      <c r="A2714" s="1">
        <v>44718</v>
      </c>
      <c r="B2714">
        <v>134186</v>
      </c>
      <c r="C2714">
        <v>71177</v>
      </c>
      <c r="D2714">
        <v>63009</v>
      </c>
      <c r="E2714">
        <v>97966273</v>
      </c>
      <c r="F2714">
        <v>100011960</v>
      </c>
      <c r="G2714">
        <v>197978233</v>
      </c>
      <c r="H2714">
        <v>41084</v>
      </c>
      <c r="I2714">
        <v>11161</v>
      </c>
      <c r="J2714">
        <v>52245</v>
      </c>
      <c r="K2714" t="b">
        <f>TrafficData[[#This Row],[disposedChallan]]+TrafficData[[#This Row],[pendingChallan]]=TrafficData[[#This Row],[totalChallan]]</f>
        <v>1</v>
      </c>
      <c r="L2714" t="b">
        <f>TrafficData[[#This Row],[pendingAmount]]+TrafficData[[#This Row],[disposedAmount]]=TrafficData[[#This Row],[totalAmount]]</f>
        <v>1</v>
      </c>
      <c r="M2714" t="b">
        <f>TrafficData[[#This Row],[pendingCourt]]+TrafficData[[#This Row],[disposedCourt]]=TrafficData[[#This Row],[totalCourt]]</f>
        <v>1</v>
      </c>
      <c r="N2714" s="8" t="b">
        <f>AND(TrafficData[[#This Row],[disposedChallan]]&lt;=TrafficData[[#This Row],[totalChallan]],TrafficData[[#This Row],[pendingChallan]]&lt;=TrafficData[[#This Row],[totalChallan]])</f>
        <v>1</v>
      </c>
      <c r="O2714" s="8" t="b">
        <f>AND(TrafficData[[#This Row],[pendingAmount]]&lt;=TrafficData[[#This Row],[totalAmount]],TrafficData[[#This Row],[disposedAmount]]&lt;=TrafficData[[#This Row],[totalAmount]])</f>
        <v>1</v>
      </c>
      <c r="P2714" s="8" t="b">
        <f>AND(TrafficData[[#This Row],[pendingCourt]]&lt;=TrafficData[[#This Row],[totalCourt]],TrafficData[[#This Row],[disposedCourt]]&lt;=TrafficData[[#This Row],[totalCourt]])</f>
        <v>1</v>
      </c>
    </row>
    <row r="2715" spans="1:16">
      <c r="A2715" s="1">
        <v>44719</v>
      </c>
      <c r="B2715">
        <v>139249</v>
      </c>
      <c r="C2715">
        <v>74079</v>
      </c>
      <c r="D2715">
        <v>65170</v>
      </c>
      <c r="E2715">
        <v>107103634</v>
      </c>
      <c r="F2715">
        <v>112410413</v>
      </c>
      <c r="G2715">
        <v>219514047</v>
      </c>
      <c r="H2715">
        <v>44964</v>
      </c>
      <c r="I2715">
        <v>11732</v>
      </c>
      <c r="J2715">
        <v>56696</v>
      </c>
      <c r="K2715" t="b">
        <f>TrafficData[[#This Row],[disposedChallan]]+TrafficData[[#This Row],[pendingChallan]]=TrafficData[[#This Row],[totalChallan]]</f>
        <v>1</v>
      </c>
      <c r="L2715" t="b">
        <f>TrafficData[[#This Row],[pendingAmount]]+TrafficData[[#This Row],[disposedAmount]]=TrafficData[[#This Row],[totalAmount]]</f>
        <v>1</v>
      </c>
      <c r="M2715" t="b">
        <f>TrafficData[[#This Row],[pendingCourt]]+TrafficData[[#This Row],[disposedCourt]]=TrafficData[[#This Row],[totalCourt]]</f>
        <v>1</v>
      </c>
      <c r="N2715" s="8" t="b">
        <f>AND(TrafficData[[#This Row],[disposedChallan]]&lt;=TrafficData[[#This Row],[totalChallan]],TrafficData[[#This Row],[pendingChallan]]&lt;=TrafficData[[#This Row],[totalChallan]])</f>
        <v>1</v>
      </c>
      <c r="O2715" s="8" t="b">
        <f>AND(TrafficData[[#This Row],[pendingAmount]]&lt;=TrafficData[[#This Row],[totalAmount]],TrafficData[[#This Row],[disposedAmount]]&lt;=TrafficData[[#This Row],[totalAmount]])</f>
        <v>1</v>
      </c>
      <c r="P2715" s="8" t="b">
        <f>AND(TrafficData[[#This Row],[pendingCourt]]&lt;=TrafficData[[#This Row],[totalCourt]],TrafficData[[#This Row],[disposedCourt]]&lt;=TrafficData[[#This Row],[totalCourt]])</f>
        <v>1</v>
      </c>
    </row>
    <row r="2716" spans="1:16">
      <c r="A2716" s="1">
        <v>44720</v>
      </c>
      <c r="B2716">
        <v>141475</v>
      </c>
      <c r="C2716">
        <v>75420</v>
      </c>
      <c r="D2716">
        <v>66055</v>
      </c>
      <c r="E2716">
        <v>109606616</v>
      </c>
      <c r="F2716">
        <v>108414635</v>
      </c>
      <c r="G2716">
        <v>218021251</v>
      </c>
      <c r="H2716">
        <v>46499</v>
      </c>
      <c r="I2716">
        <v>12708</v>
      </c>
      <c r="J2716">
        <v>59207</v>
      </c>
      <c r="K2716" t="b">
        <f>TrafficData[[#This Row],[disposedChallan]]+TrafficData[[#This Row],[pendingChallan]]=TrafficData[[#This Row],[totalChallan]]</f>
        <v>1</v>
      </c>
      <c r="L2716" t="b">
        <f>TrafficData[[#This Row],[pendingAmount]]+TrafficData[[#This Row],[disposedAmount]]=TrafficData[[#This Row],[totalAmount]]</f>
        <v>1</v>
      </c>
      <c r="M2716" t="b">
        <f>TrafficData[[#This Row],[pendingCourt]]+TrafficData[[#This Row],[disposedCourt]]=TrafficData[[#This Row],[totalCourt]]</f>
        <v>1</v>
      </c>
      <c r="N2716" s="8" t="b">
        <f>AND(TrafficData[[#This Row],[disposedChallan]]&lt;=TrafficData[[#This Row],[totalChallan]],TrafficData[[#This Row],[pendingChallan]]&lt;=TrafficData[[#This Row],[totalChallan]])</f>
        <v>1</v>
      </c>
      <c r="O2716" s="8" t="b">
        <f>AND(TrafficData[[#This Row],[pendingAmount]]&lt;=TrafficData[[#This Row],[totalAmount]],TrafficData[[#This Row],[disposedAmount]]&lt;=TrafficData[[#This Row],[totalAmount]])</f>
        <v>1</v>
      </c>
      <c r="P2716" s="8" t="b">
        <f>AND(TrafficData[[#This Row],[pendingCourt]]&lt;=TrafficData[[#This Row],[totalCourt]],TrafficData[[#This Row],[disposedCourt]]&lt;=TrafficData[[#This Row],[totalCourt]])</f>
        <v>1</v>
      </c>
    </row>
    <row r="2717" spans="1:16">
      <c r="A2717" s="1">
        <v>44721</v>
      </c>
      <c r="B2717">
        <v>139607</v>
      </c>
      <c r="C2717">
        <v>73369</v>
      </c>
      <c r="D2717">
        <v>66238</v>
      </c>
      <c r="E2717">
        <v>107237694</v>
      </c>
      <c r="F2717">
        <v>109221550</v>
      </c>
      <c r="G2717">
        <v>216459244</v>
      </c>
      <c r="H2717">
        <v>45992</v>
      </c>
      <c r="I2717">
        <v>12481</v>
      </c>
      <c r="J2717">
        <v>58473</v>
      </c>
      <c r="K2717" t="b">
        <f>TrafficData[[#This Row],[disposedChallan]]+TrafficData[[#This Row],[pendingChallan]]=TrafficData[[#This Row],[totalChallan]]</f>
        <v>1</v>
      </c>
      <c r="L2717" t="b">
        <f>TrafficData[[#This Row],[pendingAmount]]+TrafficData[[#This Row],[disposedAmount]]=TrafficData[[#This Row],[totalAmount]]</f>
        <v>1</v>
      </c>
      <c r="M2717" t="b">
        <f>TrafficData[[#This Row],[pendingCourt]]+TrafficData[[#This Row],[disposedCourt]]=TrafficData[[#This Row],[totalCourt]]</f>
        <v>1</v>
      </c>
      <c r="N2717" s="8" t="b">
        <f>AND(TrafficData[[#This Row],[disposedChallan]]&lt;=TrafficData[[#This Row],[totalChallan]],TrafficData[[#This Row],[pendingChallan]]&lt;=TrafficData[[#This Row],[totalChallan]])</f>
        <v>1</v>
      </c>
      <c r="O2717" s="8" t="b">
        <f>AND(TrafficData[[#This Row],[pendingAmount]]&lt;=TrafficData[[#This Row],[totalAmount]],TrafficData[[#This Row],[disposedAmount]]&lt;=TrafficData[[#This Row],[totalAmount]])</f>
        <v>1</v>
      </c>
      <c r="P2717" s="8" t="b">
        <f>AND(TrafficData[[#This Row],[pendingCourt]]&lt;=TrafficData[[#This Row],[totalCourt]],TrafficData[[#This Row],[disposedCourt]]&lt;=TrafficData[[#This Row],[totalCourt]])</f>
        <v>1</v>
      </c>
    </row>
    <row r="2718" spans="1:16">
      <c r="A2718" s="1">
        <v>44722</v>
      </c>
      <c r="B2718">
        <v>129800</v>
      </c>
      <c r="C2718">
        <v>69927</v>
      </c>
      <c r="D2718">
        <v>59873</v>
      </c>
      <c r="E2718">
        <v>96359853</v>
      </c>
      <c r="F2718">
        <v>98829723</v>
      </c>
      <c r="G2718">
        <v>195189576</v>
      </c>
      <c r="H2718">
        <v>41786</v>
      </c>
      <c r="I2718">
        <v>11494</v>
      </c>
      <c r="J2718">
        <v>53280</v>
      </c>
      <c r="K2718" t="b">
        <f>TrafficData[[#This Row],[disposedChallan]]+TrafficData[[#This Row],[pendingChallan]]=TrafficData[[#This Row],[totalChallan]]</f>
        <v>1</v>
      </c>
      <c r="L2718" t="b">
        <f>TrafficData[[#This Row],[pendingAmount]]+TrafficData[[#This Row],[disposedAmount]]=TrafficData[[#This Row],[totalAmount]]</f>
        <v>1</v>
      </c>
      <c r="M2718" t="b">
        <f>TrafficData[[#This Row],[pendingCourt]]+TrafficData[[#This Row],[disposedCourt]]=TrafficData[[#This Row],[totalCourt]]</f>
        <v>1</v>
      </c>
      <c r="N2718" s="8" t="b">
        <f>AND(TrafficData[[#This Row],[disposedChallan]]&lt;=TrafficData[[#This Row],[totalChallan]],TrafficData[[#This Row],[pendingChallan]]&lt;=TrafficData[[#This Row],[totalChallan]])</f>
        <v>1</v>
      </c>
      <c r="O2718" s="8" t="b">
        <f>AND(TrafficData[[#This Row],[pendingAmount]]&lt;=TrafficData[[#This Row],[totalAmount]],TrafficData[[#This Row],[disposedAmount]]&lt;=TrafficData[[#This Row],[totalAmount]])</f>
        <v>1</v>
      </c>
      <c r="P2718" s="8" t="b">
        <f>AND(TrafficData[[#This Row],[pendingCourt]]&lt;=TrafficData[[#This Row],[totalCourt]],TrafficData[[#This Row],[disposedCourt]]&lt;=TrafficData[[#This Row],[totalCourt]])</f>
        <v>1</v>
      </c>
    </row>
    <row r="2719" spans="1:16">
      <c r="A2719" s="1">
        <v>44723</v>
      </c>
      <c r="B2719">
        <v>129073</v>
      </c>
      <c r="C2719">
        <v>68296</v>
      </c>
      <c r="D2719">
        <v>60777</v>
      </c>
      <c r="E2719">
        <v>95888682</v>
      </c>
      <c r="F2719">
        <v>87103385</v>
      </c>
      <c r="G2719">
        <v>182992067</v>
      </c>
      <c r="H2719">
        <v>42557</v>
      </c>
      <c r="I2719">
        <v>12006</v>
      </c>
      <c r="J2719">
        <v>54563</v>
      </c>
      <c r="K2719" t="b">
        <f>TrafficData[[#This Row],[disposedChallan]]+TrafficData[[#This Row],[pendingChallan]]=TrafficData[[#This Row],[totalChallan]]</f>
        <v>1</v>
      </c>
      <c r="L2719" t="b">
        <f>TrafficData[[#This Row],[pendingAmount]]+TrafficData[[#This Row],[disposedAmount]]=TrafficData[[#This Row],[totalAmount]]</f>
        <v>1</v>
      </c>
      <c r="M2719" t="b">
        <f>TrafficData[[#This Row],[pendingCourt]]+TrafficData[[#This Row],[disposedCourt]]=TrafficData[[#This Row],[totalCourt]]</f>
        <v>1</v>
      </c>
      <c r="N2719" s="8" t="b">
        <f>AND(TrafficData[[#This Row],[disposedChallan]]&lt;=TrafficData[[#This Row],[totalChallan]],TrafficData[[#This Row],[pendingChallan]]&lt;=TrafficData[[#This Row],[totalChallan]])</f>
        <v>1</v>
      </c>
      <c r="O2719" s="8" t="b">
        <f>AND(TrafficData[[#This Row],[pendingAmount]]&lt;=TrafficData[[#This Row],[totalAmount]],TrafficData[[#This Row],[disposedAmount]]&lt;=TrafficData[[#This Row],[totalAmount]])</f>
        <v>1</v>
      </c>
      <c r="P2719" s="8" t="b">
        <f>AND(TrafficData[[#This Row],[pendingCourt]]&lt;=TrafficData[[#This Row],[totalCourt]],TrafficData[[#This Row],[disposedCourt]]&lt;=TrafficData[[#This Row],[totalCourt]])</f>
        <v>1</v>
      </c>
    </row>
    <row r="2720" spans="1:16">
      <c r="A2720" s="1">
        <v>44724</v>
      </c>
      <c r="B2720">
        <v>121249</v>
      </c>
      <c r="C2720">
        <v>60143</v>
      </c>
      <c r="D2720">
        <v>61106</v>
      </c>
      <c r="E2720">
        <v>86607459</v>
      </c>
      <c r="F2720">
        <v>70306531</v>
      </c>
      <c r="G2720">
        <v>156913990</v>
      </c>
      <c r="H2720">
        <v>42043</v>
      </c>
      <c r="I2720">
        <v>10923</v>
      </c>
      <c r="J2720">
        <v>52966</v>
      </c>
      <c r="K2720" t="b">
        <f>TrafficData[[#This Row],[disposedChallan]]+TrafficData[[#This Row],[pendingChallan]]=TrafficData[[#This Row],[totalChallan]]</f>
        <v>1</v>
      </c>
      <c r="L2720" t="b">
        <f>TrafficData[[#This Row],[pendingAmount]]+TrafficData[[#This Row],[disposedAmount]]=TrafficData[[#This Row],[totalAmount]]</f>
        <v>1</v>
      </c>
      <c r="M2720" t="b">
        <f>TrafficData[[#This Row],[pendingCourt]]+TrafficData[[#This Row],[disposedCourt]]=TrafficData[[#This Row],[totalCourt]]</f>
        <v>1</v>
      </c>
      <c r="N2720" s="8" t="b">
        <f>AND(TrafficData[[#This Row],[disposedChallan]]&lt;=TrafficData[[#This Row],[totalChallan]],TrafficData[[#This Row],[pendingChallan]]&lt;=TrafficData[[#This Row],[totalChallan]])</f>
        <v>1</v>
      </c>
      <c r="O2720" s="8" t="b">
        <f>AND(TrafficData[[#This Row],[pendingAmount]]&lt;=TrafficData[[#This Row],[totalAmount]],TrafficData[[#This Row],[disposedAmount]]&lt;=TrafficData[[#This Row],[totalAmount]])</f>
        <v>1</v>
      </c>
      <c r="P2720" s="8" t="b">
        <f>AND(TrafficData[[#This Row],[pendingCourt]]&lt;=TrafficData[[#This Row],[totalCourt]],TrafficData[[#This Row],[disposedCourt]]&lt;=TrafficData[[#This Row],[totalCourt]])</f>
        <v>1</v>
      </c>
    </row>
    <row r="2721" spans="1:16">
      <c r="A2721" s="1">
        <v>44725</v>
      </c>
      <c r="B2721">
        <v>136697</v>
      </c>
      <c r="C2721">
        <v>70358</v>
      </c>
      <c r="D2721">
        <v>66339</v>
      </c>
      <c r="E2721">
        <v>102718737</v>
      </c>
      <c r="F2721">
        <v>94816076</v>
      </c>
      <c r="G2721">
        <v>197534813</v>
      </c>
      <c r="H2721">
        <v>47076</v>
      </c>
      <c r="I2721">
        <v>12614</v>
      </c>
      <c r="J2721">
        <v>59690</v>
      </c>
      <c r="K2721" t="b">
        <f>TrafficData[[#This Row],[disposedChallan]]+TrafficData[[#This Row],[pendingChallan]]=TrafficData[[#This Row],[totalChallan]]</f>
        <v>1</v>
      </c>
      <c r="L2721" t="b">
        <f>TrafficData[[#This Row],[pendingAmount]]+TrafficData[[#This Row],[disposedAmount]]=TrafficData[[#This Row],[totalAmount]]</f>
        <v>1</v>
      </c>
      <c r="M2721" t="b">
        <f>TrafficData[[#This Row],[pendingCourt]]+TrafficData[[#This Row],[disposedCourt]]=TrafficData[[#This Row],[totalCourt]]</f>
        <v>1</v>
      </c>
      <c r="N2721" s="8" t="b">
        <f>AND(TrafficData[[#This Row],[disposedChallan]]&lt;=TrafficData[[#This Row],[totalChallan]],TrafficData[[#This Row],[pendingChallan]]&lt;=TrafficData[[#This Row],[totalChallan]])</f>
        <v>1</v>
      </c>
      <c r="O2721" s="8" t="b">
        <f>AND(TrafficData[[#This Row],[pendingAmount]]&lt;=TrafficData[[#This Row],[totalAmount]],TrafficData[[#This Row],[disposedAmount]]&lt;=TrafficData[[#This Row],[totalAmount]])</f>
        <v>1</v>
      </c>
      <c r="P2721" s="8" t="b">
        <f>AND(TrafficData[[#This Row],[pendingCourt]]&lt;=TrafficData[[#This Row],[totalCourt]],TrafficData[[#This Row],[disposedCourt]]&lt;=TrafficData[[#This Row],[totalCourt]])</f>
        <v>1</v>
      </c>
    </row>
    <row r="2722" spans="1:16">
      <c r="A2722" s="1">
        <v>44726</v>
      </c>
      <c r="B2722">
        <v>141142</v>
      </c>
      <c r="C2722">
        <v>70781</v>
      </c>
      <c r="D2722">
        <v>70361</v>
      </c>
      <c r="E2722">
        <v>105992882</v>
      </c>
      <c r="F2722">
        <v>95868386</v>
      </c>
      <c r="G2722">
        <v>201861268</v>
      </c>
      <c r="H2722">
        <v>51603</v>
      </c>
      <c r="I2722">
        <v>13769</v>
      </c>
      <c r="J2722">
        <v>65372</v>
      </c>
      <c r="K2722" t="b">
        <f>TrafficData[[#This Row],[disposedChallan]]+TrafficData[[#This Row],[pendingChallan]]=TrafficData[[#This Row],[totalChallan]]</f>
        <v>1</v>
      </c>
      <c r="L2722" t="b">
        <f>TrafficData[[#This Row],[pendingAmount]]+TrafficData[[#This Row],[disposedAmount]]=TrafficData[[#This Row],[totalAmount]]</f>
        <v>1</v>
      </c>
      <c r="M2722" t="b">
        <f>TrafficData[[#This Row],[pendingCourt]]+TrafficData[[#This Row],[disposedCourt]]=TrafficData[[#This Row],[totalCourt]]</f>
        <v>1</v>
      </c>
      <c r="N2722" s="8" t="b">
        <f>AND(TrafficData[[#This Row],[disposedChallan]]&lt;=TrafficData[[#This Row],[totalChallan]],TrafficData[[#This Row],[pendingChallan]]&lt;=TrafficData[[#This Row],[totalChallan]])</f>
        <v>1</v>
      </c>
      <c r="O2722" s="8" t="b">
        <f>AND(TrafficData[[#This Row],[pendingAmount]]&lt;=TrafficData[[#This Row],[totalAmount]],TrafficData[[#This Row],[disposedAmount]]&lt;=TrafficData[[#This Row],[totalAmount]])</f>
        <v>1</v>
      </c>
      <c r="P2722" s="8" t="b">
        <f>AND(TrafficData[[#This Row],[pendingCourt]]&lt;=TrafficData[[#This Row],[totalCourt]],TrafficData[[#This Row],[disposedCourt]]&lt;=TrafficData[[#This Row],[totalCourt]])</f>
        <v>1</v>
      </c>
    </row>
    <row r="2723" spans="1:16">
      <c r="A2723" s="1">
        <v>44727</v>
      </c>
      <c r="B2723">
        <v>141030</v>
      </c>
      <c r="C2723">
        <v>71846</v>
      </c>
      <c r="D2723">
        <v>69184</v>
      </c>
      <c r="E2723">
        <v>99244788</v>
      </c>
      <c r="F2723">
        <v>100177203</v>
      </c>
      <c r="G2723">
        <v>199421991</v>
      </c>
      <c r="H2723">
        <v>49074</v>
      </c>
      <c r="I2723">
        <v>13531</v>
      </c>
      <c r="J2723">
        <v>62605</v>
      </c>
      <c r="K2723" t="b">
        <f>TrafficData[[#This Row],[disposedChallan]]+TrafficData[[#This Row],[pendingChallan]]=TrafficData[[#This Row],[totalChallan]]</f>
        <v>1</v>
      </c>
      <c r="L2723" t="b">
        <f>TrafficData[[#This Row],[pendingAmount]]+TrafficData[[#This Row],[disposedAmount]]=TrafficData[[#This Row],[totalAmount]]</f>
        <v>1</v>
      </c>
      <c r="M2723" t="b">
        <f>TrafficData[[#This Row],[pendingCourt]]+TrafficData[[#This Row],[disposedCourt]]=TrafficData[[#This Row],[totalCourt]]</f>
        <v>1</v>
      </c>
      <c r="N2723" s="8" t="b">
        <f>AND(TrafficData[[#This Row],[disposedChallan]]&lt;=TrafficData[[#This Row],[totalChallan]],TrafficData[[#This Row],[pendingChallan]]&lt;=TrafficData[[#This Row],[totalChallan]])</f>
        <v>1</v>
      </c>
      <c r="O2723" s="8" t="b">
        <f>AND(TrafficData[[#This Row],[pendingAmount]]&lt;=TrafficData[[#This Row],[totalAmount]],TrafficData[[#This Row],[disposedAmount]]&lt;=TrafficData[[#This Row],[totalAmount]])</f>
        <v>1</v>
      </c>
      <c r="P2723" s="8" t="b">
        <f>AND(TrafficData[[#This Row],[pendingCourt]]&lt;=TrafficData[[#This Row],[totalCourt]],TrafficData[[#This Row],[disposedCourt]]&lt;=TrafficData[[#This Row],[totalCourt]])</f>
        <v>1</v>
      </c>
    </row>
    <row r="2724" spans="1:16">
      <c r="A2724" s="1">
        <v>44728</v>
      </c>
      <c r="B2724">
        <v>133532</v>
      </c>
      <c r="C2724">
        <v>68146</v>
      </c>
      <c r="D2724">
        <v>65386</v>
      </c>
      <c r="E2724">
        <v>102961529</v>
      </c>
      <c r="F2724">
        <v>98313598</v>
      </c>
      <c r="G2724">
        <v>201275127</v>
      </c>
      <c r="H2724">
        <v>45707</v>
      </c>
      <c r="I2724">
        <v>12010</v>
      </c>
      <c r="J2724">
        <v>57717</v>
      </c>
      <c r="K2724" t="b">
        <f>TrafficData[[#This Row],[disposedChallan]]+TrafficData[[#This Row],[pendingChallan]]=TrafficData[[#This Row],[totalChallan]]</f>
        <v>1</v>
      </c>
      <c r="L2724" t="b">
        <f>TrafficData[[#This Row],[pendingAmount]]+TrafficData[[#This Row],[disposedAmount]]=TrafficData[[#This Row],[totalAmount]]</f>
        <v>1</v>
      </c>
      <c r="M2724" t="b">
        <f>TrafficData[[#This Row],[pendingCourt]]+TrafficData[[#This Row],[disposedCourt]]=TrafficData[[#This Row],[totalCourt]]</f>
        <v>1</v>
      </c>
      <c r="N2724" s="8" t="b">
        <f>AND(TrafficData[[#This Row],[disposedChallan]]&lt;=TrafficData[[#This Row],[totalChallan]],TrafficData[[#This Row],[pendingChallan]]&lt;=TrafficData[[#This Row],[totalChallan]])</f>
        <v>1</v>
      </c>
      <c r="O2724" s="8" t="b">
        <f>AND(TrafficData[[#This Row],[pendingAmount]]&lt;=TrafficData[[#This Row],[totalAmount]],TrafficData[[#This Row],[disposedAmount]]&lt;=TrafficData[[#This Row],[totalAmount]])</f>
        <v>1</v>
      </c>
      <c r="P2724" s="8" t="b">
        <f>AND(TrafficData[[#This Row],[pendingCourt]]&lt;=TrafficData[[#This Row],[totalCourt]],TrafficData[[#This Row],[disposedCourt]]&lt;=TrafficData[[#This Row],[totalCourt]])</f>
        <v>1</v>
      </c>
    </row>
    <row r="2725" spans="1:16">
      <c r="A2725" s="1">
        <v>44729</v>
      </c>
      <c r="B2725">
        <v>117854</v>
      </c>
      <c r="C2725">
        <v>60380</v>
      </c>
      <c r="D2725">
        <v>57474</v>
      </c>
      <c r="E2725">
        <v>85267879</v>
      </c>
      <c r="F2725">
        <v>85433940</v>
      </c>
      <c r="G2725">
        <v>170701819</v>
      </c>
      <c r="H2725">
        <v>40813</v>
      </c>
      <c r="I2725">
        <v>11000</v>
      </c>
      <c r="J2725">
        <v>51813</v>
      </c>
      <c r="K2725" t="b">
        <f>TrafficData[[#This Row],[disposedChallan]]+TrafficData[[#This Row],[pendingChallan]]=TrafficData[[#This Row],[totalChallan]]</f>
        <v>1</v>
      </c>
      <c r="L2725" t="b">
        <f>TrafficData[[#This Row],[pendingAmount]]+TrafficData[[#This Row],[disposedAmount]]=TrafficData[[#This Row],[totalAmount]]</f>
        <v>1</v>
      </c>
      <c r="M2725" t="b">
        <f>TrafficData[[#This Row],[pendingCourt]]+TrafficData[[#This Row],[disposedCourt]]=TrafficData[[#This Row],[totalCourt]]</f>
        <v>1</v>
      </c>
      <c r="N2725" s="8" t="b">
        <f>AND(TrafficData[[#This Row],[disposedChallan]]&lt;=TrafficData[[#This Row],[totalChallan]],TrafficData[[#This Row],[pendingChallan]]&lt;=TrafficData[[#This Row],[totalChallan]])</f>
        <v>1</v>
      </c>
      <c r="O2725" s="8" t="b">
        <f>AND(TrafficData[[#This Row],[pendingAmount]]&lt;=TrafficData[[#This Row],[totalAmount]],TrafficData[[#This Row],[disposedAmount]]&lt;=TrafficData[[#This Row],[totalAmount]])</f>
        <v>1</v>
      </c>
      <c r="P2725" s="8" t="b">
        <f>AND(TrafficData[[#This Row],[pendingCourt]]&lt;=TrafficData[[#This Row],[totalCourt]],TrafficData[[#This Row],[disposedCourt]]&lt;=TrafficData[[#This Row],[totalCourt]])</f>
        <v>1</v>
      </c>
    </row>
    <row r="2726" spans="1:16">
      <c r="A2726" s="1">
        <v>44730</v>
      </c>
      <c r="B2726">
        <v>119565</v>
      </c>
      <c r="C2726">
        <v>61264</v>
      </c>
      <c r="D2726">
        <v>58301</v>
      </c>
      <c r="E2726">
        <v>87327294</v>
      </c>
      <c r="F2726">
        <v>76367546</v>
      </c>
      <c r="G2726">
        <v>163694840</v>
      </c>
      <c r="H2726">
        <v>39801</v>
      </c>
      <c r="I2726">
        <v>11103</v>
      </c>
      <c r="J2726">
        <v>50904</v>
      </c>
      <c r="K2726" t="b">
        <f>TrafficData[[#This Row],[disposedChallan]]+TrafficData[[#This Row],[pendingChallan]]=TrafficData[[#This Row],[totalChallan]]</f>
        <v>1</v>
      </c>
      <c r="L2726" t="b">
        <f>TrafficData[[#This Row],[pendingAmount]]+TrafficData[[#This Row],[disposedAmount]]=TrafficData[[#This Row],[totalAmount]]</f>
        <v>1</v>
      </c>
      <c r="M2726" t="b">
        <f>TrafficData[[#This Row],[pendingCourt]]+TrafficData[[#This Row],[disposedCourt]]=TrafficData[[#This Row],[totalCourt]]</f>
        <v>1</v>
      </c>
      <c r="N2726" s="8" t="b">
        <f>AND(TrafficData[[#This Row],[disposedChallan]]&lt;=TrafficData[[#This Row],[totalChallan]],TrafficData[[#This Row],[pendingChallan]]&lt;=TrafficData[[#This Row],[totalChallan]])</f>
        <v>1</v>
      </c>
      <c r="O2726" s="8" t="b">
        <f>AND(TrafficData[[#This Row],[pendingAmount]]&lt;=TrafficData[[#This Row],[totalAmount]],TrafficData[[#This Row],[disposedAmount]]&lt;=TrafficData[[#This Row],[totalAmount]])</f>
        <v>1</v>
      </c>
      <c r="P2726" s="8" t="b">
        <f>AND(TrafficData[[#This Row],[pendingCourt]]&lt;=TrafficData[[#This Row],[totalCourt]],TrafficData[[#This Row],[disposedCourt]]&lt;=TrafficData[[#This Row],[totalCourt]])</f>
        <v>1</v>
      </c>
    </row>
    <row r="2727" spans="1:16">
      <c r="A2727" s="1">
        <v>44731</v>
      </c>
      <c r="B2727">
        <v>104258</v>
      </c>
      <c r="C2727">
        <v>50956</v>
      </c>
      <c r="D2727">
        <v>53302</v>
      </c>
      <c r="E2727">
        <v>69907384</v>
      </c>
      <c r="F2727">
        <v>59784662</v>
      </c>
      <c r="G2727">
        <v>129692046</v>
      </c>
      <c r="H2727">
        <v>36161</v>
      </c>
      <c r="I2727">
        <v>9568</v>
      </c>
      <c r="J2727">
        <v>45729</v>
      </c>
      <c r="K2727" t="b">
        <f>TrafficData[[#This Row],[disposedChallan]]+TrafficData[[#This Row],[pendingChallan]]=TrafficData[[#This Row],[totalChallan]]</f>
        <v>1</v>
      </c>
      <c r="L2727" t="b">
        <f>TrafficData[[#This Row],[pendingAmount]]+TrafficData[[#This Row],[disposedAmount]]=TrafficData[[#This Row],[totalAmount]]</f>
        <v>1</v>
      </c>
      <c r="M2727" t="b">
        <f>TrafficData[[#This Row],[pendingCourt]]+TrafficData[[#This Row],[disposedCourt]]=TrafficData[[#This Row],[totalCourt]]</f>
        <v>1</v>
      </c>
      <c r="N2727" s="8" t="b">
        <f>AND(TrafficData[[#This Row],[disposedChallan]]&lt;=TrafficData[[#This Row],[totalChallan]],TrafficData[[#This Row],[pendingChallan]]&lt;=TrafficData[[#This Row],[totalChallan]])</f>
        <v>1</v>
      </c>
      <c r="O2727" s="8" t="b">
        <f>AND(TrafficData[[#This Row],[pendingAmount]]&lt;=TrafficData[[#This Row],[totalAmount]],TrafficData[[#This Row],[disposedAmount]]&lt;=TrafficData[[#This Row],[totalAmount]])</f>
        <v>1</v>
      </c>
      <c r="P2727" s="8" t="b">
        <f>AND(TrafficData[[#This Row],[pendingCourt]]&lt;=TrafficData[[#This Row],[totalCourt]],TrafficData[[#This Row],[disposedCourt]]&lt;=TrafficData[[#This Row],[totalCourt]])</f>
        <v>1</v>
      </c>
    </row>
    <row r="2728" spans="1:16">
      <c r="A2728" s="1">
        <v>44732</v>
      </c>
      <c r="B2728">
        <v>91802</v>
      </c>
      <c r="C2728">
        <v>45166</v>
      </c>
      <c r="D2728">
        <v>46636</v>
      </c>
      <c r="E2728">
        <v>72814152</v>
      </c>
      <c r="F2728">
        <v>59462756</v>
      </c>
      <c r="G2728">
        <v>132276908</v>
      </c>
      <c r="H2728">
        <v>33595</v>
      </c>
      <c r="I2728">
        <v>8848</v>
      </c>
      <c r="J2728">
        <v>42443</v>
      </c>
      <c r="K2728" t="b">
        <f>TrafficData[[#This Row],[disposedChallan]]+TrafficData[[#This Row],[pendingChallan]]=TrafficData[[#This Row],[totalChallan]]</f>
        <v>1</v>
      </c>
      <c r="L2728" t="b">
        <f>TrafficData[[#This Row],[pendingAmount]]+TrafficData[[#This Row],[disposedAmount]]=TrafficData[[#This Row],[totalAmount]]</f>
        <v>1</v>
      </c>
      <c r="M2728" t="b">
        <f>TrafficData[[#This Row],[pendingCourt]]+TrafficData[[#This Row],[disposedCourt]]=TrafficData[[#This Row],[totalCourt]]</f>
        <v>1</v>
      </c>
      <c r="N2728" s="8" t="b">
        <f>AND(TrafficData[[#This Row],[disposedChallan]]&lt;=TrafficData[[#This Row],[totalChallan]],TrafficData[[#This Row],[pendingChallan]]&lt;=TrafficData[[#This Row],[totalChallan]])</f>
        <v>1</v>
      </c>
      <c r="O2728" s="8" t="b">
        <f>AND(TrafficData[[#This Row],[pendingAmount]]&lt;=TrafficData[[#This Row],[totalAmount]],TrafficData[[#This Row],[disposedAmount]]&lt;=TrafficData[[#This Row],[totalAmount]])</f>
        <v>1</v>
      </c>
      <c r="P2728" s="8" t="b">
        <f>AND(TrafficData[[#This Row],[pendingCourt]]&lt;=TrafficData[[#This Row],[totalCourt]],TrafficData[[#This Row],[disposedCourt]]&lt;=TrafficData[[#This Row],[totalCourt]])</f>
        <v>1</v>
      </c>
    </row>
    <row r="2729" spans="1:16">
      <c r="A2729" s="1">
        <v>44733</v>
      </c>
      <c r="B2729">
        <v>88766</v>
      </c>
      <c r="C2729">
        <v>43800</v>
      </c>
      <c r="D2729">
        <v>44966</v>
      </c>
      <c r="E2729">
        <v>75905401</v>
      </c>
      <c r="F2729">
        <v>2071115652</v>
      </c>
      <c r="G2729">
        <v>2147021053</v>
      </c>
      <c r="H2729">
        <v>31889</v>
      </c>
      <c r="I2729">
        <v>8172</v>
      </c>
      <c r="J2729">
        <v>40061</v>
      </c>
      <c r="K2729" t="b">
        <f>TrafficData[[#This Row],[disposedChallan]]+TrafficData[[#This Row],[pendingChallan]]=TrafficData[[#This Row],[totalChallan]]</f>
        <v>1</v>
      </c>
      <c r="L2729" t="b">
        <f>TrafficData[[#This Row],[pendingAmount]]+TrafficData[[#This Row],[disposedAmount]]=TrafficData[[#This Row],[totalAmount]]</f>
        <v>1</v>
      </c>
      <c r="M2729" t="b">
        <f>TrafficData[[#This Row],[pendingCourt]]+TrafficData[[#This Row],[disposedCourt]]=TrafficData[[#This Row],[totalCourt]]</f>
        <v>1</v>
      </c>
      <c r="N2729" s="8" t="b">
        <f>AND(TrafficData[[#This Row],[disposedChallan]]&lt;=TrafficData[[#This Row],[totalChallan]],TrafficData[[#This Row],[pendingChallan]]&lt;=TrafficData[[#This Row],[totalChallan]])</f>
        <v>1</v>
      </c>
      <c r="O2729" s="8" t="b">
        <f>AND(TrafficData[[#This Row],[pendingAmount]]&lt;=TrafficData[[#This Row],[totalAmount]],TrafficData[[#This Row],[disposedAmount]]&lt;=TrafficData[[#This Row],[totalAmount]])</f>
        <v>1</v>
      </c>
      <c r="P2729" s="8" t="b">
        <f>AND(TrafficData[[#This Row],[pendingCourt]]&lt;=TrafficData[[#This Row],[totalCourt]],TrafficData[[#This Row],[disposedCourt]]&lt;=TrafficData[[#This Row],[totalCourt]])</f>
        <v>1</v>
      </c>
    </row>
    <row r="2730" spans="1:16">
      <c r="A2730" s="1">
        <v>44734</v>
      </c>
      <c r="B2730">
        <v>93402</v>
      </c>
      <c r="C2730">
        <v>46218</v>
      </c>
      <c r="D2730">
        <v>47184</v>
      </c>
      <c r="E2730">
        <v>80615621</v>
      </c>
      <c r="F2730">
        <v>76177011</v>
      </c>
      <c r="G2730">
        <v>156792632</v>
      </c>
      <c r="H2730">
        <v>34289</v>
      </c>
      <c r="I2730">
        <v>9299</v>
      </c>
      <c r="J2730">
        <v>43588</v>
      </c>
      <c r="K2730" t="b">
        <f>TrafficData[[#This Row],[disposedChallan]]+TrafficData[[#This Row],[pendingChallan]]=TrafficData[[#This Row],[totalChallan]]</f>
        <v>1</v>
      </c>
      <c r="L2730" t="b">
        <f>TrafficData[[#This Row],[pendingAmount]]+TrafficData[[#This Row],[disposedAmount]]=TrafficData[[#This Row],[totalAmount]]</f>
        <v>1</v>
      </c>
      <c r="M2730" t="b">
        <f>TrafficData[[#This Row],[pendingCourt]]+TrafficData[[#This Row],[disposedCourt]]=TrafficData[[#This Row],[totalCourt]]</f>
        <v>1</v>
      </c>
      <c r="N2730" s="8" t="b">
        <f>AND(TrafficData[[#This Row],[disposedChallan]]&lt;=TrafficData[[#This Row],[totalChallan]],TrafficData[[#This Row],[pendingChallan]]&lt;=TrafficData[[#This Row],[totalChallan]])</f>
        <v>1</v>
      </c>
      <c r="O2730" s="8" t="b">
        <f>AND(TrafficData[[#This Row],[pendingAmount]]&lt;=TrafficData[[#This Row],[totalAmount]],TrafficData[[#This Row],[disposedAmount]]&lt;=TrafficData[[#This Row],[totalAmount]])</f>
        <v>1</v>
      </c>
      <c r="P2730" s="8" t="b">
        <f>AND(TrafficData[[#This Row],[pendingCourt]]&lt;=TrafficData[[#This Row],[totalCourt]],TrafficData[[#This Row],[disposedCourt]]&lt;=TrafficData[[#This Row],[totalCourt]])</f>
        <v>1</v>
      </c>
    </row>
    <row r="2731" spans="1:16">
      <c r="A2731" s="1">
        <v>44735</v>
      </c>
      <c r="B2731">
        <v>102318</v>
      </c>
      <c r="C2731">
        <v>51290</v>
      </c>
      <c r="D2731">
        <v>51028</v>
      </c>
      <c r="E2731">
        <v>85396015</v>
      </c>
      <c r="F2731">
        <v>78404591</v>
      </c>
      <c r="G2731">
        <v>163800606</v>
      </c>
      <c r="H2731">
        <v>36787</v>
      </c>
      <c r="I2731">
        <v>9687</v>
      </c>
      <c r="J2731">
        <v>46474</v>
      </c>
      <c r="K2731" t="b">
        <f>TrafficData[[#This Row],[disposedChallan]]+TrafficData[[#This Row],[pendingChallan]]=TrafficData[[#This Row],[totalChallan]]</f>
        <v>1</v>
      </c>
      <c r="L2731" t="b">
        <f>TrafficData[[#This Row],[pendingAmount]]+TrafficData[[#This Row],[disposedAmount]]=TrafficData[[#This Row],[totalAmount]]</f>
        <v>1</v>
      </c>
      <c r="M2731" t="b">
        <f>TrafficData[[#This Row],[pendingCourt]]+TrafficData[[#This Row],[disposedCourt]]=TrafficData[[#This Row],[totalCourt]]</f>
        <v>1</v>
      </c>
      <c r="N2731" s="8" t="b">
        <f>AND(TrafficData[[#This Row],[disposedChallan]]&lt;=TrafficData[[#This Row],[totalChallan]],TrafficData[[#This Row],[pendingChallan]]&lt;=TrafficData[[#This Row],[totalChallan]])</f>
        <v>1</v>
      </c>
      <c r="O2731" s="8" t="b">
        <f>AND(TrafficData[[#This Row],[pendingAmount]]&lt;=TrafficData[[#This Row],[totalAmount]],TrafficData[[#This Row],[disposedAmount]]&lt;=TrafficData[[#This Row],[totalAmount]])</f>
        <v>1</v>
      </c>
      <c r="P2731" s="8" t="b">
        <f>AND(TrafficData[[#This Row],[pendingCourt]]&lt;=TrafficData[[#This Row],[totalCourt]],TrafficData[[#This Row],[disposedCourt]]&lt;=TrafficData[[#This Row],[totalCourt]])</f>
        <v>1</v>
      </c>
    </row>
    <row r="2732" spans="1:16">
      <c r="A2732" s="1">
        <v>44736</v>
      </c>
      <c r="B2732">
        <v>120097</v>
      </c>
      <c r="C2732">
        <v>60259</v>
      </c>
      <c r="D2732">
        <v>59838</v>
      </c>
      <c r="E2732">
        <v>101105187</v>
      </c>
      <c r="F2732">
        <v>93716237</v>
      </c>
      <c r="G2732">
        <v>194821424</v>
      </c>
      <c r="H2732">
        <v>44425</v>
      </c>
      <c r="I2732">
        <v>11890</v>
      </c>
      <c r="J2732">
        <v>56315</v>
      </c>
      <c r="K2732" t="b">
        <f>TrafficData[[#This Row],[disposedChallan]]+TrafficData[[#This Row],[pendingChallan]]=TrafficData[[#This Row],[totalChallan]]</f>
        <v>1</v>
      </c>
      <c r="L2732" t="b">
        <f>TrafficData[[#This Row],[pendingAmount]]+TrafficData[[#This Row],[disposedAmount]]=TrafficData[[#This Row],[totalAmount]]</f>
        <v>1</v>
      </c>
      <c r="M2732" t="b">
        <f>TrafficData[[#This Row],[pendingCourt]]+TrafficData[[#This Row],[disposedCourt]]=TrafficData[[#This Row],[totalCourt]]</f>
        <v>1</v>
      </c>
      <c r="N2732" s="8" t="b">
        <f>AND(TrafficData[[#This Row],[disposedChallan]]&lt;=TrafficData[[#This Row],[totalChallan]],TrafficData[[#This Row],[pendingChallan]]&lt;=TrafficData[[#This Row],[totalChallan]])</f>
        <v>1</v>
      </c>
      <c r="O2732" s="8" t="b">
        <f>AND(TrafficData[[#This Row],[pendingAmount]]&lt;=TrafficData[[#This Row],[totalAmount]],TrafficData[[#This Row],[disposedAmount]]&lt;=TrafficData[[#This Row],[totalAmount]])</f>
        <v>1</v>
      </c>
      <c r="P2732" s="8" t="b">
        <f>AND(TrafficData[[#This Row],[pendingCourt]]&lt;=TrafficData[[#This Row],[totalCourt]],TrafficData[[#This Row],[disposedCourt]]&lt;=TrafficData[[#This Row],[totalCourt]])</f>
        <v>1</v>
      </c>
    </row>
    <row r="2733" spans="1:16">
      <c r="A2733" s="1">
        <v>44737</v>
      </c>
      <c r="B2733">
        <v>117909</v>
      </c>
      <c r="C2733">
        <v>60783</v>
      </c>
      <c r="D2733">
        <v>57126</v>
      </c>
      <c r="E2733">
        <v>101611760</v>
      </c>
      <c r="F2733">
        <v>93908705</v>
      </c>
      <c r="G2733">
        <v>195520465</v>
      </c>
      <c r="H2733">
        <v>43747</v>
      </c>
      <c r="I2733">
        <v>11946</v>
      </c>
      <c r="J2733">
        <v>55693</v>
      </c>
      <c r="K2733" t="b">
        <f>TrafficData[[#This Row],[disposedChallan]]+TrafficData[[#This Row],[pendingChallan]]=TrafficData[[#This Row],[totalChallan]]</f>
        <v>1</v>
      </c>
      <c r="L2733" t="b">
        <f>TrafficData[[#This Row],[pendingAmount]]+TrafficData[[#This Row],[disposedAmount]]=TrafficData[[#This Row],[totalAmount]]</f>
        <v>1</v>
      </c>
      <c r="M2733" t="b">
        <f>TrafficData[[#This Row],[pendingCourt]]+TrafficData[[#This Row],[disposedCourt]]=TrafficData[[#This Row],[totalCourt]]</f>
        <v>1</v>
      </c>
      <c r="N2733" s="8" t="b">
        <f>AND(TrafficData[[#This Row],[disposedChallan]]&lt;=TrafficData[[#This Row],[totalChallan]],TrafficData[[#This Row],[pendingChallan]]&lt;=TrafficData[[#This Row],[totalChallan]])</f>
        <v>1</v>
      </c>
      <c r="O2733" s="8" t="b">
        <f>AND(TrafficData[[#This Row],[pendingAmount]]&lt;=TrafficData[[#This Row],[totalAmount]],TrafficData[[#This Row],[disposedAmount]]&lt;=TrafficData[[#This Row],[totalAmount]])</f>
        <v>1</v>
      </c>
      <c r="P2733" s="8" t="b">
        <f>AND(TrafficData[[#This Row],[pendingCourt]]&lt;=TrafficData[[#This Row],[totalCourt]],TrafficData[[#This Row],[disposedCourt]]&lt;=TrafficData[[#This Row],[totalCourt]])</f>
        <v>1</v>
      </c>
    </row>
    <row r="2734" spans="1:16">
      <c r="A2734" s="1">
        <v>44738</v>
      </c>
      <c r="B2734">
        <v>112523</v>
      </c>
      <c r="C2734">
        <v>54995</v>
      </c>
      <c r="D2734">
        <v>57528</v>
      </c>
      <c r="E2734">
        <v>80505985</v>
      </c>
      <c r="F2734">
        <v>77467911</v>
      </c>
      <c r="G2734">
        <v>157973896</v>
      </c>
      <c r="H2734">
        <v>39546</v>
      </c>
      <c r="I2734">
        <v>10316</v>
      </c>
      <c r="J2734">
        <v>49862</v>
      </c>
      <c r="K2734" t="b">
        <f>TrafficData[[#This Row],[disposedChallan]]+TrafficData[[#This Row],[pendingChallan]]=TrafficData[[#This Row],[totalChallan]]</f>
        <v>1</v>
      </c>
      <c r="L2734" t="b">
        <f>TrafficData[[#This Row],[pendingAmount]]+TrafficData[[#This Row],[disposedAmount]]=TrafficData[[#This Row],[totalAmount]]</f>
        <v>1</v>
      </c>
      <c r="M2734" t="b">
        <f>TrafficData[[#This Row],[pendingCourt]]+TrafficData[[#This Row],[disposedCourt]]=TrafficData[[#This Row],[totalCourt]]</f>
        <v>1</v>
      </c>
      <c r="N2734" s="8" t="b">
        <f>AND(TrafficData[[#This Row],[disposedChallan]]&lt;=TrafficData[[#This Row],[totalChallan]],TrafficData[[#This Row],[pendingChallan]]&lt;=TrafficData[[#This Row],[totalChallan]])</f>
        <v>1</v>
      </c>
      <c r="O2734" s="8" t="b">
        <f>AND(TrafficData[[#This Row],[pendingAmount]]&lt;=TrafficData[[#This Row],[totalAmount]],TrafficData[[#This Row],[disposedAmount]]&lt;=TrafficData[[#This Row],[totalAmount]])</f>
        <v>1</v>
      </c>
      <c r="P2734" s="8" t="b">
        <f>AND(TrafficData[[#This Row],[pendingCourt]]&lt;=TrafficData[[#This Row],[totalCourt]],TrafficData[[#This Row],[disposedCourt]]&lt;=TrafficData[[#This Row],[totalCourt]])</f>
        <v>1</v>
      </c>
    </row>
    <row r="2735" spans="1:16">
      <c r="A2735" s="1">
        <v>44739</v>
      </c>
      <c r="B2735">
        <v>133365</v>
      </c>
      <c r="C2735">
        <v>66518</v>
      </c>
      <c r="D2735">
        <v>66847</v>
      </c>
      <c r="E2735">
        <v>104202439</v>
      </c>
      <c r="F2735">
        <v>82500586</v>
      </c>
      <c r="G2735">
        <v>186703025</v>
      </c>
      <c r="H2735">
        <v>45533</v>
      </c>
      <c r="I2735">
        <v>11467</v>
      </c>
      <c r="J2735">
        <v>57000</v>
      </c>
      <c r="K2735" t="b">
        <f>TrafficData[[#This Row],[disposedChallan]]+TrafficData[[#This Row],[pendingChallan]]=TrafficData[[#This Row],[totalChallan]]</f>
        <v>1</v>
      </c>
      <c r="L2735" t="b">
        <f>TrafficData[[#This Row],[pendingAmount]]+TrafficData[[#This Row],[disposedAmount]]=TrafficData[[#This Row],[totalAmount]]</f>
        <v>1</v>
      </c>
      <c r="M2735" t="b">
        <f>TrafficData[[#This Row],[pendingCourt]]+TrafficData[[#This Row],[disposedCourt]]=TrafficData[[#This Row],[totalCourt]]</f>
        <v>1</v>
      </c>
      <c r="N2735" s="8" t="b">
        <f>AND(TrafficData[[#This Row],[disposedChallan]]&lt;=TrafficData[[#This Row],[totalChallan]],TrafficData[[#This Row],[pendingChallan]]&lt;=TrafficData[[#This Row],[totalChallan]])</f>
        <v>1</v>
      </c>
      <c r="O2735" s="8" t="b">
        <f>AND(TrafficData[[#This Row],[pendingAmount]]&lt;=TrafficData[[#This Row],[totalAmount]],TrafficData[[#This Row],[disposedAmount]]&lt;=TrafficData[[#This Row],[totalAmount]])</f>
        <v>1</v>
      </c>
      <c r="P2735" s="8" t="b">
        <f>AND(TrafficData[[#This Row],[pendingCourt]]&lt;=TrafficData[[#This Row],[totalCourt]],TrafficData[[#This Row],[disposedCourt]]&lt;=TrafficData[[#This Row],[totalCourt]])</f>
        <v>1</v>
      </c>
    </row>
    <row r="2736" spans="1:16">
      <c r="A2736" s="1">
        <v>44740</v>
      </c>
      <c r="B2736">
        <v>128957</v>
      </c>
      <c r="C2736">
        <v>65185</v>
      </c>
      <c r="D2736">
        <v>63772</v>
      </c>
      <c r="E2736">
        <v>99398293</v>
      </c>
      <c r="F2736">
        <v>84085896</v>
      </c>
      <c r="G2736">
        <v>183484189</v>
      </c>
      <c r="H2736">
        <v>43460</v>
      </c>
      <c r="I2736">
        <v>11221</v>
      </c>
      <c r="J2736">
        <v>54681</v>
      </c>
      <c r="K2736" t="b">
        <f>TrafficData[[#This Row],[disposedChallan]]+TrafficData[[#This Row],[pendingChallan]]=TrafficData[[#This Row],[totalChallan]]</f>
        <v>1</v>
      </c>
      <c r="L2736" t="b">
        <f>TrafficData[[#This Row],[pendingAmount]]+TrafficData[[#This Row],[disposedAmount]]=TrafficData[[#This Row],[totalAmount]]</f>
        <v>1</v>
      </c>
      <c r="M2736" t="b">
        <f>TrafficData[[#This Row],[pendingCourt]]+TrafficData[[#This Row],[disposedCourt]]=TrafficData[[#This Row],[totalCourt]]</f>
        <v>1</v>
      </c>
      <c r="N2736" s="8" t="b">
        <f>AND(TrafficData[[#This Row],[disposedChallan]]&lt;=TrafficData[[#This Row],[totalChallan]],TrafficData[[#This Row],[pendingChallan]]&lt;=TrafficData[[#This Row],[totalChallan]])</f>
        <v>1</v>
      </c>
      <c r="O2736" s="8" t="b">
        <f>AND(TrafficData[[#This Row],[pendingAmount]]&lt;=TrafficData[[#This Row],[totalAmount]],TrafficData[[#This Row],[disposedAmount]]&lt;=TrafficData[[#This Row],[totalAmount]])</f>
        <v>1</v>
      </c>
      <c r="P2736" s="8" t="b">
        <f>AND(TrafficData[[#This Row],[pendingCourt]]&lt;=TrafficData[[#This Row],[totalCourt]],TrafficData[[#This Row],[disposedCourt]]&lt;=TrafficData[[#This Row],[totalCourt]])</f>
        <v>1</v>
      </c>
    </row>
    <row r="2737" spans="1:16">
      <c r="A2737" s="1">
        <v>44741</v>
      </c>
      <c r="B2737">
        <v>122150</v>
      </c>
      <c r="C2737">
        <v>59680</v>
      </c>
      <c r="D2737">
        <v>62470</v>
      </c>
      <c r="E2737">
        <v>93747032</v>
      </c>
      <c r="F2737">
        <v>80559072</v>
      </c>
      <c r="G2737">
        <v>174306104</v>
      </c>
      <c r="H2737">
        <v>43232</v>
      </c>
      <c r="I2737">
        <v>11199</v>
      </c>
      <c r="J2737">
        <v>54431</v>
      </c>
      <c r="K2737" t="b">
        <f>TrafficData[[#This Row],[disposedChallan]]+TrafficData[[#This Row],[pendingChallan]]=TrafficData[[#This Row],[totalChallan]]</f>
        <v>1</v>
      </c>
      <c r="L2737" t="b">
        <f>TrafficData[[#This Row],[pendingAmount]]+TrafficData[[#This Row],[disposedAmount]]=TrafficData[[#This Row],[totalAmount]]</f>
        <v>1</v>
      </c>
      <c r="M2737" t="b">
        <f>TrafficData[[#This Row],[pendingCourt]]+TrafficData[[#This Row],[disposedCourt]]=TrafficData[[#This Row],[totalCourt]]</f>
        <v>1</v>
      </c>
      <c r="N2737" s="8" t="b">
        <f>AND(TrafficData[[#This Row],[disposedChallan]]&lt;=TrafficData[[#This Row],[totalChallan]],TrafficData[[#This Row],[pendingChallan]]&lt;=TrafficData[[#This Row],[totalChallan]])</f>
        <v>1</v>
      </c>
      <c r="O2737" s="8" t="b">
        <f>AND(TrafficData[[#This Row],[pendingAmount]]&lt;=TrafficData[[#This Row],[totalAmount]],TrafficData[[#This Row],[disposedAmount]]&lt;=TrafficData[[#This Row],[totalAmount]])</f>
        <v>1</v>
      </c>
      <c r="P2737" s="8" t="b">
        <f>AND(TrafficData[[#This Row],[pendingCourt]]&lt;=TrafficData[[#This Row],[totalCourt]],TrafficData[[#This Row],[disposedCourt]]&lt;=TrafficData[[#This Row],[totalCourt]])</f>
        <v>1</v>
      </c>
    </row>
    <row r="2738" spans="1:16">
      <c r="A2738" s="1">
        <v>44742</v>
      </c>
      <c r="B2738">
        <v>103275</v>
      </c>
      <c r="C2738">
        <v>50420</v>
      </c>
      <c r="D2738">
        <v>52855</v>
      </c>
      <c r="E2738">
        <v>74451378</v>
      </c>
      <c r="F2738">
        <v>64508886</v>
      </c>
      <c r="G2738">
        <v>138960264</v>
      </c>
      <c r="H2738">
        <v>35152</v>
      </c>
      <c r="I2738">
        <v>8807</v>
      </c>
      <c r="J2738">
        <v>43959</v>
      </c>
      <c r="K2738" t="b">
        <f>TrafficData[[#This Row],[disposedChallan]]+TrafficData[[#This Row],[pendingChallan]]=TrafficData[[#This Row],[totalChallan]]</f>
        <v>1</v>
      </c>
      <c r="L2738" t="b">
        <f>TrafficData[[#This Row],[pendingAmount]]+TrafficData[[#This Row],[disposedAmount]]=TrafficData[[#This Row],[totalAmount]]</f>
        <v>1</v>
      </c>
      <c r="M2738" t="b">
        <f>TrafficData[[#This Row],[pendingCourt]]+TrafficData[[#This Row],[disposedCourt]]=TrafficData[[#This Row],[totalCourt]]</f>
        <v>1</v>
      </c>
      <c r="N2738" s="8" t="b">
        <f>AND(TrafficData[[#This Row],[disposedChallan]]&lt;=TrafficData[[#This Row],[totalChallan]],TrafficData[[#This Row],[pendingChallan]]&lt;=TrafficData[[#This Row],[totalChallan]])</f>
        <v>1</v>
      </c>
      <c r="O2738" s="8" t="b">
        <f>AND(TrafficData[[#This Row],[pendingAmount]]&lt;=TrafficData[[#This Row],[totalAmount]],TrafficData[[#This Row],[disposedAmount]]&lt;=TrafficData[[#This Row],[totalAmount]])</f>
        <v>1</v>
      </c>
      <c r="P2738" s="8" t="b">
        <f>AND(TrafficData[[#This Row],[pendingCourt]]&lt;=TrafficData[[#This Row],[totalCourt]],TrafficData[[#This Row],[disposedCourt]]&lt;=TrafficData[[#This Row],[totalCourt]])</f>
        <v>1</v>
      </c>
    </row>
    <row r="2739" spans="1:16">
      <c r="A2739" s="1">
        <v>44743</v>
      </c>
      <c r="B2739">
        <v>120503</v>
      </c>
      <c r="C2739">
        <v>62778</v>
      </c>
      <c r="D2739">
        <v>57725</v>
      </c>
      <c r="E2739">
        <v>82032190</v>
      </c>
      <c r="F2739">
        <v>81741326</v>
      </c>
      <c r="G2739">
        <v>163773516</v>
      </c>
      <c r="H2739">
        <v>40155</v>
      </c>
      <c r="I2739">
        <v>11217</v>
      </c>
      <c r="J2739">
        <v>51372</v>
      </c>
      <c r="K2739" t="b">
        <f>TrafficData[[#This Row],[disposedChallan]]+TrafficData[[#This Row],[pendingChallan]]=TrafficData[[#This Row],[totalChallan]]</f>
        <v>1</v>
      </c>
      <c r="L2739" t="b">
        <f>TrafficData[[#This Row],[pendingAmount]]+TrafficData[[#This Row],[disposedAmount]]=TrafficData[[#This Row],[totalAmount]]</f>
        <v>1</v>
      </c>
      <c r="M2739" t="b">
        <f>TrafficData[[#This Row],[pendingCourt]]+TrafficData[[#This Row],[disposedCourt]]=TrafficData[[#This Row],[totalCourt]]</f>
        <v>1</v>
      </c>
      <c r="N2739" s="8" t="b">
        <f>AND(TrafficData[[#This Row],[disposedChallan]]&lt;=TrafficData[[#This Row],[totalChallan]],TrafficData[[#This Row],[pendingChallan]]&lt;=TrafficData[[#This Row],[totalChallan]])</f>
        <v>1</v>
      </c>
      <c r="O2739" s="8" t="b">
        <f>AND(TrafficData[[#This Row],[pendingAmount]]&lt;=TrafficData[[#This Row],[totalAmount]],TrafficData[[#This Row],[disposedAmount]]&lt;=TrafficData[[#This Row],[totalAmount]])</f>
        <v>1</v>
      </c>
      <c r="P2739" s="8" t="b">
        <f>AND(TrafficData[[#This Row],[pendingCourt]]&lt;=TrafficData[[#This Row],[totalCourt]],TrafficData[[#This Row],[disposedCourt]]&lt;=TrafficData[[#This Row],[totalCourt]])</f>
        <v>1</v>
      </c>
    </row>
    <row r="2740" spans="1:16">
      <c r="A2740" s="1">
        <v>44744</v>
      </c>
      <c r="B2740">
        <v>130690</v>
      </c>
      <c r="C2740">
        <v>68455</v>
      </c>
      <c r="D2740">
        <v>62235</v>
      </c>
      <c r="E2740">
        <v>88273080</v>
      </c>
      <c r="F2740">
        <v>87345836</v>
      </c>
      <c r="G2740">
        <v>175618916</v>
      </c>
      <c r="H2740">
        <v>42718</v>
      </c>
      <c r="I2740">
        <v>11807</v>
      </c>
      <c r="J2740">
        <v>54525</v>
      </c>
      <c r="K2740" t="b">
        <f>TrafficData[[#This Row],[disposedChallan]]+TrafficData[[#This Row],[pendingChallan]]=TrafficData[[#This Row],[totalChallan]]</f>
        <v>1</v>
      </c>
      <c r="L2740" t="b">
        <f>TrafficData[[#This Row],[pendingAmount]]+TrafficData[[#This Row],[disposedAmount]]=TrafficData[[#This Row],[totalAmount]]</f>
        <v>1</v>
      </c>
      <c r="M2740" t="b">
        <f>TrafficData[[#This Row],[pendingCourt]]+TrafficData[[#This Row],[disposedCourt]]=TrafficData[[#This Row],[totalCourt]]</f>
        <v>1</v>
      </c>
      <c r="N2740" s="8" t="b">
        <f>AND(TrafficData[[#This Row],[disposedChallan]]&lt;=TrafficData[[#This Row],[totalChallan]],TrafficData[[#This Row],[pendingChallan]]&lt;=TrafficData[[#This Row],[totalChallan]])</f>
        <v>1</v>
      </c>
      <c r="O2740" s="8" t="b">
        <f>AND(TrafficData[[#This Row],[pendingAmount]]&lt;=TrafficData[[#This Row],[totalAmount]],TrafficData[[#This Row],[disposedAmount]]&lt;=TrafficData[[#This Row],[totalAmount]])</f>
        <v>1</v>
      </c>
      <c r="P2740" s="8" t="b">
        <f>AND(TrafficData[[#This Row],[pendingCourt]]&lt;=TrafficData[[#This Row],[totalCourt]],TrafficData[[#This Row],[disposedCourt]]&lt;=TrafficData[[#This Row],[totalCourt]])</f>
        <v>1</v>
      </c>
    </row>
    <row r="2741" spans="1:16">
      <c r="A2741" s="1">
        <v>44745</v>
      </c>
      <c r="B2741">
        <v>114093</v>
      </c>
      <c r="C2741">
        <v>57721</v>
      </c>
      <c r="D2741">
        <v>56372</v>
      </c>
      <c r="E2741">
        <v>78531757</v>
      </c>
      <c r="F2741">
        <v>65625337</v>
      </c>
      <c r="G2741">
        <v>144157094</v>
      </c>
      <c r="H2741">
        <v>37521</v>
      </c>
      <c r="I2741">
        <v>10308</v>
      </c>
      <c r="J2741">
        <v>47829</v>
      </c>
      <c r="K2741" t="b">
        <f>TrafficData[[#This Row],[disposedChallan]]+TrafficData[[#This Row],[pendingChallan]]=TrafficData[[#This Row],[totalChallan]]</f>
        <v>1</v>
      </c>
      <c r="L2741" t="b">
        <f>TrafficData[[#This Row],[pendingAmount]]+TrafficData[[#This Row],[disposedAmount]]=TrafficData[[#This Row],[totalAmount]]</f>
        <v>1</v>
      </c>
      <c r="M2741" t="b">
        <f>TrafficData[[#This Row],[pendingCourt]]+TrafficData[[#This Row],[disposedCourt]]=TrafficData[[#This Row],[totalCourt]]</f>
        <v>1</v>
      </c>
      <c r="N2741" s="8" t="b">
        <f>AND(TrafficData[[#This Row],[disposedChallan]]&lt;=TrafficData[[#This Row],[totalChallan]],TrafficData[[#This Row],[pendingChallan]]&lt;=TrafficData[[#This Row],[totalChallan]])</f>
        <v>1</v>
      </c>
      <c r="O2741" s="8" t="b">
        <f>AND(TrafficData[[#This Row],[pendingAmount]]&lt;=TrafficData[[#This Row],[totalAmount]],TrafficData[[#This Row],[disposedAmount]]&lt;=TrafficData[[#This Row],[totalAmount]])</f>
        <v>1</v>
      </c>
      <c r="P2741" s="8" t="b">
        <f>AND(TrafficData[[#This Row],[pendingCourt]]&lt;=TrafficData[[#This Row],[totalCourt]],TrafficData[[#This Row],[disposedCourt]]&lt;=TrafficData[[#This Row],[totalCourt]])</f>
        <v>1</v>
      </c>
    </row>
    <row r="2742" spans="1:16">
      <c r="A2742" s="1">
        <v>44746</v>
      </c>
      <c r="B2742">
        <v>132497</v>
      </c>
      <c r="C2742">
        <v>67770</v>
      </c>
      <c r="D2742">
        <v>64727</v>
      </c>
      <c r="E2742">
        <v>87893807</v>
      </c>
      <c r="F2742">
        <v>86633610</v>
      </c>
      <c r="G2742">
        <v>174527417</v>
      </c>
      <c r="H2742">
        <v>36336</v>
      </c>
      <c r="I2742">
        <v>10997</v>
      </c>
      <c r="J2742">
        <v>47333</v>
      </c>
      <c r="K2742" t="b">
        <f>TrafficData[[#This Row],[disposedChallan]]+TrafficData[[#This Row],[pendingChallan]]=TrafficData[[#This Row],[totalChallan]]</f>
        <v>1</v>
      </c>
      <c r="L2742" t="b">
        <f>TrafficData[[#This Row],[pendingAmount]]+TrafficData[[#This Row],[disposedAmount]]=TrafficData[[#This Row],[totalAmount]]</f>
        <v>1</v>
      </c>
      <c r="M2742" t="b">
        <f>TrafficData[[#This Row],[pendingCourt]]+TrafficData[[#This Row],[disposedCourt]]=TrafficData[[#This Row],[totalCourt]]</f>
        <v>1</v>
      </c>
      <c r="N2742" s="8" t="b">
        <f>AND(TrafficData[[#This Row],[disposedChallan]]&lt;=TrafficData[[#This Row],[totalChallan]],TrafficData[[#This Row],[pendingChallan]]&lt;=TrafficData[[#This Row],[totalChallan]])</f>
        <v>1</v>
      </c>
      <c r="O2742" s="8" t="b">
        <f>AND(TrafficData[[#This Row],[pendingAmount]]&lt;=TrafficData[[#This Row],[totalAmount]],TrafficData[[#This Row],[disposedAmount]]&lt;=TrafficData[[#This Row],[totalAmount]])</f>
        <v>1</v>
      </c>
      <c r="P2742" s="8" t="b">
        <f>AND(TrafficData[[#This Row],[pendingCourt]]&lt;=TrafficData[[#This Row],[totalCourt]],TrafficData[[#This Row],[disposedCourt]]&lt;=TrafficData[[#This Row],[totalCourt]])</f>
        <v>1</v>
      </c>
    </row>
    <row r="2743" spans="1:16">
      <c r="A2743" s="1">
        <v>44747</v>
      </c>
      <c r="B2743">
        <v>113705</v>
      </c>
      <c r="C2743">
        <v>62094</v>
      </c>
      <c r="D2743">
        <v>51611</v>
      </c>
      <c r="E2743">
        <v>84120343</v>
      </c>
      <c r="F2743">
        <v>93057524</v>
      </c>
      <c r="G2743">
        <v>177177867</v>
      </c>
      <c r="H2743">
        <v>31999</v>
      </c>
      <c r="I2743">
        <v>9636</v>
      </c>
      <c r="J2743">
        <v>41635</v>
      </c>
      <c r="K2743" t="b">
        <f>TrafficData[[#This Row],[disposedChallan]]+TrafficData[[#This Row],[pendingChallan]]=TrafficData[[#This Row],[totalChallan]]</f>
        <v>1</v>
      </c>
      <c r="L2743" t="b">
        <f>TrafficData[[#This Row],[pendingAmount]]+TrafficData[[#This Row],[disposedAmount]]=TrafficData[[#This Row],[totalAmount]]</f>
        <v>1</v>
      </c>
      <c r="M2743" t="b">
        <f>TrafficData[[#This Row],[pendingCourt]]+TrafficData[[#This Row],[disposedCourt]]=TrafficData[[#This Row],[totalCourt]]</f>
        <v>1</v>
      </c>
      <c r="N2743" s="8" t="b">
        <f>AND(TrafficData[[#This Row],[disposedChallan]]&lt;=TrafficData[[#This Row],[totalChallan]],TrafficData[[#This Row],[pendingChallan]]&lt;=TrafficData[[#This Row],[totalChallan]])</f>
        <v>1</v>
      </c>
      <c r="O2743" s="8" t="b">
        <f>AND(TrafficData[[#This Row],[pendingAmount]]&lt;=TrafficData[[#This Row],[totalAmount]],TrafficData[[#This Row],[disposedAmount]]&lt;=TrafficData[[#This Row],[totalAmount]])</f>
        <v>1</v>
      </c>
      <c r="P2743" s="8" t="b">
        <f>AND(TrafficData[[#This Row],[pendingCourt]]&lt;=TrafficData[[#This Row],[totalCourt]],TrafficData[[#This Row],[disposedCourt]]&lt;=TrafficData[[#This Row],[totalCourt]])</f>
        <v>1</v>
      </c>
    </row>
    <row r="2744" spans="1:16">
      <c r="A2744" s="1">
        <v>44748</v>
      </c>
      <c r="B2744">
        <v>118701</v>
      </c>
      <c r="C2744">
        <v>63478</v>
      </c>
      <c r="D2744">
        <v>55223</v>
      </c>
      <c r="E2744">
        <v>93916341</v>
      </c>
      <c r="F2744">
        <v>99033407</v>
      </c>
      <c r="G2744">
        <v>192949748</v>
      </c>
      <c r="H2744">
        <v>33579</v>
      </c>
      <c r="I2744">
        <v>9818</v>
      </c>
      <c r="J2744">
        <v>43397</v>
      </c>
      <c r="K2744" t="b">
        <f>TrafficData[[#This Row],[disposedChallan]]+TrafficData[[#This Row],[pendingChallan]]=TrafficData[[#This Row],[totalChallan]]</f>
        <v>1</v>
      </c>
      <c r="L2744" t="b">
        <f>TrafficData[[#This Row],[pendingAmount]]+TrafficData[[#This Row],[disposedAmount]]=TrafficData[[#This Row],[totalAmount]]</f>
        <v>1</v>
      </c>
      <c r="M2744" t="b">
        <f>TrafficData[[#This Row],[pendingCourt]]+TrafficData[[#This Row],[disposedCourt]]=TrafficData[[#This Row],[totalCourt]]</f>
        <v>1</v>
      </c>
      <c r="N2744" s="8" t="b">
        <f>AND(TrafficData[[#This Row],[disposedChallan]]&lt;=TrafficData[[#This Row],[totalChallan]],TrafficData[[#This Row],[pendingChallan]]&lt;=TrafficData[[#This Row],[totalChallan]])</f>
        <v>1</v>
      </c>
      <c r="O2744" s="8" t="b">
        <f>AND(TrafficData[[#This Row],[pendingAmount]]&lt;=TrafficData[[#This Row],[totalAmount]],TrafficData[[#This Row],[disposedAmount]]&lt;=TrafficData[[#This Row],[totalAmount]])</f>
        <v>1</v>
      </c>
      <c r="P2744" s="8" t="b">
        <f>AND(TrafficData[[#This Row],[pendingCourt]]&lt;=TrafficData[[#This Row],[totalCourt]],TrafficData[[#This Row],[disposedCourt]]&lt;=TrafficData[[#This Row],[totalCourt]])</f>
        <v>1</v>
      </c>
    </row>
    <row r="2745" spans="1:16">
      <c r="A2745" s="1">
        <v>44749</v>
      </c>
      <c r="B2745">
        <v>125362</v>
      </c>
      <c r="C2745">
        <v>64032</v>
      </c>
      <c r="D2745">
        <v>61330</v>
      </c>
      <c r="E2745">
        <v>97649257</v>
      </c>
      <c r="F2745">
        <v>95896732</v>
      </c>
      <c r="G2745">
        <v>193545989</v>
      </c>
      <c r="H2745">
        <v>31921</v>
      </c>
      <c r="I2745">
        <v>9950</v>
      </c>
      <c r="J2745">
        <v>41871</v>
      </c>
      <c r="K2745" t="b">
        <f>TrafficData[[#This Row],[disposedChallan]]+TrafficData[[#This Row],[pendingChallan]]=TrafficData[[#This Row],[totalChallan]]</f>
        <v>1</v>
      </c>
      <c r="L2745" t="b">
        <f>TrafficData[[#This Row],[pendingAmount]]+TrafficData[[#This Row],[disposedAmount]]=TrafficData[[#This Row],[totalAmount]]</f>
        <v>1</v>
      </c>
      <c r="M2745" t="b">
        <f>TrafficData[[#This Row],[pendingCourt]]+TrafficData[[#This Row],[disposedCourt]]=TrafficData[[#This Row],[totalCourt]]</f>
        <v>1</v>
      </c>
      <c r="N2745" s="8" t="b">
        <f>AND(TrafficData[[#This Row],[disposedChallan]]&lt;=TrafficData[[#This Row],[totalChallan]],TrafficData[[#This Row],[pendingChallan]]&lt;=TrafficData[[#This Row],[totalChallan]])</f>
        <v>1</v>
      </c>
      <c r="O2745" s="8" t="b">
        <f>AND(TrafficData[[#This Row],[pendingAmount]]&lt;=TrafficData[[#This Row],[totalAmount]],TrafficData[[#This Row],[disposedAmount]]&lt;=TrafficData[[#This Row],[totalAmount]])</f>
        <v>1</v>
      </c>
      <c r="P2745" s="8" t="b">
        <f>AND(TrafficData[[#This Row],[pendingCourt]]&lt;=TrafficData[[#This Row],[totalCourt]],TrafficData[[#This Row],[disposedCourt]]&lt;=TrafficData[[#This Row],[totalCourt]])</f>
        <v>1</v>
      </c>
    </row>
    <row r="2746" spans="1:16">
      <c r="A2746" s="1">
        <v>44750</v>
      </c>
      <c r="B2746">
        <v>131042</v>
      </c>
      <c r="C2746">
        <v>67421</v>
      </c>
      <c r="D2746">
        <v>63621</v>
      </c>
      <c r="E2746">
        <v>99340296</v>
      </c>
      <c r="F2746">
        <v>93244749</v>
      </c>
      <c r="G2746">
        <v>192585045</v>
      </c>
      <c r="H2746">
        <v>34086</v>
      </c>
      <c r="I2746">
        <v>10560</v>
      </c>
      <c r="J2746">
        <v>44646</v>
      </c>
      <c r="K2746" t="b">
        <f>TrafficData[[#This Row],[disposedChallan]]+TrafficData[[#This Row],[pendingChallan]]=TrafficData[[#This Row],[totalChallan]]</f>
        <v>1</v>
      </c>
      <c r="L2746" t="b">
        <f>TrafficData[[#This Row],[pendingAmount]]+TrafficData[[#This Row],[disposedAmount]]=TrafficData[[#This Row],[totalAmount]]</f>
        <v>1</v>
      </c>
      <c r="M2746" t="b">
        <f>TrafficData[[#This Row],[pendingCourt]]+TrafficData[[#This Row],[disposedCourt]]=TrafficData[[#This Row],[totalCourt]]</f>
        <v>1</v>
      </c>
      <c r="N2746" s="8" t="b">
        <f>AND(TrafficData[[#This Row],[disposedChallan]]&lt;=TrafficData[[#This Row],[totalChallan]],TrafficData[[#This Row],[pendingChallan]]&lt;=TrafficData[[#This Row],[totalChallan]])</f>
        <v>1</v>
      </c>
      <c r="O2746" s="8" t="b">
        <f>AND(TrafficData[[#This Row],[pendingAmount]]&lt;=TrafficData[[#This Row],[totalAmount]],TrafficData[[#This Row],[disposedAmount]]&lt;=TrafficData[[#This Row],[totalAmount]])</f>
        <v>1</v>
      </c>
      <c r="P2746" s="8" t="b">
        <f>AND(TrafficData[[#This Row],[pendingCourt]]&lt;=TrafficData[[#This Row],[totalCourt]],TrafficData[[#This Row],[disposedCourt]]&lt;=TrafficData[[#This Row],[totalCourt]])</f>
        <v>1</v>
      </c>
    </row>
    <row r="2747" spans="1:16">
      <c r="A2747" s="1">
        <v>44751</v>
      </c>
      <c r="B2747">
        <v>126558</v>
      </c>
      <c r="C2747">
        <v>62988</v>
      </c>
      <c r="D2747">
        <v>63570</v>
      </c>
      <c r="E2747">
        <v>95973885</v>
      </c>
      <c r="F2747">
        <v>80291393</v>
      </c>
      <c r="G2747">
        <v>176265278</v>
      </c>
      <c r="H2747">
        <v>32639</v>
      </c>
      <c r="I2747">
        <v>10100</v>
      </c>
      <c r="J2747">
        <v>42739</v>
      </c>
      <c r="K2747" t="b">
        <f>TrafficData[[#This Row],[disposedChallan]]+TrafficData[[#This Row],[pendingChallan]]=TrafficData[[#This Row],[totalChallan]]</f>
        <v>1</v>
      </c>
      <c r="L2747" t="b">
        <f>TrafficData[[#This Row],[pendingAmount]]+TrafficData[[#This Row],[disposedAmount]]=TrafficData[[#This Row],[totalAmount]]</f>
        <v>1</v>
      </c>
      <c r="M2747" t="b">
        <f>TrafficData[[#This Row],[pendingCourt]]+TrafficData[[#This Row],[disposedCourt]]=TrafficData[[#This Row],[totalCourt]]</f>
        <v>1</v>
      </c>
      <c r="N2747" s="8" t="b">
        <f>AND(TrafficData[[#This Row],[disposedChallan]]&lt;=TrafficData[[#This Row],[totalChallan]],TrafficData[[#This Row],[pendingChallan]]&lt;=TrafficData[[#This Row],[totalChallan]])</f>
        <v>1</v>
      </c>
      <c r="O2747" s="8" t="b">
        <f>AND(TrafficData[[#This Row],[pendingAmount]]&lt;=TrafficData[[#This Row],[totalAmount]],TrafficData[[#This Row],[disposedAmount]]&lt;=TrafficData[[#This Row],[totalAmount]])</f>
        <v>1</v>
      </c>
      <c r="P2747" s="8" t="b">
        <f>AND(TrafficData[[#This Row],[pendingCourt]]&lt;=TrafficData[[#This Row],[totalCourt]],TrafficData[[#This Row],[disposedCourt]]&lt;=TrafficData[[#This Row],[totalCourt]])</f>
        <v>1</v>
      </c>
    </row>
    <row r="2748" spans="1:16">
      <c r="A2748" s="1">
        <v>44752</v>
      </c>
      <c r="B2748">
        <v>102830</v>
      </c>
      <c r="C2748">
        <v>47367</v>
      </c>
      <c r="D2748">
        <v>55463</v>
      </c>
      <c r="E2748">
        <v>87069422</v>
      </c>
      <c r="F2748">
        <v>55071247</v>
      </c>
      <c r="G2748">
        <v>142140669</v>
      </c>
      <c r="H2748">
        <v>23791</v>
      </c>
      <c r="I2748">
        <v>7694</v>
      </c>
      <c r="J2748">
        <v>31485</v>
      </c>
      <c r="K2748" t="b">
        <f>TrafficData[[#This Row],[disposedChallan]]+TrafficData[[#This Row],[pendingChallan]]=TrafficData[[#This Row],[totalChallan]]</f>
        <v>1</v>
      </c>
      <c r="L2748" t="b">
        <f>TrafficData[[#This Row],[pendingAmount]]+TrafficData[[#This Row],[disposedAmount]]=TrafficData[[#This Row],[totalAmount]]</f>
        <v>1</v>
      </c>
      <c r="M2748" t="b">
        <f>TrafficData[[#This Row],[pendingCourt]]+TrafficData[[#This Row],[disposedCourt]]=TrafficData[[#This Row],[totalCourt]]</f>
        <v>1</v>
      </c>
      <c r="N2748" s="8" t="b">
        <f>AND(TrafficData[[#This Row],[disposedChallan]]&lt;=TrafficData[[#This Row],[totalChallan]],TrafficData[[#This Row],[pendingChallan]]&lt;=TrafficData[[#This Row],[totalChallan]])</f>
        <v>1</v>
      </c>
      <c r="O2748" s="8" t="b">
        <f>AND(TrafficData[[#This Row],[pendingAmount]]&lt;=TrafficData[[#This Row],[totalAmount]],TrafficData[[#This Row],[disposedAmount]]&lt;=TrafficData[[#This Row],[totalAmount]])</f>
        <v>1</v>
      </c>
      <c r="P2748" s="8" t="b">
        <f>AND(TrafficData[[#This Row],[pendingCourt]]&lt;=TrafficData[[#This Row],[totalCourt]],TrafficData[[#This Row],[disposedCourt]]&lt;=TrafficData[[#This Row],[totalCourt]])</f>
        <v>1</v>
      </c>
    </row>
    <row r="2749" spans="1:16">
      <c r="A2749" s="1">
        <v>44753</v>
      </c>
      <c r="B2749">
        <v>127538</v>
      </c>
      <c r="C2749">
        <v>62581</v>
      </c>
      <c r="D2749">
        <v>64957</v>
      </c>
      <c r="E2749">
        <v>106318455</v>
      </c>
      <c r="F2749">
        <v>84602278</v>
      </c>
      <c r="G2749">
        <v>190920733</v>
      </c>
      <c r="H2749">
        <v>35335</v>
      </c>
      <c r="I2749">
        <v>9805</v>
      </c>
      <c r="J2749">
        <v>45140</v>
      </c>
      <c r="K2749" t="b">
        <f>TrafficData[[#This Row],[disposedChallan]]+TrafficData[[#This Row],[pendingChallan]]=TrafficData[[#This Row],[totalChallan]]</f>
        <v>1</v>
      </c>
      <c r="L2749" t="b">
        <f>TrafficData[[#This Row],[pendingAmount]]+TrafficData[[#This Row],[disposedAmount]]=TrafficData[[#This Row],[totalAmount]]</f>
        <v>1</v>
      </c>
      <c r="M2749" t="b">
        <f>TrafficData[[#This Row],[pendingCourt]]+TrafficData[[#This Row],[disposedCourt]]=TrafficData[[#This Row],[totalCourt]]</f>
        <v>1</v>
      </c>
      <c r="N2749" s="8" t="b">
        <f>AND(TrafficData[[#This Row],[disposedChallan]]&lt;=TrafficData[[#This Row],[totalChallan]],TrafficData[[#This Row],[pendingChallan]]&lt;=TrafficData[[#This Row],[totalChallan]])</f>
        <v>1</v>
      </c>
      <c r="O2749" s="8" t="b">
        <f>AND(TrafficData[[#This Row],[pendingAmount]]&lt;=TrafficData[[#This Row],[totalAmount]],TrafficData[[#This Row],[disposedAmount]]&lt;=TrafficData[[#This Row],[totalAmount]])</f>
        <v>1</v>
      </c>
      <c r="P2749" s="8" t="b">
        <f>AND(TrafficData[[#This Row],[pendingCourt]]&lt;=TrafficData[[#This Row],[totalCourt]],TrafficData[[#This Row],[disposedCourt]]&lt;=TrafficData[[#This Row],[totalCourt]])</f>
        <v>1</v>
      </c>
    </row>
    <row r="2750" spans="1:16">
      <c r="A2750" s="1">
        <v>44754</v>
      </c>
      <c r="B2750">
        <v>133530</v>
      </c>
      <c r="C2750">
        <v>68082</v>
      </c>
      <c r="D2750">
        <v>65448</v>
      </c>
      <c r="E2750">
        <v>106883302</v>
      </c>
      <c r="F2750">
        <v>95550739</v>
      </c>
      <c r="G2750">
        <v>202434041</v>
      </c>
      <c r="H2750">
        <v>37321</v>
      </c>
      <c r="I2750">
        <v>10470</v>
      </c>
      <c r="J2750">
        <v>47791</v>
      </c>
      <c r="K2750" t="b">
        <f>TrafficData[[#This Row],[disposedChallan]]+TrafficData[[#This Row],[pendingChallan]]=TrafficData[[#This Row],[totalChallan]]</f>
        <v>1</v>
      </c>
      <c r="L2750" t="b">
        <f>TrafficData[[#This Row],[pendingAmount]]+TrafficData[[#This Row],[disposedAmount]]=TrafficData[[#This Row],[totalAmount]]</f>
        <v>1</v>
      </c>
      <c r="M2750" t="b">
        <f>TrafficData[[#This Row],[pendingCourt]]+TrafficData[[#This Row],[disposedCourt]]=TrafficData[[#This Row],[totalCourt]]</f>
        <v>1</v>
      </c>
      <c r="N2750" s="8" t="b">
        <f>AND(TrafficData[[#This Row],[disposedChallan]]&lt;=TrafficData[[#This Row],[totalChallan]],TrafficData[[#This Row],[pendingChallan]]&lt;=TrafficData[[#This Row],[totalChallan]])</f>
        <v>1</v>
      </c>
      <c r="O2750" s="8" t="b">
        <f>AND(TrafficData[[#This Row],[pendingAmount]]&lt;=TrafficData[[#This Row],[totalAmount]],TrafficData[[#This Row],[disposedAmount]]&lt;=TrafficData[[#This Row],[totalAmount]])</f>
        <v>1</v>
      </c>
      <c r="P2750" s="8" t="b">
        <f>AND(TrafficData[[#This Row],[pendingCourt]]&lt;=TrafficData[[#This Row],[totalCourt]],TrafficData[[#This Row],[disposedCourt]]&lt;=TrafficData[[#This Row],[totalCourt]])</f>
        <v>1</v>
      </c>
    </row>
    <row r="2751" spans="1:16">
      <c r="A2751" s="1">
        <v>44755</v>
      </c>
      <c r="B2751">
        <v>133448</v>
      </c>
      <c r="C2751">
        <v>68500</v>
      </c>
      <c r="D2751">
        <v>64948</v>
      </c>
      <c r="E2751">
        <v>105154044</v>
      </c>
      <c r="F2751">
        <v>100458130</v>
      </c>
      <c r="G2751">
        <v>205612174</v>
      </c>
      <c r="H2751">
        <v>38703</v>
      </c>
      <c r="I2751">
        <v>10774</v>
      </c>
      <c r="J2751">
        <v>49477</v>
      </c>
      <c r="K2751" t="b">
        <f>TrafficData[[#This Row],[disposedChallan]]+TrafficData[[#This Row],[pendingChallan]]=TrafficData[[#This Row],[totalChallan]]</f>
        <v>1</v>
      </c>
      <c r="L2751" t="b">
        <f>TrafficData[[#This Row],[pendingAmount]]+TrafficData[[#This Row],[disposedAmount]]=TrafficData[[#This Row],[totalAmount]]</f>
        <v>1</v>
      </c>
      <c r="M2751" t="b">
        <f>TrafficData[[#This Row],[pendingCourt]]+TrafficData[[#This Row],[disposedCourt]]=TrafficData[[#This Row],[totalCourt]]</f>
        <v>1</v>
      </c>
      <c r="N2751" s="8" t="b">
        <f>AND(TrafficData[[#This Row],[disposedChallan]]&lt;=TrafficData[[#This Row],[totalChallan]],TrafficData[[#This Row],[pendingChallan]]&lt;=TrafficData[[#This Row],[totalChallan]])</f>
        <v>1</v>
      </c>
      <c r="O2751" s="8" t="b">
        <f>AND(TrafficData[[#This Row],[pendingAmount]]&lt;=TrafficData[[#This Row],[totalAmount]],TrafficData[[#This Row],[disposedAmount]]&lt;=TrafficData[[#This Row],[totalAmount]])</f>
        <v>1</v>
      </c>
      <c r="P2751" s="8" t="b">
        <f>AND(TrafficData[[#This Row],[pendingCourt]]&lt;=TrafficData[[#This Row],[totalCourt]],TrafficData[[#This Row],[disposedCourt]]&lt;=TrafficData[[#This Row],[totalCourt]])</f>
        <v>1</v>
      </c>
    </row>
    <row r="2752" spans="1:16">
      <c r="A2752" s="1">
        <v>44756</v>
      </c>
      <c r="B2752">
        <v>131440</v>
      </c>
      <c r="C2752">
        <v>68444</v>
      </c>
      <c r="D2752">
        <v>62996</v>
      </c>
      <c r="E2752">
        <v>98570172</v>
      </c>
      <c r="F2752">
        <v>101327088</v>
      </c>
      <c r="G2752">
        <v>199897260</v>
      </c>
      <c r="H2752">
        <v>35364</v>
      </c>
      <c r="I2752">
        <v>10109</v>
      </c>
      <c r="J2752">
        <v>45473</v>
      </c>
      <c r="K2752" t="b">
        <f>TrafficData[[#This Row],[disposedChallan]]+TrafficData[[#This Row],[pendingChallan]]=TrafficData[[#This Row],[totalChallan]]</f>
        <v>1</v>
      </c>
      <c r="L2752" t="b">
        <f>TrafficData[[#This Row],[pendingAmount]]+TrafficData[[#This Row],[disposedAmount]]=TrafficData[[#This Row],[totalAmount]]</f>
        <v>1</v>
      </c>
      <c r="M2752" t="b">
        <f>TrafficData[[#This Row],[pendingCourt]]+TrafficData[[#This Row],[disposedCourt]]=TrafficData[[#This Row],[totalCourt]]</f>
        <v>1</v>
      </c>
      <c r="N2752" s="8" t="b">
        <f>AND(TrafficData[[#This Row],[disposedChallan]]&lt;=TrafficData[[#This Row],[totalChallan]],TrafficData[[#This Row],[pendingChallan]]&lt;=TrafficData[[#This Row],[totalChallan]])</f>
        <v>1</v>
      </c>
      <c r="O2752" s="8" t="b">
        <f>AND(TrafficData[[#This Row],[pendingAmount]]&lt;=TrafficData[[#This Row],[totalAmount]],TrafficData[[#This Row],[disposedAmount]]&lt;=TrafficData[[#This Row],[totalAmount]])</f>
        <v>1</v>
      </c>
      <c r="P2752" s="8" t="b">
        <f>AND(TrafficData[[#This Row],[pendingCourt]]&lt;=TrafficData[[#This Row],[totalCourt]],TrafficData[[#This Row],[disposedCourt]]&lt;=TrafficData[[#This Row],[totalCourt]])</f>
        <v>1</v>
      </c>
    </row>
    <row r="2753" spans="1:16">
      <c r="A2753" s="1">
        <v>44757</v>
      </c>
      <c r="B2753">
        <v>130185</v>
      </c>
      <c r="C2753">
        <v>68619</v>
      </c>
      <c r="D2753">
        <v>61566</v>
      </c>
      <c r="E2753">
        <v>144417033</v>
      </c>
      <c r="F2753">
        <v>94165316</v>
      </c>
      <c r="G2753">
        <v>238582349</v>
      </c>
      <c r="H2753">
        <v>37082</v>
      </c>
      <c r="I2753">
        <v>10571</v>
      </c>
      <c r="J2753">
        <v>47653</v>
      </c>
      <c r="K2753" t="b">
        <f>TrafficData[[#This Row],[disposedChallan]]+TrafficData[[#This Row],[pendingChallan]]=TrafficData[[#This Row],[totalChallan]]</f>
        <v>1</v>
      </c>
      <c r="L2753" t="b">
        <f>TrafficData[[#This Row],[pendingAmount]]+TrafficData[[#This Row],[disposedAmount]]=TrafficData[[#This Row],[totalAmount]]</f>
        <v>1</v>
      </c>
      <c r="M2753" t="b">
        <f>TrafficData[[#This Row],[pendingCourt]]+TrafficData[[#This Row],[disposedCourt]]=TrafficData[[#This Row],[totalCourt]]</f>
        <v>1</v>
      </c>
      <c r="N2753" s="8" t="b">
        <f>AND(TrafficData[[#This Row],[disposedChallan]]&lt;=TrafficData[[#This Row],[totalChallan]],TrafficData[[#This Row],[pendingChallan]]&lt;=TrafficData[[#This Row],[totalChallan]])</f>
        <v>1</v>
      </c>
      <c r="O2753" s="8" t="b">
        <f>AND(TrafficData[[#This Row],[pendingAmount]]&lt;=TrafficData[[#This Row],[totalAmount]],TrafficData[[#This Row],[disposedAmount]]&lt;=TrafficData[[#This Row],[totalAmount]])</f>
        <v>1</v>
      </c>
      <c r="P2753" s="8" t="b">
        <f>AND(TrafficData[[#This Row],[pendingCourt]]&lt;=TrafficData[[#This Row],[totalCourt]],TrafficData[[#This Row],[disposedCourt]]&lt;=TrafficData[[#This Row],[totalCourt]])</f>
        <v>1</v>
      </c>
    </row>
    <row r="2754" spans="1:16">
      <c r="A2754" s="1">
        <v>44758</v>
      </c>
      <c r="B2754">
        <v>127244</v>
      </c>
      <c r="C2754">
        <v>66428</v>
      </c>
      <c r="D2754">
        <v>60816</v>
      </c>
      <c r="E2754">
        <v>93655651</v>
      </c>
      <c r="F2754">
        <v>95091320</v>
      </c>
      <c r="G2754">
        <v>188746971</v>
      </c>
      <c r="H2754">
        <v>33769</v>
      </c>
      <c r="I2754">
        <v>9747</v>
      </c>
      <c r="J2754">
        <v>43516</v>
      </c>
      <c r="K2754" t="b">
        <f>TrafficData[[#This Row],[disposedChallan]]+TrafficData[[#This Row],[pendingChallan]]=TrafficData[[#This Row],[totalChallan]]</f>
        <v>1</v>
      </c>
      <c r="L2754" t="b">
        <f>TrafficData[[#This Row],[pendingAmount]]+TrafficData[[#This Row],[disposedAmount]]=TrafficData[[#This Row],[totalAmount]]</f>
        <v>1</v>
      </c>
      <c r="M2754" t="b">
        <f>TrafficData[[#This Row],[pendingCourt]]+TrafficData[[#This Row],[disposedCourt]]=TrafficData[[#This Row],[totalCourt]]</f>
        <v>1</v>
      </c>
      <c r="N2754" s="8" t="b">
        <f>AND(TrafficData[[#This Row],[disposedChallan]]&lt;=TrafficData[[#This Row],[totalChallan]],TrafficData[[#This Row],[pendingChallan]]&lt;=TrafficData[[#This Row],[totalChallan]])</f>
        <v>1</v>
      </c>
      <c r="O2754" s="8" t="b">
        <f>AND(TrafficData[[#This Row],[pendingAmount]]&lt;=TrafficData[[#This Row],[totalAmount]],TrafficData[[#This Row],[disposedAmount]]&lt;=TrafficData[[#This Row],[totalAmount]])</f>
        <v>1</v>
      </c>
      <c r="P2754" s="8" t="b">
        <f>AND(TrafficData[[#This Row],[pendingCourt]]&lt;=TrafficData[[#This Row],[totalCourt]],TrafficData[[#This Row],[disposedCourt]]&lt;=TrafficData[[#This Row],[totalCourt]])</f>
        <v>1</v>
      </c>
    </row>
    <row r="2755" spans="1:16">
      <c r="A2755" s="1">
        <v>44759</v>
      </c>
      <c r="B2755">
        <v>109628</v>
      </c>
      <c r="C2755">
        <v>53998</v>
      </c>
      <c r="D2755">
        <v>55630</v>
      </c>
      <c r="E2755">
        <v>84476176</v>
      </c>
      <c r="F2755">
        <v>62623376</v>
      </c>
      <c r="G2755">
        <v>147099552</v>
      </c>
      <c r="H2755">
        <v>32861</v>
      </c>
      <c r="I2755">
        <v>8781</v>
      </c>
      <c r="J2755">
        <v>41642</v>
      </c>
      <c r="K2755" t="b">
        <f>TrafficData[[#This Row],[disposedChallan]]+TrafficData[[#This Row],[pendingChallan]]=TrafficData[[#This Row],[totalChallan]]</f>
        <v>1</v>
      </c>
      <c r="L2755" t="b">
        <f>TrafficData[[#This Row],[pendingAmount]]+TrafficData[[#This Row],[disposedAmount]]=TrafficData[[#This Row],[totalAmount]]</f>
        <v>1</v>
      </c>
      <c r="M2755" t="b">
        <f>TrafficData[[#This Row],[pendingCourt]]+TrafficData[[#This Row],[disposedCourt]]=TrafficData[[#This Row],[totalCourt]]</f>
        <v>1</v>
      </c>
      <c r="N2755" s="8" t="b">
        <f>AND(TrafficData[[#This Row],[disposedChallan]]&lt;=TrafficData[[#This Row],[totalChallan]],TrafficData[[#This Row],[pendingChallan]]&lt;=TrafficData[[#This Row],[totalChallan]])</f>
        <v>1</v>
      </c>
      <c r="O2755" s="8" t="b">
        <f>AND(TrafficData[[#This Row],[pendingAmount]]&lt;=TrafficData[[#This Row],[totalAmount]],TrafficData[[#This Row],[disposedAmount]]&lt;=TrafficData[[#This Row],[totalAmount]])</f>
        <v>1</v>
      </c>
      <c r="P2755" s="8" t="b">
        <f>AND(TrafficData[[#This Row],[pendingCourt]]&lt;=TrafficData[[#This Row],[totalCourt]],TrafficData[[#This Row],[disposedCourt]]&lt;=TrafficData[[#This Row],[totalCourt]])</f>
        <v>1</v>
      </c>
    </row>
    <row r="2756" spans="1:16">
      <c r="A2756" s="1">
        <v>44760</v>
      </c>
      <c r="B2756">
        <v>126396</v>
      </c>
      <c r="C2756">
        <v>64283</v>
      </c>
      <c r="D2756">
        <v>62113</v>
      </c>
      <c r="E2756">
        <v>104301019</v>
      </c>
      <c r="F2756">
        <v>89720522</v>
      </c>
      <c r="G2756">
        <v>194021541</v>
      </c>
      <c r="H2756">
        <v>37315</v>
      </c>
      <c r="I2756">
        <v>10263</v>
      </c>
      <c r="J2756">
        <v>47578</v>
      </c>
      <c r="K2756" t="b">
        <f>TrafficData[[#This Row],[disposedChallan]]+TrafficData[[#This Row],[pendingChallan]]=TrafficData[[#This Row],[totalChallan]]</f>
        <v>1</v>
      </c>
      <c r="L2756" t="b">
        <f>TrafficData[[#This Row],[pendingAmount]]+TrafficData[[#This Row],[disposedAmount]]=TrafficData[[#This Row],[totalAmount]]</f>
        <v>1</v>
      </c>
      <c r="M2756" t="b">
        <f>TrafficData[[#This Row],[pendingCourt]]+TrafficData[[#This Row],[disposedCourt]]=TrafficData[[#This Row],[totalCourt]]</f>
        <v>1</v>
      </c>
      <c r="N2756" s="8" t="b">
        <f>AND(TrafficData[[#This Row],[disposedChallan]]&lt;=TrafficData[[#This Row],[totalChallan]],TrafficData[[#This Row],[pendingChallan]]&lt;=TrafficData[[#This Row],[totalChallan]])</f>
        <v>1</v>
      </c>
      <c r="O2756" s="8" t="b">
        <f>AND(TrafficData[[#This Row],[pendingAmount]]&lt;=TrafficData[[#This Row],[totalAmount]],TrafficData[[#This Row],[disposedAmount]]&lt;=TrafficData[[#This Row],[totalAmount]])</f>
        <v>1</v>
      </c>
      <c r="P2756" s="8" t="b">
        <f>AND(TrafficData[[#This Row],[pendingCourt]]&lt;=TrafficData[[#This Row],[totalCourt]],TrafficData[[#This Row],[disposedCourt]]&lt;=TrafficData[[#This Row],[totalCourt]])</f>
        <v>1</v>
      </c>
    </row>
    <row r="2757" spans="1:16">
      <c r="A2757" s="1">
        <v>44761</v>
      </c>
      <c r="B2757">
        <v>134587</v>
      </c>
      <c r="C2757">
        <v>69683</v>
      </c>
      <c r="D2757">
        <v>64904</v>
      </c>
      <c r="E2757">
        <v>109839718</v>
      </c>
      <c r="F2757">
        <v>106353558</v>
      </c>
      <c r="G2757">
        <v>216193276</v>
      </c>
      <c r="H2757">
        <v>38702</v>
      </c>
      <c r="I2757">
        <v>10709</v>
      </c>
      <c r="J2757">
        <v>49411</v>
      </c>
      <c r="K2757" t="b">
        <f>TrafficData[[#This Row],[disposedChallan]]+TrafficData[[#This Row],[pendingChallan]]=TrafficData[[#This Row],[totalChallan]]</f>
        <v>1</v>
      </c>
      <c r="L2757" t="b">
        <f>TrafficData[[#This Row],[pendingAmount]]+TrafficData[[#This Row],[disposedAmount]]=TrafficData[[#This Row],[totalAmount]]</f>
        <v>1</v>
      </c>
      <c r="M2757" t="b">
        <f>TrafficData[[#This Row],[pendingCourt]]+TrafficData[[#This Row],[disposedCourt]]=TrafficData[[#This Row],[totalCourt]]</f>
        <v>1</v>
      </c>
      <c r="N2757" s="8" t="b">
        <f>AND(TrafficData[[#This Row],[disposedChallan]]&lt;=TrafficData[[#This Row],[totalChallan]],TrafficData[[#This Row],[pendingChallan]]&lt;=TrafficData[[#This Row],[totalChallan]])</f>
        <v>1</v>
      </c>
      <c r="O2757" s="8" t="b">
        <f>AND(TrafficData[[#This Row],[pendingAmount]]&lt;=TrafficData[[#This Row],[totalAmount]],TrafficData[[#This Row],[disposedAmount]]&lt;=TrafficData[[#This Row],[totalAmount]])</f>
        <v>1</v>
      </c>
      <c r="P2757" s="8" t="b">
        <f>AND(TrafficData[[#This Row],[pendingCourt]]&lt;=TrafficData[[#This Row],[totalCourt]],TrafficData[[#This Row],[disposedCourt]]&lt;=TrafficData[[#This Row],[totalCourt]])</f>
        <v>1</v>
      </c>
    </row>
    <row r="2758" spans="1:16">
      <c r="A2758" s="1">
        <v>44762</v>
      </c>
      <c r="B2758">
        <v>133743</v>
      </c>
      <c r="C2758">
        <v>68126</v>
      </c>
      <c r="D2758">
        <v>65617</v>
      </c>
      <c r="E2758">
        <v>102932932</v>
      </c>
      <c r="F2758">
        <v>99848272</v>
      </c>
      <c r="G2758">
        <v>202781204</v>
      </c>
      <c r="H2758">
        <v>38307</v>
      </c>
      <c r="I2758">
        <v>10393</v>
      </c>
      <c r="J2758">
        <v>48700</v>
      </c>
      <c r="K2758" t="b">
        <f>TrafficData[[#This Row],[disposedChallan]]+TrafficData[[#This Row],[pendingChallan]]=TrafficData[[#This Row],[totalChallan]]</f>
        <v>1</v>
      </c>
      <c r="L2758" t="b">
        <f>TrafficData[[#This Row],[pendingAmount]]+TrafficData[[#This Row],[disposedAmount]]=TrafficData[[#This Row],[totalAmount]]</f>
        <v>1</v>
      </c>
      <c r="M2758" t="b">
        <f>TrafficData[[#This Row],[pendingCourt]]+TrafficData[[#This Row],[disposedCourt]]=TrafficData[[#This Row],[totalCourt]]</f>
        <v>1</v>
      </c>
      <c r="N2758" s="8" t="b">
        <f>AND(TrafficData[[#This Row],[disposedChallan]]&lt;=TrafficData[[#This Row],[totalChallan]],TrafficData[[#This Row],[pendingChallan]]&lt;=TrafficData[[#This Row],[totalChallan]])</f>
        <v>1</v>
      </c>
      <c r="O2758" s="8" t="b">
        <f>AND(TrafficData[[#This Row],[pendingAmount]]&lt;=TrafficData[[#This Row],[totalAmount]],TrafficData[[#This Row],[disposedAmount]]&lt;=TrafficData[[#This Row],[totalAmount]])</f>
        <v>1</v>
      </c>
      <c r="P2758" s="8" t="b">
        <f>AND(TrafficData[[#This Row],[pendingCourt]]&lt;=TrafficData[[#This Row],[totalCourt]],TrafficData[[#This Row],[disposedCourt]]&lt;=TrafficData[[#This Row],[totalCourt]])</f>
        <v>1</v>
      </c>
    </row>
    <row r="2759" spans="1:16">
      <c r="A2759" s="1">
        <v>44763</v>
      </c>
      <c r="B2759">
        <v>134230</v>
      </c>
      <c r="C2759">
        <v>68842</v>
      </c>
      <c r="D2759">
        <v>65388</v>
      </c>
      <c r="E2759">
        <v>121019603</v>
      </c>
      <c r="F2759">
        <v>97004590</v>
      </c>
      <c r="G2759">
        <v>218024193</v>
      </c>
      <c r="H2759">
        <v>41218</v>
      </c>
      <c r="I2759">
        <v>11506</v>
      </c>
      <c r="J2759">
        <v>52724</v>
      </c>
      <c r="K2759" t="b">
        <f>TrafficData[[#This Row],[disposedChallan]]+TrafficData[[#This Row],[pendingChallan]]=TrafficData[[#This Row],[totalChallan]]</f>
        <v>1</v>
      </c>
      <c r="L2759" t="b">
        <f>TrafficData[[#This Row],[pendingAmount]]+TrafficData[[#This Row],[disposedAmount]]=TrafficData[[#This Row],[totalAmount]]</f>
        <v>1</v>
      </c>
      <c r="M2759" t="b">
        <f>TrafficData[[#This Row],[pendingCourt]]+TrafficData[[#This Row],[disposedCourt]]=TrafficData[[#This Row],[totalCourt]]</f>
        <v>1</v>
      </c>
      <c r="N2759" s="8" t="b">
        <f>AND(TrafficData[[#This Row],[disposedChallan]]&lt;=TrafficData[[#This Row],[totalChallan]],TrafficData[[#This Row],[pendingChallan]]&lt;=TrafficData[[#This Row],[totalChallan]])</f>
        <v>1</v>
      </c>
      <c r="O2759" s="8" t="b">
        <f>AND(TrafficData[[#This Row],[pendingAmount]]&lt;=TrafficData[[#This Row],[totalAmount]],TrafficData[[#This Row],[disposedAmount]]&lt;=TrafficData[[#This Row],[totalAmount]])</f>
        <v>1</v>
      </c>
      <c r="P2759" s="8" t="b">
        <f>AND(TrafficData[[#This Row],[pendingCourt]]&lt;=TrafficData[[#This Row],[totalCourt]],TrafficData[[#This Row],[disposedCourt]]&lt;=TrafficData[[#This Row],[totalCourt]])</f>
        <v>1</v>
      </c>
    </row>
    <row r="2760" spans="1:16">
      <c r="A2760" s="1">
        <v>44764</v>
      </c>
      <c r="B2760">
        <v>127987</v>
      </c>
      <c r="C2760">
        <v>66768</v>
      </c>
      <c r="D2760">
        <v>61219</v>
      </c>
      <c r="E2760">
        <v>105198203</v>
      </c>
      <c r="F2760">
        <v>91560397</v>
      </c>
      <c r="G2760">
        <v>196758600</v>
      </c>
      <c r="H2760">
        <v>37258</v>
      </c>
      <c r="I2760">
        <v>9875</v>
      </c>
      <c r="J2760">
        <v>47133</v>
      </c>
      <c r="K2760" t="b">
        <f>TrafficData[[#This Row],[disposedChallan]]+TrafficData[[#This Row],[pendingChallan]]=TrafficData[[#This Row],[totalChallan]]</f>
        <v>1</v>
      </c>
      <c r="L2760" t="b">
        <f>TrafficData[[#This Row],[pendingAmount]]+TrafficData[[#This Row],[disposedAmount]]=TrafficData[[#This Row],[totalAmount]]</f>
        <v>1</v>
      </c>
      <c r="M2760" t="b">
        <f>TrafficData[[#This Row],[pendingCourt]]+TrafficData[[#This Row],[disposedCourt]]=TrafficData[[#This Row],[totalCourt]]</f>
        <v>1</v>
      </c>
      <c r="N2760" s="8" t="b">
        <f>AND(TrafficData[[#This Row],[disposedChallan]]&lt;=TrafficData[[#This Row],[totalChallan]],TrafficData[[#This Row],[pendingChallan]]&lt;=TrafficData[[#This Row],[totalChallan]])</f>
        <v>1</v>
      </c>
      <c r="O2760" s="8" t="b">
        <f>AND(TrafficData[[#This Row],[pendingAmount]]&lt;=TrafficData[[#This Row],[totalAmount]],TrafficData[[#This Row],[disposedAmount]]&lt;=TrafficData[[#This Row],[totalAmount]])</f>
        <v>1</v>
      </c>
      <c r="P2760" s="8" t="b">
        <f>AND(TrafficData[[#This Row],[pendingCourt]]&lt;=TrafficData[[#This Row],[totalCourt]],TrafficData[[#This Row],[disposedCourt]]&lt;=TrafficData[[#This Row],[totalCourt]])</f>
        <v>1</v>
      </c>
    </row>
    <row r="2761" spans="1:16">
      <c r="A2761" s="1">
        <v>44765</v>
      </c>
      <c r="B2761">
        <v>127217</v>
      </c>
      <c r="C2761">
        <v>64026</v>
      </c>
      <c r="D2761">
        <v>63191</v>
      </c>
      <c r="E2761">
        <v>85164980</v>
      </c>
      <c r="F2761">
        <v>76441677</v>
      </c>
      <c r="G2761">
        <v>161606657</v>
      </c>
      <c r="H2761">
        <v>39185</v>
      </c>
      <c r="I2761">
        <v>10597</v>
      </c>
      <c r="J2761">
        <v>49782</v>
      </c>
      <c r="K2761" t="b">
        <f>TrafficData[[#This Row],[disposedChallan]]+TrafficData[[#This Row],[pendingChallan]]=TrafficData[[#This Row],[totalChallan]]</f>
        <v>1</v>
      </c>
      <c r="L2761" t="b">
        <f>TrafficData[[#This Row],[pendingAmount]]+TrafficData[[#This Row],[disposedAmount]]=TrafficData[[#This Row],[totalAmount]]</f>
        <v>1</v>
      </c>
      <c r="M2761" t="b">
        <f>TrafficData[[#This Row],[pendingCourt]]+TrafficData[[#This Row],[disposedCourt]]=TrafficData[[#This Row],[totalCourt]]</f>
        <v>1</v>
      </c>
      <c r="N2761" s="8" t="b">
        <f>AND(TrafficData[[#This Row],[disposedChallan]]&lt;=TrafficData[[#This Row],[totalChallan]],TrafficData[[#This Row],[pendingChallan]]&lt;=TrafficData[[#This Row],[totalChallan]])</f>
        <v>1</v>
      </c>
      <c r="O2761" s="8" t="b">
        <f>AND(TrafficData[[#This Row],[pendingAmount]]&lt;=TrafficData[[#This Row],[totalAmount]],TrafficData[[#This Row],[disposedAmount]]&lt;=TrafficData[[#This Row],[totalAmount]])</f>
        <v>1</v>
      </c>
      <c r="P2761" s="8" t="b">
        <f>AND(TrafficData[[#This Row],[pendingCourt]]&lt;=TrafficData[[#This Row],[totalCourt]],TrafficData[[#This Row],[disposedCourt]]&lt;=TrafficData[[#This Row],[totalCourt]])</f>
        <v>1</v>
      </c>
    </row>
    <row r="2762" spans="1:16">
      <c r="A2762" s="1">
        <v>44766</v>
      </c>
      <c r="B2762">
        <v>116176</v>
      </c>
      <c r="C2762">
        <v>54889</v>
      </c>
      <c r="D2762">
        <v>61287</v>
      </c>
      <c r="E2762">
        <v>77601268</v>
      </c>
      <c r="F2762">
        <v>59424146</v>
      </c>
      <c r="G2762">
        <v>137025414</v>
      </c>
      <c r="H2762">
        <v>35544</v>
      </c>
      <c r="I2762">
        <v>9452</v>
      </c>
      <c r="J2762">
        <v>44996</v>
      </c>
      <c r="K2762" t="b">
        <f>TrafficData[[#This Row],[disposedChallan]]+TrafficData[[#This Row],[pendingChallan]]=TrafficData[[#This Row],[totalChallan]]</f>
        <v>1</v>
      </c>
      <c r="L2762" t="b">
        <f>TrafficData[[#This Row],[pendingAmount]]+TrafficData[[#This Row],[disposedAmount]]=TrafficData[[#This Row],[totalAmount]]</f>
        <v>1</v>
      </c>
      <c r="M2762" t="b">
        <f>TrafficData[[#This Row],[pendingCourt]]+TrafficData[[#This Row],[disposedCourt]]=TrafficData[[#This Row],[totalCourt]]</f>
        <v>1</v>
      </c>
      <c r="N2762" s="8" t="b">
        <f>AND(TrafficData[[#This Row],[disposedChallan]]&lt;=TrafficData[[#This Row],[totalChallan]],TrafficData[[#This Row],[pendingChallan]]&lt;=TrafficData[[#This Row],[totalChallan]])</f>
        <v>1</v>
      </c>
      <c r="O2762" s="8" t="b">
        <f>AND(TrafficData[[#This Row],[pendingAmount]]&lt;=TrafficData[[#This Row],[totalAmount]],TrafficData[[#This Row],[disposedAmount]]&lt;=TrafficData[[#This Row],[totalAmount]])</f>
        <v>1</v>
      </c>
      <c r="P2762" s="8" t="b">
        <f>AND(TrafficData[[#This Row],[pendingCourt]]&lt;=TrafficData[[#This Row],[totalCourt]],TrafficData[[#This Row],[disposedCourt]]&lt;=TrafficData[[#This Row],[totalCourt]])</f>
        <v>1</v>
      </c>
    </row>
    <row r="2763" spans="1:16">
      <c r="A2763" s="1">
        <v>44767</v>
      </c>
      <c r="B2763">
        <v>116966</v>
      </c>
      <c r="C2763">
        <v>60746</v>
      </c>
      <c r="D2763">
        <v>56220</v>
      </c>
      <c r="E2763">
        <v>87575006</v>
      </c>
      <c r="F2763">
        <v>88954014</v>
      </c>
      <c r="G2763">
        <v>176529020</v>
      </c>
      <c r="H2763">
        <v>34671</v>
      </c>
      <c r="I2763">
        <v>9185</v>
      </c>
      <c r="J2763">
        <v>43856</v>
      </c>
      <c r="K2763" t="b">
        <f>TrafficData[[#This Row],[disposedChallan]]+TrafficData[[#This Row],[pendingChallan]]=TrafficData[[#This Row],[totalChallan]]</f>
        <v>1</v>
      </c>
      <c r="L2763" t="b">
        <f>TrafficData[[#This Row],[pendingAmount]]+TrafficData[[#This Row],[disposedAmount]]=TrafficData[[#This Row],[totalAmount]]</f>
        <v>1</v>
      </c>
      <c r="M2763" t="b">
        <f>TrafficData[[#This Row],[pendingCourt]]+TrafficData[[#This Row],[disposedCourt]]=TrafficData[[#This Row],[totalCourt]]</f>
        <v>1</v>
      </c>
      <c r="N2763" s="8" t="b">
        <f>AND(TrafficData[[#This Row],[disposedChallan]]&lt;=TrafficData[[#This Row],[totalChallan]],TrafficData[[#This Row],[pendingChallan]]&lt;=TrafficData[[#This Row],[totalChallan]])</f>
        <v>1</v>
      </c>
      <c r="O2763" s="8" t="b">
        <f>AND(TrafficData[[#This Row],[pendingAmount]]&lt;=TrafficData[[#This Row],[totalAmount]],TrafficData[[#This Row],[disposedAmount]]&lt;=TrafficData[[#This Row],[totalAmount]])</f>
        <v>1</v>
      </c>
      <c r="P2763" s="8" t="b">
        <f>AND(TrafficData[[#This Row],[pendingCourt]]&lt;=TrafficData[[#This Row],[totalCourt]],TrafficData[[#This Row],[disposedCourt]]&lt;=TrafficData[[#This Row],[totalCourt]])</f>
        <v>1</v>
      </c>
    </row>
    <row r="2764" spans="1:16">
      <c r="A2764" s="1">
        <v>44768</v>
      </c>
      <c r="B2764">
        <v>124591</v>
      </c>
      <c r="C2764">
        <v>63922</v>
      </c>
      <c r="D2764">
        <v>60669</v>
      </c>
      <c r="E2764">
        <v>97894654</v>
      </c>
      <c r="F2764">
        <v>88341574</v>
      </c>
      <c r="G2764">
        <v>186236228</v>
      </c>
      <c r="H2764">
        <v>39477</v>
      </c>
      <c r="I2764">
        <v>10463</v>
      </c>
      <c r="J2764">
        <v>49940</v>
      </c>
      <c r="K2764" t="b">
        <f>TrafficData[[#This Row],[disposedChallan]]+TrafficData[[#This Row],[pendingChallan]]=TrafficData[[#This Row],[totalChallan]]</f>
        <v>1</v>
      </c>
      <c r="L2764" t="b">
        <f>TrafficData[[#This Row],[pendingAmount]]+TrafficData[[#This Row],[disposedAmount]]=TrafficData[[#This Row],[totalAmount]]</f>
        <v>1</v>
      </c>
      <c r="M2764" t="b">
        <f>TrafficData[[#This Row],[pendingCourt]]+TrafficData[[#This Row],[disposedCourt]]=TrafficData[[#This Row],[totalCourt]]</f>
        <v>1</v>
      </c>
      <c r="N2764" s="8" t="b">
        <f>AND(TrafficData[[#This Row],[disposedChallan]]&lt;=TrafficData[[#This Row],[totalChallan]],TrafficData[[#This Row],[pendingChallan]]&lt;=TrafficData[[#This Row],[totalChallan]])</f>
        <v>1</v>
      </c>
      <c r="O2764" s="8" t="b">
        <f>AND(TrafficData[[#This Row],[pendingAmount]]&lt;=TrafficData[[#This Row],[totalAmount]],TrafficData[[#This Row],[disposedAmount]]&lt;=TrafficData[[#This Row],[totalAmount]])</f>
        <v>1</v>
      </c>
      <c r="P2764" s="8" t="b">
        <f>AND(TrafficData[[#This Row],[pendingCourt]]&lt;=TrafficData[[#This Row],[totalCourt]],TrafficData[[#This Row],[disposedCourt]]&lt;=TrafficData[[#This Row],[totalCourt]])</f>
        <v>1</v>
      </c>
    </row>
    <row r="2765" spans="1:16">
      <c r="A2765" s="1">
        <v>44769</v>
      </c>
      <c r="B2765">
        <v>130571</v>
      </c>
      <c r="C2765">
        <v>64938</v>
      </c>
      <c r="D2765">
        <v>65633</v>
      </c>
      <c r="E2765">
        <v>115547485</v>
      </c>
      <c r="F2765">
        <v>97891087</v>
      </c>
      <c r="G2765">
        <v>213438572</v>
      </c>
      <c r="H2765">
        <v>41580</v>
      </c>
      <c r="I2765">
        <v>10884</v>
      </c>
      <c r="J2765">
        <v>52464</v>
      </c>
      <c r="K2765" t="b">
        <f>TrafficData[[#This Row],[disposedChallan]]+TrafficData[[#This Row],[pendingChallan]]=TrafficData[[#This Row],[totalChallan]]</f>
        <v>1</v>
      </c>
      <c r="L2765" t="b">
        <f>TrafficData[[#This Row],[pendingAmount]]+TrafficData[[#This Row],[disposedAmount]]=TrafficData[[#This Row],[totalAmount]]</f>
        <v>1</v>
      </c>
      <c r="M2765" t="b">
        <f>TrafficData[[#This Row],[pendingCourt]]+TrafficData[[#This Row],[disposedCourt]]=TrafficData[[#This Row],[totalCourt]]</f>
        <v>1</v>
      </c>
      <c r="N2765" s="8" t="b">
        <f>AND(TrafficData[[#This Row],[disposedChallan]]&lt;=TrafficData[[#This Row],[totalChallan]],TrafficData[[#This Row],[pendingChallan]]&lt;=TrafficData[[#This Row],[totalChallan]])</f>
        <v>1</v>
      </c>
      <c r="O2765" s="8" t="b">
        <f>AND(TrafficData[[#This Row],[pendingAmount]]&lt;=TrafficData[[#This Row],[totalAmount]],TrafficData[[#This Row],[disposedAmount]]&lt;=TrafficData[[#This Row],[totalAmount]])</f>
        <v>1</v>
      </c>
      <c r="P2765" s="8" t="b">
        <f>AND(TrafficData[[#This Row],[pendingCourt]]&lt;=TrafficData[[#This Row],[totalCourt]],TrafficData[[#This Row],[disposedCourt]]&lt;=TrafficData[[#This Row],[totalCourt]])</f>
        <v>1</v>
      </c>
    </row>
    <row r="2766" spans="1:16">
      <c r="A2766" s="1">
        <v>44770</v>
      </c>
      <c r="B2766">
        <v>126827</v>
      </c>
      <c r="C2766">
        <v>63005</v>
      </c>
      <c r="D2766">
        <v>63822</v>
      </c>
      <c r="E2766">
        <v>110767999</v>
      </c>
      <c r="F2766">
        <v>93471505</v>
      </c>
      <c r="G2766">
        <v>204239504</v>
      </c>
      <c r="H2766">
        <v>41124</v>
      </c>
      <c r="I2766">
        <v>10843</v>
      </c>
      <c r="J2766">
        <v>51967</v>
      </c>
      <c r="K2766" t="b">
        <f>TrafficData[[#This Row],[disposedChallan]]+TrafficData[[#This Row],[pendingChallan]]=TrafficData[[#This Row],[totalChallan]]</f>
        <v>1</v>
      </c>
      <c r="L2766" t="b">
        <f>TrafficData[[#This Row],[pendingAmount]]+TrafficData[[#This Row],[disposedAmount]]=TrafficData[[#This Row],[totalAmount]]</f>
        <v>1</v>
      </c>
      <c r="M2766" t="b">
        <f>TrafficData[[#This Row],[pendingCourt]]+TrafficData[[#This Row],[disposedCourt]]=TrafficData[[#This Row],[totalCourt]]</f>
        <v>1</v>
      </c>
      <c r="N2766" s="8" t="b">
        <f>AND(TrafficData[[#This Row],[disposedChallan]]&lt;=TrafficData[[#This Row],[totalChallan]],TrafficData[[#This Row],[pendingChallan]]&lt;=TrafficData[[#This Row],[totalChallan]])</f>
        <v>1</v>
      </c>
      <c r="O2766" s="8" t="b">
        <f>AND(TrafficData[[#This Row],[pendingAmount]]&lt;=TrafficData[[#This Row],[totalAmount]],TrafficData[[#This Row],[disposedAmount]]&lt;=TrafficData[[#This Row],[totalAmount]])</f>
        <v>1</v>
      </c>
      <c r="P2766" s="8" t="b">
        <f>AND(TrafficData[[#This Row],[pendingCourt]]&lt;=TrafficData[[#This Row],[totalCourt]],TrafficData[[#This Row],[disposedCourt]]&lt;=TrafficData[[#This Row],[totalCourt]])</f>
        <v>1</v>
      </c>
    </row>
    <row r="2767" spans="1:16">
      <c r="A2767" s="1">
        <v>44771</v>
      </c>
      <c r="B2767">
        <v>130118</v>
      </c>
      <c r="C2767">
        <v>65736</v>
      </c>
      <c r="D2767">
        <v>64382</v>
      </c>
      <c r="E2767">
        <v>99085964</v>
      </c>
      <c r="F2767">
        <v>89345510</v>
      </c>
      <c r="G2767">
        <v>188431474</v>
      </c>
      <c r="H2767">
        <v>39065</v>
      </c>
      <c r="I2767">
        <v>10215</v>
      </c>
      <c r="J2767">
        <v>49280</v>
      </c>
      <c r="K2767" t="b">
        <f>TrafficData[[#This Row],[disposedChallan]]+TrafficData[[#This Row],[pendingChallan]]=TrafficData[[#This Row],[totalChallan]]</f>
        <v>1</v>
      </c>
      <c r="L2767" t="b">
        <f>TrafficData[[#This Row],[pendingAmount]]+TrafficData[[#This Row],[disposedAmount]]=TrafficData[[#This Row],[totalAmount]]</f>
        <v>1</v>
      </c>
      <c r="M2767" t="b">
        <f>TrafficData[[#This Row],[pendingCourt]]+TrafficData[[#This Row],[disposedCourt]]=TrafficData[[#This Row],[totalCourt]]</f>
        <v>1</v>
      </c>
      <c r="N2767" s="8" t="b">
        <f>AND(TrafficData[[#This Row],[disposedChallan]]&lt;=TrafficData[[#This Row],[totalChallan]],TrafficData[[#This Row],[pendingChallan]]&lt;=TrafficData[[#This Row],[totalChallan]])</f>
        <v>1</v>
      </c>
      <c r="O2767" s="8" t="b">
        <f>AND(TrafficData[[#This Row],[pendingAmount]]&lt;=TrafficData[[#This Row],[totalAmount]],TrafficData[[#This Row],[disposedAmount]]&lt;=TrafficData[[#This Row],[totalAmount]])</f>
        <v>1</v>
      </c>
      <c r="P2767" s="8" t="b">
        <f>AND(TrafficData[[#This Row],[pendingCourt]]&lt;=TrafficData[[#This Row],[totalCourt]],TrafficData[[#This Row],[disposedCourt]]&lt;=TrafficData[[#This Row],[totalCourt]])</f>
        <v>1</v>
      </c>
    </row>
    <row r="2768" spans="1:16">
      <c r="A2768" s="1">
        <v>44772</v>
      </c>
      <c r="B2768">
        <v>135826</v>
      </c>
      <c r="C2768">
        <v>67896</v>
      </c>
      <c r="D2768">
        <v>67930</v>
      </c>
      <c r="E2768">
        <v>100982500</v>
      </c>
      <c r="F2768">
        <v>79903053</v>
      </c>
      <c r="G2768">
        <v>180885553</v>
      </c>
      <c r="H2768">
        <v>40631</v>
      </c>
      <c r="I2768">
        <v>10988</v>
      </c>
      <c r="J2768">
        <v>51619</v>
      </c>
      <c r="K2768" t="b">
        <f>TrafficData[[#This Row],[disposedChallan]]+TrafficData[[#This Row],[pendingChallan]]=TrafficData[[#This Row],[totalChallan]]</f>
        <v>1</v>
      </c>
      <c r="L2768" t="b">
        <f>TrafficData[[#This Row],[pendingAmount]]+TrafficData[[#This Row],[disposedAmount]]=TrafficData[[#This Row],[totalAmount]]</f>
        <v>1</v>
      </c>
      <c r="M2768" t="b">
        <f>TrafficData[[#This Row],[pendingCourt]]+TrafficData[[#This Row],[disposedCourt]]=TrafficData[[#This Row],[totalCourt]]</f>
        <v>1</v>
      </c>
      <c r="N2768" s="8" t="b">
        <f>AND(TrafficData[[#This Row],[disposedChallan]]&lt;=TrafficData[[#This Row],[totalChallan]],TrafficData[[#This Row],[pendingChallan]]&lt;=TrafficData[[#This Row],[totalChallan]])</f>
        <v>1</v>
      </c>
      <c r="O2768" s="8" t="b">
        <f>AND(TrafficData[[#This Row],[pendingAmount]]&lt;=TrafficData[[#This Row],[totalAmount]],TrafficData[[#This Row],[disposedAmount]]&lt;=TrafficData[[#This Row],[totalAmount]])</f>
        <v>1</v>
      </c>
      <c r="P2768" s="8" t="b">
        <f>AND(TrafficData[[#This Row],[pendingCourt]]&lt;=TrafficData[[#This Row],[totalCourt]],TrafficData[[#This Row],[disposedCourt]]&lt;=TrafficData[[#This Row],[totalCourt]])</f>
        <v>1</v>
      </c>
    </row>
    <row r="2769" spans="1:16">
      <c r="A2769" s="1">
        <v>44773</v>
      </c>
      <c r="B2769">
        <v>108818</v>
      </c>
      <c r="C2769">
        <v>53459</v>
      </c>
      <c r="D2769">
        <v>55359</v>
      </c>
      <c r="E2769">
        <v>81043901</v>
      </c>
      <c r="F2769">
        <v>67439431</v>
      </c>
      <c r="G2769">
        <v>148483332</v>
      </c>
      <c r="H2769">
        <v>32154</v>
      </c>
      <c r="I2769">
        <v>8229</v>
      </c>
      <c r="J2769">
        <v>40383</v>
      </c>
      <c r="K2769" t="b">
        <f>TrafficData[[#This Row],[disposedChallan]]+TrafficData[[#This Row],[pendingChallan]]=TrafficData[[#This Row],[totalChallan]]</f>
        <v>1</v>
      </c>
      <c r="L2769" t="b">
        <f>TrafficData[[#This Row],[pendingAmount]]+TrafficData[[#This Row],[disposedAmount]]=TrafficData[[#This Row],[totalAmount]]</f>
        <v>1</v>
      </c>
      <c r="M2769" t="b">
        <f>TrafficData[[#This Row],[pendingCourt]]+TrafficData[[#This Row],[disposedCourt]]=TrafficData[[#This Row],[totalCourt]]</f>
        <v>1</v>
      </c>
      <c r="N2769" s="8" t="b">
        <f>AND(TrafficData[[#This Row],[disposedChallan]]&lt;=TrafficData[[#This Row],[totalChallan]],TrafficData[[#This Row],[pendingChallan]]&lt;=TrafficData[[#This Row],[totalChallan]])</f>
        <v>1</v>
      </c>
      <c r="O2769" s="8" t="b">
        <f>AND(TrafficData[[#This Row],[pendingAmount]]&lt;=TrafficData[[#This Row],[totalAmount]],TrafficData[[#This Row],[disposedAmount]]&lt;=TrafficData[[#This Row],[totalAmount]])</f>
        <v>1</v>
      </c>
      <c r="P2769" s="8" t="b">
        <f>AND(TrafficData[[#This Row],[pendingCourt]]&lt;=TrafficData[[#This Row],[totalCourt]],TrafficData[[#This Row],[disposedCourt]]&lt;=TrafficData[[#This Row],[totalCourt]])</f>
        <v>1</v>
      </c>
    </row>
    <row r="2770" spans="1:16">
      <c r="A2770" s="1">
        <v>44774</v>
      </c>
      <c r="B2770">
        <v>132501</v>
      </c>
      <c r="C2770">
        <v>69016</v>
      </c>
      <c r="D2770">
        <v>63485</v>
      </c>
      <c r="E2770">
        <v>94598735</v>
      </c>
      <c r="F2770">
        <v>89983977</v>
      </c>
      <c r="G2770">
        <v>184582712</v>
      </c>
      <c r="H2770">
        <v>38149</v>
      </c>
      <c r="I2770">
        <v>10425</v>
      </c>
      <c r="J2770">
        <v>48574</v>
      </c>
      <c r="K2770" t="b">
        <f>TrafficData[[#This Row],[disposedChallan]]+TrafficData[[#This Row],[pendingChallan]]=TrafficData[[#This Row],[totalChallan]]</f>
        <v>1</v>
      </c>
      <c r="L2770" t="b">
        <f>TrafficData[[#This Row],[pendingAmount]]+TrafficData[[#This Row],[disposedAmount]]=TrafficData[[#This Row],[totalAmount]]</f>
        <v>1</v>
      </c>
      <c r="M2770" t="b">
        <f>TrafficData[[#This Row],[pendingCourt]]+TrafficData[[#This Row],[disposedCourt]]=TrafficData[[#This Row],[totalCourt]]</f>
        <v>1</v>
      </c>
      <c r="N2770" s="8" t="b">
        <f>AND(TrafficData[[#This Row],[disposedChallan]]&lt;=TrafficData[[#This Row],[totalChallan]],TrafficData[[#This Row],[pendingChallan]]&lt;=TrafficData[[#This Row],[totalChallan]])</f>
        <v>1</v>
      </c>
      <c r="O2770" s="8" t="b">
        <f>AND(TrafficData[[#This Row],[pendingAmount]]&lt;=TrafficData[[#This Row],[totalAmount]],TrafficData[[#This Row],[disposedAmount]]&lt;=TrafficData[[#This Row],[totalAmount]])</f>
        <v>1</v>
      </c>
      <c r="P2770" s="8" t="b">
        <f>AND(TrafficData[[#This Row],[pendingCourt]]&lt;=TrafficData[[#This Row],[totalCourt]],TrafficData[[#This Row],[disposedCourt]]&lt;=TrafficData[[#This Row],[totalCourt]])</f>
        <v>1</v>
      </c>
    </row>
    <row r="2771" spans="1:16">
      <c r="A2771" s="1">
        <v>44775</v>
      </c>
      <c r="B2771">
        <v>136633</v>
      </c>
      <c r="C2771">
        <v>71616</v>
      </c>
      <c r="D2771">
        <v>65017</v>
      </c>
      <c r="E2771">
        <v>105963736</v>
      </c>
      <c r="F2771">
        <v>110185059</v>
      </c>
      <c r="G2771">
        <v>216148795</v>
      </c>
      <c r="H2771">
        <v>39484</v>
      </c>
      <c r="I2771">
        <v>10692</v>
      </c>
      <c r="J2771">
        <v>50176</v>
      </c>
      <c r="K2771" t="b">
        <f>TrafficData[[#This Row],[disposedChallan]]+TrafficData[[#This Row],[pendingChallan]]=TrafficData[[#This Row],[totalChallan]]</f>
        <v>1</v>
      </c>
      <c r="L2771" t="b">
        <f>TrafficData[[#This Row],[pendingAmount]]+TrafficData[[#This Row],[disposedAmount]]=TrafficData[[#This Row],[totalAmount]]</f>
        <v>1</v>
      </c>
      <c r="M2771" t="b">
        <f>TrafficData[[#This Row],[pendingCourt]]+TrafficData[[#This Row],[disposedCourt]]=TrafficData[[#This Row],[totalCourt]]</f>
        <v>1</v>
      </c>
      <c r="N2771" s="8" t="b">
        <f>AND(TrafficData[[#This Row],[disposedChallan]]&lt;=TrafficData[[#This Row],[totalChallan]],TrafficData[[#This Row],[pendingChallan]]&lt;=TrafficData[[#This Row],[totalChallan]])</f>
        <v>1</v>
      </c>
      <c r="O2771" s="8" t="b">
        <f>AND(TrafficData[[#This Row],[pendingAmount]]&lt;=TrafficData[[#This Row],[totalAmount]],TrafficData[[#This Row],[disposedAmount]]&lt;=TrafficData[[#This Row],[totalAmount]])</f>
        <v>1</v>
      </c>
      <c r="P2771" s="8" t="b">
        <f>AND(TrafficData[[#This Row],[pendingCourt]]&lt;=TrafficData[[#This Row],[totalCourt]],TrafficData[[#This Row],[disposedCourt]]&lt;=TrafficData[[#This Row],[totalCourt]])</f>
        <v>1</v>
      </c>
    </row>
    <row r="2772" spans="1:16">
      <c r="A2772" s="1">
        <v>44776</v>
      </c>
      <c r="B2772">
        <v>135785</v>
      </c>
      <c r="C2772">
        <v>70966</v>
      </c>
      <c r="D2772">
        <v>64819</v>
      </c>
      <c r="E2772">
        <v>110127160</v>
      </c>
      <c r="F2772">
        <v>117364489</v>
      </c>
      <c r="G2772">
        <v>227491649</v>
      </c>
      <c r="H2772">
        <v>41321</v>
      </c>
      <c r="I2772">
        <v>11361</v>
      </c>
      <c r="J2772">
        <v>52682</v>
      </c>
      <c r="K2772" t="b">
        <f>TrafficData[[#This Row],[disposedChallan]]+TrafficData[[#This Row],[pendingChallan]]=TrafficData[[#This Row],[totalChallan]]</f>
        <v>1</v>
      </c>
      <c r="L2772" t="b">
        <f>TrafficData[[#This Row],[pendingAmount]]+TrafficData[[#This Row],[disposedAmount]]=TrafficData[[#This Row],[totalAmount]]</f>
        <v>1</v>
      </c>
      <c r="M2772" t="b">
        <f>TrafficData[[#This Row],[pendingCourt]]+TrafficData[[#This Row],[disposedCourt]]=TrafficData[[#This Row],[totalCourt]]</f>
        <v>1</v>
      </c>
      <c r="N2772" s="8" t="b">
        <f>AND(TrafficData[[#This Row],[disposedChallan]]&lt;=TrafficData[[#This Row],[totalChallan]],TrafficData[[#This Row],[pendingChallan]]&lt;=TrafficData[[#This Row],[totalChallan]])</f>
        <v>1</v>
      </c>
      <c r="O2772" s="8" t="b">
        <f>AND(TrafficData[[#This Row],[pendingAmount]]&lt;=TrafficData[[#This Row],[totalAmount]],TrafficData[[#This Row],[disposedAmount]]&lt;=TrafficData[[#This Row],[totalAmount]])</f>
        <v>1</v>
      </c>
      <c r="P2772" s="8" t="b">
        <f>AND(TrafficData[[#This Row],[pendingCourt]]&lt;=TrafficData[[#This Row],[totalCourt]],TrafficData[[#This Row],[disposedCourt]]&lt;=TrafficData[[#This Row],[totalCourt]])</f>
        <v>1</v>
      </c>
    </row>
    <row r="2773" spans="1:16">
      <c r="A2773" s="1">
        <v>44777</v>
      </c>
      <c r="B2773">
        <v>137251</v>
      </c>
      <c r="C2773">
        <v>70079</v>
      </c>
      <c r="D2773">
        <v>67172</v>
      </c>
      <c r="E2773">
        <v>111146192</v>
      </c>
      <c r="F2773">
        <v>112688134</v>
      </c>
      <c r="G2773">
        <v>223834326</v>
      </c>
      <c r="H2773">
        <v>42920</v>
      </c>
      <c r="I2773">
        <v>12048</v>
      </c>
      <c r="J2773">
        <v>54968</v>
      </c>
      <c r="K2773" t="b">
        <f>TrafficData[[#This Row],[disposedChallan]]+TrafficData[[#This Row],[pendingChallan]]=TrafficData[[#This Row],[totalChallan]]</f>
        <v>1</v>
      </c>
      <c r="L2773" t="b">
        <f>TrafficData[[#This Row],[pendingAmount]]+TrafficData[[#This Row],[disposedAmount]]=TrafficData[[#This Row],[totalAmount]]</f>
        <v>1</v>
      </c>
      <c r="M2773" t="b">
        <f>TrafficData[[#This Row],[pendingCourt]]+TrafficData[[#This Row],[disposedCourt]]=TrafficData[[#This Row],[totalCourt]]</f>
        <v>1</v>
      </c>
      <c r="N2773" s="8" t="b">
        <f>AND(TrafficData[[#This Row],[disposedChallan]]&lt;=TrafficData[[#This Row],[totalChallan]],TrafficData[[#This Row],[pendingChallan]]&lt;=TrafficData[[#This Row],[totalChallan]])</f>
        <v>1</v>
      </c>
      <c r="O2773" s="8" t="b">
        <f>AND(TrafficData[[#This Row],[pendingAmount]]&lt;=TrafficData[[#This Row],[totalAmount]],TrafficData[[#This Row],[disposedAmount]]&lt;=TrafficData[[#This Row],[totalAmount]])</f>
        <v>1</v>
      </c>
      <c r="P2773" s="8" t="b">
        <f>AND(TrafficData[[#This Row],[pendingCourt]]&lt;=TrafficData[[#This Row],[totalCourt]],TrafficData[[#This Row],[disposedCourt]]&lt;=TrafficData[[#This Row],[totalCourt]])</f>
        <v>1</v>
      </c>
    </row>
    <row r="2774" spans="1:16">
      <c r="A2774" s="1">
        <v>44778</v>
      </c>
      <c r="B2774">
        <v>138204</v>
      </c>
      <c r="C2774">
        <v>70755</v>
      </c>
      <c r="D2774">
        <v>67449</v>
      </c>
      <c r="E2774">
        <v>107786409</v>
      </c>
      <c r="F2774">
        <v>104711859</v>
      </c>
      <c r="G2774">
        <v>212498268</v>
      </c>
      <c r="H2774">
        <v>41877</v>
      </c>
      <c r="I2774">
        <v>11407</v>
      </c>
      <c r="J2774">
        <v>53284</v>
      </c>
      <c r="K2774" t="b">
        <f>TrafficData[[#This Row],[disposedChallan]]+TrafficData[[#This Row],[pendingChallan]]=TrafficData[[#This Row],[totalChallan]]</f>
        <v>1</v>
      </c>
      <c r="L2774" t="b">
        <f>TrafficData[[#This Row],[pendingAmount]]+TrafficData[[#This Row],[disposedAmount]]=TrafficData[[#This Row],[totalAmount]]</f>
        <v>1</v>
      </c>
      <c r="M2774" t="b">
        <f>TrafficData[[#This Row],[pendingCourt]]+TrafficData[[#This Row],[disposedCourt]]=TrafficData[[#This Row],[totalCourt]]</f>
        <v>1</v>
      </c>
      <c r="N2774" s="8" t="b">
        <f>AND(TrafficData[[#This Row],[disposedChallan]]&lt;=TrafficData[[#This Row],[totalChallan]],TrafficData[[#This Row],[pendingChallan]]&lt;=TrafficData[[#This Row],[totalChallan]])</f>
        <v>1</v>
      </c>
      <c r="O2774" s="8" t="b">
        <f>AND(TrafficData[[#This Row],[pendingAmount]]&lt;=TrafficData[[#This Row],[totalAmount]],TrafficData[[#This Row],[disposedAmount]]&lt;=TrafficData[[#This Row],[totalAmount]])</f>
        <v>1</v>
      </c>
      <c r="P2774" s="8" t="b">
        <f>AND(TrafficData[[#This Row],[pendingCourt]]&lt;=TrafficData[[#This Row],[totalCourt]],TrafficData[[#This Row],[disposedCourt]]&lt;=TrafficData[[#This Row],[totalCourt]])</f>
        <v>1</v>
      </c>
    </row>
    <row r="2775" spans="1:16">
      <c r="A2775" s="1">
        <v>44779</v>
      </c>
      <c r="B2775">
        <v>139199</v>
      </c>
      <c r="C2775">
        <v>73398</v>
      </c>
      <c r="D2775">
        <v>65801</v>
      </c>
      <c r="E2775">
        <v>106533998</v>
      </c>
      <c r="F2775">
        <v>102231742</v>
      </c>
      <c r="G2775">
        <v>208765740</v>
      </c>
      <c r="H2775">
        <v>38790</v>
      </c>
      <c r="I2775">
        <v>11250</v>
      </c>
      <c r="J2775">
        <v>50040</v>
      </c>
      <c r="K2775" t="b">
        <f>TrafficData[[#This Row],[disposedChallan]]+TrafficData[[#This Row],[pendingChallan]]=TrafficData[[#This Row],[totalChallan]]</f>
        <v>1</v>
      </c>
      <c r="L2775" t="b">
        <f>TrafficData[[#This Row],[pendingAmount]]+TrafficData[[#This Row],[disposedAmount]]=TrafficData[[#This Row],[totalAmount]]</f>
        <v>1</v>
      </c>
      <c r="M2775" t="b">
        <f>TrafficData[[#This Row],[pendingCourt]]+TrafficData[[#This Row],[disposedCourt]]=TrafficData[[#This Row],[totalCourt]]</f>
        <v>1</v>
      </c>
      <c r="N2775" s="8" t="b">
        <f>AND(TrafficData[[#This Row],[disposedChallan]]&lt;=TrafficData[[#This Row],[totalChallan]],TrafficData[[#This Row],[pendingChallan]]&lt;=TrafficData[[#This Row],[totalChallan]])</f>
        <v>1</v>
      </c>
      <c r="O2775" s="8" t="b">
        <f>AND(TrafficData[[#This Row],[pendingAmount]]&lt;=TrafficData[[#This Row],[totalAmount]],TrafficData[[#This Row],[disposedAmount]]&lt;=TrafficData[[#This Row],[totalAmount]])</f>
        <v>1</v>
      </c>
      <c r="P2775" s="8" t="b">
        <f>AND(TrafficData[[#This Row],[pendingCourt]]&lt;=TrafficData[[#This Row],[totalCourt]],TrafficData[[#This Row],[disposedCourt]]&lt;=TrafficData[[#This Row],[totalCourt]])</f>
        <v>1</v>
      </c>
    </row>
    <row r="2776" spans="1:16">
      <c r="A2776" s="1">
        <v>44780</v>
      </c>
      <c r="B2776">
        <v>119088</v>
      </c>
      <c r="C2776">
        <v>60552</v>
      </c>
      <c r="D2776">
        <v>58536</v>
      </c>
      <c r="E2776">
        <v>87425263</v>
      </c>
      <c r="F2776">
        <v>71551057</v>
      </c>
      <c r="G2776">
        <v>158976320</v>
      </c>
      <c r="H2776">
        <v>30133</v>
      </c>
      <c r="I2776">
        <v>8368</v>
      </c>
      <c r="J2776">
        <v>38501</v>
      </c>
      <c r="K2776" t="b">
        <f>TrafficData[[#This Row],[disposedChallan]]+TrafficData[[#This Row],[pendingChallan]]=TrafficData[[#This Row],[totalChallan]]</f>
        <v>1</v>
      </c>
      <c r="L2776" t="b">
        <f>TrafficData[[#This Row],[pendingAmount]]+TrafficData[[#This Row],[disposedAmount]]=TrafficData[[#This Row],[totalAmount]]</f>
        <v>1</v>
      </c>
      <c r="M2776" t="b">
        <f>TrafficData[[#This Row],[pendingCourt]]+TrafficData[[#This Row],[disposedCourt]]=TrafficData[[#This Row],[totalCourt]]</f>
        <v>1</v>
      </c>
      <c r="N2776" s="8" t="b">
        <f>AND(TrafficData[[#This Row],[disposedChallan]]&lt;=TrafficData[[#This Row],[totalChallan]],TrafficData[[#This Row],[pendingChallan]]&lt;=TrafficData[[#This Row],[totalChallan]])</f>
        <v>1</v>
      </c>
      <c r="O2776" s="8" t="b">
        <f>AND(TrafficData[[#This Row],[pendingAmount]]&lt;=TrafficData[[#This Row],[totalAmount]],TrafficData[[#This Row],[disposedAmount]]&lt;=TrafficData[[#This Row],[totalAmount]])</f>
        <v>1</v>
      </c>
      <c r="P2776" s="8" t="b">
        <f>AND(TrafficData[[#This Row],[pendingCourt]]&lt;=TrafficData[[#This Row],[totalCourt]],TrafficData[[#This Row],[disposedCourt]]&lt;=TrafficData[[#This Row],[totalCourt]])</f>
        <v>1</v>
      </c>
    </row>
    <row r="2777" spans="1:16">
      <c r="A2777" s="1">
        <v>44781</v>
      </c>
      <c r="B2777">
        <v>132296</v>
      </c>
      <c r="C2777">
        <v>67550</v>
      </c>
      <c r="D2777">
        <v>64746</v>
      </c>
      <c r="E2777">
        <v>95251528</v>
      </c>
      <c r="F2777">
        <v>89234758</v>
      </c>
      <c r="G2777">
        <v>184486286</v>
      </c>
      <c r="H2777">
        <v>35271</v>
      </c>
      <c r="I2777">
        <v>10082</v>
      </c>
      <c r="J2777">
        <v>45353</v>
      </c>
      <c r="K2777" t="b">
        <f>TrafficData[[#This Row],[disposedChallan]]+TrafficData[[#This Row],[pendingChallan]]=TrafficData[[#This Row],[totalChallan]]</f>
        <v>1</v>
      </c>
      <c r="L2777" t="b">
        <f>TrafficData[[#This Row],[pendingAmount]]+TrafficData[[#This Row],[disposedAmount]]=TrafficData[[#This Row],[totalAmount]]</f>
        <v>1</v>
      </c>
      <c r="M2777" t="b">
        <f>TrafficData[[#This Row],[pendingCourt]]+TrafficData[[#This Row],[disposedCourt]]=TrafficData[[#This Row],[totalCourt]]</f>
        <v>1</v>
      </c>
      <c r="N2777" s="8" t="b">
        <f>AND(TrafficData[[#This Row],[disposedChallan]]&lt;=TrafficData[[#This Row],[totalChallan]],TrafficData[[#This Row],[pendingChallan]]&lt;=TrafficData[[#This Row],[totalChallan]])</f>
        <v>1</v>
      </c>
      <c r="O2777" s="8" t="b">
        <f>AND(TrafficData[[#This Row],[pendingAmount]]&lt;=TrafficData[[#This Row],[totalAmount]],TrafficData[[#This Row],[disposedAmount]]&lt;=TrafficData[[#This Row],[totalAmount]])</f>
        <v>1</v>
      </c>
      <c r="P2777" s="8" t="b">
        <f>AND(TrafficData[[#This Row],[pendingCourt]]&lt;=TrafficData[[#This Row],[totalCourt]],TrafficData[[#This Row],[disposedCourt]]&lt;=TrafficData[[#This Row],[totalCourt]])</f>
        <v>1</v>
      </c>
    </row>
    <row r="2778" spans="1:16">
      <c r="A2778" s="1">
        <v>44782</v>
      </c>
      <c r="B2778">
        <v>118315</v>
      </c>
      <c r="C2778">
        <v>60884</v>
      </c>
      <c r="D2778">
        <v>57431</v>
      </c>
      <c r="E2778">
        <v>86592095</v>
      </c>
      <c r="F2778">
        <v>80546878</v>
      </c>
      <c r="G2778">
        <v>167138973</v>
      </c>
      <c r="H2778">
        <v>32248</v>
      </c>
      <c r="I2778">
        <v>8861</v>
      </c>
      <c r="J2778">
        <v>41109</v>
      </c>
      <c r="K2778" t="b">
        <f>TrafficData[[#This Row],[disposedChallan]]+TrafficData[[#This Row],[pendingChallan]]=TrafficData[[#This Row],[totalChallan]]</f>
        <v>1</v>
      </c>
      <c r="L2778" t="b">
        <f>TrafficData[[#This Row],[pendingAmount]]+TrafficData[[#This Row],[disposedAmount]]=TrafficData[[#This Row],[totalAmount]]</f>
        <v>1</v>
      </c>
      <c r="M2778" t="b">
        <f>TrafficData[[#This Row],[pendingCourt]]+TrafficData[[#This Row],[disposedCourt]]=TrafficData[[#This Row],[totalCourt]]</f>
        <v>1</v>
      </c>
      <c r="N2778" s="8" t="b">
        <f>AND(TrafficData[[#This Row],[disposedChallan]]&lt;=TrafficData[[#This Row],[totalChallan]],TrafficData[[#This Row],[pendingChallan]]&lt;=TrafficData[[#This Row],[totalChallan]])</f>
        <v>1</v>
      </c>
      <c r="O2778" s="8" t="b">
        <f>AND(TrafficData[[#This Row],[pendingAmount]]&lt;=TrafficData[[#This Row],[totalAmount]],TrafficData[[#This Row],[disposedAmount]]&lt;=TrafficData[[#This Row],[totalAmount]])</f>
        <v>1</v>
      </c>
      <c r="P2778" s="8" t="b">
        <f>AND(TrafficData[[#This Row],[pendingCourt]]&lt;=TrafficData[[#This Row],[totalCourt]],TrafficData[[#This Row],[disposedCourt]]&lt;=TrafficData[[#This Row],[totalCourt]])</f>
        <v>1</v>
      </c>
    </row>
    <row r="2779" spans="1:16">
      <c r="A2779" s="1">
        <v>44783</v>
      </c>
      <c r="B2779">
        <v>115838</v>
      </c>
      <c r="C2779">
        <v>61256</v>
      </c>
      <c r="D2779">
        <v>54582</v>
      </c>
      <c r="E2779">
        <v>83150442</v>
      </c>
      <c r="F2779">
        <v>85844871</v>
      </c>
      <c r="G2779">
        <v>168995313</v>
      </c>
      <c r="H2779">
        <v>34418</v>
      </c>
      <c r="I2779">
        <v>9743</v>
      </c>
      <c r="J2779">
        <v>44161</v>
      </c>
      <c r="K2779" t="b">
        <f>TrafficData[[#This Row],[disposedChallan]]+TrafficData[[#This Row],[pendingChallan]]=TrafficData[[#This Row],[totalChallan]]</f>
        <v>1</v>
      </c>
      <c r="L2779" t="b">
        <f>TrafficData[[#This Row],[pendingAmount]]+TrafficData[[#This Row],[disposedAmount]]=TrafficData[[#This Row],[totalAmount]]</f>
        <v>1</v>
      </c>
      <c r="M2779" t="b">
        <f>TrafficData[[#This Row],[pendingCourt]]+TrafficData[[#This Row],[disposedCourt]]=TrafficData[[#This Row],[totalCourt]]</f>
        <v>1</v>
      </c>
      <c r="N2779" s="8" t="b">
        <f>AND(TrafficData[[#This Row],[disposedChallan]]&lt;=TrafficData[[#This Row],[totalChallan]],TrafficData[[#This Row],[pendingChallan]]&lt;=TrafficData[[#This Row],[totalChallan]])</f>
        <v>1</v>
      </c>
      <c r="O2779" s="8" t="b">
        <f>AND(TrafficData[[#This Row],[pendingAmount]]&lt;=TrafficData[[#This Row],[totalAmount]],TrafficData[[#This Row],[disposedAmount]]&lt;=TrafficData[[#This Row],[totalAmount]])</f>
        <v>1</v>
      </c>
      <c r="P2779" s="8" t="b">
        <f>AND(TrafficData[[#This Row],[pendingCourt]]&lt;=TrafficData[[#This Row],[totalCourt]],TrafficData[[#This Row],[disposedCourt]]&lt;=TrafficData[[#This Row],[totalCourt]])</f>
        <v>1</v>
      </c>
    </row>
    <row r="2780" spans="1:16">
      <c r="A2780" s="1">
        <v>44784</v>
      </c>
      <c r="B2780">
        <v>114576</v>
      </c>
      <c r="C2780">
        <v>57963</v>
      </c>
      <c r="D2780">
        <v>56613</v>
      </c>
      <c r="E2780">
        <v>77645253</v>
      </c>
      <c r="F2780">
        <v>67075126</v>
      </c>
      <c r="G2780">
        <v>144720379</v>
      </c>
      <c r="H2780">
        <v>34064</v>
      </c>
      <c r="I2780">
        <v>9436</v>
      </c>
      <c r="J2780">
        <v>43500</v>
      </c>
      <c r="K2780" t="b">
        <f>TrafficData[[#This Row],[disposedChallan]]+TrafficData[[#This Row],[pendingChallan]]=TrafficData[[#This Row],[totalChallan]]</f>
        <v>1</v>
      </c>
      <c r="L2780" t="b">
        <f>TrafficData[[#This Row],[pendingAmount]]+TrafficData[[#This Row],[disposedAmount]]=TrafficData[[#This Row],[totalAmount]]</f>
        <v>1</v>
      </c>
      <c r="M2780" t="b">
        <f>TrafficData[[#This Row],[pendingCourt]]+TrafficData[[#This Row],[disposedCourt]]=TrafficData[[#This Row],[totalCourt]]</f>
        <v>1</v>
      </c>
      <c r="N2780" s="8" t="b">
        <f>AND(TrafficData[[#This Row],[disposedChallan]]&lt;=TrafficData[[#This Row],[totalChallan]],TrafficData[[#This Row],[pendingChallan]]&lt;=TrafficData[[#This Row],[totalChallan]])</f>
        <v>1</v>
      </c>
      <c r="O2780" s="8" t="b">
        <f>AND(TrafficData[[#This Row],[pendingAmount]]&lt;=TrafficData[[#This Row],[totalAmount]],TrafficData[[#This Row],[disposedAmount]]&lt;=TrafficData[[#This Row],[totalAmount]])</f>
        <v>1</v>
      </c>
      <c r="P2780" s="8" t="b">
        <f>AND(TrafficData[[#This Row],[pendingCourt]]&lt;=TrafficData[[#This Row],[totalCourt]],TrafficData[[#This Row],[disposedCourt]]&lt;=TrafficData[[#This Row],[totalCourt]])</f>
        <v>1</v>
      </c>
    </row>
    <row r="2781" spans="1:16">
      <c r="A2781" s="1">
        <v>44785</v>
      </c>
      <c r="B2781">
        <v>115902</v>
      </c>
      <c r="C2781">
        <v>62874</v>
      </c>
      <c r="D2781">
        <v>53028</v>
      </c>
      <c r="E2781">
        <v>88135906</v>
      </c>
      <c r="F2781">
        <v>75072208</v>
      </c>
      <c r="G2781">
        <v>163208114</v>
      </c>
      <c r="H2781">
        <v>31764</v>
      </c>
      <c r="I2781">
        <v>9024</v>
      </c>
      <c r="J2781">
        <v>40788</v>
      </c>
      <c r="K2781" t="b">
        <f>TrafficData[[#This Row],[disposedChallan]]+TrafficData[[#This Row],[pendingChallan]]=TrafficData[[#This Row],[totalChallan]]</f>
        <v>1</v>
      </c>
      <c r="L2781" t="b">
        <f>TrafficData[[#This Row],[pendingAmount]]+TrafficData[[#This Row],[disposedAmount]]=TrafficData[[#This Row],[totalAmount]]</f>
        <v>1</v>
      </c>
      <c r="M2781" t="b">
        <f>TrafficData[[#This Row],[pendingCourt]]+TrafficData[[#This Row],[disposedCourt]]=TrafficData[[#This Row],[totalCourt]]</f>
        <v>1</v>
      </c>
      <c r="N2781" s="8" t="b">
        <f>AND(TrafficData[[#This Row],[disposedChallan]]&lt;=TrafficData[[#This Row],[totalChallan]],TrafficData[[#This Row],[pendingChallan]]&lt;=TrafficData[[#This Row],[totalChallan]])</f>
        <v>1</v>
      </c>
      <c r="O2781" s="8" t="b">
        <f>AND(TrafficData[[#This Row],[pendingAmount]]&lt;=TrafficData[[#This Row],[totalAmount]],TrafficData[[#This Row],[disposedAmount]]&lt;=TrafficData[[#This Row],[totalAmount]])</f>
        <v>1</v>
      </c>
      <c r="P2781" s="8" t="b">
        <f>AND(TrafficData[[#This Row],[pendingCourt]]&lt;=TrafficData[[#This Row],[totalCourt]],TrafficData[[#This Row],[disposedCourt]]&lt;=TrafficData[[#This Row],[totalCourt]])</f>
        <v>1</v>
      </c>
    </row>
    <row r="2782" spans="1:16">
      <c r="A2782" s="1">
        <v>44786</v>
      </c>
      <c r="B2782">
        <v>119142</v>
      </c>
      <c r="C2782">
        <v>62684</v>
      </c>
      <c r="D2782">
        <v>56458</v>
      </c>
      <c r="E2782">
        <v>79511390</v>
      </c>
      <c r="F2782">
        <v>76006424</v>
      </c>
      <c r="G2782">
        <v>155517814</v>
      </c>
      <c r="H2782">
        <v>31482</v>
      </c>
      <c r="I2782">
        <v>8698</v>
      </c>
      <c r="J2782">
        <v>40180</v>
      </c>
      <c r="K2782" t="b">
        <f>TrafficData[[#This Row],[disposedChallan]]+TrafficData[[#This Row],[pendingChallan]]=TrafficData[[#This Row],[totalChallan]]</f>
        <v>1</v>
      </c>
      <c r="L2782" t="b">
        <f>TrafficData[[#This Row],[pendingAmount]]+TrafficData[[#This Row],[disposedAmount]]=TrafficData[[#This Row],[totalAmount]]</f>
        <v>1</v>
      </c>
      <c r="M2782" t="b">
        <f>TrafficData[[#This Row],[pendingCourt]]+TrafficData[[#This Row],[disposedCourt]]=TrafficData[[#This Row],[totalCourt]]</f>
        <v>1</v>
      </c>
      <c r="N2782" s="8" t="b">
        <f>AND(TrafficData[[#This Row],[disposedChallan]]&lt;=TrafficData[[#This Row],[totalChallan]],TrafficData[[#This Row],[pendingChallan]]&lt;=TrafficData[[#This Row],[totalChallan]])</f>
        <v>1</v>
      </c>
      <c r="O2782" s="8" t="b">
        <f>AND(TrafficData[[#This Row],[pendingAmount]]&lt;=TrafficData[[#This Row],[totalAmount]],TrafficData[[#This Row],[disposedAmount]]&lt;=TrafficData[[#This Row],[totalAmount]])</f>
        <v>1</v>
      </c>
      <c r="P2782" s="8" t="b">
        <f>AND(TrafficData[[#This Row],[pendingCourt]]&lt;=TrafficData[[#This Row],[totalCourt]],TrafficData[[#This Row],[disposedCourt]]&lt;=TrafficData[[#This Row],[totalCourt]])</f>
        <v>1</v>
      </c>
    </row>
    <row r="2783" spans="1:16">
      <c r="A2783" s="1">
        <v>44787</v>
      </c>
      <c r="B2783">
        <v>110586</v>
      </c>
      <c r="C2783">
        <v>54088</v>
      </c>
      <c r="D2783">
        <v>56498</v>
      </c>
      <c r="E2783">
        <v>76717316</v>
      </c>
      <c r="F2783">
        <v>61718885</v>
      </c>
      <c r="G2783">
        <v>138436201</v>
      </c>
      <c r="H2783">
        <v>29739</v>
      </c>
      <c r="I2783">
        <v>8289</v>
      </c>
      <c r="J2783">
        <v>38028</v>
      </c>
      <c r="K2783" t="b">
        <f>TrafficData[[#This Row],[disposedChallan]]+TrafficData[[#This Row],[pendingChallan]]=TrafficData[[#This Row],[totalChallan]]</f>
        <v>1</v>
      </c>
      <c r="L2783" t="b">
        <f>TrafficData[[#This Row],[pendingAmount]]+TrafficData[[#This Row],[disposedAmount]]=TrafficData[[#This Row],[totalAmount]]</f>
        <v>1</v>
      </c>
      <c r="M2783" t="b">
        <f>TrafficData[[#This Row],[pendingCourt]]+TrafficData[[#This Row],[disposedCourt]]=TrafficData[[#This Row],[totalCourt]]</f>
        <v>1</v>
      </c>
      <c r="N2783" s="8" t="b">
        <f>AND(TrafficData[[#This Row],[disposedChallan]]&lt;=TrafficData[[#This Row],[totalChallan]],TrafficData[[#This Row],[pendingChallan]]&lt;=TrafficData[[#This Row],[totalChallan]])</f>
        <v>1</v>
      </c>
      <c r="O2783" s="8" t="b">
        <f>AND(TrafficData[[#This Row],[pendingAmount]]&lt;=TrafficData[[#This Row],[totalAmount]],TrafficData[[#This Row],[disposedAmount]]&lt;=TrafficData[[#This Row],[totalAmount]])</f>
        <v>1</v>
      </c>
      <c r="P2783" s="8" t="b">
        <f>AND(TrafficData[[#This Row],[pendingCourt]]&lt;=TrafficData[[#This Row],[totalCourt]],TrafficData[[#This Row],[disposedCourt]]&lt;=TrafficData[[#This Row],[totalCourt]])</f>
        <v>1</v>
      </c>
    </row>
    <row r="2784" spans="1:16">
      <c r="A2784" s="1">
        <v>44788</v>
      </c>
      <c r="B2784">
        <v>79523</v>
      </c>
      <c r="C2784">
        <v>35541</v>
      </c>
      <c r="D2784">
        <v>43982</v>
      </c>
      <c r="E2784">
        <v>50886300</v>
      </c>
      <c r="F2784">
        <v>36080379</v>
      </c>
      <c r="G2784">
        <v>86966679</v>
      </c>
      <c r="H2784">
        <v>16602</v>
      </c>
      <c r="I2784">
        <v>4651</v>
      </c>
      <c r="J2784">
        <v>21253</v>
      </c>
      <c r="K2784" t="b">
        <f>TrafficData[[#This Row],[disposedChallan]]+TrafficData[[#This Row],[pendingChallan]]=TrafficData[[#This Row],[totalChallan]]</f>
        <v>1</v>
      </c>
      <c r="L2784" t="b">
        <f>TrafficData[[#This Row],[pendingAmount]]+TrafficData[[#This Row],[disposedAmount]]=TrafficData[[#This Row],[totalAmount]]</f>
        <v>1</v>
      </c>
      <c r="M2784" t="b">
        <f>TrafficData[[#This Row],[pendingCourt]]+TrafficData[[#This Row],[disposedCourt]]=TrafficData[[#This Row],[totalCourt]]</f>
        <v>1</v>
      </c>
      <c r="N2784" s="8" t="b">
        <f>AND(TrafficData[[#This Row],[disposedChallan]]&lt;=TrafficData[[#This Row],[totalChallan]],TrafficData[[#This Row],[pendingChallan]]&lt;=TrafficData[[#This Row],[totalChallan]])</f>
        <v>1</v>
      </c>
      <c r="O2784" s="8" t="b">
        <f>AND(TrafficData[[#This Row],[pendingAmount]]&lt;=TrafficData[[#This Row],[totalAmount]],TrafficData[[#This Row],[disposedAmount]]&lt;=TrafficData[[#This Row],[totalAmount]])</f>
        <v>1</v>
      </c>
      <c r="P2784" s="8" t="b">
        <f>AND(TrafficData[[#This Row],[pendingCourt]]&lt;=TrafficData[[#This Row],[totalCourt]],TrafficData[[#This Row],[disposedCourt]]&lt;=TrafficData[[#This Row],[totalCourt]])</f>
        <v>1</v>
      </c>
    </row>
    <row r="2785" spans="1:16">
      <c r="A2785" s="1">
        <v>44789</v>
      </c>
      <c r="B2785">
        <v>142061</v>
      </c>
      <c r="C2785">
        <v>69341</v>
      </c>
      <c r="D2785">
        <v>72720</v>
      </c>
      <c r="E2785">
        <v>115895568</v>
      </c>
      <c r="F2785">
        <v>90988977</v>
      </c>
      <c r="G2785">
        <v>206884545</v>
      </c>
      <c r="H2785">
        <v>39614</v>
      </c>
      <c r="I2785">
        <v>10840</v>
      </c>
      <c r="J2785">
        <v>50454</v>
      </c>
      <c r="K2785" t="b">
        <f>TrafficData[[#This Row],[disposedChallan]]+TrafficData[[#This Row],[pendingChallan]]=TrafficData[[#This Row],[totalChallan]]</f>
        <v>1</v>
      </c>
      <c r="L2785" t="b">
        <f>TrafficData[[#This Row],[pendingAmount]]+TrafficData[[#This Row],[disposedAmount]]=TrafficData[[#This Row],[totalAmount]]</f>
        <v>1</v>
      </c>
      <c r="M2785" t="b">
        <f>TrafficData[[#This Row],[pendingCourt]]+TrafficData[[#This Row],[disposedCourt]]=TrafficData[[#This Row],[totalCourt]]</f>
        <v>1</v>
      </c>
      <c r="N2785" s="8" t="b">
        <f>AND(TrafficData[[#This Row],[disposedChallan]]&lt;=TrafficData[[#This Row],[totalChallan]],TrafficData[[#This Row],[pendingChallan]]&lt;=TrafficData[[#This Row],[totalChallan]])</f>
        <v>1</v>
      </c>
      <c r="O2785" s="8" t="b">
        <f>AND(TrafficData[[#This Row],[pendingAmount]]&lt;=TrafficData[[#This Row],[totalAmount]],TrafficData[[#This Row],[disposedAmount]]&lt;=TrafficData[[#This Row],[totalAmount]])</f>
        <v>1</v>
      </c>
      <c r="P2785" s="8" t="b">
        <f>AND(TrafficData[[#This Row],[pendingCourt]]&lt;=TrafficData[[#This Row],[totalCourt]],TrafficData[[#This Row],[disposedCourt]]&lt;=TrafficData[[#This Row],[totalCourt]])</f>
        <v>1</v>
      </c>
    </row>
    <row r="2786" spans="1:16">
      <c r="A2786" s="1">
        <v>44790</v>
      </c>
      <c r="B2786">
        <v>144533</v>
      </c>
      <c r="C2786">
        <v>72970</v>
      </c>
      <c r="D2786">
        <v>71563</v>
      </c>
      <c r="E2786">
        <v>114627518</v>
      </c>
      <c r="F2786">
        <v>106238543</v>
      </c>
      <c r="G2786">
        <v>220866061</v>
      </c>
      <c r="H2786">
        <v>38377</v>
      </c>
      <c r="I2786">
        <v>10743</v>
      </c>
      <c r="J2786">
        <v>49120</v>
      </c>
      <c r="K2786" t="b">
        <f>TrafficData[[#This Row],[disposedChallan]]+TrafficData[[#This Row],[pendingChallan]]=TrafficData[[#This Row],[totalChallan]]</f>
        <v>1</v>
      </c>
      <c r="L2786" t="b">
        <f>TrafficData[[#This Row],[pendingAmount]]+TrafficData[[#This Row],[disposedAmount]]=TrafficData[[#This Row],[totalAmount]]</f>
        <v>1</v>
      </c>
      <c r="M2786" t="b">
        <f>TrafficData[[#This Row],[pendingCourt]]+TrafficData[[#This Row],[disposedCourt]]=TrafficData[[#This Row],[totalCourt]]</f>
        <v>1</v>
      </c>
      <c r="N2786" s="8" t="b">
        <f>AND(TrafficData[[#This Row],[disposedChallan]]&lt;=TrafficData[[#This Row],[totalChallan]],TrafficData[[#This Row],[pendingChallan]]&lt;=TrafficData[[#This Row],[totalChallan]])</f>
        <v>1</v>
      </c>
      <c r="O2786" s="8" t="b">
        <f>AND(TrafficData[[#This Row],[pendingAmount]]&lt;=TrafficData[[#This Row],[totalAmount]],TrafficData[[#This Row],[disposedAmount]]&lt;=TrafficData[[#This Row],[totalAmount]])</f>
        <v>1</v>
      </c>
      <c r="P2786" s="8" t="b">
        <f>AND(TrafficData[[#This Row],[pendingCourt]]&lt;=TrafficData[[#This Row],[totalCourt]],TrafficData[[#This Row],[disposedCourt]]&lt;=TrafficData[[#This Row],[totalCourt]])</f>
        <v>1</v>
      </c>
    </row>
    <row r="2787" spans="1:16">
      <c r="A2787" s="1">
        <v>44791</v>
      </c>
      <c r="B2787">
        <v>140575</v>
      </c>
      <c r="C2787">
        <v>71472</v>
      </c>
      <c r="D2787">
        <v>69103</v>
      </c>
      <c r="E2787">
        <v>109308615</v>
      </c>
      <c r="F2787">
        <v>114126766</v>
      </c>
      <c r="G2787">
        <v>223435381</v>
      </c>
      <c r="H2787">
        <v>38608</v>
      </c>
      <c r="I2787">
        <v>11547</v>
      </c>
      <c r="J2787">
        <v>50155</v>
      </c>
      <c r="K2787" t="b">
        <f>TrafficData[[#This Row],[disposedChallan]]+TrafficData[[#This Row],[pendingChallan]]=TrafficData[[#This Row],[totalChallan]]</f>
        <v>1</v>
      </c>
      <c r="L2787" t="b">
        <f>TrafficData[[#This Row],[pendingAmount]]+TrafficData[[#This Row],[disposedAmount]]=TrafficData[[#This Row],[totalAmount]]</f>
        <v>1</v>
      </c>
      <c r="M2787" t="b">
        <f>TrafficData[[#This Row],[pendingCourt]]+TrafficData[[#This Row],[disposedCourt]]=TrafficData[[#This Row],[totalCourt]]</f>
        <v>1</v>
      </c>
      <c r="N2787" s="8" t="b">
        <f>AND(TrafficData[[#This Row],[disposedChallan]]&lt;=TrafficData[[#This Row],[totalChallan]],TrafficData[[#This Row],[pendingChallan]]&lt;=TrafficData[[#This Row],[totalChallan]])</f>
        <v>1</v>
      </c>
      <c r="O2787" s="8" t="b">
        <f>AND(TrafficData[[#This Row],[pendingAmount]]&lt;=TrafficData[[#This Row],[totalAmount]],TrafficData[[#This Row],[disposedAmount]]&lt;=TrafficData[[#This Row],[totalAmount]])</f>
        <v>1</v>
      </c>
      <c r="P2787" s="8" t="b">
        <f>AND(TrafficData[[#This Row],[pendingCourt]]&lt;=TrafficData[[#This Row],[totalCourt]],TrafficData[[#This Row],[disposedCourt]]&lt;=TrafficData[[#This Row],[totalCourt]])</f>
        <v>1</v>
      </c>
    </row>
    <row r="2788" spans="1:16">
      <c r="A2788" s="1">
        <v>44792</v>
      </c>
      <c r="B2788">
        <v>132190</v>
      </c>
      <c r="C2788">
        <v>68448</v>
      </c>
      <c r="D2788">
        <v>63742</v>
      </c>
      <c r="E2788">
        <v>97630264</v>
      </c>
      <c r="F2788">
        <v>83804928</v>
      </c>
      <c r="G2788">
        <v>181435192</v>
      </c>
      <c r="H2788">
        <v>34429</v>
      </c>
      <c r="I2788">
        <v>9261</v>
      </c>
      <c r="J2788">
        <v>43690</v>
      </c>
      <c r="K2788" t="b">
        <f>TrafficData[[#This Row],[disposedChallan]]+TrafficData[[#This Row],[pendingChallan]]=TrafficData[[#This Row],[totalChallan]]</f>
        <v>1</v>
      </c>
      <c r="L2788" t="b">
        <f>TrafficData[[#This Row],[pendingAmount]]+TrafficData[[#This Row],[disposedAmount]]=TrafficData[[#This Row],[totalAmount]]</f>
        <v>1</v>
      </c>
      <c r="M2788" t="b">
        <f>TrafficData[[#This Row],[pendingCourt]]+TrafficData[[#This Row],[disposedCourt]]=TrafficData[[#This Row],[totalCourt]]</f>
        <v>1</v>
      </c>
      <c r="N2788" s="8" t="b">
        <f>AND(TrafficData[[#This Row],[disposedChallan]]&lt;=TrafficData[[#This Row],[totalChallan]],TrafficData[[#This Row],[pendingChallan]]&lt;=TrafficData[[#This Row],[totalChallan]])</f>
        <v>1</v>
      </c>
      <c r="O2788" s="8" t="b">
        <f>AND(TrafficData[[#This Row],[pendingAmount]]&lt;=TrafficData[[#This Row],[totalAmount]],TrafficData[[#This Row],[disposedAmount]]&lt;=TrafficData[[#This Row],[totalAmount]])</f>
        <v>1</v>
      </c>
      <c r="P2788" s="8" t="b">
        <f>AND(TrafficData[[#This Row],[pendingCourt]]&lt;=TrafficData[[#This Row],[totalCourt]],TrafficData[[#This Row],[disposedCourt]]&lt;=TrafficData[[#This Row],[totalCourt]])</f>
        <v>1</v>
      </c>
    </row>
    <row r="2789" spans="1:16">
      <c r="A2789" s="1">
        <v>44793</v>
      </c>
      <c r="B2789">
        <v>140550</v>
      </c>
      <c r="C2789">
        <v>71187</v>
      </c>
      <c r="D2789">
        <v>69363</v>
      </c>
      <c r="E2789">
        <v>108999172</v>
      </c>
      <c r="F2789">
        <v>90914829</v>
      </c>
      <c r="G2789">
        <v>199914001</v>
      </c>
      <c r="H2789">
        <v>37018</v>
      </c>
      <c r="I2789">
        <v>10452</v>
      </c>
      <c r="J2789">
        <v>47470</v>
      </c>
      <c r="K2789" t="b">
        <f>TrafficData[[#This Row],[disposedChallan]]+TrafficData[[#This Row],[pendingChallan]]=TrafficData[[#This Row],[totalChallan]]</f>
        <v>1</v>
      </c>
      <c r="L2789" t="b">
        <f>TrafficData[[#This Row],[pendingAmount]]+TrafficData[[#This Row],[disposedAmount]]=TrafficData[[#This Row],[totalAmount]]</f>
        <v>1</v>
      </c>
      <c r="M2789" t="b">
        <f>TrafficData[[#This Row],[pendingCourt]]+TrafficData[[#This Row],[disposedCourt]]=TrafficData[[#This Row],[totalCourt]]</f>
        <v>1</v>
      </c>
      <c r="N2789" s="8" t="b">
        <f>AND(TrafficData[[#This Row],[disposedChallan]]&lt;=TrafficData[[#This Row],[totalChallan]],TrafficData[[#This Row],[pendingChallan]]&lt;=TrafficData[[#This Row],[totalChallan]])</f>
        <v>1</v>
      </c>
      <c r="O2789" s="8" t="b">
        <f>AND(TrafficData[[#This Row],[pendingAmount]]&lt;=TrafficData[[#This Row],[totalAmount]],TrafficData[[#This Row],[disposedAmount]]&lt;=TrafficData[[#This Row],[totalAmount]])</f>
        <v>1</v>
      </c>
      <c r="P2789" s="8" t="b">
        <f>AND(TrafficData[[#This Row],[pendingCourt]]&lt;=TrafficData[[#This Row],[totalCourt]],TrafficData[[#This Row],[disposedCourt]]&lt;=TrafficData[[#This Row],[totalCourt]])</f>
        <v>1</v>
      </c>
    </row>
    <row r="2790" spans="1:16">
      <c r="A2790" s="1">
        <v>44794</v>
      </c>
      <c r="B2790">
        <v>127948</v>
      </c>
      <c r="C2790">
        <v>61897</v>
      </c>
      <c r="D2790">
        <v>66051</v>
      </c>
      <c r="E2790">
        <v>103201718</v>
      </c>
      <c r="F2790">
        <v>76361326</v>
      </c>
      <c r="G2790">
        <v>179563044</v>
      </c>
      <c r="H2790">
        <v>36144</v>
      </c>
      <c r="I2790">
        <v>9237</v>
      </c>
      <c r="J2790">
        <v>45381</v>
      </c>
      <c r="K2790" t="b">
        <f>TrafficData[[#This Row],[disposedChallan]]+TrafficData[[#This Row],[pendingChallan]]=TrafficData[[#This Row],[totalChallan]]</f>
        <v>1</v>
      </c>
      <c r="L2790" t="b">
        <f>TrafficData[[#This Row],[pendingAmount]]+TrafficData[[#This Row],[disposedAmount]]=TrafficData[[#This Row],[totalAmount]]</f>
        <v>1</v>
      </c>
      <c r="M2790" t="b">
        <f>TrafficData[[#This Row],[pendingCourt]]+TrafficData[[#This Row],[disposedCourt]]=TrafficData[[#This Row],[totalCourt]]</f>
        <v>1</v>
      </c>
      <c r="N2790" s="8" t="b">
        <f>AND(TrafficData[[#This Row],[disposedChallan]]&lt;=TrafficData[[#This Row],[totalChallan]],TrafficData[[#This Row],[pendingChallan]]&lt;=TrafficData[[#This Row],[totalChallan]])</f>
        <v>1</v>
      </c>
      <c r="O2790" s="8" t="b">
        <f>AND(TrafficData[[#This Row],[pendingAmount]]&lt;=TrafficData[[#This Row],[totalAmount]],TrafficData[[#This Row],[disposedAmount]]&lt;=TrafficData[[#This Row],[totalAmount]])</f>
        <v>1</v>
      </c>
      <c r="P2790" s="8" t="b">
        <f>AND(TrafficData[[#This Row],[pendingCourt]]&lt;=TrafficData[[#This Row],[totalCourt]],TrafficData[[#This Row],[disposedCourt]]&lt;=TrafficData[[#This Row],[totalCourt]])</f>
        <v>1</v>
      </c>
    </row>
    <row r="2791" spans="1:16">
      <c r="A2791" s="1">
        <v>44795</v>
      </c>
      <c r="B2791">
        <v>143163</v>
      </c>
      <c r="C2791">
        <v>68733</v>
      </c>
      <c r="D2791">
        <v>74430</v>
      </c>
      <c r="E2791">
        <v>129466938</v>
      </c>
      <c r="F2791">
        <v>100742392</v>
      </c>
      <c r="G2791">
        <v>230209330</v>
      </c>
      <c r="H2791">
        <v>44081</v>
      </c>
      <c r="I2791">
        <v>11859</v>
      </c>
      <c r="J2791">
        <v>55940</v>
      </c>
      <c r="K2791" t="b">
        <f>TrafficData[[#This Row],[disposedChallan]]+TrafficData[[#This Row],[pendingChallan]]=TrafficData[[#This Row],[totalChallan]]</f>
        <v>1</v>
      </c>
      <c r="L2791" t="b">
        <f>TrafficData[[#This Row],[pendingAmount]]+TrafficData[[#This Row],[disposedAmount]]=TrafficData[[#This Row],[totalAmount]]</f>
        <v>1</v>
      </c>
      <c r="M2791" t="b">
        <f>TrafficData[[#This Row],[pendingCourt]]+TrafficData[[#This Row],[disposedCourt]]=TrafficData[[#This Row],[totalCourt]]</f>
        <v>1</v>
      </c>
      <c r="N2791" s="8" t="b">
        <f>AND(TrafficData[[#This Row],[disposedChallan]]&lt;=TrafficData[[#This Row],[totalChallan]],TrafficData[[#This Row],[pendingChallan]]&lt;=TrafficData[[#This Row],[totalChallan]])</f>
        <v>1</v>
      </c>
      <c r="O2791" s="8" t="b">
        <f>AND(TrafficData[[#This Row],[pendingAmount]]&lt;=TrafficData[[#This Row],[totalAmount]],TrafficData[[#This Row],[disposedAmount]]&lt;=TrafficData[[#This Row],[totalAmount]])</f>
        <v>1</v>
      </c>
      <c r="P2791" s="8" t="b">
        <f>AND(TrafficData[[#This Row],[pendingCourt]]&lt;=TrafficData[[#This Row],[totalCourt]],TrafficData[[#This Row],[disposedCourt]]&lt;=TrafficData[[#This Row],[totalCourt]])</f>
        <v>1</v>
      </c>
    </row>
    <row r="2792" spans="1:16">
      <c r="A2792" s="1">
        <v>44796</v>
      </c>
      <c r="B2792">
        <v>139217</v>
      </c>
      <c r="C2792">
        <v>69810</v>
      </c>
      <c r="D2792">
        <v>69407</v>
      </c>
      <c r="E2792">
        <v>121103412</v>
      </c>
      <c r="F2792">
        <v>107484055</v>
      </c>
      <c r="G2792">
        <v>228587467</v>
      </c>
      <c r="H2792">
        <v>40175</v>
      </c>
      <c r="I2792">
        <v>10706</v>
      </c>
      <c r="J2792">
        <v>50881</v>
      </c>
      <c r="K2792" t="b">
        <f>TrafficData[[#This Row],[disposedChallan]]+TrafficData[[#This Row],[pendingChallan]]=TrafficData[[#This Row],[totalChallan]]</f>
        <v>1</v>
      </c>
      <c r="L2792" t="b">
        <f>TrafficData[[#This Row],[pendingAmount]]+TrafficData[[#This Row],[disposedAmount]]=TrafficData[[#This Row],[totalAmount]]</f>
        <v>1</v>
      </c>
      <c r="M2792" t="b">
        <f>TrafficData[[#This Row],[pendingCourt]]+TrafficData[[#This Row],[disposedCourt]]=TrafficData[[#This Row],[totalCourt]]</f>
        <v>1</v>
      </c>
      <c r="N2792" s="8" t="b">
        <f>AND(TrafficData[[#This Row],[disposedChallan]]&lt;=TrafficData[[#This Row],[totalChallan]],TrafficData[[#This Row],[pendingChallan]]&lt;=TrafficData[[#This Row],[totalChallan]])</f>
        <v>1</v>
      </c>
      <c r="O2792" s="8" t="b">
        <f>AND(TrafficData[[#This Row],[pendingAmount]]&lt;=TrafficData[[#This Row],[totalAmount]],TrafficData[[#This Row],[disposedAmount]]&lt;=TrafficData[[#This Row],[totalAmount]])</f>
        <v>1</v>
      </c>
      <c r="P2792" s="8" t="b">
        <f>AND(TrafficData[[#This Row],[pendingCourt]]&lt;=TrafficData[[#This Row],[totalCourt]],TrafficData[[#This Row],[disposedCourt]]&lt;=TrafficData[[#This Row],[totalCourt]])</f>
        <v>1</v>
      </c>
    </row>
    <row r="2793" spans="1:16">
      <c r="A2793" s="1">
        <v>44797</v>
      </c>
      <c r="B2793">
        <v>145129</v>
      </c>
      <c r="C2793">
        <v>73907</v>
      </c>
      <c r="D2793">
        <v>71222</v>
      </c>
      <c r="E2793">
        <v>221840788</v>
      </c>
      <c r="F2793">
        <v>116827004</v>
      </c>
      <c r="G2793">
        <v>338667792</v>
      </c>
      <c r="H2793">
        <v>40190</v>
      </c>
      <c r="I2793">
        <v>11096</v>
      </c>
      <c r="J2793">
        <v>51286</v>
      </c>
      <c r="K2793" t="b">
        <f>TrafficData[[#This Row],[disposedChallan]]+TrafficData[[#This Row],[pendingChallan]]=TrafficData[[#This Row],[totalChallan]]</f>
        <v>1</v>
      </c>
      <c r="L2793" t="b">
        <f>TrafficData[[#This Row],[pendingAmount]]+TrafficData[[#This Row],[disposedAmount]]=TrafficData[[#This Row],[totalAmount]]</f>
        <v>1</v>
      </c>
      <c r="M2793" t="b">
        <f>TrafficData[[#This Row],[pendingCourt]]+TrafficData[[#This Row],[disposedCourt]]=TrafficData[[#This Row],[totalCourt]]</f>
        <v>1</v>
      </c>
      <c r="N2793" s="8" t="b">
        <f>AND(TrafficData[[#This Row],[disposedChallan]]&lt;=TrafficData[[#This Row],[totalChallan]],TrafficData[[#This Row],[pendingChallan]]&lt;=TrafficData[[#This Row],[totalChallan]])</f>
        <v>1</v>
      </c>
      <c r="O2793" s="8" t="b">
        <f>AND(TrafficData[[#This Row],[pendingAmount]]&lt;=TrafficData[[#This Row],[totalAmount]],TrafficData[[#This Row],[disposedAmount]]&lt;=TrafficData[[#This Row],[totalAmount]])</f>
        <v>1</v>
      </c>
      <c r="P2793" s="8" t="b">
        <f>AND(TrafficData[[#This Row],[pendingCourt]]&lt;=TrafficData[[#This Row],[totalCourt]],TrafficData[[#This Row],[disposedCourt]]&lt;=TrafficData[[#This Row],[totalCourt]])</f>
        <v>1</v>
      </c>
    </row>
    <row r="2794" spans="1:16">
      <c r="A2794" s="1">
        <v>44798</v>
      </c>
      <c r="B2794">
        <v>152457</v>
      </c>
      <c r="C2794">
        <v>77868</v>
      </c>
      <c r="D2794">
        <v>74589</v>
      </c>
      <c r="E2794">
        <v>124529315</v>
      </c>
      <c r="F2794">
        <v>111447448</v>
      </c>
      <c r="G2794">
        <v>235976763</v>
      </c>
      <c r="H2794">
        <v>45305</v>
      </c>
      <c r="I2794">
        <v>12017</v>
      </c>
      <c r="J2794">
        <v>57322</v>
      </c>
      <c r="K2794" t="b">
        <f>TrafficData[[#This Row],[disposedChallan]]+TrafficData[[#This Row],[pendingChallan]]=TrafficData[[#This Row],[totalChallan]]</f>
        <v>1</v>
      </c>
      <c r="L2794" t="b">
        <f>TrafficData[[#This Row],[pendingAmount]]+TrafficData[[#This Row],[disposedAmount]]=TrafficData[[#This Row],[totalAmount]]</f>
        <v>1</v>
      </c>
      <c r="M2794" t="b">
        <f>TrafficData[[#This Row],[pendingCourt]]+TrafficData[[#This Row],[disposedCourt]]=TrafficData[[#This Row],[totalCourt]]</f>
        <v>1</v>
      </c>
      <c r="N2794" s="8" t="b">
        <f>AND(TrafficData[[#This Row],[disposedChallan]]&lt;=TrafficData[[#This Row],[totalChallan]],TrafficData[[#This Row],[pendingChallan]]&lt;=TrafficData[[#This Row],[totalChallan]])</f>
        <v>1</v>
      </c>
      <c r="O2794" s="8" t="b">
        <f>AND(TrafficData[[#This Row],[pendingAmount]]&lt;=TrafficData[[#This Row],[totalAmount]],TrafficData[[#This Row],[disposedAmount]]&lt;=TrafficData[[#This Row],[totalAmount]])</f>
        <v>1</v>
      </c>
      <c r="P2794" s="8" t="b">
        <f>AND(TrafficData[[#This Row],[pendingCourt]]&lt;=TrafficData[[#This Row],[totalCourt]],TrafficData[[#This Row],[disposedCourt]]&lt;=TrafficData[[#This Row],[totalCourt]])</f>
        <v>1</v>
      </c>
    </row>
    <row r="2795" spans="1:16">
      <c r="A2795" s="1">
        <v>44799</v>
      </c>
      <c r="B2795">
        <v>149233</v>
      </c>
      <c r="C2795">
        <v>75366</v>
      </c>
      <c r="D2795">
        <v>73867</v>
      </c>
      <c r="E2795">
        <v>116234871</v>
      </c>
      <c r="F2795">
        <v>101200103</v>
      </c>
      <c r="G2795">
        <v>217434974</v>
      </c>
      <c r="H2795">
        <v>43245</v>
      </c>
      <c r="I2795">
        <v>11507</v>
      </c>
      <c r="J2795">
        <v>54752</v>
      </c>
      <c r="K2795" t="b">
        <f>TrafficData[[#This Row],[disposedChallan]]+TrafficData[[#This Row],[pendingChallan]]=TrafficData[[#This Row],[totalChallan]]</f>
        <v>1</v>
      </c>
      <c r="L2795" t="b">
        <f>TrafficData[[#This Row],[pendingAmount]]+TrafficData[[#This Row],[disposedAmount]]=TrafficData[[#This Row],[totalAmount]]</f>
        <v>1</v>
      </c>
      <c r="M2795" t="b">
        <f>TrafficData[[#This Row],[pendingCourt]]+TrafficData[[#This Row],[disposedCourt]]=TrafficData[[#This Row],[totalCourt]]</f>
        <v>1</v>
      </c>
      <c r="N2795" s="8" t="b">
        <f>AND(TrafficData[[#This Row],[disposedChallan]]&lt;=TrafficData[[#This Row],[totalChallan]],TrafficData[[#This Row],[pendingChallan]]&lt;=TrafficData[[#This Row],[totalChallan]])</f>
        <v>1</v>
      </c>
      <c r="O2795" s="8" t="b">
        <f>AND(TrafficData[[#This Row],[pendingAmount]]&lt;=TrafficData[[#This Row],[totalAmount]],TrafficData[[#This Row],[disposedAmount]]&lt;=TrafficData[[#This Row],[totalAmount]])</f>
        <v>1</v>
      </c>
      <c r="P2795" s="8" t="b">
        <f>AND(TrafficData[[#This Row],[pendingCourt]]&lt;=TrafficData[[#This Row],[totalCourt]],TrafficData[[#This Row],[disposedCourt]]&lt;=TrafficData[[#This Row],[totalCourt]])</f>
        <v>1</v>
      </c>
    </row>
    <row r="2796" spans="1:16">
      <c r="A2796" s="1">
        <v>44800</v>
      </c>
      <c r="B2796">
        <v>149824</v>
      </c>
      <c r="C2796">
        <v>74060</v>
      </c>
      <c r="D2796">
        <v>75764</v>
      </c>
      <c r="E2796">
        <v>119048763</v>
      </c>
      <c r="F2796">
        <v>94642624</v>
      </c>
      <c r="G2796">
        <v>213691387</v>
      </c>
      <c r="H2796">
        <v>42736</v>
      </c>
      <c r="I2796">
        <v>11202</v>
      </c>
      <c r="J2796">
        <v>53938</v>
      </c>
      <c r="K2796" t="b">
        <f>TrafficData[[#This Row],[disposedChallan]]+TrafficData[[#This Row],[pendingChallan]]=TrafficData[[#This Row],[totalChallan]]</f>
        <v>1</v>
      </c>
      <c r="L2796" t="b">
        <f>TrafficData[[#This Row],[pendingAmount]]+TrafficData[[#This Row],[disposedAmount]]=TrafficData[[#This Row],[totalAmount]]</f>
        <v>1</v>
      </c>
      <c r="M2796" t="b">
        <f>TrafficData[[#This Row],[pendingCourt]]+TrafficData[[#This Row],[disposedCourt]]=TrafficData[[#This Row],[totalCourt]]</f>
        <v>1</v>
      </c>
      <c r="N2796" s="8" t="b">
        <f>AND(TrafficData[[#This Row],[disposedChallan]]&lt;=TrafficData[[#This Row],[totalChallan]],TrafficData[[#This Row],[pendingChallan]]&lt;=TrafficData[[#This Row],[totalChallan]])</f>
        <v>1</v>
      </c>
      <c r="O2796" s="8" t="b">
        <f>AND(TrafficData[[#This Row],[pendingAmount]]&lt;=TrafficData[[#This Row],[totalAmount]],TrafficData[[#This Row],[disposedAmount]]&lt;=TrafficData[[#This Row],[totalAmount]])</f>
        <v>1</v>
      </c>
      <c r="P2796" s="8" t="b">
        <f>AND(TrafficData[[#This Row],[pendingCourt]]&lt;=TrafficData[[#This Row],[totalCourt]],TrafficData[[#This Row],[disposedCourt]]&lt;=TrafficData[[#This Row],[totalCourt]])</f>
        <v>1</v>
      </c>
    </row>
    <row r="2797" spans="1:16">
      <c r="A2797" s="1">
        <v>44801</v>
      </c>
      <c r="B2797">
        <v>130094</v>
      </c>
      <c r="C2797">
        <v>63181</v>
      </c>
      <c r="D2797">
        <v>66913</v>
      </c>
      <c r="E2797">
        <v>102652672</v>
      </c>
      <c r="F2797">
        <v>70105180</v>
      </c>
      <c r="G2797">
        <v>172757852</v>
      </c>
      <c r="H2797">
        <v>39641</v>
      </c>
      <c r="I2797">
        <v>9969</v>
      </c>
      <c r="J2797">
        <v>49610</v>
      </c>
      <c r="K2797" t="b">
        <f>TrafficData[[#This Row],[disposedChallan]]+TrafficData[[#This Row],[pendingChallan]]=TrafficData[[#This Row],[totalChallan]]</f>
        <v>1</v>
      </c>
      <c r="L2797" t="b">
        <f>TrafficData[[#This Row],[pendingAmount]]+TrafficData[[#This Row],[disposedAmount]]=TrafficData[[#This Row],[totalAmount]]</f>
        <v>1</v>
      </c>
      <c r="M2797" t="b">
        <f>TrafficData[[#This Row],[pendingCourt]]+TrafficData[[#This Row],[disposedCourt]]=TrafficData[[#This Row],[totalCourt]]</f>
        <v>1</v>
      </c>
      <c r="N2797" s="8" t="b">
        <f>AND(TrafficData[[#This Row],[disposedChallan]]&lt;=TrafficData[[#This Row],[totalChallan]],TrafficData[[#This Row],[pendingChallan]]&lt;=TrafficData[[#This Row],[totalChallan]])</f>
        <v>1</v>
      </c>
      <c r="O2797" s="8" t="b">
        <f>AND(TrafficData[[#This Row],[pendingAmount]]&lt;=TrafficData[[#This Row],[totalAmount]],TrafficData[[#This Row],[disposedAmount]]&lt;=TrafficData[[#This Row],[totalAmount]])</f>
        <v>1</v>
      </c>
      <c r="P2797" s="8" t="b">
        <f>AND(TrafficData[[#This Row],[pendingCourt]]&lt;=TrafficData[[#This Row],[totalCourt]],TrafficData[[#This Row],[disposedCourt]]&lt;=TrafficData[[#This Row],[totalCourt]])</f>
        <v>1</v>
      </c>
    </row>
    <row r="2798" spans="1:16">
      <c r="A2798" s="1">
        <v>44802</v>
      </c>
      <c r="B2798">
        <v>142999</v>
      </c>
      <c r="C2798">
        <v>70522</v>
      </c>
      <c r="D2798">
        <v>72477</v>
      </c>
      <c r="E2798">
        <v>107412180</v>
      </c>
      <c r="F2798">
        <v>89016202</v>
      </c>
      <c r="G2798">
        <v>196428382</v>
      </c>
      <c r="H2798">
        <v>43818</v>
      </c>
      <c r="I2798">
        <v>11342</v>
      </c>
      <c r="J2798">
        <v>55160</v>
      </c>
      <c r="K2798" t="b">
        <f>TrafficData[[#This Row],[disposedChallan]]+TrafficData[[#This Row],[pendingChallan]]=TrafficData[[#This Row],[totalChallan]]</f>
        <v>1</v>
      </c>
      <c r="L2798" t="b">
        <f>TrafficData[[#This Row],[pendingAmount]]+TrafficData[[#This Row],[disposedAmount]]=TrafficData[[#This Row],[totalAmount]]</f>
        <v>1</v>
      </c>
      <c r="M2798" t="b">
        <f>TrafficData[[#This Row],[pendingCourt]]+TrafficData[[#This Row],[disposedCourt]]=TrafficData[[#This Row],[totalCourt]]</f>
        <v>1</v>
      </c>
      <c r="N2798" s="8" t="b">
        <f>AND(TrafficData[[#This Row],[disposedChallan]]&lt;=TrafficData[[#This Row],[totalChallan]],TrafficData[[#This Row],[pendingChallan]]&lt;=TrafficData[[#This Row],[totalChallan]])</f>
        <v>1</v>
      </c>
      <c r="O2798" s="8" t="b">
        <f>AND(TrafficData[[#This Row],[pendingAmount]]&lt;=TrafficData[[#This Row],[totalAmount]],TrafficData[[#This Row],[disposedAmount]]&lt;=TrafficData[[#This Row],[totalAmount]])</f>
        <v>1</v>
      </c>
      <c r="P2798" s="8" t="b">
        <f>AND(TrafficData[[#This Row],[pendingCourt]]&lt;=TrafficData[[#This Row],[totalCourt]],TrafficData[[#This Row],[disposedCourt]]&lt;=TrafficData[[#This Row],[totalCourt]])</f>
        <v>1</v>
      </c>
    </row>
    <row r="2799" spans="1:16">
      <c r="A2799" s="1">
        <v>44803</v>
      </c>
      <c r="B2799">
        <v>142681</v>
      </c>
      <c r="C2799">
        <v>70868</v>
      </c>
      <c r="D2799">
        <v>71813</v>
      </c>
      <c r="E2799">
        <v>108883620</v>
      </c>
      <c r="F2799">
        <v>90153306</v>
      </c>
      <c r="G2799">
        <v>199036926</v>
      </c>
      <c r="H2799">
        <v>41106</v>
      </c>
      <c r="I2799">
        <v>10932</v>
      </c>
      <c r="J2799">
        <v>52038</v>
      </c>
      <c r="K2799" t="b">
        <f>TrafficData[[#This Row],[disposedChallan]]+TrafficData[[#This Row],[pendingChallan]]=TrafficData[[#This Row],[totalChallan]]</f>
        <v>1</v>
      </c>
      <c r="L2799" t="b">
        <f>TrafficData[[#This Row],[pendingAmount]]+TrafficData[[#This Row],[disposedAmount]]=TrafficData[[#This Row],[totalAmount]]</f>
        <v>1</v>
      </c>
      <c r="M2799" t="b">
        <f>TrafficData[[#This Row],[pendingCourt]]+TrafficData[[#This Row],[disposedCourt]]=TrafficData[[#This Row],[totalCourt]]</f>
        <v>1</v>
      </c>
      <c r="N2799" s="8" t="b">
        <f>AND(TrafficData[[#This Row],[disposedChallan]]&lt;=TrafficData[[#This Row],[totalChallan]],TrafficData[[#This Row],[pendingChallan]]&lt;=TrafficData[[#This Row],[totalChallan]])</f>
        <v>1</v>
      </c>
      <c r="O2799" s="8" t="b">
        <f>AND(TrafficData[[#This Row],[pendingAmount]]&lt;=TrafficData[[#This Row],[totalAmount]],TrafficData[[#This Row],[disposedAmount]]&lt;=TrafficData[[#This Row],[totalAmount]])</f>
        <v>1</v>
      </c>
      <c r="P2799" s="8" t="b">
        <f>AND(TrafficData[[#This Row],[pendingCourt]]&lt;=TrafficData[[#This Row],[totalCourt]],TrafficData[[#This Row],[disposedCourt]]&lt;=TrafficData[[#This Row],[totalCourt]])</f>
        <v>1</v>
      </c>
    </row>
    <row r="2800" spans="1:16">
      <c r="A2800" s="1">
        <v>44804</v>
      </c>
      <c r="B2800">
        <v>120464</v>
      </c>
      <c r="C2800">
        <v>59086</v>
      </c>
      <c r="D2800">
        <v>61378</v>
      </c>
      <c r="E2800">
        <v>94319296</v>
      </c>
      <c r="F2800">
        <v>79166253</v>
      </c>
      <c r="G2800">
        <v>173485549</v>
      </c>
      <c r="H2800">
        <v>36963</v>
      </c>
      <c r="I2800">
        <v>9981</v>
      </c>
      <c r="J2800">
        <v>46944</v>
      </c>
      <c r="K2800" t="b">
        <f>TrafficData[[#This Row],[disposedChallan]]+TrafficData[[#This Row],[pendingChallan]]=TrafficData[[#This Row],[totalChallan]]</f>
        <v>1</v>
      </c>
      <c r="L2800" t="b">
        <f>TrafficData[[#This Row],[pendingAmount]]+TrafficData[[#This Row],[disposedAmount]]=TrafficData[[#This Row],[totalAmount]]</f>
        <v>1</v>
      </c>
      <c r="M2800" t="b">
        <f>TrafficData[[#This Row],[pendingCourt]]+TrafficData[[#This Row],[disposedCourt]]=TrafficData[[#This Row],[totalCourt]]</f>
        <v>1</v>
      </c>
      <c r="N2800" s="8" t="b">
        <f>AND(TrafficData[[#This Row],[disposedChallan]]&lt;=TrafficData[[#This Row],[totalChallan]],TrafficData[[#This Row],[pendingChallan]]&lt;=TrafficData[[#This Row],[totalChallan]])</f>
        <v>1</v>
      </c>
      <c r="O2800" s="8" t="b">
        <f>AND(TrafficData[[#This Row],[pendingAmount]]&lt;=TrafficData[[#This Row],[totalAmount]],TrafficData[[#This Row],[disposedAmount]]&lt;=TrafficData[[#This Row],[totalAmount]])</f>
        <v>1</v>
      </c>
      <c r="P2800" s="8" t="b">
        <f>AND(TrafficData[[#This Row],[pendingCourt]]&lt;=TrafficData[[#This Row],[totalCourt]],TrafficData[[#This Row],[disposedCourt]]&lt;=TrafficData[[#This Row],[totalCourt]])</f>
        <v>1</v>
      </c>
    </row>
    <row r="2801" spans="1:16">
      <c r="A2801" s="1">
        <v>44805</v>
      </c>
      <c r="B2801">
        <v>124177</v>
      </c>
      <c r="C2801">
        <v>64382</v>
      </c>
      <c r="D2801">
        <v>59795</v>
      </c>
      <c r="E2801">
        <v>93376821</v>
      </c>
      <c r="F2801">
        <v>100861906</v>
      </c>
      <c r="G2801">
        <v>194238727</v>
      </c>
      <c r="H2801">
        <v>33151</v>
      </c>
      <c r="I2801">
        <v>9329</v>
      </c>
      <c r="J2801">
        <v>42480</v>
      </c>
      <c r="K2801" t="b">
        <f>TrafficData[[#This Row],[disposedChallan]]+TrafficData[[#This Row],[pendingChallan]]=TrafficData[[#This Row],[totalChallan]]</f>
        <v>1</v>
      </c>
      <c r="L2801" t="b">
        <f>TrafficData[[#This Row],[pendingAmount]]+TrafficData[[#This Row],[disposedAmount]]=TrafficData[[#This Row],[totalAmount]]</f>
        <v>1</v>
      </c>
      <c r="M2801" t="b">
        <f>TrafficData[[#This Row],[pendingCourt]]+TrafficData[[#This Row],[disposedCourt]]=TrafficData[[#This Row],[totalCourt]]</f>
        <v>1</v>
      </c>
      <c r="N2801" s="8" t="b">
        <f>AND(TrafficData[[#This Row],[disposedChallan]]&lt;=TrafficData[[#This Row],[totalChallan]],TrafficData[[#This Row],[pendingChallan]]&lt;=TrafficData[[#This Row],[totalChallan]])</f>
        <v>1</v>
      </c>
      <c r="O2801" s="8" t="b">
        <f>AND(TrafficData[[#This Row],[pendingAmount]]&lt;=TrafficData[[#This Row],[totalAmount]],TrafficData[[#This Row],[disposedAmount]]&lt;=TrafficData[[#This Row],[totalAmount]])</f>
        <v>1</v>
      </c>
      <c r="P2801" s="8" t="b">
        <f>AND(TrafficData[[#This Row],[pendingCourt]]&lt;=TrafficData[[#This Row],[totalCourt]],TrafficData[[#This Row],[disposedCourt]]&lt;=TrafficData[[#This Row],[totalCourt]])</f>
        <v>1</v>
      </c>
    </row>
    <row r="2802" spans="1:16">
      <c r="A2802" s="1">
        <v>44806</v>
      </c>
      <c r="B2802">
        <v>118737</v>
      </c>
      <c r="C2802">
        <v>65602</v>
      </c>
      <c r="D2802">
        <v>53135</v>
      </c>
      <c r="E2802">
        <v>97685587</v>
      </c>
      <c r="F2802">
        <v>110954980</v>
      </c>
      <c r="G2802">
        <v>208640567</v>
      </c>
      <c r="H2802">
        <v>31387</v>
      </c>
      <c r="I2802">
        <v>8679</v>
      </c>
      <c r="J2802">
        <v>40066</v>
      </c>
      <c r="K2802" t="b">
        <f>TrafficData[[#This Row],[disposedChallan]]+TrafficData[[#This Row],[pendingChallan]]=TrafficData[[#This Row],[totalChallan]]</f>
        <v>1</v>
      </c>
      <c r="L2802" t="b">
        <f>TrafficData[[#This Row],[pendingAmount]]+TrafficData[[#This Row],[disposedAmount]]=TrafficData[[#This Row],[totalAmount]]</f>
        <v>1</v>
      </c>
      <c r="M2802" t="b">
        <f>TrafficData[[#This Row],[pendingCourt]]+TrafficData[[#This Row],[disposedCourt]]=TrafficData[[#This Row],[totalCourt]]</f>
        <v>1</v>
      </c>
      <c r="N2802" s="8" t="b">
        <f>AND(TrafficData[[#This Row],[disposedChallan]]&lt;=TrafficData[[#This Row],[totalChallan]],TrafficData[[#This Row],[pendingChallan]]&lt;=TrafficData[[#This Row],[totalChallan]])</f>
        <v>1</v>
      </c>
      <c r="O2802" s="8" t="b">
        <f>AND(TrafficData[[#This Row],[pendingAmount]]&lt;=TrafficData[[#This Row],[totalAmount]],TrafficData[[#This Row],[disposedAmount]]&lt;=TrafficData[[#This Row],[totalAmount]])</f>
        <v>1</v>
      </c>
      <c r="P2802" s="8" t="b">
        <f>AND(TrafficData[[#This Row],[pendingCourt]]&lt;=TrafficData[[#This Row],[totalCourt]],TrafficData[[#This Row],[disposedCourt]]&lt;=TrafficData[[#This Row],[totalCourt]])</f>
        <v>1</v>
      </c>
    </row>
    <row r="2803" spans="1:16">
      <c r="A2803" s="1">
        <v>44807</v>
      </c>
      <c r="B2803">
        <v>135580</v>
      </c>
      <c r="C2803">
        <v>73653</v>
      </c>
      <c r="D2803">
        <v>61927</v>
      </c>
      <c r="E2803">
        <v>103466655</v>
      </c>
      <c r="F2803">
        <v>109365233</v>
      </c>
      <c r="G2803">
        <v>212831888</v>
      </c>
      <c r="H2803">
        <v>39663</v>
      </c>
      <c r="I2803">
        <v>10844</v>
      </c>
      <c r="J2803">
        <v>50507</v>
      </c>
      <c r="K2803" t="b">
        <f>TrafficData[[#This Row],[disposedChallan]]+TrafficData[[#This Row],[pendingChallan]]=TrafficData[[#This Row],[totalChallan]]</f>
        <v>1</v>
      </c>
      <c r="L2803" t="b">
        <f>TrafficData[[#This Row],[pendingAmount]]+TrafficData[[#This Row],[disposedAmount]]=TrafficData[[#This Row],[totalAmount]]</f>
        <v>1</v>
      </c>
      <c r="M2803" t="b">
        <f>TrafficData[[#This Row],[pendingCourt]]+TrafficData[[#This Row],[disposedCourt]]=TrafficData[[#This Row],[totalCourt]]</f>
        <v>1</v>
      </c>
      <c r="N2803" s="8" t="b">
        <f>AND(TrafficData[[#This Row],[disposedChallan]]&lt;=TrafficData[[#This Row],[totalChallan]],TrafficData[[#This Row],[pendingChallan]]&lt;=TrafficData[[#This Row],[totalChallan]])</f>
        <v>1</v>
      </c>
      <c r="O2803" s="8" t="b">
        <f>AND(TrafficData[[#This Row],[pendingAmount]]&lt;=TrafficData[[#This Row],[totalAmount]],TrafficData[[#This Row],[disposedAmount]]&lt;=TrafficData[[#This Row],[totalAmount]])</f>
        <v>1</v>
      </c>
      <c r="P2803" s="8" t="b">
        <f>AND(TrafficData[[#This Row],[pendingCourt]]&lt;=TrafficData[[#This Row],[totalCourt]],TrafficData[[#This Row],[disposedCourt]]&lt;=TrafficData[[#This Row],[totalCourt]])</f>
        <v>1</v>
      </c>
    </row>
    <row r="2804" spans="1:16">
      <c r="A2804" s="1">
        <v>44808</v>
      </c>
      <c r="B2804">
        <v>117906</v>
      </c>
      <c r="C2804">
        <v>59732</v>
      </c>
      <c r="D2804">
        <v>58174</v>
      </c>
      <c r="E2804">
        <v>88824890</v>
      </c>
      <c r="F2804">
        <v>77014195</v>
      </c>
      <c r="G2804">
        <v>165839085</v>
      </c>
      <c r="H2804">
        <v>37387</v>
      </c>
      <c r="I2804">
        <v>9223</v>
      </c>
      <c r="J2804">
        <v>46610</v>
      </c>
      <c r="K2804" t="b">
        <f>TrafficData[[#This Row],[disposedChallan]]+TrafficData[[#This Row],[pendingChallan]]=TrafficData[[#This Row],[totalChallan]]</f>
        <v>1</v>
      </c>
      <c r="L2804" t="b">
        <f>TrafficData[[#This Row],[pendingAmount]]+TrafficData[[#This Row],[disposedAmount]]=TrafficData[[#This Row],[totalAmount]]</f>
        <v>1</v>
      </c>
      <c r="M2804" t="b">
        <f>TrafficData[[#This Row],[pendingCourt]]+TrafficData[[#This Row],[disposedCourt]]=TrafficData[[#This Row],[totalCourt]]</f>
        <v>1</v>
      </c>
      <c r="N2804" s="8" t="b">
        <f>AND(TrafficData[[#This Row],[disposedChallan]]&lt;=TrafficData[[#This Row],[totalChallan]],TrafficData[[#This Row],[pendingChallan]]&lt;=TrafficData[[#This Row],[totalChallan]])</f>
        <v>1</v>
      </c>
      <c r="O2804" s="8" t="b">
        <f>AND(TrafficData[[#This Row],[pendingAmount]]&lt;=TrafficData[[#This Row],[totalAmount]],TrafficData[[#This Row],[disposedAmount]]&lt;=TrafficData[[#This Row],[totalAmount]])</f>
        <v>1</v>
      </c>
      <c r="P2804" s="8" t="b">
        <f>AND(TrafficData[[#This Row],[pendingCourt]]&lt;=TrafficData[[#This Row],[totalCourt]],TrafficData[[#This Row],[disposedCourt]]&lt;=TrafficData[[#This Row],[totalCourt]])</f>
        <v>1</v>
      </c>
    </row>
    <row r="2805" spans="1:16">
      <c r="A2805" s="1">
        <v>44809</v>
      </c>
      <c r="B2805">
        <v>143066</v>
      </c>
      <c r="C2805">
        <v>73296</v>
      </c>
      <c r="D2805">
        <v>69770</v>
      </c>
      <c r="E2805">
        <v>111149576</v>
      </c>
      <c r="F2805">
        <v>105399693</v>
      </c>
      <c r="G2805">
        <v>216549269</v>
      </c>
      <c r="H2805">
        <v>44041</v>
      </c>
      <c r="I2805">
        <v>11137</v>
      </c>
      <c r="J2805">
        <v>55178</v>
      </c>
      <c r="K2805" t="b">
        <f>TrafficData[[#This Row],[disposedChallan]]+TrafficData[[#This Row],[pendingChallan]]=TrafficData[[#This Row],[totalChallan]]</f>
        <v>1</v>
      </c>
      <c r="L2805" t="b">
        <f>TrafficData[[#This Row],[pendingAmount]]+TrafficData[[#This Row],[disposedAmount]]=TrafficData[[#This Row],[totalAmount]]</f>
        <v>1</v>
      </c>
      <c r="M2805" t="b">
        <f>TrafficData[[#This Row],[pendingCourt]]+TrafficData[[#This Row],[disposedCourt]]=TrafficData[[#This Row],[totalCourt]]</f>
        <v>1</v>
      </c>
      <c r="N2805" s="8" t="b">
        <f>AND(TrafficData[[#This Row],[disposedChallan]]&lt;=TrafficData[[#This Row],[totalChallan]],TrafficData[[#This Row],[pendingChallan]]&lt;=TrafficData[[#This Row],[totalChallan]])</f>
        <v>1</v>
      </c>
      <c r="O2805" s="8" t="b">
        <f>AND(TrafficData[[#This Row],[pendingAmount]]&lt;=TrafficData[[#This Row],[totalAmount]],TrafficData[[#This Row],[disposedAmount]]&lt;=TrafficData[[#This Row],[totalAmount]])</f>
        <v>1</v>
      </c>
      <c r="P2805" s="8" t="b">
        <f>AND(TrafficData[[#This Row],[pendingCourt]]&lt;=TrafficData[[#This Row],[totalCourt]],TrafficData[[#This Row],[disposedCourt]]&lt;=TrafficData[[#This Row],[totalCourt]])</f>
        <v>1</v>
      </c>
    </row>
    <row r="2806" spans="1:16">
      <c r="A2806" s="1">
        <v>44810</v>
      </c>
      <c r="B2806">
        <v>139864</v>
      </c>
      <c r="C2806">
        <v>71213</v>
      </c>
      <c r="D2806">
        <v>68651</v>
      </c>
      <c r="E2806">
        <v>120337796</v>
      </c>
      <c r="F2806">
        <v>108619507</v>
      </c>
      <c r="G2806">
        <v>228957303</v>
      </c>
      <c r="H2806">
        <v>44819</v>
      </c>
      <c r="I2806">
        <v>11281</v>
      </c>
      <c r="J2806">
        <v>56100</v>
      </c>
      <c r="K2806" t="b">
        <f>TrafficData[[#This Row],[disposedChallan]]+TrafficData[[#This Row],[pendingChallan]]=TrafficData[[#This Row],[totalChallan]]</f>
        <v>1</v>
      </c>
      <c r="L2806" t="b">
        <f>TrafficData[[#This Row],[pendingAmount]]+TrafficData[[#This Row],[disposedAmount]]=TrafficData[[#This Row],[totalAmount]]</f>
        <v>1</v>
      </c>
      <c r="M2806" t="b">
        <f>TrafficData[[#This Row],[pendingCourt]]+TrafficData[[#This Row],[disposedCourt]]=TrafficData[[#This Row],[totalCourt]]</f>
        <v>1</v>
      </c>
      <c r="N2806" s="8" t="b">
        <f>AND(TrafficData[[#This Row],[disposedChallan]]&lt;=TrafficData[[#This Row],[totalChallan]],TrafficData[[#This Row],[pendingChallan]]&lt;=TrafficData[[#This Row],[totalChallan]])</f>
        <v>1</v>
      </c>
      <c r="O2806" s="8" t="b">
        <f>AND(TrafficData[[#This Row],[pendingAmount]]&lt;=TrafficData[[#This Row],[totalAmount]],TrafficData[[#This Row],[disposedAmount]]&lt;=TrafficData[[#This Row],[totalAmount]])</f>
        <v>1</v>
      </c>
      <c r="P2806" s="8" t="b">
        <f>AND(TrafficData[[#This Row],[pendingCourt]]&lt;=TrafficData[[#This Row],[totalCourt]],TrafficData[[#This Row],[disposedCourt]]&lt;=TrafficData[[#This Row],[totalCourt]])</f>
        <v>1</v>
      </c>
    </row>
    <row r="2807" spans="1:16">
      <c r="A2807" s="1">
        <v>44811</v>
      </c>
      <c r="B2807">
        <v>131837</v>
      </c>
      <c r="C2807">
        <v>68099</v>
      </c>
      <c r="D2807">
        <v>63738</v>
      </c>
      <c r="E2807">
        <v>115846905</v>
      </c>
      <c r="F2807">
        <v>113590855</v>
      </c>
      <c r="G2807">
        <v>229437760</v>
      </c>
      <c r="H2807">
        <v>41270</v>
      </c>
      <c r="I2807">
        <v>10304</v>
      </c>
      <c r="J2807">
        <v>51574</v>
      </c>
      <c r="K2807" t="b">
        <f>TrafficData[[#This Row],[disposedChallan]]+TrafficData[[#This Row],[pendingChallan]]=TrafficData[[#This Row],[totalChallan]]</f>
        <v>1</v>
      </c>
      <c r="L2807" t="b">
        <f>TrafficData[[#This Row],[pendingAmount]]+TrafficData[[#This Row],[disposedAmount]]=TrafficData[[#This Row],[totalAmount]]</f>
        <v>1</v>
      </c>
      <c r="M2807" t="b">
        <f>TrafficData[[#This Row],[pendingCourt]]+TrafficData[[#This Row],[disposedCourt]]=TrafficData[[#This Row],[totalCourt]]</f>
        <v>1</v>
      </c>
      <c r="N2807" s="8" t="b">
        <f>AND(TrafficData[[#This Row],[disposedChallan]]&lt;=TrafficData[[#This Row],[totalChallan]],TrafficData[[#This Row],[pendingChallan]]&lt;=TrafficData[[#This Row],[totalChallan]])</f>
        <v>1</v>
      </c>
      <c r="O2807" s="8" t="b">
        <f>AND(TrafficData[[#This Row],[pendingAmount]]&lt;=TrafficData[[#This Row],[totalAmount]],TrafficData[[#This Row],[disposedAmount]]&lt;=TrafficData[[#This Row],[totalAmount]])</f>
        <v>1</v>
      </c>
      <c r="P2807" s="8" t="b">
        <f>AND(TrafficData[[#This Row],[pendingCourt]]&lt;=TrafficData[[#This Row],[totalCourt]],TrafficData[[#This Row],[disposedCourt]]&lt;=TrafficData[[#This Row],[totalCourt]])</f>
        <v>1</v>
      </c>
    </row>
    <row r="2808" spans="1:16">
      <c r="A2808" s="1">
        <v>44812</v>
      </c>
      <c r="B2808">
        <v>127028</v>
      </c>
      <c r="C2808">
        <v>62815</v>
      </c>
      <c r="D2808">
        <v>64213</v>
      </c>
      <c r="E2808">
        <v>112460660</v>
      </c>
      <c r="F2808">
        <v>105464761</v>
      </c>
      <c r="G2808">
        <v>217925421</v>
      </c>
      <c r="H2808">
        <v>41147</v>
      </c>
      <c r="I2808">
        <v>10767</v>
      </c>
      <c r="J2808">
        <v>51914</v>
      </c>
      <c r="K2808" t="b">
        <f>TrafficData[[#This Row],[disposedChallan]]+TrafficData[[#This Row],[pendingChallan]]=TrafficData[[#This Row],[totalChallan]]</f>
        <v>1</v>
      </c>
      <c r="L2808" t="b">
        <f>TrafficData[[#This Row],[pendingAmount]]+TrafficData[[#This Row],[disposedAmount]]=TrafficData[[#This Row],[totalAmount]]</f>
        <v>1</v>
      </c>
      <c r="M2808" t="b">
        <f>TrafficData[[#This Row],[pendingCourt]]+TrafficData[[#This Row],[disposedCourt]]=TrafficData[[#This Row],[totalCourt]]</f>
        <v>1</v>
      </c>
      <c r="N2808" s="8" t="b">
        <f>AND(TrafficData[[#This Row],[disposedChallan]]&lt;=TrafficData[[#This Row],[totalChallan]],TrafficData[[#This Row],[pendingChallan]]&lt;=TrafficData[[#This Row],[totalChallan]])</f>
        <v>1</v>
      </c>
      <c r="O2808" s="8" t="b">
        <f>AND(TrafficData[[#This Row],[pendingAmount]]&lt;=TrafficData[[#This Row],[totalAmount]],TrafficData[[#This Row],[disposedAmount]]&lt;=TrafficData[[#This Row],[totalAmount]])</f>
        <v>1</v>
      </c>
      <c r="P2808" s="8" t="b">
        <f>AND(TrafficData[[#This Row],[pendingCourt]]&lt;=TrafficData[[#This Row],[totalCourt]],TrafficData[[#This Row],[disposedCourt]]&lt;=TrafficData[[#This Row],[totalCourt]])</f>
        <v>1</v>
      </c>
    </row>
    <row r="2809" spans="1:16">
      <c r="A2809" s="1">
        <v>44813</v>
      </c>
      <c r="B2809">
        <v>127770</v>
      </c>
      <c r="C2809">
        <v>61646</v>
      </c>
      <c r="D2809">
        <v>66124</v>
      </c>
      <c r="E2809">
        <v>105137247</v>
      </c>
      <c r="F2809">
        <v>99956190</v>
      </c>
      <c r="G2809">
        <v>205093437</v>
      </c>
      <c r="H2809">
        <v>40087</v>
      </c>
      <c r="I2809">
        <v>10398</v>
      </c>
      <c r="J2809">
        <v>50485</v>
      </c>
      <c r="K2809" t="b">
        <f>TrafficData[[#This Row],[disposedChallan]]+TrafficData[[#This Row],[pendingChallan]]=TrafficData[[#This Row],[totalChallan]]</f>
        <v>1</v>
      </c>
      <c r="L2809" t="b">
        <f>TrafficData[[#This Row],[pendingAmount]]+TrafficData[[#This Row],[disposedAmount]]=TrafficData[[#This Row],[totalAmount]]</f>
        <v>1</v>
      </c>
      <c r="M2809" t="b">
        <f>TrafficData[[#This Row],[pendingCourt]]+TrafficData[[#This Row],[disposedCourt]]=TrafficData[[#This Row],[totalCourt]]</f>
        <v>1</v>
      </c>
      <c r="N2809" s="8" t="b">
        <f>AND(TrafficData[[#This Row],[disposedChallan]]&lt;=TrafficData[[#This Row],[totalChallan]],TrafficData[[#This Row],[pendingChallan]]&lt;=TrafficData[[#This Row],[totalChallan]])</f>
        <v>1</v>
      </c>
      <c r="O2809" s="8" t="b">
        <f>AND(TrafficData[[#This Row],[pendingAmount]]&lt;=TrafficData[[#This Row],[totalAmount]],TrafficData[[#This Row],[disposedAmount]]&lt;=TrafficData[[#This Row],[totalAmount]])</f>
        <v>1</v>
      </c>
      <c r="P2809" s="8" t="b">
        <f>AND(TrafficData[[#This Row],[pendingCourt]]&lt;=TrafficData[[#This Row],[totalCourt]],TrafficData[[#This Row],[disposedCourt]]&lt;=TrafficData[[#This Row],[totalCourt]])</f>
        <v>1</v>
      </c>
    </row>
    <row r="2810" spans="1:16">
      <c r="A2810" s="1">
        <v>44814</v>
      </c>
      <c r="B2810">
        <v>130720</v>
      </c>
      <c r="C2810">
        <v>65724</v>
      </c>
      <c r="D2810">
        <v>64996</v>
      </c>
      <c r="E2810">
        <v>108269138</v>
      </c>
      <c r="F2810">
        <v>90571735</v>
      </c>
      <c r="G2810">
        <v>198840873</v>
      </c>
      <c r="H2810">
        <v>39266</v>
      </c>
      <c r="I2810">
        <v>10685</v>
      </c>
      <c r="J2810">
        <v>49951</v>
      </c>
      <c r="K2810" t="b">
        <f>TrafficData[[#This Row],[disposedChallan]]+TrafficData[[#This Row],[pendingChallan]]=TrafficData[[#This Row],[totalChallan]]</f>
        <v>1</v>
      </c>
      <c r="L2810" t="b">
        <f>TrafficData[[#This Row],[pendingAmount]]+TrafficData[[#This Row],[disposedAmount]]=TrafficData[[#This Row],[totalAmount]]</f>
        <v>1</v>
      </c>
      <c r="M2810" t="b">
        <f>TrafficData[[#This Row],[pendingCourt]]+TrafficData[[#This Row],[disposedCourt]]=TrafficData[[#This Row],[totalCourt]]</f>
        <v>1</v>
      </c>
      <c r="N2810" s="8" t="b">
        <f>AND(TrafficData[[#This Row],[disposedChallan]]&lt;=TrafficData[[#This Row],[totalChallan]],TrafficData[[#This Row],[pendingChallan]]&lt;=TrafficData[[#This Row],[totalChallan]])</f>
        <v>1</v>
      </c>
      <c r="O2810" s="8" t="b">
        <f>AND(TrafficData[[#This Row],[pendingAmount]]&lt;=TrafficData[[#This Row],[totalAmount]],TrafficData[[#This Row],[disposedAmount]]&lt;=TrafficData[[#This Row],[totalAmount]])</f>
        <v>1</v>
      </c>
      <c r="P2810" s="8" t="b">
        <f>AND(TrafficData[[#This Row],[pendingCourt]]&lt;=TrafficData[[#This Row],[totalCourt]],TrafficData[[#This Row],[disposedCourt]]&lt;=TrafficData[[#This Row],[totalCourt]])</f>
        <v>1</v>
      </c>
    </row>
    <row r="2811" spans="1:16">
      <c r="A2811" s="1">
        <v>44815</v>
      </c>
      <c r="B2811">
        <v>116924</v>
      </c>
      <c r="C2811">
        <v>58127</v>
      </c>
      <c r="D2811">
        <v>58797</v>
      </c>
      <c r="E2811">
        <v>114468075</v>
      </c>
      <c r="F2811">
        <v>75505888</v>
      </c>
      <c r="G2811">
        <v>189973963</v>
      </c>
      <c r="H2811">
        <v>35376</v>
      </c>
      <c r="I2811">
        <v>8986</v>
      </c>
      <c r="J2811">
        <v>44362</v>
      </c>
      <c r="K2811" t="b">
        <f>TrafficData[[#This Row],[disposedChallan]]+TrafficData[[#This Row],[pendingChallan]]=TrafficData[[#This Row],[totalChallan]]</f>
        <v>1</v>
      </c>
      <c r="L2811" t="b">
        <f>TrafficData[[#This Row],[pendingAmount]]+TrafficData[[#This Row],[disposedAmount]]=TrafficData[[#This Row],[totalAmount]]</f>
        <v>1</v>
      </c>
      <c r="M2811" t="b">
        <f>TrafficData[[#This Row],[pendingCourt]]+TrafficData[[#This Row],[disposedCourt]]=TrafficData[[#This Row],[totalCourt]]</f>
        <v>1</v>
      </c>
      <c r="N2811" s="8" t="b">
        <f>AND(TrafficData[[#This Row],[disposedChallan]]&lt;=TrafficData[[#This Row],[totalChallan]],TrafficData[[#This Row],[pendingChallan]]&lt;=TrafficData[[#This Row],[totalChallan]])</f>
        <v>1</v>
      </c>
      <c r="O2811" s="8" t="b">
        <f>AND(TrafficData[[#This Row],[pendingAmount]]&lt;=TrafficData[[#This Row],[totalAmount]],TrafficData[[#This Row],[disposedAmount]]&lt;=TrafficData[[#This Row],[totalAmount]])</f>
        <v>1</v>
      </c>
      <c r="P2811" s="8" t="b">
        <f>AND(TrafficData[[#This Row],[pendingCourt]]&lt;=TrafficData[[#This Row],[totalCourt]],TrafficData[[#This Row],[disposedCourt]]&lt;=TrafficData[[#This Row],[totalCourt]])</f>
        <v>1</v>
      </c>
    </row>
    <row r="2812" spans="1:16">
      <c r="A2812" s="1">
        <v>44816</v>
      </c>
      <c r="B2812">
        <v>137388</v>
      </c>
      <c r="C2812">
        <v>69360</v>
      </c>
      <c r="D2812">
        <v>68028</v>
      </c>
      <c r="E2812">
        <v>108675563</v>
      </c>
      <c r="F2812">
        <v>95689282</v>
      </c>
      <c r="G2812">
        <v>204364845</v>
      </c>
      <c r="H2812">
        <v>40755</v>
      </c>
      <c r="I2812">
        <v>10249</v>
      </c>
      <c r="J2812">
        <v>51004</v>
      </c>
      <c r="K2812" t="b">
        <f>TrafficData[[#This Row],[disposedChallan]]+TrafficData[[#This Row],[pendingChallan]]=TrafficData[[#This Row],[totalChallan]]</f>
        <v>1</v>
      </c>
      <c r="L2812" t="b">
        <f>TrafficData[[#This Row],[pendingAmount]]+TrafficData[[#This Row],[disposedAmount]]=TrafficData[[#This Row],[totalAmount]]</f>
        <v>1</v>
      </c>
      <c r="M2812" t="b">
        <f>TrafficData[[#This Row],[pendingCourt]]+TrafficData[[#This Row],[disposedCourt]]=TrafficData[[#This Row],[totalCourt]]</f>
        <v>1</v>
      </c>
      <c r="N2812" s="8" t="b">
        <f>AND(TrafficData[[#This Row],[disposedChallan]]&lt;=TrafficData[[#This Row],[totalChallan]],TrafficData[[#This Row],[pendingChallan]]&lt;=TrafficData[[#This Row],[totalChallan]])</f>
        <v>1</v>
      </c>
      <c r="O2812" s="8" t="b">
        <f>AND(TrafficData[[#This Row],[pendingAmount]]&lt;=TrafficData[[#This Row],[totalAmount]],TrafficData[[#This Row],[disposedAmount]]&lt;=TrafficData[[#This Row],[totalAmount]])</f>
        <v>1</v>
      </c>
      <c r="P2812" s="8" t="b">
        <f>AND(TrafficData[[#This Row],[pendingCourt]]&lt;=TrafficData[[#This Row],[totalCourt]],TrafficData[[#This Row],[disposedCourt]]&lt;=TrafficData[[#This Row],[totalCourt]])</f>
        <v>1</v>
      </c>
    </row>
    <row r="2813" spans="1:16">
      <c r="A2813" s="1">
        <v>44817</v>
      </c>
      <c r="B2813">
        <v>148305</v>
      </c>
      <c r="C2813">
        <v>75469</v>
      </c>
      <c r="D2813">
        <v>72836</v>
      </c>
      <c r="E2813">
        <v>257142576</v>
      </c>
      <c r="F2813">
        <v>105850294</v>
      </c>
      <c r="G2813">
        <v>362992870</v>
      </c>
      <c r="H2813">
        <v>42600</v>
      </c>
      <c r="I2813">
        <v>11032</v>
      </c>
      <c r="J2813">
        <v>53632</v>
      </c>
      <c r="K2813" t="b">
        <f>TrafficData[[#This Row],[disposedChallan]]+TrafficData[[#This Row],[pendingChallan]]=TrafficData[[#This Row],[totalChallan]]</f>
        <v>1</v>
      </c>
      <c r="L2813" t="b">
        <f>TrafficData[[#This Row],[pendingAmount]]+TrafficData[[#This Row],[disposedAmount]]=TrafficData[[#This Row],[totalAmount]]</f>
        <v>1</v>
      </c>
      <c r="M2813" t="b">
        <f>TrafficData[[#This Row],[pendingCourt]]+TrafficData[[#This Row],[disposedCourt]]=TrafficData[[#This Row],[totalCourt]]</f>
        <v>1</v>
      </c>
      <c r="N2813" s="8" t="b">
        <f>AND(TrafficData[[#This Row],[disposedChallan]]&lt;=TrafficData[[#This Row],[totalChallan]],TrafficData[[#This Row],[pendingChallan]]&lt;=TrafficData[[#This Row],[totalChallan]])</f>
        <v>1</v>
      </c>
      <c r="O2813" s="8" t="b">
        <f>AND(TrafficData[[#This Row],[pendingAmount]]&lt;=TrafficData[[#This Row],[totalAmount]],TrafficData[[#This Row],[disposedAmount]]&lt;=TrafficData[[#This Row],[totalAmount]])</f>
        <v>1</v>
      </c>
      <c r="P2813" s="8" t="b">
        <f>AND(TrafficData[[#This Row],[pendingCourt]]&lt;=TrafficData[[#This Row],[totalCourt]],TrafficData[[#This Row],[disposedCourt]]&lt;=TrafficData[[#This Row],[totalCourt]])</f>
        <v>1</v>
      </c>
    </row>
    <row r="2814" spans="1:16">
      <c r="A2814" s="1">
        <v>44818</v>
      </c>
      <c r="B2814">
        <v>143871</v>
      </c>
      <c r="C2814">
        <v>74226</v>
      </c>
      <c r="D2814">
        <v>69645</v>
      </c>
      <c r="E2814">
        <v>113659754</v>
      </c>
      <c r="F2814">
        <v>110519016</v>
      </c>
      <c r="G2814">
        <v>224178770</v>
      </c>
      <c r="H2814">
        <v>41348</v>
      </c>
      <c r="I2814">
        <v>10773</v>
      </c>
      <c r="J2814">
        <v>52121</v>
      </c>
      <c r="K2814" t="b">
        <f>TrafficData[[#This Row],[disposedChallan]]+TrafficData[[#This Row],[pendingChallan]]=TrafficData[[#This Row],[totalChallan]]</f>
        <v>1</v>
      </c>
      <c r="L2814" t="b">
        <f>TrafficData[[#This Row],[pendingAmount]]+TrafficData[[#This Row],[disposedAmount]]=TrafficData[[#This Row],[totalAmount]]</f>
        <v>1</v>
      </c>
      <c r="M2814" t="b">
        <f>TrafficData[[#This Row],[pendingCourt]]+TrafficData[[#This Row],[disposedCourt]]=TrafficData[[#This Row],[totalCourt]]</f>
        <v>1</v>
      </c>
      <c r="N2814" s="8" t="b">
        <f>AND(TrafficData[[#This Row],[disposedChallan]]&lt;=TrafficData[[#This Row],[totalChallan]],TrafficData[[#This Row],[pendingChallan]]&lt;=TrafficData[[#This Row],[totalChallan]])</f>
        <v>1</v>
      </c>
      <c r="O2814" s="8" t="b">
        <f>AND(TrafficData[[#This Row],[pendingAmount]]&lt;=TrafficData[[#This Row],[totalAmount]],TrafficData[[#This Row],[disposedAmount]]&lt;=TrafficData[[#This Row],[totalAmount]])</f>
        <v>1</v>
      </c>
      <c r="P2814" s="8" t="b">
        <f>AND(TrafficData[[#This Row],[pendingCourt]]&lt;=TrafficData[[#This Row],[totalCourt]],TrafficData[[#This Row],[disposedCourt]]&lt;=TrafficData[[#This Row],[totalCourt]])</f>
        <v>1</v>
      </c>
    </row>
    <row r="2815" spans="1:16">
      <c r="A2815" s="1">
        <v>44819</v>
      </c>
      <c r="B2815">
        <v>139237</v>
      </c>
      <c r="C2815">
        <v>71582</v>
      </c>
      <c r="D2815">
        <v>67655</v>
      </c>
      <c r="E2815">
        <v>116476879</v>
      </c>
      <c r="F2815">
        <v>109455770</v>
      </c>
      <c r="G2815">
        <v>225932649</v>
      </c>
      <c r="H2815">
        <v>38701</v>
      </c>
      <c r="I2815">
        <v>10332</v>
      </c>
      <c r="J2815">
        <v>49033</v>
      </c>
      <c r="K2815" t="b">
        <f>TrafficData[[#This Row],[disposedChallan]]+TrafficData[[#This Row],[pendingChallan]]=TrafficData[[#This Row],[totalChallan]]</f>
        <v>1</v>
      </c>
      <c r="L2815" t="b">
        <f>TrafficData[[#This Row],[pendingAmount]]+TrafficData[[#This Row],[disposedAmount]]=TrafficData[[#This Row],[totalAmount]]</f>
        <v>1</v>
      </c>
      <c r="M2815" t="b">
        <f>TrafficData[[#This Row],[pendingCourt]]+TrafficData[[#This Row],[disposedCourt]]=TrafficData[[#This Row],[totalCourt]]</f>
        <v>1</v>
      </c>
      <c r="N2815" s="8" t="b">
        <f>AND(TrafficData[[#This Row],[disposedChallan]]&lt;=TrafficData[[#This Row],[totalChallan]],TrafficData[[#This Row],[pendingChallan]]&lt;=TrafficData[[#This Row],[totalChallan]])</f>
        <v>1</v>
      </c>
      <c r="O2815" s="8" t="b">
        <f>AND(TrafficData[[#This Row],[pendingAmount]]&lt;=TrafficData[[#This Row],[totalAmount]],TrafficData[[#This Row],[disposedAmount]]&lt;=TrafficData[[#This Row],[totalAmount]])</f>
        <v>1</v>
      </c>
      <c r="P2815" s="8" t="b">
        <f>AND(TrafficData[[#This Row],[pendingCourt]]&lt;=TrafficData[[#This Row],[totalCourt]],TrafficData[[#This Row],[disposedCourt]]&lt;=TrafficData[[#This Row],[totalCourt]])</f>
        <v>1</v>
      </c>
    </row>
    <row r="2816" spans="1:16">
      <c r="A2816" s="1">
        <v>44820</v>
      </c>
      <c r="B2816">
        <v>143542</v>
      </c>
      <c r="C2816">
        <v>75135</v>
      </c>
      <c r="D2816">
        <v>68407</v>
      </c>
      <c r="E2816">
        <v>107287121</v>
      </c>
      <c r="F2816">
        <v>101705956</v>
      </c>
      <c r="G2816">
        <v>208993077</v>
      </c>
      <c r="H2816">
        <v>37982</v>
      </c>
      <c r="I2816">
        <v>10448</v>
      </c>
      <c r="J2816">
        <v>48430</v>
      </c>
      <c r="K2816" t="b">
        <f>TrafficData[[#This Row],[disposedChallan]]+TrafficData[[#This Row],[pendingChallan]]=TrafficData[[#This Row],[totalChallan]]</f>
        <v>1</v>
      </c>
      <c r="L2816" t="b">
        <f>TrafficData[[#This Row],[pendingAmount]]+TrafficData[[#This Row],[disposedAmount]]=TrafficData[[#This Row],[totalAmount]]</f>
        <v>1</v>
      </c>
      <c r="M2816" t="b">
        <f>TrafficData[[#This Row],[pendingCourt]]+TrafficData[[#This Row],[disposedCourt]]=TrafficData[[#This Row],[totalCourt]]</f>
        <v>1</v>
      </c>
      <c r="N2816" s="8" t="b">
        <f>AND(TrafficData[[#This Row],[disposedChallan]]&lt;=TrafficData[[#This Row],[totalChallan]],TrafficData[[#This Row],[pendingChallan]]&lt;=TrafficData[[#This Row],[totalChallan]])</f>
        <v>1</v>
      </c>
      <c r="O2816" s="8" t="b">
        <f>AND(TrafficData[[#This Row],[pendingAmount]]&lt;=TrafficData[[#This Row],[totalAmount]],TrafficData[[#This Row],[disposedAmount]]&lt;=TrafficData[[#This Row],[totalAmount]])</f>
        <v>1</v>
      </c>
      <c r="P2816" s="8" t="b">
        <f>AND(TrafficData[[#This Row],[pendingCourt]]&lt;=TrafficData[[#This Row],[totalCourt]],TrafficData[[#This Row],[disposedCourt]]&lt;=TrafficData[[#This Row],[totalCourt]])</f>
        <v>1</v>
      </c>
    </row>
    <row r="2817" spans="1:16">
      <c r="A2817" s="1">
        <v>44821</v>
      </c>
      <c r="B2817">
        <v>139143</v>
      </c>
      <c r="C2817">
        <v>71566</v>
      </c>
      <c r="D2817">
        <v>67577</v>
      </c>
      <c r="E2817">
        <v>104896632</v>
      </c>
      <c r="F2817">
        <v>82960468</v>
      </c>
      <c r="G2817">
        <v>187857100</v>
      </c>
      <c r="H2817">
        <v>39543</v>
      </c>
      <c r="I2817">
        <v>11084</v>
      </c>
      <c r="J2817">
        <v>50627</v>
      </c>
      <c r="K2817" t="b">
        <f>TrafficData[[#This Row],[disposedChallan]]+TrafficData[[#This Row],[pendingChallan]]=TrafficData[[#This Row],[totalChallan]]</f>
        <v>1</v>
      </c>
      <c r="L2817" t="b">
        <f>TrafficData[[#This Row],[pendingAmount]]+TrafficData[[#This Row],[disposedAmount]]=TrafficData[[#This Row],[totalAmount]]</f>
        <v>1</v>
      </c>
      <c r="M2817" t="b">
        <f>TrafficData[[#This Row],[pendingCourt]]+TrafficData[[#This Row],[disposedCourt]]=TrafficData[[#This Row],[totalCourt]]</f>
        <v>1</v>
      </c>
      <c r="N2817" s="8" t="b">
        <f>AND(TrafficData[[#This Row],[disposedChallan]]&lt;=TrafficData[[#This Row],[totalChallan]],TrafficData[[#This Row],[pendingChallan]]&lt;=TrafficData[[#This Row],[totalChallan]])</f>
        <v>1</v>
      </c>
      <c r="O2817" s="8" t="b">
        <f>AND(TrafficData[[#This Row],[pendingAmount]]&lt;=TrafficData[[#This Row],[totalAmount]],TrafficData[[#This Row],[disposedAmount]]&lt;=TrafficData[[#This Row],[totalAmount]])</f>
        <v>1</v>
      </c>
      <c r="P2817" s="8" t="b">
        <f>AND(TrafficData[[#This Row],[pendingCourt]]&lt;=TrafficData[[#This Row],[totalCourt]],TrafficData[[#This Row],[disposedCourt]]&lt;=TrafficData[[#This Row],[totalCourt]])</f>
        <v>1</v>
      </c>
    </row>
    <row r="2818" spans="1:16">
      <c r="A2818" s="1">
        <v>44822</v>
      </c>
      <c r="B2818">
        <v>137088</v>
      </c>
      <c r="C2818">
        <v>65054</v>
      </c>
      <c r="D2818">
        <v>72034</v>
      </c>
      <c r="E2818">
        <v>87819106</v>
      </c>
      <c r="F2818">
        <v>67509522</v>
      </c>
      <c r="G2818">
        <v>155328628</v>
      </c>
      <c r="H2818">
        <v>38946</v>
      </c>
      <c r="I2818">
        <v>9823</v>
      </c>
      <c r="J2818">
        <v>48769</v>
      </c>
      <c r="K2818" t="b">
        <f>TrafficData[[#This Row],[disposedChallan]]+TrafficData[[#This Row],[pendingChallan]]=TrafficData[[#This Row],[totalChallan]]</f>
        <v>1</v>
      </c>
      <c r="L2818" t="b">
        <f>TrafficData[[#This Row],[pendingAmount]]+TrafficData[[#This Row],[disposedAmount]]=TrafficData[[#This Row],[totalAmount]]</f>
        <v>1</v>
      </c>
      <c r="M2818" t="b">
        <f>TrafficData[[#This Row],[pendingCourt]]+TrafficData[[#This Row],[disposedCourt]]=TrafficData[[#This Row],[totalCourt]]</f>
        <v>1</v>
      </c>
      <c r="N2818" s="8" t="b">
        <f>AND(TrafficData[[#This Row],[disposedChallan]]&lt;=TrafficData[[#This Row],[totalChallan]],TrafficData[[#This Row],[pendingChallan]]&lt;=TrafficData[[#This Row],[totalChallan]])</f>
        <v>1</v>
      </c>
      <c r="O2818" s="8" t="b">
        <f>AND(TrafficData[[#This Row],[pendingAmount]]&lt;=TrafficData[[#This Row],[totalAmount]],TrafficData[[#This Row],[disposedAmount]]&lt;=TrafficData[[#This Row],[totalAmount]])</f>
        <v>1</v>
      </c>
      <c r="P2818" s="8" t="b">
        <f>AND(TrafficData[[#This Row],[pendingCourt]]&lt;=TrafficData[[#This Row],[totalCourt]],TrafficData[[#This Row],[disposedCourt]]&lt;=TrafficData[[#This Row],[totalCourt]])</f>
        <v>1</v>
      </c>
    </row>
    <row r="2819" spans="1:16">
      <c r="A2819" s="1">
        <v>44823</v>
      </c>
      <c r="B2819">
        <v>154703</v>
      </c>
      <c r="C2819">
        <v>76747</v>
      </c>
      <c r="D2819">
        <v>77956</v>
      </c>
      <c r="E2819">
        <v>118723353</v>
      </c>
      <c r="F2819">
        <v>97897534</v>
      </c>
      <c r="G2819">
        <v>216620887</v>
      </c>
      <c r="H2819">
        <v>43575</v>
      </c>
      <c r="I2819">
        <v>11344</v>
      </c>
      <c r="J2819">
        <v>54919</v>
      </c>
      <c r="K2819" t="b">
        <f>TrafficData[[#This Row],[disposedChallan]]+TrafficData[[#This Row],[pendingChallan]]=TrafficData[[#This Row],[totalChallan]]</f>
        <v>1</v>
      </c>
      <c r="L2819" t="b">
        <f>TrafficData[[#This Row],[pendingAmount]]+TrafficData[[#This Row],[disposedAmount]]=TrafficData[[#This Row],[totalAmount]]</f>
        <v>1</v>
      </c>
      <c r="M2819" t="b">
        <f>TrafficData[[#This Row],[pendingCourt]]+TrafficData[[#This Row],[disposedCourt]]=TrafficData[[#This Row],[totalCourt]]</f>
        <v>1</v>
      </c>
      <c r="N2819" s="8" t="b">
        <f>AND(TrafficData[[#This Row],[disposedChallan]]&lt;=TrafficData[[#This Row],[totalChallan]],TrafficData[[#This Row],[pendingChallan]]&lt;=TrafficData[[#This Row],[totalChallan]])</f>
        <v>1</v>
      </c>
      <c r="O2819" s="8" t="b">
        <f>AND(TrafficData[[#This Row],[pendingAmount]]&lt;=TrafficData[[#This Row],[totalAmount]],TrafficData[[#This Row],[disposedAmount]]&lt;=TrafficData[[#This Row],[totalAmount]])</f>
        <v>1</v>
      </c>
      <c r="P2819" s="8" t="b">
        <f>AND(TrafficData[[#This Row],[pendingCourt]]&lt;=TrafficData[[#This Row],[totalCourt]],TrafficData[[#This Row],[disposedCourt]]&lt;=TrafficData[[#This Row],[totalCourt]])</f>
        <v>1</v>
      </c>
    </row>
    <row r="2820" spans="1:16">
      <c r="A2820" s="1">
        <v>44824</v>
      </c>
      <c r="B2820">
        <v>154714</v>
      </c>
      <c r="C2820">
        <v>78896</v>
      </c>
      <c r="D2820">
        <v>75818</v>
      </c>
      <c r="E2820">
        <v>112643937</v>
      </c>
      <c r="F2820">
        <v>111398181</v>
      </c>
      <c r="G2820">
        <v>224042118</v>
      </c>
      <c r="H2820">
        <v>39981</v>
      </c>
      <c r="I2820">
        <v>10909</v>
      </c>
      <c r="J2820">
        <v>50890</v>
      </c>
      <c r="K2820" t="b">
        <f>TrafficData[[#This Row],[disposedChallan]]+TrafficData[[#This Row],[pendingChallan]]=TrafficData[[#This Row],[totalChallan]]</f>
        <v>1</v>
      </c>
      <c r="L2820" t="b">
        <f>TrafficData[[#This Row],[pendingAmount]]+TrafficData[[#This Row],[disposedAmount]]=TrafficData[[#This Row],[totalAmount]]</f>
        <v>1</v>
      </c>
      <c r="M2820" t="b">
        <f>TrafficData[[#This Row],[pendingCourt]]+TrafficData[[#This Row],[disposedCourt]]=TrafficData[[#This Row],[totalCourt]]</f>
        <v>1</v>
      </c>
      <c r="N2820" s="8" t="b">
        <f>AND(TrafficData[[#This Row],[disposedChallan]]&lt;=TrafficData[[#This Row],[totalChallan]],TrafficData[[#This Row],[pendingChallan]]&lt;=TrafficData[[#This Row],[totalChallan]])</f>
        <v>1</v>
      </c>
      <c r="O2820" s="8" t="b">
        <f>AND(TrafficData[[#This Row],[pendingAmount]]&lt;=TrafficData[[#This Row],[totalAmount]],TrafficData[[#This Row],[disposedAmount]]&lt;=TrafficData[[#This Row],[totalAmount]])</f>
        <v>1</v>
      </c>
      <c r="P2820" s="8" t="b">
        <f>AND(TrafficData[[#This Row],[pendingCourt]]&lt;=TrafficData[[#This Row],[totalCourt]],TrafficData[[#This Row],[disposedCourt]]&lt;=TrafficData[[#This Row],[totalCourt]])</f>
        <v>1</v>
      </c>
    </row>
    <row r="2821" spans="1:16">
      <c r="A2821" s="1">
        <v>44825</v>
      </c>
      <c r="B2821">
        <v>143152</v>
      </c>
      <c r="C2821">
        <v>74153</v>
      </c>
      <c r="D2821">
        <v>68999</v>
      </c>
      <c r="E2821">
        <v>104842299</v>
      </c>
      <c r="F2821">
        <v>106805469</v>
      </c>
      <c r="G2821">
        <v>211647768</v>
      </c>
      <c r="H2821">
        <v>38828</v>
      </c>
      <c r="I2821">
        <v>10036</v>
      </c>
      <c r="J2821">
        <v>48864</v>
      </c>
      <c r="K2821" t="b">
        <f>TrafficData[[#This Row],[disposedChallan]]+TrafficData[[#This Row],[pendingChallan]]=TrafficData[[#This Row],[totalChallan]]</f>
        <v>1</v>
      </c>
      <c r="L2821" t="b">
        <f>TrafficData[[#This Row],[pendingAmount]]+TrafficData[[#This Row],[disposedAmount]]=TrafficData[[#This Row],[totalAmount]]</f>
        <v>1</v>
      </c>
      <c r="M2821" t="b">
        <f>TrafficData[[#This Row],[pendingCourt]]+TrafficData[[#This Row],[disposedCourt]]=TrafficData[[#This Row],[totalCourt]]</f>
        <v>1</v>
      </c>
      <c r="N2821" s="8" t="b">
        <f>AND(TrafficData[[#This Row],[disposedChallan]]&lt;=TrafficData[[#This Row],[totalChallan]],TrafficData[[#This Row],[pendingChallan]]&lt;=TrafficData[[#This Row],[totalChallan]])</f>
        <v>1</v>
      </c>
      <c r="O2821" s="8" t="b">
        <f>AND(TrafficData[[#This Row],[pendingAmount]]&lt;=TrafficData[[#This Row],[totalAmount]],TrafficData[[#This Row],[disposedAmount]]&lt;=TrafficData[[#This Row],[totalAmount]])</f>
        <v>1</v>
      </c>
      <c r="P2821" s="8" t="b">
        <f>AND(TrafficData[[#This Row],[pendingCourt]]&lt;=TrafficData[[#This Row],[totalCourt]],TrafficData[[#This Row],[disposedCourt]]&lt;=TrafficData[[#This Row],[totalCourt]])</f>
        <v>1</v>
      </c>
    </row>
    <row r="2822" spans="1:16">
      <c r="A2822" s="1">
        <v>44826</v>
      </c>
      <c r="B2822">
        <v>141763</v>
      </c>
      <c r="C2822">
        <v>74145</v>
      </c>
      <c r="D2822">
        <v>67618</v>
      </c>
      <c r="E2822">
        <v>107290609</v>
      </c>
      <c r="F2822">
        <v>101815499</v>
      </c>
      <c r="G2822">
        <v>209106108</v>
      </c>
      <c r="H2822">
        <v>37186</v>
      </c>
      <c r="I2822">
        <v>9823</v>
      </c>
      <c r="J2822">
        <v>47009</v>
      </c>
      <c r="K2822" t="b">
        <f>TrafficData[[#This Row],[disposedChallan]]+TrafficData[[#This Row],[pendingChallan]]=TrafficData[[#This Row],[totalChallan]]</f>
        <v>1</v>
      </c>
      <c r="L2822" t="b">
        <f>TrafficData[[#This Row],[pendingAmount]]+TrafficData[[#This Row],[disposedAmount]]=TrafficData[[#This Row],[totalAmount]]</f>
        <v>1</v>
      </c>
      <c r="M2822" t="b">
        <f>TrafficData[[#This Row],[pendingCourt]]+TrafficData[[#This Row],[disposedCourt]]=TrafficData[[#This Row],[totalCourt]]</f>
        <v>1</v>
      </c>
      <c r="N2822" s="8" t="b">
        <f>AND(TrafficData[[#This Row],[disposedChallan]]&lt;=TrafficData[[#This Row],[totalChallan]],TrafficData[[#This Row],[pendingChallan]]&lt;=TrafficData[[#This Row],[totalChallan]])</f>
        <v>1</v>
      </c>
      <c r="O2822" s="8" t="b">
        <f>AND(TrafficData[[#This Row],[pendingAmount]]&lt;=TrafficData[[#This Row],[totalAmount]],TrafficData[[#This Row],[disposedAmount]]&lt;=TrafficData[[#This Row],[totalAmount]])</f>
        <v>1</v>
      </c>
      <c r="P2822" s="8" t="b">
        <f>AND(TrafficData[[#This Row],[pendingCourt]]&lt;=TrafficData[[#This Row],[totalCourt]],TrafficData[[#This Row],[disposedCourt]]&lt;=TrafficData[[#This Row],[totalCourt]])</f>
        <v>1</v>
      </c>
    </row>
    <row r="2823" spans="1:16">
      <c r="A2823" s="1">
        <v>44827</v>
      </c>
      <c r="B2823">
        <v>127110</v>
      </c>
      <c r="C2823">
        <v>61084</v>
      </c>
      <c r="D2823">
        <v>66026</v>
      </c>
      <c r="E2823">
        <v>91573502</v>
      </c>
      <c r="F2823">
        <v>93067235</v>
      </c>
      <c r="G2823">
        <v>184640737</v>
      </c>
      <c r="H2823">
        <v>33632</v>
      </c>
      <c r="I2823">
        <v>8747</v>
      </c>
      <c r="J2823">
        <v>42379</v>
      </c>
      <c r="K2823" t="b">
        <f>TrafficData[[#This Row],[disposedChallan]]+TrafficData[[#This Row],[pendingChallan]]=TrafficData[[#This Row],[totalChallan]]</f>
        <v>1</v>
      </c>
      <c r="L2823" t="b">
        <f>TrafficData[[#This Row],[pendingAmount]]+TrafficData[[#This Row],[disposedAmount]]=TrafficData[[#This Row],[totalAmount]]</f>
        <v>1</v>
      </c>
      <c r="M2823" t="b">
        <f>TrafficData[[#This Row],[pendingCourt]]+TrafficData[[#This Row],[disposedCourt]]=TrafficData[[#This Row],[totalCourt]]</f>
        <v>1</v>
      </c>
      <c r="N2823" s="8" t="b">
        <f>AND(TrafficData[[#This Row],[disposedChallan]]&lt;=TrafficData[[#This Row],[totalChallan]],TrafficData[[#This Row],[pendingChallan]]&lt;=TrafficData[[#This Row],[totalChallan]])</f>
        <v>1</v>
      </c>
      <c r="O2823" s="8" t="b">
        <f>AND(TrafficData[[#This Row],[pendingAmount]]&lt;=TrafficData[[#This Row],[totalAmount]],TrafficData[[#This Row],[disposedAmount]]&lt;=TrafficData[[#This Row],[totalAmount]])</f>
        <v>1</v>
      </c>
      <c r="P2823" s="8" t="b">
        <f>AND(TrafficData[[#This Row],[pendingCourt]]&lt;=TrafficData[[#This Row],[totalCourt]],TrafficData[[#This Row],[disposedCourt]]&lt;=TrafficData[[#This Row],[totalCourt]])</f>
        <v>1</v>
      </c>
    </row>
    <row r="2824" spans="1:16">
      <c r="A2824" s="1">
        <v>44828</v>
      </c>
      <c r="B2824">
        <v>142031</v>
      </c>
      <c r="C2824">
        <v>73001</v>
      </c>
      <c r="D2824">
        <v>69030</v>
      </c>
      <c r="E2824">
        <v>86937441</v>
      </c>
      <c r="F2824">
        <v>84890922</v>
      </c>
      <c r="G2824">
        <v>171828363</v>
      </c>
      <c r="H2824">
        <v>34500</v>
      </c>
      <c r="I2824">
        <v>9241</v>
      </c>
      <c r="J2824">
        <v>43741</v>
      </c>
      <c r="K2824" t="b">
        <f>TrafficData[[#This Row],[disposedChallan]]+TrafficData[[#This Row],[pendingChallan]]=TrafficData[[#This Row],[totalChallan]]</f>
        <v>1</v>
      </c>
      <c r="L2824" t="b">
        <f>TrafficData[[#This Row],[pendingAmount]]+TrafficData[[#This Row],[disposedAmount]]=TrafficData[[#This Row],[totalAmount]]</f>
        <v>1</v>
      </c>
      <c r="M2824" t="b">
        <f>TrafficData[[#This Row],[pendingCourt]]+TrafficData[[#This Row],[disposedCourt]]=TrafficData[[#This Row],[totalCourt]]</f>
        <v>1</v>
      </c>
      <c r="N2824" s="8" t="b">
        <f>AND(TrafficData[[#This Row],[disposedChallan]]&lt;=TrafficData[[#This Row],[totalChallan]],TrafficData[[#This Row],[pendingChallan]]&lt;=TrafficData[[#This Row],[totalChallan]])</f>
        <v>1</v>
      </c>
      <c r="O2824" s="8" t="b">
        <f>AND(TrafficData[[#This Row],[pendingAmount]]&lt;=TrafficData[[#This Row],[totalAmount]],TrafficData[[#This Row],[disposedAmount]]&lt;=TrafficData[[#This Row],[totalAmount]])</f>
        <v>1</v>
      </c>
      <c r="P2824" s="8" t="b">
        <f>AND(TrafficData[[#This Row],[pendingCourt]]&lt;=TrafficData[[#This Row],[totalCourt]],TrafficData[[#This Row],[disposedCourt]]&lt;=TrafficData[[#This Row],[totalCourt]])</f>
        <v>1</v>
      </c>
    </row>
    <row r="2825" spans="1:16">
      <c r="A2825" s="1">
        <v>44829</v>
      </c>
      <c r="B2825">
        <v>126662</v>
      </c>
      <c r="C2825">
        <v>60543</v>
      </c>
      <c r="D2825">
        <v>66119</v>
      </c>
      <c r="E2825">
        <v>92633271</v>
      </c>
      <c r="F2825">
        <v>63420163</v>
      </c>
      <c r="G2825">
        <v>156053434</v>
      </c>
      <c r="H2825">
        <v>34079</v>
      </c>
      <c r="I2825">
        <v>9005</v>
      </c>
      <c r="J2825">
        <v>43084</v>
      </c>
      <c r="K2825" t="b">
        <f>TrafficData[[#This Row],[disposedChallan]]+TrafficData[[#This Row],[pendingChallan]]=TrafficData[[#This Row],[totalChallan]]</f>
        <v>1</v>
      </c>
      <c r="L2825" t="b">
        <f>TrafficData[[#This Row],[pendingAmount]]+TrafficData[[#This Row],[disposedAmount]]=TrafficData[[#This Row],[totalAmount]]</f>
        <v>1</v>
      </c>
      <c r="M2825" t="b">
        <f>TrafficData[[#This Row],[pendingCourt]]+TrafficData[[#This Row],[disposedCourt]]=TrafficData[[#This Row],[totalCourt]]</f>
        <v>1</v>
      </c>
      <c r="N2825" s="8" t="b">
        <f>AND(TrafficData[[#This Row],[disposedChallan]]&lt;=TrafficData[[#This Row],[totalChallan]],TrafficData[[#This Row],[pendingChallan]]&lt;=TrafficData[[#This Row],[totalChallan]])</f>
        <v>1</v>
      </c>
      <c r="O2825" s="8" t="b">
        <f>AND(TrafficData[[#This Row],[pendingAmount]]&lt;=TrafficData[[#This Row],[totalAmount]],TrafficData[[#This Row],[disposedAmount]]&lt;=TrafficData[[#This Row],[totalAmount]])</f>
        <v>1</v>
      </c>
      <c r="P2825" s="8" t="b">
        <f>AND(TrafficData[[#This Row],[pendingCourt]]&lt;=TrafficData[[#This Row],[totalCourt]],TrafficData[[#This Row],[disposedCourt]]&lt;=TrafficData[[#This Row],[totalCourt]])</f>
        <v>1</v>
      </c>
    </row>
    <row r="2826" spans="1:16">
      <c r="A2826" s="1">
        <v>44830</v>
      </c>
      <c r="B2826">
        <v>145347</v>
      </c>
      <c r="C2826">
        <v>71766</v>
      </c>
      <c r="D2826">
        <v>73581</v>
      </c>
      <c r="E2826">
        <v>108822478</v>
      </c>
      <c r="F2826">
        <v>82740899</v>
      </c>
      <c r="G2826">
        <v>191563377</v>
      </c>
      <c r="H2826">
        <v>39471</v>
      </c>
      <c r="I2826">
        <v>10812</v>
      </c>
      <c r="J2826">
        <v>50283</v>
      </c>
      <c r="K2826" t="b">
        <f>TrafficData[[#This Row],[disposedChallan]]+TrafficData[[#This Row],[pendingChallan]]=TrafficData[[#This Row],[totalChallan]]</f>
        <v>1</v>
      </c>
      <c r="L2826" t="b">
        <f>TrafficData[[#This Row],[pendingAmount]]+TrafficData[[#This Row],[disposedAmount]]=TrafficData[[#This Row],[totalAmount]]</f>
        <v>1</v>
      </c>
      <c r="M2826" t="b">
        <f>TrafficData[[#This Row],[pendingCourt]]+TrafficData[[#This Row],[disposedCourt]]=TrafficData[[#This Row],[totalCourt]]</f>
        <v>1</v>
      </c>
      <c r="N2826" s="8" t="b">
        <f>AND(TrafficData[[#This Row],[disposedChallan]]&lt;=TrafficData[[#This Row],[totalChallan]],TrafficData[[#This Row],[pendingChallan]]&lt;=TrafficData[[#This Row],[totalChallan]])</f>
        <v>1</v>
      </c>
      <c r="O2826" s="8" t="b">
        <f>AND(TrafficData[[#This Row],[pendingAmount]]&lt;=TrafficData[[#This Row],[totalAmount]],TrafficData[[#This Row],[disposedAmount]]&lt;=TrafficData[[#This Row],[totalAmount]])</f>
        <v>1</v>
      </c>
      <c r="P2826" s="8" t="b">
        <f>AND(TrafficData[[#This Row],[pendingCourt]]&lt;=TrafficData[[#This Row],[totalCourt]],TrafficData[[#This Row],[disposedCourt]]&lt;=TrafficData[[#This Row],[totalCourt]])</f>
        <v>1</v>
      </c>
    </row>
    <row r="2827" spans="1:16">
      <c r="A2827" s="1">
        <v>44831</v>
      </c>
      <c r="B2827">
        <v>148904</v>
      </c>
      <c r="C2827">
        <v>73743</v>
      </c>
      <c r="D2827">
        <v>75161</v>
      </c>
      <c r="E2827">
        <v>114242221</v>
      </c>
      <c r="F2827">
        <v>99049980</v>
      </c>
      <c r="G2827">
        <v>213292201</v>
      </c>
      <c r="H2827">
        <v>41019</v>
      </c>
      <c r="I2827">
        <v>10618</v>
      </c>
      <c r="J2827">
        <v>51637</v>
      </c>
      <c r="K2827" t="b">
        <f>TrafficData[[#This Row],[disposedChallan]]+TrafficData[[#This Row],[pendingChallan]]=TrafficData[[#This Row],[totalChallan]]</f>
        <v>1</v>
      </c>
      <c r="L2827" t="b">
        <f>TrafficData[[#This Row],[pendingAmount]]+TrafficData[[#This Row],[disposedAmount]]=TrafficData[[#This Row],[totalAmount]]</f>
        <v>1</v>
      </c>
      <c r="M2827" t="b">
        <f>TrafficData[[#This Row],[pendingCourt]]+TrafficData[[#This Row],[disposedCourt]]=TrafficData[[#This Row],[totalCourt]]</f>
        <v>1</v>
      </c>
      <c r="N2827" s="8" t="b">
        <f>AND(TrafficData[[#This Row],[disposedChallan]]&lt;=TrafficData[[#This Row],[totalChallan]],TrafficData[[#This Row],[pendingChallan]]&lt;=TrafficData[[#This Row],[totalChallan]])</f>
        <v>1</v>
      </c>
      <c r="O2827" s="8" t="b">
        <f>AND(TrafficData[[#This Row],[pendingAmount]]&lt;=TrafficData[[#This Row],[totalAmount]],TrafficData[[#This Row],[disposedAmount]]&lt;=TrafficData[[#This Row],[totalAmount]])</f>
        <v>1</v>
      </c>
      <c r="P2827" s="8" t="b">
        <f>AND(TrafficData[[#This Row],[pendingCourt]]&lt;=TrafficData[[#This Row],[totalCourt]],TrafficData[[#This Row],[disposedCourt]]&lt;=TrafficData[[#This Row],[totalCourt]])</f>
        <v>1</v>
      </c>
    </row>
    <row r="2828" spans="1:16">
      <c r="A2828" s="1">
        <v>44832</v>
      </c>
      <c r="B2828">
        <v>151233</v>
      </c>
      <c r="C2828">
        <v>74865</v>
      </c>
      <c r="D2828">
        <v>76368</v>
      </c>
      <c r="E2828">
        <v>115221275</v>
      </c>
      <c r="F2828">
        <v>102175069</v>
      </c>
      <c r="G2828">
        <v>217396344</v>
      </c>
      <c r="H2828">
        <v>42650</v>
      </c>
      <c r="I2828">
        <v>10793</v>
      </c>
      <c r="J2828">
        <v>53443</v>
      </c>
      <c r="K2828" t="b">
        <f>TrafficData[[#This Row],[disposedChallan]]+TrafficData[[#This Row],[pendingChallan]]=TrafficData[[#This Row],[totalChallan]]</f>
        <v>1</v>
      </c>
      <c r="L2828" t="b">
        <f>TrafficData[[#This Row],[pendingAmount]]+TrafficData[[#This Row],[disposedAmount]]=TrafficData[[#This Row],[totalAmount]]</f>
        <v>1</v>
      </c>
      <c r="M2828" t="b">
        <f>TrafficData[[#This Row],[pendingCourt]]+TrafficData[[#This Row],[disposedCourt]]=TrafficData[[#This Row],[totalCourt]]</f>
        <v>1</v>
      </c>
      <c r="N2828" s="8" t="b">
        <f>AND(TrafficData[[#This Row],[disposedChallan]]&lt;=TrafficData[[#This Row],[totalChallan]],TrafficData[[#This Row],[pendingChallan]]&lt;=TrafficData[[#This Row],[totalChallan]])</f>
        <v>1</v>
      </c>
      <c r="O2828" s="8" t="b">
        <f>AND(TrafficData[[#This Row],[pendingAmount]]&lt;=TrafficData[[#This Row],[totalAmount]],TrafficData[[#This Row],[disposedAmount]]&lt;=TrafficData[[#This Row],[totalAmount]])</f>
        <v>1</v>
      </c>
      <c r="P2828" s="8" t="b">
        <f>AND(TrafficData[[#This Row],[pendingCourt]]&lt;=TrafficData[[#This Row],[totalCourt]],TrafficData[[#This Row],[disposedCourt]]&lt;=TrafficData[[#This Row],[totalCourt]])</f>
        <v>1</v>
      </c>
    </row>
    <row r="2829" spans="1:16">
      <c r="A2829" s="1">
        <v>44833</v>
      </c>
      <c r="B2829">
        <v>153425</v>
      </c>
      <c r="C2829">
        <v>75960</v>
      </c>
      <c r="D2829">
        <v>77465</v>
      </c>
      <c r="E2829">
        <v>110445958</v>
      </c>
      <c r="F2829">
        <v>92974831</v>
      </c>
      <c r="G2829">
        <v>203420789</v>
      </c>
      <c r="H2829">
        <v>43024</v>
      </c>
      <c r="I2829">
        <v>11091</v>
      </c>
      <c r="J2829">
        <v>54115</v>
      </c>
      <c r="K2829" t="b">
        <f>TrafficData[[#This Row],[disposedChallan]]+TrafficData[[#This Row],[pendingChallan]]=TrafficData[[#This Row],[totalChallan]]</f>
        <v>1</v>
      </c>
      <c r="L2829" t="b">
        <f>TrafficData[[#This Row],[pendingAmount]]+TrafficData[[#This Row],[disposedAmount]]=TrafficData[[#This Row],[totalAmount]]</f>
        <v>1</v>
      </c>
      <c r="M2829" t="b">
        <f>TrafficData[[#This Row],[pendingCourt]]+TrafficData[[#This Row],[disposedCourt]]=TrafficData[[#This Row],[totalCourt]]</f>
        <v>1</v>
      </c>
      <c r="N2829" s="8" t="b">
        <f>AND(TrafficData[[#This Row],[disposedChallan]]&lt;=TrafficData[[#This Row],[totalChallan]],TrafficData[[#This Row],[pendingChallan]]&lt;=TrafficData[[#This Row],[totalChallan]])</f>
        <v>1</v>
      </c>
      <c r="O2829" s="8" t="b">
        <f>AND(TrafficData[[#This Row],[pendingAmount]]&lt;=TrafficData[[#This Row],[totalAmount]],TrafficData[[#This Row],[disposedAmount]]&lt;=TrafficData[[#This Row],[totalAmount]])</f>
        <v>1</v>
      </c>
      <c r="P2829" s="8" t="b">
        <f>AND(TrafficData[[#This Row],[pendingCourt]]&lt;=TrafficData[[#This Row],[totalCourt]],TrafficData[[#This Row],[disposedCourt]]&lt;=TrafficData[[#This Row],[totalCourt]])</f>
        <v>1</v>
      </c>
    </row>
    <row r="2830" spans="1:16">
      <c r="A2830" s="1">
        <v>44834</v>
      </c>
      <c r="B2830">
        <v>146840</v>
      </c>
      <c r="C2830">
        <v>72298</v>
      </c>
      <c r="D2830">
        <v>74542</v>
      </c>
      <c r="E2830">
        <v>110272060</v>
      </c>
      <c r="F2830">
        <v>82802032</v>
      </c>
      <c r="G2830">
        <v>193074092</v>
      </c>
      <c r="H2830">
        <v>42671</v>
      </c>
      <c r="I2830">
        <v>10983</v>
      </c>
      <c r="J2830">
        <v>53654</v>
      </c>
      <c r="K2830" t="b">
        <f>TrafficData[[#This Row],[disposedChallan]]+TrafficData[[#This Row],[pendingChallan]]=TrafficData[[#This Row],[totalChallan]]</f>
        <v>1</v>
      </c>
      <c r="L2830" t="b">
        <f>TrafficData[[#This Row],[pendingAmount]]+TrafficData[[#This Row],[disposedAmount]]=TrafficData[[#This Row],[totalAmount]]</f>
        <v>1</v>
      </c>
      <c r="M2830" t="b">
        <f>TrafficData[[#This Row],[pendingCourt]]+TrafficData[[#This Row],[disposedCourt]]=TrafficData[[#This Row],[totalCourt]]</f>
        <v>1</v>
      </c>
      <c r="N2830" s="8" t="b">
        <f>AND(TrafficData[[#This Row],[disposedChallan]]&lt;=TrafficData[[#This Row],[totalChallan]],TrafficData[[#This Row],[pendingChallan]]&lt;=TrafficData[[#This Row],[totalChallan]])</f>
        <v>1</v>
      </c>
      <c r="O2830" s="8" t="b">
        <f>AND(TrafficData[[#This Row],[pendingAmount]]&lt;=TrafficData[[#This Row],[totalAmount]],TrafficData[[#This Row],[disposedAmount]]&lt;=TrafficData[[#This Row],[totalAmount]])</f>
        <v>1</v>
      </c>
      <c r="P2830" s="8" t="b">
        <f>AND(TrafficData[[#This Row],[pendingCourt]]&lt;=TrafficData[[#This Row],[totalCourt]],TrafficData[[#This Row],[disposedCourt]]&lt;=TrafficData[[#This Row],[totalCourt]])</f>
        <v>1</v>
      </c>
    </row>
    <row r="2831" spans="1:16">
      <c r="A2831" s="1">
        <v>44835</v>
      </c>
      <c r="B2831">
        <v>149022</v>
      </c>
      <c r="C2831">
        <v>78376</v>
      </c>
      <c r="D2831">
        <v>70646</v>
      </c>
      <c r="E2831">
        <v>101669332</v>
      </c>
      <c r="F2831">
        <v>104598815</v>
      </c>
      <c r="G2831">
        <v>206268147</v>
      </c>
      <c r="H2831">
        <v>39290</v>
      </c>
      <c r="I2831">
        <v>10408</v>
      </c>
      <c r="J2831">
        <v>49698</v>
      </c>
      <c r="K2831" t="b">
        <f>TrafficData[[#This Row],[disposedChallan]]+TrafficData[[#This Row],[pendingChallan]]=TrafficData[[#This Row],[totalChallan]]</f>
        <v>1</v>
      </c>
      <c r="L2831" t="b">
        <f>TrafficData[[#This Row],[pendingAmount]]+TrafficData[[#This Row],[disposedAmount]]=TrafficData[[#This Row],[totalAmount]]</f>
        <v>1</v>
      </c>
      <c r="M2831" t="b">
        <f>TrafficData[[#This Row],[pendingCourt]]+TrafficData[[#This Row],[disposedCourt]]=TrafficData[[#This Row],[totalCourt]]</f>
        <v>1</v>
      </c>
      <c r="N2831" s="8" t="b">
        <f>AND(TrafficData[[#This Row],[disposedChallan]]&lt;=TrafficData[[#This Row],[totalChallan]],TrafficData[[#This Row],[pendingChallan]]&lt;=TrafficData[[#This Row],[totalChallan]])</f>
        <v>1</v>
      </c>
      <c r="O2831" s="8" t="b">
        <f>AND(TrafficData[[#This Row],[pendingAmount]]&lt;=TrafficData[[#This Row],[totalAmount]],TrafficData[[#This Row],[disposedAmount]]&lt;=TrafficData[[#This Row],[totalAmount]])</f>
        <v>1</v>
      </c>
      <c r="P2831" s="8" t="b">
        <f>AND(TrafficData[[#This Row],[pendingCourt]]&lt;=TrafficData[[#This Row],[totalCourt]],TrafficData[[#This Row],[disposedCourt]]&lt;=TrafficData[[#This Row],[totalCourt]])</f>
        <v>1</v>
      </c>
    </row>
    <row r="2832" spans="1:16">
      <c r="A2832" s="1">
        <v>44836</v>
      </c>
      <c r="B2832">
        <v>138587</v>
      </c>
      <c r="C2832">
        <v>67639</v>
      </c>
      <c r="D2832">
        <v>70948</v>
      </c>
      <c r="E2832">
        <v>94833283</v>
      </c>
      <c r="F2832">
        <v>80473605</v>
      </c>
      <c r="G2832">
        <v>175306888</v>
      </c>
      <c r="H2832">
        <v>42488</v>
      </c>
      <c r="I2832">
        <v>10823</v>
      </c>
      <c r="J2832">
        <v>53311</v>
      </c>
      <c r="K2832" t="b">
        <f>TrafficData[[#This Row],[disposedChallan]]+TrafficData[[#This Row],[pendingChallan]]=TrafficData[[#This Row],[totalChallan]]</f>
        <v>1</v>
      </c>
      <c r="L2832" t="b">
        <f>TrafficData[[#This Row],[pendingAmount]]+TrafficData[[#This Row],[disposedAmount]]=TrafficData[[#This Row],[totalAmount]]</f>
        <v>1</v>
      </c>
      <c r="M2832" t="b">
        <f>TrafficData[[#This Row],[pendingCourt]]+TrafficData[[#This Row],[disposedCourt]]=TrafficData[[#This Row],[totalCourt]]</f>
        <v>1</v>
      </c>
      <c r="N2832" s="8" t="b">
        <f>AND(TrafficData[[#This Row],[disposedChallan]]&lt;=TrafficData[[#This Row],[totalChallan]],TrafficData[[#This Row],[pendingChallan]]&lt;=TrafficData[[#This Row],[totalChallan]])</f>
        <v>1</v>
      </c>
      <c r="O2832" s="8" t="b">
        <f>AND(TrafficData[[#This Row],[pendingAmount]]&lt;=TrafficData[[#This Row],[totalAmount]],TrafficData[[#This Row],[disposedAmount]]&lt;=TrafficData[[#This Row],[totalAmount]])</f>
        <v>1</v>
      </c>
      <c r="P2832" s="8" t="b">
        <f>AND(TrafficData[[#This Row],[pendingCourt]]&lt;=TrafficData[[#This Row],[totalCourt]],TrafficData[[#This Row],[disposedCourt]]&lt;=TrafficData[[#This Row],[totalCourt]])</f>
        <v>1</v>
      </c>
    </row>
    <row r="2833" spans="1:16">
      <c r="A2833" s="1">
        <v>44837</v>
      </c>
      <c r="B2833">
        <v>144515</v>
      </c>
      <c r="C2833">
        <v>73691</v>
      </c>
      <c r="D2833">
        <v>70824</v>
      </c>
      <c r="E2833">
        <v>104925429</v>
      </c>
      <c r="F2833">
        <v>95072862</v>
      </c>
      <c r="G2833">
        <v>199998291</v>
      </c>
      <c r="H2833">
        <v>43648</v>
      </c>
      <c r="I2833">
        <v>11621</v>
      </c>
      <c r="J2833">
        <v>55269</v>
      </c>
      <c r="K2833" t="b">
        <f>TrafficData[[#This Row],[disposedChallan]]+TrafficData[[#This Row],[pendingChallan]]=TrafficData[[#This Row],[totalChallan]]</f>
        <v>1</v>
      </c>
      <c r="L2833" t="b">
        <f>TrafficData[[#This Row],[pendingAmount]]+TrafficData[[#This Row],[disposedAmount]]=TrafficData[[#This Row],[totalAmount]]</f>
        <v>1</v>
      </c>
      <c r="M2833" t="b">
        <f>TrafficData[[#This Row],[pendingCourt]]+TrafficData[[#This Row],[disposedCourt]]=TrafficData[[#This Row],[totalCourt]]</f>
        <v>1</v>
      </c>
      <c r="N2833" s="8" t="b">
        <f>AND(TrafficData[[#This Row],[disposedChallan]]&lt;=TrafficData[[#This Row],[totalChallan]],TrafficData[[#This Row],[pendingChallan]]&lt;=TrafficData[[#This Row],[totalChallan]])</f>
        <v>1</v>
      </c>
      <c r="O2833" s="8" t="b">
        <f>AND(TrafficData[[#This Row],[pendingAmount]]&lt;=TrafficData[[#This Row],[totalAmount]],TrafficData[[#This Row],[disposedAmount]]&lt;=TrafficData[[#This Row],[totalAmount]])</f>
        <v>1</v>
      </c>
      <c r="P2833" s="8" t="b">
        <f>AND(TrafficData[[#This Row],[pendingCourt]]&lt;=TrafficData[[#This Row],[totalCourt]],TrafficData[[#This Row],[disposedCourt]]&lt;=TrafficData[[#This Row],[totalCourt]])</f>
        <v>1</v>
      </c>
    </row>
    <row r="2834" spans="1:16">
      <c r="A2834" s="1">
        <v>44838</v>
      </c>
      <c r="B2834">
        <v>130117</v>
      </c>
      <c r="C2834">
        <v>64515</v>
      </c>
      <c r="D2834">
        <v>65602</v>
      </c>
      <c r="E2834">
        <v>95307698</v>
      </c>
      <c r="F2834">
        <v>82340273</v>
      </c>
      <c r="G2834">
        <v>177647971</v>
      </c>
      <c r="H2834">
        <v>40802</v>
      </c>
      <c r="I2834">
        <v>10539</v>
      </c>
      <c r="J2834">
        <v>51341</v>
      </c>
      <c r="K2834" t="b">
        <f>TrafficData[[#This Row],[disposedChallan]]+TrafficData[[#This Row],[pendingChallan]]=TrafficData[[#This Row],[totalChallan]]</f>
        <v>1</v>
      </c>
      <c r="L2834" t="b">
        <f>TrafficData[[#This Row],[pendingAmount]]+TrafficData[[#This Row],[disposedAmount]]=TrafficData[[#This Row],[totalAmount]]</f>
        <v>1</v>
      </c>
      <c r="M2834" t="b">
        <f>TrafficData[[#This Row],[pendingCourt]]+TrafficData[[#This Row],[disposedCourt]]=TrafficData[[#This Row],[totalCourt]]</f>
        <v>1</v>
      </c>
      <c r="N2834" s="8" t="b">
        <f>AND(TrafficData[[#This Row],[disposedChallan]]&lt;=TrafficData[[#This Row],[totalChallan]],TrafficData[[#This Row],[pendingChallan]]&lt;=TrafficData[[#This Row],[totalChallan]])</f>
        <v>1</v>
      </c>
      <c r="O2834" s="8" t="b">
        <f>AND(TrafficData[[#This Row],[pendingAmount]]&lt;=TrafficData[[#This Row],[totalAmount]],TrafficData[[#This Row],[disposedAmount]]&lt;=TrafficData[[#This Row],[totalAmount]])</f>
        <v>1</v>
      </c>
      <c r="P2834" s="8" t="b">
        <f>AND(TrafficData[[#This Row],[pendingCourt]]&lt;=TrafficData[[#This Row],[totalCourt]],TrafficData[[#This Row],[disposedCourt]]&lt;=TrafficData[[#This Row],[totalCourt]])</f>
        <v>1</v>
      </c>
    </row>
    <row r="2835" spans="1:16">
      <c r="A2835" s="1">
        <v>44839</v>
      </c>
      <c r="B2835">
        <v>115666</v>
      </c>
      <c r="C2835">
        <v>55795</v>
      </c>
      <c r="D2835">
        <v>59871</v>
      </c>
      <c r="E2835">
        <v>81424380</v>
      </c>
      <c r="F2835">
        <v>60315664</v>
      </c>
      <c r="G2835">
        <v>141740044</v>
      </c>
      <c r="H2835">
        <v>32782</v>
      </c>
      <c r="I2835">
        <v>8982</v>
      </c>
      <c r="J2835">
        <v>41764</v>
      </c>
      <c r="K2835" t="b">
        <f>TrafficData[[#This Row],[disposedChallan]]+TrafficData[[#This Row],[pendingChallan]]=TrafficData[[#This Row],[totalChallan]]</f>
        <v>1</v>
      </c>
      <c r="L2835" t="b">
        <f>TrafficData[[#This Row],[pendingAmount]]+TrafficData[[#This Row],[disposedAmount]]=TrafficData[[#This Row],[totalAmount]]</f>
        <v>1</v>
      </c>
      <c r="M2835" t="b">
        <f>TrafficData[[#This Row],[pendingCourt]]+TrafficData[[#This Row],[disposedCourt]]=TrafficData[[#This Row],[totalCourt]]</f>
        <v>1</v>
      </c>
      <c r="N2835" s="8" t="b">
        <f>AND(TrafficData[[#This Row],[disposedChallan]]&lt;=TrafficData[[#This Row],[totalChallan]],TrafficData[[#This Row],[pendingChallan]]&lt;=TrafficData[[#This Row],[totalChallan]])</f>
        <v>1</v>
      </c>
      <c r="O2835" s="8" t="b">
        <f>AND(TrafficData[[#This Row],[pendingAmount]]&lt;=TrafficData[[#This Row],[totalAmount]],TrafficData[[#This Row],[disposedAmount]]&lt;=TrafficData[[#This Row],[totalAmount]])</f>
        <v>1</v>
      </c>
      <c r="P2835" s="8" t="b">
        <f>AND(TrafficData[[#This Row],[pendingCourt]]&lt;=TrafficData[[#This Row],[totalCourt]],TrafficData[[#This Row],[disposedCourt]]&lt;=TrafficData[[#This Row],[totalCourt]])</f>
        <v>1</v>
      </c>
    </row>
    <row r="2836" spans="1:16">
      <c r="A2836" s="1">
        <v>44840</v>
      </c>
      <c r="B2836">
        <v>140617</v>
      </c>
      <c r="C2836">
        <v>71570</v>
      </c>
      <c r="D2836">
        <v>69047</v>
      </c>
      <c r="E2836">
        <v>102947149</v>
      </c>
      <c r="F2836">
        <v>91374476</v>
      </c>
      <c r="G2836">
        <v>194321625</v>
      </c>
      <c r="H2836">
        <v>38066</v>
      </c>
      <c r="I2836">
        <v>10334</v>
      </c>
      <c r="J2836">
        <v>48400</v>
      </c>
      <c r="K2836" t="b">
        <f>TrafficData[[#This Row],[disposedChallan]]+TrafficData[[#This Row],[pendingChallan]]=TrafficData[[#This Row],[totalChallan]]</f>
        <v>1</v>
      </c>
      <c r="L2836" t="b">
        <f>TrafficData[[#This Row],[pendingAmount]]+TrafficData[[#This Row],[disposedAmount]]=TrafficData[[#This Row],[totalAmount]]</f>
        <v>1</v>
      </c>
      <c r="M2836" t="b">
        <f>TrafficData[[#This Row],[pendingCourt]]+TrafficData[[#This Row],[disposedCourt]]=TrafficData[[#This Row],[totalCourt]]</f>
        <v>1</v>
      </c>
      <c r="N2836" s="8" t="b">
        <f>AND(TrafficData[[#This Row],[disposedChallan]]&lt;=TrafficData[[#This Row],[totalChallan]],TrafficData[[#This Row],[pendingChallan]]&lt;=TrafficData[[#This Row],[totalChallan]])</f>
        <v>1</v>
      </c>
      <c r="O2836" s="8" t="b">
        <f>AND(TrafficData[[#This Row],[pendingAmount]]&lt;=TrafficData[[#This Row],[totalAmount]],TrafficData[[#This Row],[disposedAmount]]&lt;=TrafficData[[#This Row],[totalAmount]])</f>
        <v>1</v>
      </c>
      <c r="P2836" s="8" t="b">
        <f>AND(TrafficData[[#This Row],[pendingCourt]]&lt;=TrafficData[[#This Row],[totalCourt]],TrafficData[[#This Row],[disposedCourt]]&lt;=TrafficData[[#This Row],[totalCourt]])</f>
        <v>1</v>
      </c>
    </row>
    <row r="2837" spans="1:16">
      <c r="A2837" s="1">
        <v>44841</v>
      </c>
      <c r="B2837">
        <v>145954</v>
      </c>
      <c r="C2837">
        <v>73778</v>
      </c>
      <c r="D2837">
        <v>72176</v>
      </c>
      <c r="E2837">
        <v>101378765</v>
      </c>
      <c r="F2837">
        <v>96910649</v>
      </c>
      <c r="G2837">
        <v>198289414</v>
      </c>
      <c r="H2837">
        <v>40841</v>
      </c>
      <c r="I2837">
        <v>10276</v>
      </c>
      <c r="J2837">
        <v>51117</v>
      </c>
      <c r="K2837" t="b">
        <f>TrafficData[[#This Row],[disposedChallan]]+TrafficData[[#This Row],[pendingChallan]]=TrafficData[[#This Row],[totalChallan]]</f>
        <v>1</v>
      </c>
      <c r="L2837" t="b">
        <f>TrafficData[[#This Row],[pendingAmount]]+TrafficData[[#This Row],[disposedAmount]]=TrafficData[[#This Row],[totalAmount]]</f>
        <v>1</v>
      </c>
      <c r="M2837" t="b">
        <f>TrafficData[[#This Row],[pendingCourt]]+TrafficData[[#This Row],[disposedCourt]]=TrafficData[[#This Row],[totalCourt]]</f>
        <v>1</v>
      </c>
      <c r="N2837" s="8" t="b">
        <f>AND(TrafficData[[#This Row],[disposedChallan]]&lt;=TrafficData[[#This Row],[totalChallan]],TrafficData[[#This Row],[pendingChallan]]&lt;=TrafficData[[#This Row],[totalChallan]])</f>
        <v>1</v>
      </c>
      <c r="O2837" s="8" t="b">
        <f>AND(TrafficData[[#This Row],[pendingAmount]]&lt;=TrafficData[[#This Row],[totalAmount]],TrafficData[[#This Row],[disposedAmount]]&lt;=TrafficData[[#This Row],[totalAmount]])</f>
        <v>1</v>
      </c>
      <c r="P2837" s="8" t="b">
        <f>AND(TrafficData[[#This Row],[pendingCourt]]&lt;=TrafficData[[#This Row],[totalCourt]],TrafficData[[#This Row],[disposedCourt]]&lt;=TrafficData[[#This Row],[totalCourt]])</f>
        <v>1</v>
      </c>
    </row>
    <row r="2838" spans="1:16">
      <c r="A2838" s="1">
        <v>44842</v>
      </c>
      <c r="B2838">
        <v>131745</v>
      </c>
      <c r="C2838">
        <v>71195</v>
      </c>
      <c r="D2838">
        <v>60550</v>
      </c>
      <c r="E2838">
        <v>79972112</v>
      </c>
      <c r="F2838">
        <v>91880400</v>
      </c>
      <c r="G2838">
        <v>171852512</v>
      </c>
      <c r="H2838">
        <v>31134</v>
      </c>
      <c r="I2838">
        <v>8255</v>
      </c>
      <c r="J2838">
        <v>39389</v>
      </c>
      <c r="K2838" t="b">
        <f>TrafficData[[#This Row],[disposedChallan]]+TrafficData[[#This Row],[pendingChallan]]=TrafficData[[#This Row],[totalChallan]]</f>
        <v>1</v>
      </c>
      <c r="L2838" t="b">
        <f>TrafficData[[#This Row],[pendingAmount]]+TrafficData[[#This Row],[disposedAmount]]=TrafficData[[#This Row],[totalAmount]]</f>
        <v>1</v>
      </c>
      <c r="M2838" t="b">
        <f>TrafficData[[#This Row],[pendingCourt]]+TrafficData[[#This Row],[disposedCourt]]=TrafficData[[#This Row],[totalCourt]]</f>
        <v>1</v>
      </c>
      <c r="N2838" s="8" t="b">
        <f>AND(TrafficData[[#This Row],[disposedChallan]]&lt;=TrafficData[[#This Row],[totalChallan]],TrafficData[[#This Row],[pendingChallan]]&lt;=TrafficData[[#This Row],[totalChallan]])</f>
        <v>1</v>
      </c>
      <c r="O2838" s="8" t="b">
        <f>AND(TrafficData[[#This Row],[pendingAmount]]&lt;=TrafficData[[#This Row],[totalAmount]],TrafficData[[#This Row],[disposedAmount]]&lt;=TrafficData[[#This Row],[totalAmount]])</f>
        <v>1</v>
      </c>
      <c r="P2838" s="8" t="b">
        <f>AND(TrafficData[[#This Row],[pendingCourt]]&lt;=TrafficData[[#This Row],[totalCourt]],TrafficData[[#This Row],[disposedCourt]]&lt;=TrafficData[[#This Row],[totalCourt]])</f>
        <v>1</v>
      </c>
    </row>
    <row r="2839" spans="1:16">
      <c r="A2839" s="1">
        <v>44843</v>
      </c>
      <c r="B2839">
        <v>110004</v>
      </c>
      <c r="C2839">
        <v>56544</v>
      </c>
      <c r="D2839">
        <v>53460</v>
      </c>
      <c r="E2839">
        <v>58062926</v>
      </c>
      <c r="F2839">
        <v>62835280</v>
      </c>
      <c r="G2839">
        <v>120898206</v>
      </c>
      <c r="H2839">
        <v>25058</v>
      </c>
      <c r="I2839">
        <v>6832</v>
      </c>
      <c r="J2839">
        <v>31890</v>
      </c>
      <c r="K2839" t="b">
        <f>TrafficData[[#This Row],[disposedChallan]]+TrafficData[[#This Row],[pendingChallan]]=TrafficData[[#This Row],[totalChallan]]</f>
        <v>1</v>
      </c>
      <c r="L2839" t="b">
        <f>TrafficData[[#This Row],[pendingAmount]]+TrafficData[[#This Row],[disposedAmount]]=TrafficData[[#This Row],[totalAmount]]</f>
        <v>1</v>
      </c>
      <c r="M2839" t="b">
        <f>TrafficData[[#This Row],[pendingCourt]]+TrafficData[[#This Row],[disposedCourt]]=TrafficData[[#This Row],[totalCourt]]</f>
        <v>1</v>
      </c>
      <c r="N2839" s="8" t="b">
        <f>AND(TrafficData[[#This Row],[disposedChallan]]&lt;=TrafficData[[#This Row],[totalChallan]],TrafficData[[#This Row],[pendingChallan]]&lt;=TrafficData[[#This Row],[totalChallan]])</f>
        <v>1</v>
      </c>
      <c r="O2839" s="8" t="b">
        <f>AND(TrafficData[[#This Row],[pendingAmount]]&lt;=TrafficData[[#This Row],[totalAmount]],TrafficData[[#This Row],[disposedAmount]]&lt;=TrafficData[[#This Row],[totalAmount]])</f>
        <v>1</v>
      </c>
      <c r="P2839" s="8" t="b">
        <f>AND(TrafficData[[#This Row],[pendingCourt]]&lt;=TrafficData[[#This Row],[totalCourt]],TrafficData[[#This Row],[disposedCourt]]&lt;=TrafficData[[#This Row],[totalCourt]])</f>
        <v>1</v>
      </c>
    </row>
    <row r="2840" spans="1:16">
      <c r="A2840" s="1">
        <v>44844</v>
      </c>
      <c r="B2840">
        <v>136147</v>
      </c>
      <c r="C2840">
        <v>70946</v>
      </c>
      <c r="D2840">
        <v>65201</v>
      </c>
      <c r="E2840">
        <v>92084720</v>
      </c>
      <c r="F2840">
        <v>86395119</v>
      </c>
      <c r="G2840">
        <v>178479839</v>
      </c>
      <c r="H2840">
        <v>35368</v>
      </c>
      <c r="I2840">
        <v>9344</v>
      </c>
      <c r="J2840">
        <v>44712</v>
      </c>
      <c r="K2840" t="b">
        <f>TrafficData[[#This Row],[disposedChallan]]+TrafficData[[#This Row],[pendingChallan]]=TrafficData[[#This Row],[totalChallan]]</f>
        <v>1</v>
      </c>
      <c r="L2840" t="b">
        <f>TrafficData[[#This Row],[pendingAmount]]+TrafficData[[#This Row],[disposedAmount]]=TrafficData[[#This Row],[totalAmount]]</f>
        <v>1</v>
      </c>
      <c r="M2840" t="b">
        <f>TrafficData[[#This Row],[pendingCourt]]+TrafficData[[#This Row],[disposedCourt]]=TrafficData[[#This Row],[totalCourt]]</f>
        <v>1</v>
      </c>
      <c r="N2840" s="8" t="b">
        <f>AND(TrafficData[[#This Row],[disposedChallan]]&lt;=TrafficData[[#This Row],[totalChallan]],TrafficData[[#This Row],[pendingChallan]]&lt;=TrafficData[[#This Row],[totalChallan]])</f>
        <v>1</v>
      </c>
      <c r="O2840" s="8" t="b">
        <f>AND(TrafficData[[#This Row],[pendingAmount]]&lt;=TrafficData[[#This Row],[totalAmount]],TrafficData[[#This Row],[disposedAmount]]&lt;=TrafficData[[#This Row],[totalAmount]])</f>
        <v>1</v>
      </c>
      <c r="P2840" s="8" t="b">
        <f>AND(TrafficData[[#This Row],[pendingCourt]]&lt;=TrafficData[[#This Row],[totalCourt]],TrafficData[[#This Row],[disposedCourt]]&lt;=TrafficData[[#This Row],[totalCourt]])</f>
        <v>1</v>
      </c>
    </row>
    <row r="2841" spans="1:16">
      <c r="A2841" s="1">
        <v>44845</v>
      </c>
      <c r="B2841">
        <v>143195</v>
      </c>
      <c r="C2841">
        <v>74444</v>
      </c>
      <c r="D2841">
        <v>68751</v>
      </c>
      <c r="E2841">
        <v>105171880</v>
      </c>
      <c r="F2841">
        <v>103897326</v>
      </c>
      <c r="G2841">
        <v>209069206</v>
      </c>
      <c r="H2841">
        <v>40207</v>
      </c>
      <c r="I2841">
        <v>10465</v>
      </c>
      <c r="J2841">
        <v>50672</v>
      </c>
      <c r="K2841" t="b">
        <f>TrafficData[[#This Row],[disposedChallan]]+TrafficData[[#This Row],[pendingChallan]]=TrafficData[[#This Row],[totalChallan]]</f>
        <v>1</v>
      </c>
      <c r="L2841" t="b">
        <f>TrafficData[[#This Row],[pendingAmount]]+TrafficData[[#This Row],[disposedAmount]]=TrafficData[[#This Row],[totalAmount]]</f>
        <v>1</v>
      </c>
      <c r="M2841" t="b">
        <f>TrafficData[[#This Row],[pendingCourt]]+TrafficData[[#This Row],[disposedCourt]]=TrafficData[[#This Row],[totalCourt]]</f>
        <v>1</v>
      </c>
      <c r="N2841" s="8" t="b">
        <f>AND(TrafficData[[#This Row],[disposedChallan]]&lt;=TrafficData[[#This Row],[totalChallan]],TrafficData[[#This Row],[pendingChallan]]&lt;=TrafficData[[#This Row],[totalChallan]])</f>
        <v>1</v>
      </c>
      <c r="O2841" s="8" t="b">
        <f>AND(TrafficData[[#This Row],[pendingAmount]]&lt;=TrafficData[[#This Row],[totalAmount]],TrafficData[[#This Row],[disposedAmount]]&lt;=TrafficData[[#This Row],[totalAmount]])</f>
        <v>1</v>
      </c>
      <c r="P2841" s="8" t="b">
        <f>AND(TrafficData[[#This Row],[pendingCourt]]&lt;=TrafficData[[#This Row],[totalCourt]],TrafficData[[#This Row],[disposedCourt]]&lt;=TrafficData[[#This Row],[totalCourt]])</f>
        <v>1</v>
      </c>
    </row>
    <row r="2842" spans="1:16">
      <c r="A2842" s="1">
        <v>44846</v>
      </c>
      <c r="B2842">
        <v>150269</v>
      </c>
      <c r="C2842">
        <v>77025</v>
      </c>
      <c r="D2842">
        <v>73244</v>
      </c>
      <c r="E2842">
        <v>113064380</v>
      </c>
      <c r="F2842">
        <v>110286095</v>
      </c>
      <c r="G2842">
        <v>223350475</v>
      </c>
      <c r="H2842">
        <v>41394</v>
      </c>
      <c r="I2842">
        <v>11242</v>
      </c>
      <c r="J2842">
        <v>52636</v>
      </c>
      <c r="K2842" t="b">
        <f>TrafficData[[#This Row],[disposedChallan]]+TrafficData[[#This Row],[pendingChallan]]=TrafficData[[#This Row],[totalChallan]]</f>
        <v>1</v>
      </c>
      <c r="L2842" t="b">
        <f>TrafficData[[#This Row],[pendingAmount]]+TrafficData[[#This Row],[disposedAmount]]=TrafficData[[#This Row],[totalAmount]]</f>
        <v>1</v>
      </c>
      <c r="M2842" t="b">
        <f>TrafficData[[#This Row],[pendingCourt]]+TrafficData[[#This Row],[disposedCourt]]=TrafficData[[#This Row],[totalCourt]]</f>
        <v>1</v>
      </c>
      <c r="N2842" s="8" t="b">
        <f>AND(TrafficData[[#This Row],[disposedChallan]]&lt;=TrafficData[[#This Row],[totalChallan]],TrafficData[[#This Row],[pendingChallan]]&lt;=TrafficData[[#This Row],[totalChallan]])</f>
        <v>1</v>
      </c>
      <c r="O2842" s="8" t="b">
        <f>AND(TrafficData[[#This Row],[pendingAmount]]&lt;=TrafficData[[#This Row],[totalAmount]],TrafficData[[#This Row],[disposedAmount]]&lt;=TrafficData[[#This Row],[totalAmount]])</f>
        <v>1</v>
      </c>
      <c r="P2842" s="8" t="b">
        <f>AND(TrafficData[[#This Row],[pendingCourt]]&lt;=TrafficData[[#This Row],[totalCourt]],TrafficData[[#This Row],[disposedCourt]]&lt;=TrafficData[[#This Row],[totalCourt]])</f>
        <v>1</v>
      </c>
    </row>
    <row r="2843" spans="1:16">
      <c r="A2843" s="1">
        <v>44847</v>
      </c>
      <c r="B2843">
        <v>146744</v>
      </c>
      <c r="C2843">
        <v>75408</v>
      </c>
      <c r="D2843">
        <v>71336</v>
      </c>
      <c r="E2843">
        <v>107585912</v>
      </c>
      <c r="F2843">
        <v>106249532</v>
      </c>
      <c r="G2843">
        <v>213835444</v>
      </c>
      <c r="H2843">
        <v>38849</v>
      </c>
      <c r="I2843">
        <v>9533</v>
      </c>
      <c r="J2843">
        <v>48382</v>
      </c>
      <c r="K2843" t="b">
        <f>TrafficData[[#This Row],[disposedChallan]]+TrafficData[[#This Row],[pendingChallan]]=TrafficData[[#This Row],[totalChallan]]</f>
        <v>1</v>
      </c>
      <c r="L2843" t="b">
        <f>TrafficData[[#This Row],[pendingAmount]]+TrafficData[[#This Row],[disposedAmount]]=TrafficData[[#This Row],[totalAmount]]</f>
        <v>1</v>
      </c>
      <c r="M2843" t="b">
        <f>TrafficData[[#This Row],[pendingCourt]]+TrafficData[[#This Row],[disposedCourt]]=TrafficData[[#This Row],[totalCourt]]</f>
        <v>1</v>
      </c>
      <c r="N2843" s="8" t="b">
        <f>AND(TrafficData[[#This Row],[disposedChallan]]&lt;=TrafficData[[#This Row],[totalChallan]],TrafficData[[#This Row],[pendingChallan]]&lt;=TrafficData[[#This Row],[totalChallan]])</f>
        <v>1</v>
      </c>
      <c r="O2843" s="8" t="b">
        <f>AND(TrafficData[[#This Row],[pendingAmount]]&lt;=TrafficData[[#This Row],[totalAmount]],TrafficData[[#This Row],[disposedAmount]]&lt;=TrafficData[[#This Row],[totalAmount]])</f>
        <v>1</v>
      </c>
      <c r="P2843" s="8" t="b">
        <f>AND(TrafficData[[#This Row],[pendingCourt]]&lt;=TrafficData[[#This Row],[totalCourt]],TrafficData[[#This Row],[disposedCourt]]&lt;=TrafficData[[#This Row],[totalCourt]])</f>
        <v>1</v>
      </c>
    </row>
    <row r="2844" spans="1:16">
      <c r="A2844" s="1">
        <v>44848</v>
      </c>
      <c r="B2844">
        <v>137931</v>
      </c>
      <c r="C2844">
        <v>70643</v>
      </c>
      <c r="D2844">
        <v>67288</v>
      </c>
      <c r="E2844">
        <v>97543588</v>
      </c>
      <c r="F2844">
        <v>95585833</v>
      </c>
      <c r="G2844">
        <v>193129421</v>
      </c>
      <c r="H2844">
        <v>35162</v>
      </c>
      <c r="I2844">
        <v>8364</v>
      </c>
      <c r="J2844">
        <v>43526</v>
      </c>
      <c r="K2844" t="b">
        <f>TrafficData[[#This Row],[disposedChallan]]+TrafficData[[#This Row],[pendingChallan]]=TrafficData[[#This Row],[totalChallan]]</f>
        <v>1</v>
      </c>
      <c r="L2844" t="b">
        <f>TrafficData[[#This Row],[pendingAmount]]+TrafficData[[#This Row],[disposedAmount]]=TrafficData[[#This Row],[totalAmount]]</f>
        <v>1</v>
      </c>
      <c r="M2844" t="b">
        <f>TrafficData[[#This Row],[pendingCourt]]+TrafficData[[#This Row],[disposedCourt]]=TrafficData[[#This Row],[totalCourt]]</f>
        <v>1</v>
      </c>
      <c r="N2844" s="8" t="b">
        <f>AND(TrafficData[[#This Row],[disposedChallan]]&lt;=TrafficData[[#This Row],[totalChallan]],TrafficData[[#This Row],[pendingChallan]]&lt;=TrafficData[[#This Row],[totalChallan]])</f>
        <v>1</v>
      </c>
      <c r="O2844" s="8" t="b">
        <f>AND(TrafficData[[#This Row],[pendingAmount]]&lt;=TrafficData[[#This Row],[totalAmount]],TrafficData[[#This Row],[disposedAmount]]&lt;=TrafficData[[#This Row],[totalAmount]])</f>
        <v>1</v>
      </c>
      <c r="P2844" s="8" t="b">
        <f>AND(TrafficData[[#This Row],[pendingCourt]]&lt;=TrafficData[[#This Row],[totalCourt]],TrafficData[[#This Row],[disposedCourt]]&lt;=TrafficData[[#This Row],[totalCourt]])</f>
        <v>1</v>
      </c>
    </row>
    <row r="2845" spans="1:16">
      <c r="A2845" s="1">
        <v>44849</v>
      </c>
      <c r="B2845">
        <v>155301</v>
      </c>
      <c r="C2845">
        <v>82045</v>
      </c>
      <c r="D2845">
        <v>73256</v>
      </c>
      <c r="E2845">
        <v>109850279</v>
      </c>
      <c r="F2845">
        <v>114097595</v>
      </c>
      <c r="G2845">
        <v>223947874</v>
      </c>
      <c r="H2845">
        <v>38184</v>
      </c>
      <c r="I2845">
        <v>10152</v>
      </c>
      <c r="J2845">
        <v>48336</v>
      </c>
      <c r="K2845" t="b">
        <f>TrafficData[[#This Row],[disposedChallan]]+TrafficData[[#This Row],[pendingChallan]]=TrafficData[[#This Row],[totalChallan]]</f>
        <v>1</v>
      </c>
      <c r="L2845" t="b">
        <f>TrafficData[[#This Row],[pendingAmount]]+TrafficData[[#This Row],[disposedAmount]]=TrafficData[[#This Row],[totalAmount]]</f>
        <v>1</v>
      </c>
      <c r="M2845" t="b">
        <f>TrafficData[[#This Row],[pendingCourt]]+TrafficData[[#This Row],[disposedCourt]]=TrafficData[[#This Row],[totalCourt]]</f>
        <v>1</v>
      </c>
      <c r="N2845" s="8" t="b">
        <f>AND(TrafficData[[#This Row],[disposedChallan]]&lt;=TrafficData[[#This Row],[totalChallan]],TrafficData[[#This Row],[pendingChallan]]&lt;=TrafficData[[#This Row],[totalChallan]])</f>
        <v>1</v>
      </c>
      <c r="O2845" s="8" t="b">
        <f>AND(TrafficData[[#This Row],[pendingAmount]]&lt;=TrafficData[[#This Row],[totalAmount]],TrafficData[[#This Row],[disposedAmount]]&lt;=TrafficData[[#This Row],[totalAmount]])</f>
        <v>1</v>
      </c>
      <c r="P2845" s="8" t="b">
        <f>AND(TrafficData[[#This Row],[pendingCourt]]&lt;=TrafficData[[#This Row],[totalCourt]],TrafficData[[#This Row],[disposedCourt]]&lt;=TrafficData[[#This Row],[totalCourt]])</f>
        <v>1</v>
      </c>
    </row>
    <row r="2846" spans="1:16">
      <c r="A2846" s="1">
        <v>44850</v>
      </c>
      <c r="B2846">
        <v>138088</v>
      </c>
      <c r="C2846">
        <v>69303</v>
      </c>
      <c r="D2846">
        <v>68785</v>
      </c>
      <c r="E2846">
        <v>83001100</v>
      </c>
      <c r="F2846">
        <v>81995659</v>
      </c>
      <c r="G2846">
        <v>164996759</v>
      </c>
      <c r="H2846">
        <v>34623</v>
      </c>
      <c r="I2846">
        <v>8847</v>
      </c>
      <c r="J2846">
        <v>43470</v>
      </c>
      <c r="K2846" t="b">
        <f>TrafficData[[#This Row],[disposedChallan]]+TrafficData[[#This Row],[pendingChallan]]=TrafficData[[#This Row],[totalChallan]]</f>
        <v>1</v>
      </c>
      <c r="L2846" t="b">
        <f>TrafficData[[#This Row],[pendingAmount]]+TrafficData[[#This Row],[disposedAmount]]=TrafficData[[#This Row],[totalAmount]]</f>
        <v>1</v>
      </c>
      <c r="M2846" t="b">
        <f>TrafficData[[#This Row],[pendingCourt]]+TrafficData[[#This Row],[disposedCourt]]=TrafficData[[#This Row],[totalCourt]]</f>
        <v>1</v>
      </c>
      <c r="N2846" s="8" t="b">
        <f>AND(TrafficData[[#This Row],[disposedChallan]]&lt;=TrafficData[[#This Row],[totalChallan]],TrafficData[[#This Row],[pendingChallan]]&lt;=TrafficData[[#This Row],[totalChallan]])</f>
        <v>1</v>
      </c>
      <c r="O2846" s="8" t="b">
        <f>AND(TrafficData[[#This Row],[pendingAmount]]&lt;=TrafficData[[#This Row],[totalAmount]],TrafficData[[#This Row],[disposedAmount]]&lt;=TrafficData[[#This Row],[totalAmount]])</f>
        <v>1</v>
      </c>
      <c r="P2846" s="8" t="b">
        <f>AND(TrafficData[[#This Row],[pendingCourt]]&lt;=TrafficData[[#This Row],[totalCourt]],TrafficData[[#This Row],[disposedCourt]]&lt;=TrafficData[[#This Row],[totalCourt]])</f>
        <v>1</v>
      </c>
    </row>
    <row r="2847" spans="1:16">
      <c r="A2847" s="1">
        <v>44851</v>
      </c>
      <c r="B2847">
        <v>151872</v>
      </c>
      <c r="C2847">
        <v>76696</v>
      </c>
      <c r="D2847">
        <v>75176</v>
      </c>
      <c r="E2847">
        <v>115093627</v>
      </c>
      <c r="F2847">
        <v>104783740</v>
      </c>
      <c r="G2847">
        <v>219877367</v>
      </c>
      <c r="H2847">
        <v>40193</v>
      </c>
      <c r="I2847">
        <v>9936</v>
      </c>
      <c r="J2847">
        <v>50129</v>
      </c>
      <c r="K2847" t="b">
        <f>TrafficData[[#This Row],[disposedChallan]]+TrafficData[[#This Row],[pendingChallan]]=TrafficData[[#This Row],[totalChallan]]</f>
        <v>1</v>
      </c>
      <c r="L2847" t="b">
        <f>TrafficData[[#This Row],[pendingAmount]]+TrafficData[[#This Row],[disposedAmount]]=TrafficData[[#This Row],[totalAmount]]</f>
        <v>1</v>
      </c>
      <c r="M2847" t="b">
        <f>TrafficData[[#This Row],[pendingCourt]]+TrafficData[[#This Row],[disposedCourt]]=TrafficData[[#This Row],[totalCourt]]</f>
        <v>1</v>
      </c>
      <c r="N2847" s="8" t="b">
        <f>AND(TrafficData[[#This Row],[disposedChallan]]&lt;=TrafficData[[#This Row],[totalChallan]],TrafficData[[#This Row],[pendingChallan]]&lt;=TrafficData[[#This Row],[totalChallan]])</f>
        <v>1</v>
      </c>
      <c r="O2847" s="8" t="b">
        <f>AND(TrafficData[[#This Row],[pendingAmount]]&lt;=TrafficData[[#This Row],[totalAmount]],TrafficData[[#This Row],[disposedAmount]]&lt;=TrafficData[[#This Row],[totalAmount]])</f>
        <v>1</v>
      </c>
      <c r="P2847" s="8" t="b">
        <f>AND(TrafficData[[#This Row],[pendingCourt]]&lt;=TrafficData[[#This Row],[totalCourt]],TrafficData[[#This Row],[disposedCourt]]&lt;=TrafficData[[#This Row],[totalCourt]])</f>
        <v>1</v>
      </c>
    </row>
    <row r="2848" spans="1:16">
      <c r="A2848" s="1">
        <v>44852</v>
      </c>
      <c r="B2848">
        <v>154785</v>
      </c>
      <c r="C2848">
        <v>79075</v>
      </c>
      <c r="D2848">
        <v>75710</v>
      </c>
      <c r="E2848">
        <v>114928031</v>
      </c>
      <c r="F2848">
        <v>109521486</v>
      </c>
      <c r="G2848">
        <v>224449517</v>
      </c>
      <c r="H2848">
        <v>39601</v>
      </c>
      <c r="I2848">
        <v>10126</v>
      </c>
      <c r="J2848">
        <v>49727</v>
      </c>
      <c r="K2848" t="b">
        <f>TrafficData[[#This Row],[disposedChallan]]+TrafficData[[#This Row],[pendingChallan]]=TrafficData[[#This Row],[totalChallan]]</f>
        <v>1</v>
      </c>
      <c r="L2848" t="b">
        <f>TrafficData[[#This Row],[pendingAmount]]+TrafficData[[#This Row],[disposedAmount]]=TrafficData[[#This Row],[totalAmount]]</f>
        <v>1</v>
      </c>
      <c r="M2848" t="b">
        <f>TrafficData[[#This Row],[pendingCourt]]+TrafficData[[#This Row],[disposedCourt]]=TrafficData[[#This Row],[totalCourt]]</f>
        <v>1</v>
      </c>
      <c r="N2848" s="8" t="b">
        <f>AND(TrafficData[[#This Row],[disposedChallan]]&lt;=TrafficData[[#This Row],[totalChallan]],TrafficData[[#This Row],[pendingChallan]]&lt;=TrafficData[[#This Row],[totalChallan]])</f>
        <v>1</v>
      </c>
      <c r="O2848" s="8" t="b">
        <f>AND(TrafficData[[#This Row],[pendingAmount]]&lt;=TrafficData[[#This Row],[totalAmount]],TrafficData[[#This Row],[disposedAmount]]&lt;=TrafficData[[#This Row],[totalAmount]])</f>
        <v>1</v>
      </c>
      <c r="P2848" s="8" t="b">
        <f>AND(TrafficData[[#This Row],[pendingCourt]]&lt;=TrafficData[[#This Row],[totalCourt]],TrafficData[[#This Row],[disposedCourt]]&lt;=TrafficData[[#This Row],[totalCourt]])</f>
        <v>1</v>
      </c>
    </row>
    <row r="2849" spans="1:16">
      <c r="A2849" s="1">
        <v>44853</v>
      </c>
      <c r="B2849">
        <v>152248</v>
      </c>
      <c r="C2849">
        <v>77175</v>
      </c>
      <c r="D2849">
        <v>75073</v>
      </c>
      <c r="E2849">
        <v>121838075</v>
      </c>
      <c r="F2849">
        <v>117170816</v>
      </c>
      <c r="G2849">
        <v>239008891</v>
      </c>
      <c r="H2849">
        <v>43237</v>
      </c>
      <c r="I2849">
        <v>10738</v>
      </c>
      <c r="J2849">
        <v>53975</v>
      </c>
      <c r="K2849" t="b">
        <f>TrafficData[[#This Row],[disposedChallan]]+TrafficData[[#This Row],[pendingChallan]]=TrafficData[[#This Row],[totalChallan]]</f>
        <v>1</v>
      </c>
      <c r="L2849" t="b">
        <f>TrafficData[[#This Row],[pendingAmount]]+TrafficData[[#This Row],[disposedAmount]]=TrafficData[[#This Row],[totalAmount]]</f>
        <v>1</v>
      </c>
      <c r="M2849" t="b">
        <f>TrafficData[[#This Row],[pendingCourt]]+TrafficData[[#This Row],[disposedCourt]]=TrafficData[[#This Row],[totalCourt]]</f>
        <v>1</v>
      </c>
      <c r="N2849" s="8" t="b">
        <f>AND(TrafficData[[#This Row],[disposedChallan]]&lt;=TrafficData[[#This Row],[totalChallan]],TrafficData[[#This Row],[pendingChallan]]&lt;=TrafficData[[#This Row],[totalChallan]])</f>
        <v>1</v>
      </c>
      <c r="O2849" s="8" t="b">
        <f>AND(TrafficData[[#This Row],[pendingAmount]]&lt;=TrafficData[[#This Row],[totalAmount]],TrafficData[[#This Row],[disposedAmount]]&lt;=TrafficData[[#This Row],[totalAmount]])</f>
        <v>1</v>
      </c>
      <c r="P2849" s="8" t="b">
        <f>AND(TrafficData[[#This Row],[pendingCourt]]&lt;=TrafficData[[#This Row],[totalCourt]],TrafficData[[#This Row],[disposedCourt]]&lt;=TrafficData[[#This Row],[totalCourt]])</f>
        <v>1</v>
      </c>
    </row>
    <row r="2850" spans="1:16">
      <c r="A2850" s="1">
        <v>44854</v>
      </c>
      <c r="B2850">
        <v>158668</v>
      </c>
      <c r="C2850">
        <v>79636</v>
      </c>
      <c r="D2850">
        <v>79032</v>
      </c>
      <c r="E2850">
        <v>123146114</v>
      </c>
      <c r="F2850">
        <v>113174922</v>
      </c>
      <c r="G2850">
        <v>236321036</v>
      </c>
      <c r="H2850">
        <v>44838</v>
      </c>
      <c r="I2850">
        <v>10859</v>
      </c>
      <c r="J2850">
        <v>55697</v>
      </c>
      <c r="K2850" t="b">
        <f>TrafficData[[#This Row],[disposedChallan]]+TrafficData[[#This Row],[pendingChallan]]=TrafficData[[#This Row],[totalChallan]]</f>
        <v>1</v>
      </c>
      <c r="L2850" t="b">
        <f>TrafficData[[#This Row],[pendingAmount]]+TrafficData[[#This Row],[disposedAmount]]=TrafficData[[#This Row],[totalAmount]]</f>
        <v>1</v>
      </c>
      <c r="M2850" t="b">
        <f>TrafficData[[#This Row],[pendingCourt]]+TrafficData[[#This Row],[disposedCourt]]=TrafficData[[#This Row],[totalCourt]]</f>
        <v>1</v>
      </c>
      <c r="N2850" s="8" t="b">
        <f>AND(TrafficData[[#This Row],[disposedChallan]]&lt;=TrafficData[[#This Row],[totalChallan]],TrafficData[[#This Row],[pendingChallan]]&lt;=TrafficData[[#This Row],[totalChallan]])</f>
        <v>1</v>
      </c>
      <c r="O2850" s="8" t="b">
        <f>AND(TrafficData[[#This Row],[pendingAmount]]&lt;=TrafficData[[#This Row],[totalAmount]],TrafficData[[#This Row],[disposedAmount]]&lt;=TrafficData[[#This Row],[totalAmount]])</f>
        <v>1</v>
      </c>
      <c r="P2850" s="8" t="b">
        <f>AND(TrafficData[[#This Row],[pendingCourt]]&lt;=TrafficData[[#This Row],[totalCourt]],TrafficData[[#This Row],[disposedCourt]]&lt;=TrafficData[[#This Row],[totalCourt]])</f>
        <v>1</v>
      </c>
    </row>
    <row r="2851" spans="1:16">
      <c r="A2851" s="1">
        <v>44855</v>
      </c>
      <c r="B2851">
        <v>144541</v>
      </c>
      <c r="C2851">
        <v>70177</v>
      </c>
      <c r="D2851">
        <v>74364</v>
      </c>
      <c r="E2851">
        <v>111108850</v>
      </c>
      <c r="F2851">
        <v>97725826</v>
      </c>
      <c r="G2851">
        <v>208834676</v>
      </c>
      <c r="H2851">
        <v>41036</v>
      </c>
      <c r="I2851">
        <v>9963</v>
      </c>
      <c r="J2851">
        <v>50999</v>
      </c>
      <c r="K2851" t="b">
        <f>TrafficData[[#This Row],[disposedChallan]]+TrafficData[[#This Row],[pendingChallan]]=TrafficData[[#This Row],[totalChallan]]</f>
        <v>1</v>
      </c>
      <c r="L2851" t="b">
        <f>TrafficData[[#This Row],[pendingAmount]]+TrafficData[[#This Row],[disposedAmount]]=TrafficData[[#This Row],[totalAmount]]</f>
        <v>1</v>
      </c>
      <c r="M2851" t="b">
        <f>TrafficData[[#This Row],[pendingCourt]]+TrafficData[[#This Row],[disposedCourt]]=TrafficData[[#This Row],[totalCourt]]</f>
        <v>1</v>
      </c>
      <c r="N2851" s="8" t="b">
        <f>AND(TrafficData[[#This Row],[disposedChallan]]&lt;=TrafficData[[#This Row],[totalChallan]],TrafficData[[#This Row],[pendingChallan]]&lt;=TrafficData[[#This Row],[totalChallan]])</f>
        <v>1</v>
      </c>
      <c r="O2851" s="8" t="b">
        <f>AND(TrafficData[[#This Row],[pendingAmount]]&lt;=TrafficData[[#This Row],[totalAmount]],TrafficData[[#This Row],[disposedAmount]]&lt;=TrafficData[[#This Row],[totalAmount]])</f>
        <v>1</v>
      </c>
      <c r="P2851" s="8" t="b">
        <f>AND(TrafficData[[#This Row],[pendingCourt]]&lt;=TrafficData[[#This Row],[totalCourt]],TrafficData[[#This Row],[disposedCourt]]&lt;=TrafficData[[#This Row],[totalCourt]])</f>
        <v>1</v>
      </c>
    </row>
    <row r="2852" spans="1:16">
      <c r="A2852" s="1">
        <v>44856</v>
      </c>
      <c r="B2852">
        <v>125585</v>
      </c>
      <c r="C2852">
        <v>61537</v>
      </c>
      <c r="D2852">
        <v>64048</v>
      </c>
      <c r="E2852">
        <v>96699053</v>
      </c>
      <c r="F2852">
        <v>78638904</v>
      </c>
      <c r="G2852">
        <v>175337957</v>
      </c>
      <c r="H2852">
        <v>37178</v>
      </c>
      <c r="I2852">
        <v>9489</v>
      </c>
      <c r="J2852">
        <v>46667</v>
      </c>
      <c r="K2852" t="b">
        <f>TrafficData[[#This Row],[disposedChallan]]+TrafficData[[#This Row],[pendingChallan]]=TrafficData[[#This Row],[totalChallan]]</f>
        <v>1</v>
      </c>
      <c r="L2852" t="b">
        <f>TrafficData[[#This Row],[pendingAmount]]+TrafficData[[#This Row],[disposedAmount]]=TrafficData[[#This Row],[totalAmount]]</f>
        <v>1</v>
      </c>
      <c r="M2852" t="b">
        <f>TrafficData[[#This Row],[pendingCourt]]+TrafficData[[#This Row],[disposedCourt]]=TrafficData[[#This Row],[totalCourt]]</f>
        <v>1</v>
      </c>
      <c r="N2852" s="8" t="b">
        <f>AND(TrafficData[[#This Row],[disposedChallan]]&lt;=TrafficData[[#This Row],[totalChallan]],TrafficData[[#This Row],[pendingChallan]]&lt;=TrafficData[[#This Row],[totalChallan]])</f>
        <v>1</v>
      </c>
      <c r="O2852" s="8" t="b">
        <f>AND(TrafficData[[#This Row],[pendingAmount]]&lt;=TrafficData[[#This Row],[totalAmount]],TrafficData[[#This Row],[disposedAmount]]&lt;=TrafficData[[#This Row],[totalAmount]])</f>
        <v>1</v>
      </c>
      <c r="P2852" s="8" t="b">
        <f>AND(TrafficData[[#This Row],[pendingCourt]]&lt;=TrafficData[[#This Row],[totalCourt]],TrafficData[[#This Row],[disposedCourt]]&lt;=TrafficData[[#This Row],[totalCourt]])</f>
        <v>1</v>
      </c>
    </row>
    <row r="2853" spans="1:16">
      <c r="A2853" s="1">
        <v>44857</v>
      </c>
      <c r="B2853">
        <v>100693</v>
      </c>
      <c r="C2853">
        <v>44664</v>
      </c>
      <c r="D2853">
        <v>56029</v>
      </c>
      <c r="E2853">
        <v>70665126</v>
      </c>
      <c r="F2853">
        <v>45535396</v>
      </c>
      <c r="G2853">
        <v>116200522</v>
      </c>
      <c r="H2853">
        <v>31533</v>
      </c>
      <c r="I2853">
        <v>7044</v>
      </c>
      <c r="J2853">
        <v>38577</v>
      </c>
      <c r="K2853" t="b">
        <f>TrafficData[[#This Row],[disposedChallan]]+TrafficData[[#This Row],[pendingChallan]]=TrafficData[[#This Row],[totalChallan]]</f>
        <v>1</v>
      </c>
      <c r="L2853" t="b">
        <f>TrafficData[[#This Row],[pendingAmount]]+TrafficData[[#This Row],[disposedAmount]]=TrafficData[[#This Row],[totalAmount]]</f>
        <v>1</v>
      </c>
      <c r="M2853" t="b">
        <f>TrafficData[[#This Row],[pendingCourt]]+TrafficData[[#This Row],[disposedCourt]]=TrafficData[[#This Row],[totalCourt]]</f>
        <v>1</v>
      </c>
      <c r="N2853" s="8" t="b">
        <f>AND(TrafficData[[#This Row],[disposedChallan]]&lt;=TrafficData[[#This Row],[totalChallan]],TrafficData[[#This Row],[pendingChallan]]&lt;=TrafficData[[#This Row],[totalChallan]])</f>
        <v>1</v>
      </c>
      <c r="O2853" s="8" t="b">
        <f>AND(TrafficData[[#This Row],[pendingAmount]]&lt;=TrafficData[[#This Row],[totalAmount]],TrafficData[[#This Row],[disposedAmount]]&lt;=TrafficData[[#This Row],[totalAmount]])</f>
        <v>1</v>
      </c>
      <c r="P2853" s="8" t="b">
        <f>AND(TrafficData[[#This Row],[pendingCourt]]&lt;=TrafficData[[#This Row],[totalCourt]],TrafficData[[#This Row],[disposedCourt]]&lt;=TrafficData[[#This Row],[totalCourt]])</f>
        <v>1</v>
      </c>
    </row>
    <row r="2854" spans="1:16">
      <c r="A2854" s="1">
        <v>44858</v>
      </c>
      <c r="B2854">
        <v>73513</v>
      </c>
      <c r="C2854">
        <v>31923</v>
      </c>
      <c r="D2854">
        <v>41590</v>
      </c>
      <c r="E2854">
        <v>59069602</v>
      </c>
      <c r="F2854">
        <v>30221666</v>
      </c>
      <c r="G2854">
        <v>89291268</v>
      </c>
      <c r="H2854">
        <v>28581</v>
      </c>
      <c r="I2854">
        <v>5764</v>
      </c>
      <c r="J2854">
        <v>34345</v>
      </c>
      <c r="K2854" t="b">
        <f>TrafficData[[#This Row],[disposedChallan]]+TrafficData[[#This Row],[pendingChallan]]=TrafficData[[#This Row],[totalChallan]]</f>
        <v>1</v>
      </c>
      <c r="L2854" t="b">
        <f>TrafficData[[#This Row],[pendingAmount]]+TrafficData[[#This Row],[disposedAmount]]=TrafficData[[#This Row],[totalAmount]]</f>
        <v>1</v>
      </c>
      <c r="M2854" t="b">
        <f>TrafficData[[#This Row],[pendingCourt]]+TrafficData[[#This Row],[disposedCourt]]=TrafficData[[#This Row],[totalCourt]]</f>
        <v>1</v>
      </c>
      <c r="N2854" s="8" t="b">
        <f>AND(TrafficData[[#This Row],[disposedChallan]]&lt;=TrafficData[[#This Row],[totalChallan]],TrafficData[[#This Row],[pendingChallan]]&lt;=TrafficData[[#This Row],[totalChallan]])</f>
        <v>1</v>
      </c>
      <c r="O2854" s="8" t="b">
        <f>AND(TrafficData[[#This Row],[pendingAmount]]&lt;=TrafficData[[#This Row],[totalAmount]],TrafficData[[#This Row],[disposedAmount]]&lt;=TrafficData[[#This Row],[totalAmount]])</f>
        <v>1</v>
      </c>
      <c r="P2854" s="8" t="b">
        <f>AND(TrafficData[[#This Row],[pendingCourt]]&lt;=TrafficData[[#This Row],[totalCourt]],TrafficData[[#This Row],[disposedCourt]]&lt;=TrafficData[[#This Row],[totalCourt]])</f>
        <v>1</v>
      </c>
    </row>
    <row r="2855" spans="1:16">
      <c r="A2855" s="1">
        <v>44859</v>
      </c>
      <c r="B2855">
        <v>98190</v>
      </c>
      <c r="C2855">
        <v>44637</v>
      </c>
      <c r="D2855">
        <v>53553</v>
      </c>
      <c r="E2855">
        <v>73266060</v>
      </c>
      <c r="F2855">
        <v>41958284</v>
      </c>
      <c r="G2855">
        <v>115224344</v>
      </c>
      <c r="H2855">
        <v>31528</v>
      </c>
      <c r="I2855">
        <v>7246</v>
      </c>
      <c r="J2855">
        <v>38774</v>
      </c>
      <c r="K2855" t="b">
        <f>TrafficData[[#This Row],[disposedChallan]]+TrafficData[[#This Row],[pendingChallan]]=TrafficData[[#This Row],[totalChallan]]</f>
        <v>1</v>
      </c>
      <c r="L2855" t="b">
        <f>TrafficData[[#This Row],[pendingAmount]]+TrafficData[[#This Row],[disposedAmount]]=TrafficData[[#This Row],[totalAmount]]</f>
        <v>1</v>
      </c>
      <c r="M2855" t="b">
        <f>TrafficData[[#This Row],[pendingCourt]]+TrafficData[[#This Row],[disposedCourt]]=TrafficData[[#This Row],[totalCourt]]</f>
        <v>1</v>
      </c>
      <c r="N2855" s="8" t="b">
        <f>AND(TrafficData[[#This Row],[disposedChallan]]&lt;=TrafficData[[#This Row],[totalChallan]],TrafficData[[#This Row],[pendingChallan]]&lt;=TrafficData[[#This Row],[totalChallan]])</f>
        <v>1</v>
      </c>
      <c r="O2855" s="8" t="b">
        <f>AND(TrafficData[[#This Row],[pendingAmount]]&lt;=TrafficData[[#This Row],[totalAmount]],TrafficData[[#This Row],[disposedAmount]]&lt;=TrafficData[[#This Row],[totalAmount]])</f>
        <v>1</v>
      </c>
      <c r="P2855" s="8" t="b">
        <f>AND(TrafficData[[#This Row],[pendingCourt]]&lt;=TrafficData[[#This Row],[totalCourt]],TrafficData[[#This Row],[disposedCourt]]&lt;=TrafficData[[#This Row],[totalCourt]])</f>
        <v>1</v>
      </c>
    </row>
    <row r="2856" spans="1:16">
      <c r="A2856" s="1">
        <v>44860</v>
      </c>
      <c r="B2856">
        <v>113404</v>
      </c>
      <c r="C2856">
        <v>54242</v>
      </c>
      <c r="D2856">
        <v>59162</v>
      </c>
      <c r="E2856">
        <v>97577783</v>
      </c>
      <c r="F2856">
        <v>59413608</v>
      </c>
      <c r="G2856">
        <v>156991391</v>
      </c>
      <c r="H2856">
        <v>38512</v>
      </c>
      <c r="I2856">
        <v>8927</v>
      </c>
      <c r="J2856">
        <v>47439</v>
      </c>
      <c r="K2856" t="b">
        <f>TrafficData[[#This Row],[disposedChallan]]+TrafficData[[#This Row],[pendingChallan]]=TrafficData[[#This Row],[totalChallan]]</f>
        <v>1</v>
      </c>
      <c r="L2856" t="b">
        <f>TrafficData[[#This Row],[pendingAmount]]+TrafficData[[#This Row],[disposedAmount]]=TrafficData[[#This Row],[totalAmount]]</f>
        <v>1</v>
      </c>
      <c r="M2856" t="b">
        <f>TrafficData[[#This Row],[pendingCourt]]+TrafficData[[#This Row],[disposedCourt]]=TrafficData[[#This Row],[totalCourt]]</f>
        <v>1</v>
      </c>
      <c r="N2856" s="8" t="b">
        <f>AND(TrafficData[[#This Row],[disposedChallan]]&lt;=TrafficData[[#This Row],[totalChallan]],TrafficData[[#This Row],[pendingChallan]]&lt;=TrafficData[[#This Row],[totalChallan]])</f>
        <v>1</v>
      </c>
      <c r="O2856" s="8" t="b">
        <f>AND(TrafficData[[#This Row],[pendingAmount]]&lt;=TrafficData[[#This Row],[totalAmount]],TrafficData[[#This Row],[disposedAmount]]&lt;=TrafficData[[#This Row],[totalAmount]])</f>
        <v>1</v>
      </c>
      <c r="P2856" s="8" t="b">
        <f>AND(TrafficData[[#This Row],[pendingCourt]]&lt;=TrafficData[[#This Row],[totalCourt]],TrafficData[[#This Row],[disposedCourt]]&lt;=TrafficData[[#This Row],[totalCourt]])</f>
        <v>1</v>
      </c>
    </row>
    <row r="2857" spans="1:16">
      <c r="A2857" s="1">
        <v>44861</v>
      </c>
      <c r="B2857">
        <v>121374</v>
      </c>
      <c r="C2857">
        <v>58109</v>
      </c>
      <c r="D2857">
        <v>63265</v>
      </c>
      <c r="E2857">
        <v>106016744</v>
      </c>
      <c r="F2857">
        <v>69484194</v>
      </c>
      <c r="G2857">
        <v>175500938</v>
      </c>
      <c r="H2857">
        <v>39704</v>
      </c>
      <c r="I2857">
        <v>9703</v>
      </c>
      <c r="J2857">
        <v>49407</v>
      </c>
      <c r="K2857" t="b">
        <f>TrafficData[[#This Row],[disposedChallan]]+TrafficData[[#This Row],[pendingChallan]]=TrafficData[[#This Row],[totalChallan]]</f>
        <v>1</v>
      </c>
      <c r="L2857" t="b">
        <f>TrafficData[[#This Row],[pendingAmount]]+TrafficData[[#This Row],[disposedAmount]]=TrafficData[[#This Row],[totalAmount]]</f>
        <v>1</v>
      </c>
      <c r="M2857" t="b">
        <f>TrafficData[[#This Row],[pendingCourt]]+TrafficData[[#This Row],[disposedCourt]]=TrafficData[[#This Row],[totalCourt]]</f>
        <v>1</v>
      </c>
      <c r="N2857" s="8" t="b">
        <f>AND(TrafficData[[#This Row],[disposedChallan]]&lt;=TrafficData[[#This Row],[totalChallan]],TrafficData[[#This Row],[pendingChallan]]&lt;=TrafficData[[#This Row],[totalChallan]])</f>
        <v>1</v>
      </c>
      <c r="O2857" s="8" t="b">
        <f>AND(TrafficData[[#This Row],[pendingAmount]]&lt;=TrafficData[[#This Row],[totalAmount]],TrafficData[[#This Row],[disposedAmount]]&lt;=TrafficData[[#This Row],[totalAmount]])</f>
        <v>1</v>
      </c>
      <c r="P2857" s="8" t="b">
        <f>AND(TrafficData[[#This Row],[pendingCourt]]&lt;=TrafficData[[#This Row],[totalCourt]],TrafficData[[#This Row],[disposedCourt]]&lt;=TrafficData[[#This Row],[totalCourt]])</f>
        <v>1</v>
      </c>
    </row>
    <row r="2858" spans="1:16">
      <c r="A2858" s="1">
        <v>44862</v>
      </c>
      <c r="B2858">
        <v>131363</v>
      </c>
      <c r="C2858">
        <v>63832</v>
      </c>
      <c r="D2858">
        <v>67531</v>
      </c>
      <c r="E2858">
        <v>117384678</v>
      </c>
      <c r="F2858">
        <v>83680813</v>
      </c>
      <c r="G2858">
        <v>201065491</v>
      </c>
      <c r="H2858">
        <v>43198</v>
      </c>
      <c r="I2858">
        <v>10710</v>
      </c>
      <c r="J2858">
        <v>53908</v>
      </c>
      <c r="K2858" t="b">
        <f>TrafficData[[#This Row],[disposedChallan]]+TrafficData[[#This Row],[pendingChallan]]=TrafficData[[#This Row],[totalChallan]]</f>
        <v>1</v>
      </c>
      <c r="L2858" t="b">
        <f>TrafficData[[#This Row],[pendingAmount]]+TrafficData[[#This Row],[disposedAmount]]=TrafficData[[#This Row],[totalAmount]]</f>
        <v>1</v>
      </c>
      <c r="M2858" t="b">
        <f>TrafficData[[#This Row],[pendingCourt]]+TrafficData[[#This Row],[disposedCourt]]=TrafficData[[#This Row],[totalCourt]]</f>
        <v>1</v>
      </c>
      <c r="N2858" s="8" t="b">
        <f>AND(TrafficData[[#This Row],[disposedChallan]]&lt;=TrafficData[[#This Row],[totalChallan]],TrafficData[[#This Row],[pendingChallan]]&lt;=TrafficData[[#This Row],[totalChallan]])</f>
        <v>1</v>
      </c>
      <c r="O2858" s="8" t="b">
        <f>AND(TrafficData[[#This Row],[pendingAmount]]&lt;=TrafficData[[#This Row],[totalAmount]],TrafficData[[#This Row],[disposedAmount]]&lt;=TrafficData[[#This Row],[totalAmount]])</f>
        <v>1</v>
      </c>
      <c r="P2858" s="8" t="b">
        <f>AND(TrafficData[[#This Row],[pendingCourt]]&lt;=TrafficData[[#This Row],[totalCourt]],TrafficData[[#This Row],[disposedCourt]]&lt;=TrafficData[[#This Row],[totalCourt]])</f>
        <v>1</v>
      </c>
    </row>
    <row r="2859" spans="1:16">
      <c r="A2859" s="1">
        <v>44863</v>
      </c>
      <c r="B2859">
        <v>125849</v>
      </c>
      <c r="C2859">
        <v>61873</v>
      </c>
      <c r="D2859">
        <v>63976</v>
      </c>
      <c r="E2859">
        <v>114306260</v>
      </c>
      <c r="F2859">
        <v>84891457</v>
      </c>
      <c r="G2859">
        <v>199197717</v>
      </c>
      <c r="H2859">
        <v>41274</v>
      </c>
      <c r="I2859">
        <v>10345</v>
      </c>
      <c r="J2859">
        <v>51619</v>
      </c>
      <c r="K2859" t="b">
        <f>TrafficData[[#This Row],[disposedChallan]]+TrafficData[[#This Row],[pendingChallan]]=TrafficData[[#This Row],[totalChallan]]</f>
        <v>1</v>
      </c>
      <c r="L2859" t="b">
        <f>TrafficData[[#This Row],[pendingAmount]]+TrafficData[[#This Row],[disposedAmount]]=TrafficData[[#This Row],[totalAmount]]</f>
        <v>1</v>
      </c>
      <c r="M2859" t="b">
        <f>TrafficData[[#This Row],[pendingCourt]]+TrafficData[[#This Row],[disposedCourt]]=TrafficData[[#This Row],[totalCourt]]</f>
        <v>1</v>
      </c>
      <c r="N2859" s="8" t="b">
        <f>AND(TrafficData[[#This Row],[disposedChallan]]&lt;=TrafficData[[#This Row],[totalChallan]],TrafficData[[#This Row],[pendingChallan]]&lt;=TrafficData[[#This Row],[totalChallan]])</f>
        <v>1</v>
      </c>
      <c r="O2859" s="8" t="b">
        <f>AND(TrafficData[[#This Row],[pendingAmount]]&lt;=TrafficData[[#This Row],[totalAmount]],TrafficData[[#This Row],[disposedAmount]]&lt;=TrafficData[[#This Row],[totalAmount]])</f>
        <v>1</v>
      </c>
      <c r="P2859" s="8" t="b">
        <f>AND(TrafficData[[#This Row],[pendingCourt]]&lt;=TrafficData[[#This Row],[totalCourt]],TrafficData[[#This Row],[disposedCourt]]&lt;=TrafficData[[#This Row],[totalCourt]])</f>
        <v>1</v>
      </c>
    </row>
    <row r="2860" spans="1:16">
      <c r="A2860" s="1">
        <v>44864</v>
      </c>
      <c r="B2860">
        <v>102221</v>
      </c>
      <c r="C2860">
        <v>48790</v>
      </c>
      <c r="D2860">
        <v>53431</v>
      </c>
      <c r="E2860">
        <v>86717464</v>
      </c>
      <c r="F2860">
        <v>64078309</v>
      </c>
      <c r="G2860">
        <v>150795773</v>
      </c>
      <c r="H2860">
        <v>35015</v>
      </c>
      <c r="I2860">
        <v>8238</v>
      </c>
      <c r="J2860">
        <v>43253</v>
      </c>
      <c r="K2860" t="b">
        <f>TrafficData[[#This Row],[disposedChallan]]+TrafficData[[#This Row],[pendingChallan]]=TrafficData[[#This Row],[totalChallan]]</f>
        <v>1</v>
      </c>
      <c r="L2860" t="b">
        <f>TrafficData[[#This Row],[pendingAmount]]+TrafficData[[#This Row],[disposedAmount]]=TrafficData[[#This Row],[totalAmount]]</f>
        <v>1</v>
      </c>
      <c r="M2860" t="b">
        <f>TrafficData[[#This Row],[pendingCourt]]+TrafficData[[#This Row],[disposedCourt]]=TrafficData[[#This Row],[totalCourt]]</f>
        <v>1</v>
      </c>
      <c r="N2860" s="8" t="b">
        <f>AND(TrafficData[[#This Row],[disposedChallan]]&lt;=TrafficData[[#This Row],[totalChallan]],TrafficData[[#This Row],[pendingChallan]]&lt;=TrafficData[[#This Row],[totalChallan]])</f>
        <v>1</v>
      </c>
      <c r="O2860" s="8" t="b">
        <f>AND(TrafficData[[#This Row],[pendingAmount]]&lt;=TrafficData[[#This Row],[totalAmount]],TrafficData[[#This Row],[disposedAmount]]&lt;=TrafficData[[#This Row],[totalAmount]])</f>
        <v>1</v>
      </c>
      <c r="P2860" s="8" t="b">
        <f>AND(TrafficData[[#This Row],[pendingCourt]]&lt;=TrafficData[[#This Row],[totalCourt]],TrafficData[[#This Row],[disposedCourt]]&lt;=TrafficData[[#This Row],[totalCourt]])</f>
        <v>1</v>
      </c>
    </row>
    <row r="2861" spans="1:16">
      <c r="A2861" s="1">
        <v>44865</v>
      </c>
      <c r="B2861">
        <v>118183</v>
      </c>
      <c r="C2861">
        <v>57207</v>
      </c>
      <c r="D2861">
        <v>60976</v>
      </c>
      <c r="E2861">
        <v>113062399</v>
      </c>
      <c r="F2861">
        <v>73767417</v>
      </c>
      <c r="G2861">
        <v>186829816</v>
      </c>
      <c r="H2861">
        <v>36671</v>
      </c>
      <c r="I2861">
        <v>8842</v>
      </c>
      <c r="J2861">
        <v>45513</v>
      </c>
      <c r="K2861" t="b">
        <f>TrafficData[[#This Row],[disposedChallan]]+TrafficData[[#This Row],[pendingChallan]]=TrafficData[[#This Row],[totalChallan]]</f>
        <v>1</v>
      </c>
      <c r="L2861" t="b">
        <f>TrafficData[[#This Row],[pendingAmount]]+TrafficData[[#This Row],[disposedAmount]]=TrafficData[[#This Row],[totalAmount]]</f>
        <v>1</v>
      </c>
      <c r="M2861" t="b">
        <f>TrafficData[[#This Row],[pendingCourt]]+TrafficData[[#This Row],[disposedCourt]]=TrafficData[[#This Row],[totalCourt]]</f>
        <v>1</v>
      </c>
      <c r="N2861" s="8" t="b">
        <f>AND(TrafficData[[#This Row],[disposedChallan]]&lt;=TrafficData[[#This Row],[totalChallan]],TrafficData[[#This Row],[pendingChallan]]&lt;=TrafficData[[#This Row],[totalChallan]])</f>
        <v>1</v>
      </c>
      <c r="O2861" s="8" t="b">
        <f>AND(TrafficData[[#This Row],[pendingAmount]]&lt;=TrafficData[[#This Row],[totalAmount]],TrafficData[[#This Row],[disposedAmount]]&lt;=TrafficData[[#This Row],[totalAmount]])</f>
        <v>1</v>
      </c>
      <c r="P2861" s="8" t="b">
        <f>AND(TrafficData[[#This Row],[pendingCourt]]&lt;=TrafficData[[#This Row],[totalCourt]],TrafficData[[#This Row],[disposedCourt]]&lt;=TrafficData[[#This Row],[totalCourt]])</f>
        <v>1</v>
      </c>
    </row>
    <row r="2862" spans="1:16">
      <c r="A2862" s="1">
        <v>44866</v>
      </c>
      <c r="B2862">
        <v>132407</v>
      </c>
      <c r="C2862">
        <v>66780</v>
      </c>
      <c r="D2862">
        <v>65627</v>
      </c>
      <c r="E2862">
        <v>118816759</v>
      </c>
      <c r="F2862">
        <v>105919677</v>
      </c>
      <c r="G2862">
        <v>224736436</v>
      </c>
      <c r="H2862">
        <v>44035</v>
      </c>
      <c r="I2862">
        <v>10201</v>
      </c>
      <c r="J2862">
        <v>54236</v>
      </c>
      <c r="K2862" t="b">
        <f>TrafficData[[#This Row],[disposedChallan]]+TrafficData[[#This Row],[pendingChallan]]=TrafficData[[#This Row],[totalChallan]]</f>
        <v>1</v>
      </c>
      <c r="L2862" t="b">
        <f>TrafficData[[#This Row],[pendingAmount]]+TrafficData[[#This Row],[disposedAmount]]=TrafficData[[#This Row],[totalAmount]]</f>
        <v>1</v>
      </c>
      <c r="M2862" t="b">
        <f>TrafficData[[#This Row],[pendingCourt]]+TrafficData[[#This Row],[disposedCourt]]=TrafficData[[#This Row],[totalCourt]]</f>
        <v>1</v>
      </c>
      <c r="N2862" s="8" t="b">
        <f>AND(TrafficData[[#This Row],[disposedChallan]]&lt;=TrafficData[[#This Row],[totalChallan]],TrafficData[[#This Row],[pendingChallan]]&lt;=TrafficData[[#This Row],[totalChallan]])</f>
        <v>1</v>
      </c>
      <c r="O2862" s="8" t="b">
        <f>AND(TrafficData[[#This Row],[pendingAmount]]&lt;=TrafficData[[#This Row],[totalAmount]],TrafficData[[#This Row],[disposedAmount]]&lt;=TrafficData[[#This Row],[totalAmount]])</f>
        <v>1</v>
      </c>
      <c r="P2862" s="8" t="b">
        <f>AND(TrafficData[[#This Row],[pendingCourt]]&lt;=TrafficData[[#This Row],[totalCourt]],TrafficData[[#This Row],[disposedCourt]]&lt;=TrafficData[[#This Row],[totalCourt]])</f>
        <v>1</v>
      </c>
    </row>
    <row r="2863" spans="1:16">
      <c r="A2863" s="1">
        <v>44867</v>
      </c>
      <c r="B2863">
        <v>149677</v>
      </c>
      <c r="C2863">
        <v>73432</v>
      </c>
      <c r="D2863">
        <v>76245</v>
      </c>
      <c r="E2863">
        <v>133274824</v>
      </c>
      <c r="F2863">
        <v>122361812</v>
      </c>
      <c r="G2863">
        <v>255636636</v>
      </c>
      <c r="H2863">
        <v>46687</v>
      </c>
      <c r="I2863">
        <v>11229</v>
      </c>
      <c r="J2863">
        <v>57916</v>
      </c>
      <c r="K2863" t="b">
        <f>TrafficData[[#This Row],[disposedChallan]]+TrafficData[[#This Row],[pendingChallan]]=TrafficData[[#This Row],[totalChallan]]</f>
        <v>1</v>
      </c>
      <c r="L2863" t="b">
        <f>TrafficData[[#This Row],[pendingAmount]]+TrafficData[[#This Row],[disposedAmount]]=TrafficData[[#This Row],[totalAmount]]</f>
        <v>1</v>
      </c>
      <c r="M2863" t="b">
        <f>TrafficData[[#This Row],[pendingCourt]]+TrafficData[[#This Row],[disposedCourt]]=TrafficData[[#This Row],[totalCourt]]</f>
        <v>1</v>
      </c>
      <c r="N2863" s="8" t="b">
        <f>AND(TrafficData[[#This Row],[disposedChallan]]&lt;=TrafficData[[#This Row],[totalChallan]],TrafficData[[#This Row],[pendingChallan]]&lt;=TrafficData[[#This Row],[totalChallan]])</f>
        <v>1</v>
      </c>
      <c r="O2863" s="8" t="b">
        <f>AND(TrafficData[[#This Row],[pendingAmount]]&lt;=TrafficData[[#This Row],[totalAmount]],TrafficData[[#This Row],[disposedAmount]]&lt;=TrafficData[[#This Row],[totalAmount]])</f>
        <v>1</v>
      </c>
      <c r="P2863" s="8" t="b">
        <f>AND(TrafficData[[#This Row],[pendingCourt]]&lt;=TrafficData[[#This Row],[totalCourt]],TrafficData[[#This Row],[disposedCourt]]&lt;=TrafficData[[#This Row],[totalCourt]])</f>
        <v>1</v>
      </c>
    </row>
    <row r="2864" spans="1:16">
      <c r="A2864" s="1">
        <v>44868</v>
      </c>
      <c r="B2864">
        <v>155167</v>
      </c>
      <c r="C2864">
        <v>74451</v>
      </c>
      <c r="D2864">
        <v>80716</v>
      </c>
      <c r="E2864">
        <v>150434732</v>
      </c>
      <c r="F2864">
        <v>125584254</v>
      </c>
      <c r="G2864">
        <v>276018986</v>
      </c>
      <c r="H2864">
        <v>53179</v>
      </c>
      <c r="I2864">
        <v>11870</v>
      </c>
      <c r="J2864">
        <v>65049</v>
      </c>
      <c r="K2864" t="b">
        <f>TrafficData[[#This Row],[disposedChallan]]+TrafficData[[#This Row],[pendingChallan]]=TrafficData[[#This Row],[totalChallan]]</f>
        <v>1</v>
      </c>
      <c r="L2864" t="b">
        <f>TrafficData[[#This Row],[pendingAmount]]+TrafficData[[#This Row],[disposedAmount]]=TrafficData[[#This Row],[totalAmount]]</f>
        <v>1</v>
      </c>
      <c r="M2864" t="b">
        <f>TrafficData[[#This Row],[pendingCourt]]+TrafficData[[#This Row],[disposedCourt]]=TrafficData[[#This Row],[totalCourt]]</f>
        <v>1</v>
      </c>
      <c r="N2864" s="8" t="b">
        <f>AND(TrafficData[[#This Row],[disposedChallan]]&lt;=TrafficData[[#This Row],[totalChallan]],TrafficData[[#This Row],[pendingChallan]]&lt;=TrafficData[[#This Row],[totalChallan]])</f>
        <v>1</v>
      </c>
      <c r="O2864" s="8" t="b">
        <f>AND(TrafficData[[#This Row],[pendingAmount]]&lt;=TrafficData[[#This Row],[totalAmount]],TrafficData[[#This Row],[disposedAmount]]&lt;=TrafficData[[#This Row],[totalAmount]])</f>
        <v>1</v>
      </c>
      <c r="P2864" s="8" t="b">
        <f>AND(TrafficData[[#This Row],[pendingCourt]]&lt;=TrafficData[[#This Row],[totalCourt]],TrafficData[[#This Row],[disposedCourt]]&lt;=TrafficData[[#This Row],[totalCourt]])</f>
        <v>1</v>
      </c>
    </row>
    <row r="2865" spans="1:16">
      <c r="A2865" s="1">
        <v>44869</v>
      </c>
      <c r="B2865">
        <v>147741</v>
      </c>
      <c r="C2865">
        <v>71256</v>
      </c>
      <c r="D2865">
        <v>76485</v>
      </c>
      <c r="E2865">
        <v>142541004</v>
      </c>
      <c r="F2865">
        <v>119058635</v>
      </c>
      <c r="G2865">
        <v>261599639</v>
      </c>
      <c r="H2865">
        <v>45199</v>
      </c>
      <c r="I2865">
        <v>11134</v>
      </c>
      <c r="J2865">
        <v>56333</v>
      </c>
      <c r="K2865" t="b">
        <f>TrafficData[[#This Row],[disposedChallan]]+TrafficData[[#This Row],[pendingChallan]]=TrafficData[[#This Row],[totalChallan]]</f>
        <v>1</v>
      </c>
      <c r="L2865" t="b">
        <f>TrafficData[[#This Row],[pendingAmount]]+TrafficData[[#This Row],[disposedAmount]]=TrafficData[[#This Row],[totalAmount]]</f>
        <v>1</v>
      </c>
      <c r="M2865" t="b">
        <f>TrafficData[[#This Row],[pendingCourt]]+TrafficData[[#This Row],[disposedCourt]]=TrafficData[[#This Row],[totalCourt]]</f>
        <v>1</v>
      </c>
      <c r="N2865" s="8" t="b">
        <f>AND(TrafficData[[#This Row],[disposedChallan]]&lt;=TrafficData[[#This Row],[totalChallan]],TrafficData[[#This Row],[pendingChallan]]&lt;=TrafficData[[#This Row],[totalChallan]])</f>
        <v>1</v>
      </c>
      <c r="O2865" s="8" t="b">
        <f>AND(TrafficData[[#This Row],[pendingAmount]]&lt;=TrafficData[[#This Row],[totalAmount]],TrafficData[[#This Row],[disposedAmount]]&lt;=TrafficData[[#This Row],[totalAmount]])</f>
        <v>1</v>
      </c>
      <c r="P2865" s="8" t="b">
        <f>AND(TrafficData[[#This Row],[pendingCourt]]&lt;=TrafficData[[#This Row],[totalCourt]],TrafficData[[#This Row],[disposedCourt]]&lt;=TrafficData[[#This Row],[totalCourt]])</f>
        <v>1</v>
      </c>
    </row>
    <row r="2866" spans="1:16">
      <c r="A2866" s="1">
        <v>44870</v>
      </c>
      <c r="B2866">
        <v>151497</v>
      </c>
      <c r="C2866">
        <v>73152</v>
      </c>
      <c r="D2866">
        <v>78345</v>
      </c>
      <c r="E2866">
        <v>142854940</v>
      </c>
      <c r="F2866">
        <v>115169653</v>
      </c>
      <c r="G2866">
        <v>258024593</v>
      </c>
      <c r="H2866">
        <v>50950</v>
      </c>
      <c r="I2866">
        <v>12014</v>
      </c>
      <c r="J2866">
        <v>62964</v>
      </c>
      <c r="K2866" t="b">
        <f>TrafficData[[#This Row],[disposedChallan]]+TrafficData[[#This Row],[pendingChallan]]=TrafficData[[#This Row],[totalChallan]]</f>
        <v>1</v>
      </c>
      <c r="L2866" t="b">
        <f>TrafficData[[#This Row],[pendingAmount]]+TrafficData[[#This Row],[disposedAmount]]=TrafficData[[#This Row],[totalAmount]]</f>
        <v>1</v>
      </c>
      <c r="M2866" t="b">
        <f>TrafficData[[#This Row],[pendingCourt]]+TrafficData[[#This Row],[disposedCourt]]=TrafficData[[#This Row],[totalCourt]]</f>
        <v>1</v>
      </c>
      <c r="N2866" s="8" t="b">
        <f>AND(TrafficData[[#This Row],[disposedChallan]]&lt;=TrafficData[[#This Row],[totalChallan]],TrafficData[[#This Row],[pendingChallan]]&lt;=TrafficData[[#This Row],[totalChallan]])</f>
        <v>1</v>
      </c>
      <c r="O2866" s="8" t="b">
        <f>AND(TrafficData[[#This Row],[pendingAmount]]&lt;=TrafficData[[#This Row],[totalAmount]],TrafficData[[#This Row],[disposedAmount]]&lt;=TrafficData[[#This Row],[totalAmount]])</f>
        <v>1</v>
      </c>
      <c r="P2866" s="8" t="b">
        <f>AND(TrafficData[[#This Row],[pendingCourt]]&lt;=TrafficData[[#This Row],[totalCourt]],TrafficData[[#This Row],[disposedCourt]]&lt;=TrafficData[[#This Row],[totalCourt]])</f>
        <v>1</v>
      </c>
    </row>
    <row r="2867" spans="1:16">
      <c r="A2867" s="1">
        <v>44871</v>
      </c>
      <c r="B2867">
        <v>131562</v>
      </c>
      <c r="C2867">
        <v>61770</v>
      </c>
      <c r="D2867">
        <v>69792</v>
      </c>
      <c r="E2867">
        <v>121561239</v>
      </c>
      <c r="F2867">
        <v>83518713</v>
      </c>
      <c r="G2867">
        <v>205079952</v>
      </c>
      <c r="H2867">
        <v>47212</v>
      </c>
      <c r="I2867">
        <v>10565</v>
      </c>
      <c r="J2867">
        <v>57777</v>
      </c>
      <c r="K2867" t="b">
        <f>TrafficData[[#This Row],[disposedChallan]]+TrafficData[[#This Row],[pendingChallan]]=TrafficData[[#This Row],[totalChallan]]</f>
        <v>1</v>
      </c>
      <c r="L2867" t="b">
        <f>TrafficData[[#This Row],[pendingAmount]]+TrafficData[[#This Row],[disposedAmount]]=TrafficData[[#This Row],[totalAmount]]</f>
        <v>1</v>
      </c>
      <c r="M2867" t="b">
        <f>TrafficData[[#This Row],[pendingCourt]]+TrafficData[[#This Row],[disposedCourt]]=TrafficData[[#This Row],[totalCourt]]</f>
        <v>1</v>
      </c>
      <c r="N2867" s="8" t="b">
        <f>AND(TrafficData[[#This Row],[disposedChallan]]&lt;=TrafficData[[#This Row],[totalChallan]],TrafficData[[#This Row],[pendingChallan]]&lt;=TrafficData[[#This Row],[totalChallan]])</f>
        <v>1</v>
      </c>
      <c r="O2867" s="8" t="b">
        <f>AND(TrafficData[[#This Row],[pendingAmount]]&lt;=TrafficData[[#This Row],[totalAmount]],TrafficData[[#This Row],[disposedAmount]]&lt;=TrafficData[[#This Row],[totalAmount]])</f>
        <v>1</v>
      </c>
      <c r="P2867" s="8" t="b">
        <f>AND(TrafficData[[#This Row],[pendingCourt]]&lt;=TrafficData[[#This Row],[totalCourt]],TrafficData[[#This Row],[disposedCourt]]&lt;=TrafficData[[#This Row],[totalCourt]])</f>
        <v>1</v>
      </c>
    </row>
    <row r="2868" spans="1:16">
      <c r="A2868" s="1">
        <v>44872</v>
      </c>
      <c r="B2868">
        <v>144549</v>
      </c>
      <c r="C2868">
        <v>68875</v>
      </c>
      <c r="D2868">
        <v>75674</v>
      </c>
      <c r="E2868">
        <v>139902873</v>
      </c>
      <c r="F2868">
        <v>107124306</v>
      </c>
      <c r="G2868">
        <v>247027179</v>
      </c>
      <c r="H2868">
        <v>49466</v>
      </c>
      <c r="I2868">
        <v>11146</v>
      </c>
      <c r="J2868">
        <v>60612</v>
      </c>
      <c r="K2868" t="b">
        <f>TrafficData[[#This Row],[disposedChallan]]+TrafficData[[#This Row],[pendingChallan]]=TrafficData[[#This Row],[totalChallan]]</f>
        <v>1</v>
      </c>
      <c r="L2868" t="b">
        <f>TrafficData[[#This Row],[pendingAmount]]+TrafficData[[#This Row],[disposedAmount]]=TrafficData[[#This Row],[totalAmount]]</f>
        <v>1</v>
      </c>
      <c r="M2868" t="b">
        <f>TrafficData[[#This Row],[pendingCourt]]+TrafficData[[#This Row],[disposedCourt]]=TrafficData[[#This Row],[totalCourt]]</f>
        <v>1</v>
      </c>
      <c r="N2868" s="8" t="b">
        <f>AND(TrafficData[[#This Row],[disposedChallan]]&lt;=TrafficData[[#This Row],[totalChallan]],TrafficData[[#This Row],[pendingChallan]]&lt;=TrafficData[[#This Row],[totalChallan]])</f>
        <v>1</v>
      </c>
      <c r="O2868" s="8" t="b">
        <f>AND(TrafficData[[#This Row],[pendingAmount]]&lt;=TrafficData[[#This Row],[totalAmount]],TrafficData[[#This Row],[disposedAmount]]&lt;=TrafficData[[#This Row],[totalAmount]])</f>
        <v>1</v>
      </c>
      <c r="P2868" s="8" t="b">
        <f>AND(TrafficData[[#This Row],[pendingCourt]]&lt;=TrafficData[[#This Row],[totalCourt]],TrafficData[[#This Row],[disposedCourt]]&lt;=TrafficData[[#This Row],[totalCourt]])</f>
        <v>1</v>
      </c>
    </row>
    <row r="2869" spans="1:16">
      <c r="A2869" s="1">
        <v>44873</v>
      </c>
      <c r="B2869">
        <v>138019</v>
      </c>
      <c r="C2869">
        <v>66921</v>
      </c>
      <c r="D2869">
        <v>71098</v>
      </c>
      <c r="E2869">
        <v>127099684</v>
      </c>
      <c r="F2869">
        <v>107018919</v>
      </c>
      <c r="G2869">
        <v>234118603</v>
      </c>
      <c r="H2869">
        <v>46480</v>
      </c>
      <c r="I2869">
        <v>11066</v>
      </c>
      <c r="J2869">
        <v>57546</v>
      </c>
      <c r="K2869" t="b">
        <f>TrafficData[[#This Row],[disposedChallan]]+TrafficData[[#This Row],[pendingChallan]]=TrafficData[[#This Row],[totalChallan]]</f>
        <v>1</v>
      </c>
      <c r="L2869" t="b">
        <f>TrafficData[[#This Row],[pendingAmount]]+TrafficData[[#This Row],[disposedAmount]]=TrafficData[[#This Row],[totalAmount]]</f>
        <v>1</v>
      </c>
      <c r="M2869" t="b">
        <f>TrafficData[[#This Row],[pendingCourt]]+TrafficData[[#This Row],[disposedCourt]]=TrafficData[[#This Row],[totalCourt]]</f>
        <v>1</v>
      </c>
      <c r="N2869" s="8" t="b">
        <f>AND(TrafficData[[#This Row],[disposedChallan]]&lt;=TrafficData[[#This Row],[totalChallan]],TrafficData[[#This Row],[pendingChallan]]&lt;=TrafficData[[#This Row],[totalChallan]])</f>
        <v>1</v>
      </c>
      <c r="O2869" s="8" t="b">
        <f>AND(TrafficData[[#This Row],[pendingAmount]]&lt;=TrafficData[[#This Row],[totalAmount]],TrafficData[[#This Row],[disposedAmount]]&lt;=TrafficData[[#This Row],[totalAmount]])</f>
        <v>1</v>
      </c>
      <c r="P2869" s="8" t="b">
        <f>AND(TrafficData[[#This Row],[pendingCourt]]&lt;=TrafficData[[#This Row],[totalCourt]],TrafficData[[#This Row],[disposedCourt]]&lt;=TrafficData[[#This Row],[totalCourt]])</f>
        <v>1</v>
      </c>
    </row>
    <row r="2870" spans="1:16">
      <c r="A2870" s="1">
        <v>44874</v>
      </c>
      <c r="B2870">
        <v>139201</v>
      </c>
      <c r="C2870">
        <v>68572</v>
      </c>
      <c r="D2870">
        <v>70629</v>
      </c>
      <c r="E2870">
        <v>131169060</v>
      </c>
      <c r="F2870">
        <v>112566443</v>
      </c>
      <c r="G2870">
        <v>243735503</v>
      </c>
      <c r="H2870">
        <v>46574</v>
      </c>
      <c r="I2870">
        <v>11073</v>
      </c>
      <c r="J2870">
        <v>57647</v>
      </c>
      <c r="K2870" t="b">
        <f>TrafficData[[#This Row],[disposedChallan]]+TrafficData[[#This Row],[pendingChallan]]=TrafficData[[#This Row],[totalChallan]]</f>
        <v>1</v>
      </c>
      <c r="L2870" t="b">
        <f>TrafficData[[#This Row],[pendingAmount]]+TrafficData[[#This Row],[disposedAmount]]=TrafficData[[#This Row],[totalAmount]]</f>
        <v>1</v>
      </c>
      <c r="M2870" t="b">
        <f>TrafficData[[#This Row],[pendingCourt]]+TrafficData[[#This Row],[disposedCourt]]=TrafficData[[#This Row],[totalCourt]]</f>
        <v>1</v>
      </c>
      <c r="N2870" s="8" t="b">
        <f>AND(TrafficData[[#This Row],[disposedChallan]]&lt;=TrafficData[[#This Row],[totalChallan]],TrafficData[[#This Row],[pendingChallan]]&lt;=TrafficData[[#This Row],[totalChallan]])</f>
        <v>1</v>
      </c>
      <c r="O2870" s="8" t="b">
        <f>AND(TrafficData[[#This Row],[pendingAmount]]&lt;=TrafficData[[#This Row],[totalAmount]],TrafficData[[#This Row],[disposedAmount]]&lt;=TrafficData[[#This Row],[totalAmount]])</f>
        <v>1</v>
      </c>
      <c r="P2870" s="8" t="b">
        <f>AND(TrafficData[[#This Row],[pendingCourt]]&lt;=TrafficData[[#This Row],[totalCourt]],TrafficData[[#This Row],[disposedCourt]]&lt;=TrafficData[[#This Row],[totalCourt]])</f>
        <v>1</v>
      </c>
    </row>
    <row r="2871" spans="1:16">
      <c r="A2871" s="1">
        <v>44875</v>
      </c>
      <c r="B2871">
        <v>146205</v>
      </c>
      <c r="C2871">
        <v>70070</v>
      </c>
      <c r="D2871">
        <v>76135</v>
      </c>
      <c r="E2871">
        <v>141084756</v>
      </c>
      <c r="F2871">
        <v>120356049</v>
      </c>
      <c r="G2871">
        <v>261440805</v>
      </c>
      <c r="H2871">
        <v>53579</v>
      </c>
      <c r="I2871">
        <v>12601</v>
      </c>
      <c r="J2871">
        <v>66180</v>
      </c>
      <c r="K2871" t="b">
        <f>TrafficData[[#This Row],[disposedChallan]]+TrafficData[[#This Row],[pendingChallan]]=TrafficData[[#This Row],[totalChallan]]</f>
        <v>1</v>
      </c>
      <c r="L2871" t="b">
        <f>TrafficData[[#This Row],[pendingAmount]]+TrafficData[[#This Row],[disposedAmount]]=TrafficData[[#This Row],[totalAmount]]</f>
        <v>1</v>
      </c>
      <c r="M2871" t="b">
        <f>TrafficData[[#This Row],[pendingCourt]]+TrafficData[[#This Row],[disposedCourt]]=TrafficData[[#This Row],[totalCourt]]</f>
        <v>1</v>
      </c>
      <c r="N2871" s="8" t="b">
        <f>AND(TrafficData[[#This Row],[disposedChallan]]&lt;=TrafficData[[#This Row],[totalChallan]],TrafficData[[#This Row],[pendingChallan]]&lt;=TrafficData[[#This Row],[totalChallan]])</f>
        <v>1</v>
      </c>
      <c r="O2871" s="8" t="b">
        <f>AND(TrafficData[[#This Row],[pendingAmount]]&lt;=TrafficData[[#This Row],[totalAmount]],TrafficData[[#This Row],[disposedAmount]]&lt;=TrafficData[[#This Row],[totalAmount]])</f>
        <v>1</v>
      </c>
      <c r="P2871" s="8" t="b">
        <f>AND(TrafficData[[#This Row],[pendingCourt]]&lt;=TrafficData[[#This Row],[totalCourt]],TrafficData[[#This Row],[disposedCourt]]&lt;=TrafficData[[#This Row],[totalCourt]])</f>
        <v>1</v>
      </c>
    </row>
    <row r="2872" spans="1:16">
      <c r="A2872" s="1">
        <v>44876</v>
      </c>
      <c r="B2872">
        <v>138937</v>
      </c>
      <c r="C2872">
        <v>67527</v>
      </c>
      <c r="D2872">
        <v>71410</v>
      </c>
      <c r="E2872">
        <v>136106002</v>
      </c>
      <c r="F2872">
        <v>114167236</v>
      </c>
      <c r="G2872">
        <v>250273238</v>
      </c>
      <c r="H2872">
        <v>55433</v>
      </c>
      <c r="I2872">
        <v>12961</v>
      </c>
      <c r="J2872">
        <v>68394</v>
      </c>
      <c r="K2872" t="b">
        <f>TrafficData[[#This Row],[disposedChallan]]+TrafficData[[#This Row],[pendingChallan]]=TrafficData[[#This Row],[totalChallan]]</f>
        <v>1</v>
      </c>
      <c r="L2872" t="b">
        <f>TrafficData[[#This Row],[pendingAmount]]+TrafficData[[#This Row],[disposedAmount]]=TrafficData[[#This Row],[totalAmount]]</f>
        <v>1</v>
      </c>
      <c r="M2872" t="b">
        <f>TrafficData[[#This Row],[pendingCourt]]+TrafficData[[#This Row],[disposedCourt]]=TrafficData[[#This Row],[totalCourt]]</f>
        <v>1</v>
      </c>
      <c r="N2872" s="8" t="b">
        <f>AND(TrafficData[[#This Row],[disposedChallan]]&lt;=TrafficData[[#This Row],[totalChallan]],TrafficData[[#This Row],[pendingChallan]]&lt;=TrafficData[[#This Row],[totalChallan]])</f>
        <v>1</v>
      </c>
      <c r="O2872" s="8" t="b">
        <f>AND(TrafficData[[#This Row],[pendingAmount]]&lt;=TrafficData[[#This Row],[totalAmount]],TrafficData[[#This Row],[disposedAmount]]&lt;=TrafficData[[#This Row],[totalAmount]])</f>
        <v>1</v>
      </c>
      <c r="P2872" s="8" t="b">
        <f>AND(TrafficData[[#This Row],[pendingCourt]]&lt;=TrafficData[[#This Row],[totalCourt]],TrafficData[[#This Row],[disposedCourt]]&lt;=TrafficData[[#This Row],[totalCourt]])</f>
        <v>1</v>
      </c>
    </row>
    <row r="2873" spans="1:16">
      <c r="A2873" s="1">
        <v>44877</v>
      </c>
      <c r="B2873">
        <v>141428</v>
      </c>
      <c r="C2873">
        <v>65531</v>
      </c>
      <c r="D2873">
        <v>75897</v>
      </c>
      <c r="E2873">
        <v>129388305</v>
      </c>
      <c r="F2873">
        <v>93290140</v>
      </c>
      <c r="G2873">
        <v>222678445</v>
      </c>
      <c r="H2873">
        <v>50962</v>
      </c>
      <c r="I2873">
        <v>12611</v>
      </c>
      <c r="J2873">
        <v>63573</v>
      </c>
      <c r="K2873" t="b">
        <f>TrafficData[[#This Row],[disposedChallan]]+TrafficData[[#This Row],[pendingChallan]]=TrafficData[[#This Row],[totalChallan]]</f>
        <v>1</v>
      </c>
      <c r="L2873" t="b">
        <f>TrafficData[[#This Row],[pendingAmount]]+TrafficData[[#This Row],[disposedAmount]]=TrafficData[[#This Row],[totalAmount]]</f>
        <v>1</v>
      </c>
      <c r="M2873" t="b">
        <f>TrafficData[[#This Row],[pendingCourt]]+TrafficData[[#This Row],[disposedCourt]]=TrafficData[[#This Row],[totalCourt]]</f>
        <v>1</v>
      </c>
      <c r="N2873" s="8" t="b">
        <f>AND(TrafficData[[#This Row],[disposedChallan]]&lt;=TrafficData[[#This Row],[totalChallan]],TrafficData[[#This Row],[pendingChallan]]&lt;=TrafficData[[#This Row],[totalChallan]])</f>
        <v>1</v>
      </c>
      <c r="O2873" s="8" t="b">
        <f>AND(TrafficData[[#This Row],[pendingAmount]]&lt;=TrafficData[[#This Row],[totalAmount]],TrafficData[[#This Row],[disposedAmount]]&lt;=TrafficData[[#This Row],[totalAmount]])</f>
        <v>1</v>
      </c>
      <c r="P2873" s="8" t="b">
        <f>AND(TrafficData[[#This Row],[pendingCourt]]&lt;=TrafficData[[#This Row],[totalCourt]],TrafficData[[#This Row],[disposedCourt]]&lt;=TrafficData[[#This Row],[totalCourt]])</f>
        <v>1</v>
      </c>
    </row>
    <row r="2874" spans="1:16">
      <c r="A2874" s="1">
        <v>44878</v>
      </c>
      <c r="B2874">
        <v>140421</v>
      </c>
      <c r="C2874">
        <v>61747</v>
      </c>
      <c r="D2874">
        <v>78674</v>
      </c>
      <c r="E2874">
        <v>123583549</v>
      </c>
      <c r="F2874">
        <v>80226254</v>
      </c>
      <c r="G2874">
        <v>203809803</v>
      </c>
      <c r="H2874">
        <v>47636</v>
      </c>
      <c r="I2874">
        <v>11699</v>
      </c>
      <c r="J2874">
        <v>59335</v>
      </c>
      <c r="K2874" t="b">
        <f>TrafficData[[#This Row],[disposedChallan]]+TrafficData[[#This Row],[pendingChallan]]=TrafficData[[#This Row],[totalChallan]]</f>
        <v>1</v>
      </c>
      <c r="L2874" t="b">
        <f>TrafficData[[#This Row],[pendingAmount]]+TrafficData[[#This Row],[disposedAmount]]=TrafficData[[#This Row],[totalAmount]]</f>
        <v>1</v>
      </c>
      <c r="M2874" t="b">
        <f>TrafficData[[#This Row],[pendingCourt]]+TrafficData[[#This Row],[disposedCourt]]=TrafficData[[#This Row],[totalCourt]]</f>
        <v>1</v>
      </c>
      <c r="N2874" s="8" t="b">
        <f>AND(TrafficData[[#This Row],[disposedChallan]]&lt;=TrafficData[[#This Row],[totalChallan]],TrafficData[[#This Row],[pendingChallan]]&lt;=TrafficData[[#This Row],[totalChallan]])</f>
        <v>1</v>
      </c>
      <c r="O2874" s="8" t="b">
        <f>AND(TrafficData[[#This Row],[pendingAmount]]&lt;=TrafficData[[#This Row],[totalAmount]],TrafficData[[#This Row],[disposedAmount]]&lt;=TrafficData[[#This Row],[totalAmount]])</f>
        <v>1</v>
      </c>
      <c r="P2874" s="8" t="b">
        <f>AND(TrafficData[[#This Row],[pendingCourt]]&lt;=TrafficData[[#This Row],[totalCourt]],TrafficData[[#This Row],[disposedCourt]]&lt;=TrafficData[[#This Row],[totalCourt]])</f>
        <v>1</v>
      </c>
    </row>
    <row r="2875" spans="1:16">
      <c r="A2875" s="1">
        <v>44879</v>
      </c>
      <c r="B2875">
        <v>152900</v>
      </c>
      <c r="C2875">
        <v>68947</v>
      </c>
      <c r="D2875">
        <v>83953</v>
      </c>
      <c r="E2875">
        <v>146824113</v>
      </c>
      <c r="F2875">
        <v>103210229</v>
      </c>
      <c r="G2875">
        <v>250034342</v>
      </c>
      <c r="H2875">
        <v>54761</v>
      </c>
      <c r="I2875">
        <v>12087</v>
      </c>
      <c r="J2875">
        <v>66848</v>
      </c>
      <c r="K2875" t="b">
        <f>TrafficData[[#This Row],[disposedChallan]]+TrafficData[[#This Row],[pendingChallan]]=TrafficData[[#This Row],[totalChallan]]</f>
        <v>1</v>
      </c>
      <c r="L2875" t="b">
        <f>TrafficData[[#This Row],[pendingAmount]]+TrafficData[[#This Row],[disposedAmount]]=TrafficData[[#This Row],[totalAmount]]</f>
        <v>1</v>
      </c>
      <c r="M2875" t="b">
        <f>TrafficData[[#This Row],[pendingCourt]]+TrafficData[[#This Row],[disposedCourt]]=TrafficData[[#This Row],[totalCourt]]</f>
        <v>1</v>
      </c>
      <c r="N2875" s="8" t="b">
        <f>AND(TrafficData[[#This Row],[disposedChallan]]&lt;=TrafficData[[#This Row],[totalChallan]],TrafficData[[#This Row],[pendingChallan]]&lt;=TrafficData[[#This Row],[totalChallan]])</f>
        <v>1</v>
      </c>
      <c r="O2875" s="8" t="b">
        <f>AND(TrafficData[[#This Row],[pendingAmount]]&lt;=TrafficData[[#This Row],[totalAmount]],TrafficData[[#This Row],[disposedAmount]]&lt;=TrafficData[[#This Row],[totalAmount]])</f>
        <v>1</v>
      </c>
      <c r="P2875" s="8" t="b">
        <f>AND(TrafficData[[#This Row],[pendingCourt]]&lt;=TrafficData[[#This Row],[totalCourt]],TrafficData[[#This Row],[disposedCourt]]&lt;=TrafficData[[#This Row],[totalCourt]])</f>
        <v>1</v>
      </c>
    </row>
    <row r="2876" spans="1:16">
      <c r="A2876" s="1">
        <v>44880</v>
      </c>
      <c r="B2876">
        <v>159278</v>
      </c>
      <c r="C2876">
        <v>72239</v>
      </c>
      <c r="D2876">
        <v>87039</v>
      </c>
      <c r="E2876">
        <v>153753966</v>
      </c>
      <c r="F2876">
        <v>116747265</v>
      </c>
      <c r="G2876">
        <v>270501231</v>
      </c>
      <c r="H2876">
        <v>52390</v>
      </c>
      <c r="I2876">
        <v>12736</v>
      </c>
      <c r="J2876">
        <v>65126</v>
      </c>
      <c r="K2876" t="b">
        <f>TrafficData[[#This Row],[disposedChallan]]+TrafficData[[#This Row],[pendingChallan]]=TrafficData[[#This Row],[totalChallan]]</f>
        <v>1</v>
      </c>
      <c r="L2876" t="b">
        <f>TrafficData[[#This Row],[pendingAmount]]+TrafficData[[#This Row],[disposedAmount]]=TrafficData[[#This Row],[totalAmount]]</f>
        <v>1</v>
      </c>
      <c r="M2876" t="b">
        <f>TrafficData[[#This Row],[pendingCourt]]+TrafficData[[#This Row],[disposedCourt]]=TrafficData[[#This Row],[totalCourt]]</f>
        <v>1</v>
      </c>
      <c r="N2876" s="8" t="b">
        <f>AND(TrafficData[[#This Row],[disposedChallan]]&lt;=TrafficData[[#This Row],[totalChallan]],TrafficData[[#This Row],[pendingChallan]]&lt;=TrafficData[[#This Row],[totalChallan]])</f>
        <v>1</v>
      </c>
      <c r="O2876" s="8" t="b">
        <f>AND(TrafficData[[#This Row],[pendingAmount]]&lt;=TrafficData[[#This Row],[totalAmount]],TrafficData[[#This Row],[disposedAmount]]&lt;=TrafficData[[#This Row],[totalAmount]])</f>
        <v>1</v>
      </c>
      <c r="P2876" s="8" t="b">
        <f>AND(TrafficData[[#This Row],[pendingCourt]]&lt;=TrafficData[[#This Row],[totalCourt]],TrafficData[[#This Row],[disposedCourt]]&lt;=TrafficData[[#This Row],[totalCourt]])</f>
        <v>1</v>
      </c>
    </row>
    <row r="2877" spans="1:16">
      <c r="A2877" s="1">
        <v>44881</v>
      </c>
      <c r="B2877">
        <v>149355</v>
      </c>
      <c r="C2877">
        <v>69975</v>
      </c>
      <c r="D2877">
        <v>79380</v>
      </c>
      <c r="E2877">
        <v>144588414</v>
      </c>
      <c r="F2877">
        <v>120301487</v>
      </c>
      <c r="G2877">
        <v>264889901</v>
      </c>
      <c r="H2877">
        <v>53043</v>
      </c>
      <c r="I2877">
        <v>11969</v>
      </c>
      <c r="J2877">
        <v>65012</v>
      </c>
      <c r="K2877" t="b">
        <f>TrafficData[[#This Row],[disposedChallan]]+TrafficData[[#This Row],[pendingChallan]]=TrafficData[[#This Row],[totalChallan]]</f>
        <v>1</v>
      </c>
      <c r="L2877" t="b">
        <f>TrafficData[[#This Row],[pendingAmount]]+TrafficData[[#This Row],[disposedAmount]]=TrafficData[[#This Row],[totalAmount]]</f>
        <v>1</v>
      </c>
      <c r="M2877" t="b">
        <f>TrafficData[[#This Row],[pendingCourt]]+TrafficData[[#This Row],[disposedCourt]]=TrafficData[[#This Row],[totalCourt]]</f>
        <v>1</v>
      </c>
      <c r="N2877" s="8" t="b">
        <f>AND(TrafficData[[#This Row],[disposedChallan]]&lt;=TrafficData[[#This Row],[totalChallan]],TrafficData[[#This Row],[pendingChallan]]&lt;=TrafficData[[#This Row],[totalChallan]])</f>
        <v>1</v>
      </c>
      <c r="O2877" s="8" t="b">
        <f>AND(TrafficData[[#This Row],[pendingAmount]]&lt;=TrafficData[[#This Row],[totalAmount]],TrafficData[[#This Row],[disposedAmount]]&lt;=TrafficData[[#This Row],[totalAmount]])</f>
        <v>1</v>
      </c>
      <c r="P2877" s="8" t="b">
        <f>AND(TrafficData[[#This Row],[pendingCourt]]&lt;=TrafficData[[#This Row],[totalCourt]],TrafficData[[#This Row],[disposedCourt]]&lt;=TrafficData[[#This Row],[totalCourt]])</f>
        <v>1</v>
      </c>
    </row>
    <row r="2878" spans="1:16">
      <c r="A2878" s="1">
        <v>44882</v>
      </c>
      <c r="B2878">
        <v>138523</v>
      </c>
      <c r="C2878">
        <v>66692</v>
      </c>
      <c r="D2878">
        <v>71831</v>
      </c>
      <c r="E2878">
        <v>132626043</v>
      </c>
      <c r="F2878">
        <v>115840041</v>
      </c>
      <c r="G2878">
        <v>248466084</v>
      </c>
      <c r="H2878">
        <v>46599</v>
      </c>
      <c r="I2878">
        <v>11074</v>
      </c>
      <c r="J2878">
        <v>57673</v>
      </c>
      <c r="K2878" t="b">
        <f>TrafficData[[#This Row],[disposedChallan]]+TrafficData[[#This Row],[pendingChallan]]=TrafficData[[#This Row],[totalChallan]]</f>
        <v>1</v>
      </c>
      <c r="L2878" t="b">
        <f>TrafficData[[#This Row],[pendingAmount]]+TrafficData[[#This Row],[disposedAmount]]=TrafficData[[#This Row],[totalAmount]]</f>
        <v>1</v>
      </c>
      <c r="M2878" t="b">
        <f>TrafficData[[#This Row],[pendingCourt]]+TrafficData[[#This Row],[disposedCourt]]=TrafficData[[#This Row],[totalCourt]]</f>
        <v>1</v>
      </c>
      <c r="N2878" s="8" t="b">
        <f>AND(TrafficData[[#This Row],[disposedChallan]]&lt;=TrafficData[[#This Row],[totalChallan]],TrafficData[[#This Row],[pendingChallan]]&lt;=TrafficData[[#This Row],[totalChallan]])</f>
        <v>1</v>
      </c>
      <c r="O2878" s="8" t="b">
        <f>AND(TrafficData[[#This Row],[pendingAmount]]&lt;=TrafficData[[#This Row],[totalAmount]],TrafficData[[#This Row],[disposedAmount]]&lt;=TrafficData[[#This Row],[totalAmount]])</f>
        <v>1</v>
      </c>
      <c r="P2878" s="8" t="b">
        <f>AND(TrafficData[[#This Row],[pendingCourt]]&lt;=TrafficData[[#This Row],[totalCourt]],TrafficData[[#This Row],[disposedCourt]]&lt;=TrafficData[[#This Row],[totalCourt]])</f>
        <v>1</v>
      </c>
    </row>
    <row r="2879" spans="1:16">
      <c r="A2879" s="1">
        <v>44883</v>
      </c>
      <c r="B2879">
        <v>162973</v>
      </c>
      <c r="C2879">
        <v>74861</v>
      </c>
      <c r="D2879">
        <v>88112</v>
      </c>
      <c r="E2879">
        <v>159352211</v>
      </c>
      <c r="F2879">
        <v>125431007</v>
      </c>
      <c r="G2879">
        <v>284783218</v>
      </c>
      <c r="H2879">
        <v>56569</v>
      </c>
      <c r="I2879">
        <v>13333</v>
      </c>
      <c r="J2879">
        <v>69902</v>
      </c>
      <c r="K2879" t="b">
        <f>TrafficData[[#This Row],[disposedChallan]]+TrafficData[[#This Row],[pendingChallan]]=TrafficData[[#This Row],[totalChallan]]</f>
        <v>1</v>
      </c>
      <c r="L2879" t="b">
        <f>TrafficData[[#This Row],[pendingAmount]]+TrafficData[[#This Row],[disposedAmount]]=TrafficData[[#This Row],[totalAmount]]</f>
        <v>1</v>
      </c>
      <c r="M2879" t="b">
        <f>TrafficData[[#This Row],[pendingCourt]]+TrafficData[[#This Row],[disposedCourt]]=TrafficData[[#This Row],[totalCourt]]</f>
        <v>1</v>
      </c>
      <c r="N2879" s="8" t="b">
        <f>AND(TrafficData[[#This Row],[disposedChallan]]&lt;=TrafficData[[#This Row],[totalChallan]],TrafficData[[#This Row],[pendingChallan]]&lt;=TrafficData[[#This Row],[totalChallan]])</f>
        <v>1</v>
      </c>
      <c r="O2879" s="8" t="b">
        <f>AND(TrafficData[[#This Row],[pendingAmount]]&lt;=TrafficData[[#This Row],[totalAmount]],TrafficData[[#This Row],[disposedAmount]]&lt;=TrafficData[[#This Row],[totalAmount]])</f>
        <v>1</v>
      </c>
      <c r="P2879" s="8" t="b">
        <f>AND(TrafficData[[#This Row],[pendingCourt]]&lt;=TrafficData[[#This Row],[totalCourt]],TrafficData[[#This Row],[disposedCourt]]&lt;=TrafficData[[#This Row],[totalCourt]])</f>
        <v>1</v>
      </c>
    </row>
    <row r="2880" spans="1:16">
      <c r="A2880" s="1">
        <v>44884</v>
      </c>
      <c r="B2880">
        <v>163030</v>
      </c>
      <c r="C2880">
        <v>76070</v>
      </c>
      <c r="D2880">
        <v>86960</v>
      </c>
      <c r="E2880">
        <v>154216619</v>
      </c>
      <c r="F2880">
        <v>114952123</v>
      </c>
      <c r="G2880">
        <v>269168742</v>
      </c>
      <c r="H2880">
        <v>56767</v>
      </c>
      <c r="I2880">
        <v>13512</v>
      </c>
      <c r="J2880">
        <v>70279</v>
      </c>
      <c r="K2880" t="b">
        <f>TrafficData[[#This Row],[disposedChallan]]+TrafficData[[#This Row],[pendingChallan]]=TrafficData[[#This Row],[totalChallan]]</f>
        <v>1</v>
      </c>
      <c r="L2880" t="b">
        <f>TrafficData[[#This Row],[pendingAmount]]+TrafficData[[#This Row],[disposedAmount]]=TrafficData[[#This Row],[totalAmount]]</f>
        <v>1</v>
      </c>
      <c r="M2880" t="b">
        <f>TrafficData[[#This Row],[pendingCourt]]+TrafficData[[#This Row],[disposedCourt]]=TrafficData[[#This Row],[totalCourt]]</f>
        <v>1</v>
      </c>
      <c r="N2880" s="8" t="b">
        <f>AND(TrafficData[[#This Row],[disposedChallan]]&lt;=TrafficData[[#This Row],[totalChallan]],TrafficData[[#This Row],[pendingChallan]]&lt;=TrafficData[[#This Row],[totalChallan]])</f>
        <v>1</v>
      </c>
      <c r="O2880" s="8" t="b">
        <f>AND(TrafficData[[#This Row],[pendingAmount]]&lt;=TrafficData[[#This Row],[totalAmount]],TrafficData[[#This Row],[disposedAmount]]&lt;=TrafficData[[#This Row],[totalAmount]])</f>
        <v>1</v>
      </c>
      <c r="P2880" s="8" t="b">
        <f>AND(TrafficData[[#This Row],[pendingCourt]]&lt;=TrafficData[[#This Row],[totalCourt]],TrafficData[[#This Row],[disposedCourt]]&lt;=TrafficData[[#This Row],[totalCourt]])</f>
        <v>1</v>
      </c>
    </row>
    <row r="2881" spans="1:16">
      <c r="A2881" s="1">
        <v>44885</v>
      </c>
      <c r="B2881">
        <v>148771</v>
      </c>
      <c r="C2881">
        <v>64481</v>
      </c>
      <c r="D2881">
        <v>84290</v>
      </c>
      <c r="E2881">
        <v>127997882</v>
      </c>
      <c r="F2881">
        <v>81449259</v>
      </c>
      <c r="G2881">
        <v>209447141</v>
      </c>
      <c r="H2881">
        <v>52333</v>
      </c>
      <c r="I2881">
        <v>11791</v>
      </c>
      <c r="J2881">
        <v>64124</v>
      </c>
      <c r="K2881" t="b">
        <f>TrafficData[[#This Row],[disposedChallan]]+TrafficData[[#This Row],[pendingChallan]]=TrafficData[[#This Row],[totalChallan]]</f>
        <v>1</v>
      </c>
      <c r="L2881" t="b">
        <f>TrafficData[[#This Row],[pendingAmount]]+TrafficData[[#This Row],[disposedAmount]]=TrafficData[[#This Row],[totalAmount]]</f>
        <v>1</v>
      </c>
      <c r="M2881" t="b">
        <f>TrafficData[[#This Row],[pendingCourt]]+TrafficData[[#This Row],[disposedCourt]]=TrafficData[[#This Row],[totalCourt]]</f>
        <v>1</v>
      </c>
      <c r="N2881" s="8" t="b">
        <f>AND(TrafficData[[#This Row],[disposedChallan]]&lt;=TrafficData[[#This Row],[totalChallan]],TrafficData[[#This Row],[pendingChallan]]&lt;=TrafficData[[#This Row],[totalChallan]])</f>
        <v>1</v>
      </c>
      <c r="O2881" s="8" t="b">
        <f>AND(TrafficData[[#This Row],[pendingAmount]]&lt;=TrafficData[[#This Row],[totalAmount]],TrafficData[[#This Row],[disposedAmount]]&lt;=TrafficData[[#This Row],[totalAmount]])</f>
        <v>1</v>
      </c>
      <c r="P2881" s="8" t="b">
        <f>AND(TrafficData[[#This Row],[pendingCourt]]&lt;=TrafficData[[#This Row],[totalCourt]],TrafficData[[#This Row],[disposedCourt]]&lt;=TrafficData[[#This Row],[totalCourt]])</f>
        <v>1</v>
      </c>
    </row>
    <row r="2882" spans="1:16">
      <c r="A2882" s="1">
        <v>44886</v>
      </c>
      <c r="B2882">
        <v>166216</v>
      </c>
      <c r="C2882">
        <v>74052</v>
      </c>
      <c r="D2882">
        <v>92164</v>
      </c>
      <c r="E2882">
        <v>153520025</v>
      </c>
      <c r="F2882">
        <v>104050338</v>
      </c>
      <c r="G2882">
        <v>257570363</v>
      </c>
      <c r="H2882">
        <v>58392</v>
      </c>
      <c r="I2882">
        <v>13661</v>
      </c>
      <c r="J2882">
        <v>72053</v>
      </c>
      <c r="K2882" t="b">
        <f>TrafficData[[#This Row],[disposedChallan]]+TrafficData[[#This Row],[pendingChallan]]=TrafficData[[#This Row],[totalChallan]]</f>
        <v>1</v>
      </c>
      <c r="L2882" t="b">
        <f>TrafficData[[#This Row],[pendingAmount]]+TrafficData[[#This Row],[disposedAmount]]=TrafficData[[#This Row],[totalAmount]]</f>
        <v>1</v>
      </c>
      <c r="M2882" t="b">
        <f>TrafficData[[#This Row],[pendingCourt]]+TrafficData[[#This Row],[disposedCourt]]=TrafficData[[#This Row],[totalCourt]]</f>
        <v>1</v>
      </c>
      <c r="N2882" s="8" t="b">
        <f>AND(TrafficData[[#This Row],[disposedChallan]]&lt;=TrafficData[[#This Row],[totalChallan]],TrafficData[[#This Row],[pendingChallan]]&lt;=TrafficData[[#This Row],[totalChallan]])</f>
        <v>1</v>
      </c>
      <c r="O2882" s="8" t="b">
        <f>AND(TrafficData[[#This Row],[pendingAmount]]&lt;=TrafficData[[#This Row],[totalAmount]],TrafficData[[#This Row],[disposedAmount]]&lt;=TrafficData[[#This Row],[totalAmount]])</f>
        <v>1</v>
      </c>
      <c r="P2882" s="8" t="b">
        <f>AND(TrafficData[[#This Row],[pendingCourt]]&lt;=TrafficData[[#This Row],[totalCourt]],TrafficData[[#This Row],[disposedCourt]]&lt;=TrafficData[[#This Row],[totalCourt]])</f>
        <v>1</v>
      </c>
    </row>
    <row r="2883" spans="1:16">
      <c r="A2883" s="1">
        <v>44887</v>
      </c>
      <c r="B2883">
        <v>167425</v>
      </c>
      <c r="C2883">
        <v>75960</v>
      </c>
      <c r="D2883">
        <v>91465</v>
      </c>
      <c r="E2883">
        <v>155104130</v>
      </c>
      <c r="F2883">
        <v>121817251</v>
      </c>
      <c r="G2883">
        <v>276921381</v>
      </c>
      <c r="H2883">
        <v>63246</v>
      </c>
      <c r="I2883">
        <v>14129</v>
      </c>
      <c r="J2883">
        <v>77375</v>
      </c>
      <c r="K2883" t="b">
        <f>TrafficData[[#This Row],[disposedChallan]]+TrafficData[[#This Row],[pendingChallan]]=TrafficData[[#This Row],[totalChallan]]</f>
        <v>1</v>
      </c>
      <c r="L2883" t="b">
        <f>TrafficData[[#This Row],[pendingAmount]]+TrafficData[[#This Row],[disposedAmount]]=TrafficData[[#This Row],[totalAmount]]</f>
        <v>1</v>
      </c>
      <c r="M2883" t="b">
        <f>TrafficData[[#This Row],[pendingCourt]]+TrafficData[[#This Row],[disposedCourt]]=TrafficData[[#This Row],[totalCourt]]</f>
        <v>1</v>
      </c>
      <c r="N2883" s="8" t="b">
        <f>AND(TrafficData[[#This Row],[disposedChallan]]&lt;=TrafficData[[#This Row],[totalChallan]],TrafficData[[#This Row],[pendingChallan]]&lt;=TrafficData[[#This Row],[totalChallan]])</f>
        <v>1</v>
      </c>
      <c r="O2883" s="8" t="b">
        <f>AND(TrafficData[[#This Row],[pendingAmount]]&lt;=TrafficData[[#This Row],[totalAmount]],TrafficData[[#This Row],[disposedAmount]]&lt;=TrafficData[[#This Row],[totalAmount]])</f>
        <v>1</v>
      </c>
      <c r="P2883" s="8" t="b">
        <f>AND(TrafficData[[#This Row],[pendingCourt]]&lt;=TrafficData[[#This Row],[totalCourt]],TrafficData[[#This Row],[disposedCourt]]&lt;=TrafficData[[#This Row],[totalCourt]])</f>
        <v>1</v>
      </c>
    </row>
    <row r="2884" spans="1:16">
      <c r="A2884" s="1">
        <v>44888</v>
      </c>
      <c r="B2884">
        <v>168319</v>
      </c>
      <c r="C2884">
        <v>76608</v>
      </c>
      <c r="D2884">
        <v>91711</v>
      </c>
      <c r="E2884">
        <v>159524661</v>
      </c>
      <c r="F2884">
        <v>115484511</v>
      </c>
      <c r="G2884">
        <v>275009172</v>
      </c>
      <c r="H2884">
        <v>63694</v>
      </c>
      <c r="I2884">
        <v>14212</v>
      </c>
      <c r="J2884">
        <v>77906</v>
      </c>
      <c r="K2884" t="b">
        <f>TrafficData[[#This Row],[disposedChallan]]+TrafficData[[#This Row],[pendingChallan]]=TrafficData[[#This Row],[totalChallan]]</f>
        <v>1</v>
      </c>
      <c r="L2884" t="b">
        <f>TrafficData[[#This Row],[pendingAmount]]+TrafficData[[#This Row],[disposedAmount]]=TrafficData[[#This Row],[totalAmount]]</f>
        <v>1</v>
      </c>
      <c r="M2884" t="b">
        <f>TrafficData[[#This Row],[pendingCourt]]+TrafficData[[#This Row],[disposedCourt]]=TrafficData[[#This Row],[totalCourt]]</f>
        <v>1</v>
      </c>
      <c r="N2884" s="8" t="b">
        <f>AND(TrafficData[[#This Row],[disposedChallan]]&lt;=TrafficData[[#This Row],[totalChallan]],TrafficData[[#This Row],[pendingChallan]]&lt;=TrafficData[[#This Row],[totalChallan]])</f>
        <v>1</v>
      </c>
      <c r="O2884" s="8" t="b">
        <f>AND(TrafficData[[#This Row],[pendingAmount]]&lt;=TrafficData[[#This Row],[totalAmount]],TrafficData[[#This Row],[disposedAmount]]&lt;=TrafficData[[#This Row],[totalAmount]])</f>
        <v>1</v>
      </c>
      <c r="P2884" s="8" t="b">
        <f>AND(TrafficData[[#This Row],[pendingCourt]]&lt;=TrafficData[[#This Row],[totalCourt]],TrafficData[[#This Row],[disposedCourt]]&lt;=TrafficData[[#This Row],[totalCourt]])</f>
        <v>1</v>
      </c>
    </row>
    <row r="2885" spans="1:16">
      <c r="A2885" s="1">
        <v>44889</v>
      </c>
      <c r="B2885">
        <v>168279</v>
      </c>
      <c r="C2885">
        <v>76457</v>
      </c>
      <c r="D2885">
        <v>91822</v>
      </c>
      <c r="E2885">
        <v>153418497</v>
      </c>
      <c r="F2885">
        <v>1159784380</v>
      </c>
      <c r="G2885">
        <v>1313202877</v>
      </c>
      <c r="H2885">
        <v>61729</v>
      </c>
      <c r="I2885">
        <v>14436</v>
      </c>
      <c r="J2885">
        <v>76165</v>
      </c>
      <c r="K2885" t="b">
        <f>TrafficData[[#This Row],[disposedChallan]]+TrafficData[[#This Row],[pendingChallan]]=TrafficData[[#This Row],[totalChallan]]</f>
        <v>1</v>
      </c>
      <c r="L2885" t="b">
        <f>TrafficData[[#This Row],[pendingAmount]]+TrafficData[[#This Row],[disposedAmount]]=TrafficData[[#This Row],[totalAmount]]</f>
        <v>1</v>
      </c>
      <c r="M2885" t="b">
        <f>TrafficData[[#This Row],[pendingCourt]]+TrafficData[[#This Row],[disposedCourt]]=TrafficData[[#This Row],[totalCourt]]</f>
        <v>1</v>
      </c>
      <c r="N2885" s="8" t="b">
        <f>AND(TrafficData[[#This Row],[disposedChallan]]&lt;=TrafficData[[#This Row],[totalChallan]],TrafficData[[#This Row],[pendingChallan]]&lt;=TrafficData[[#This Row],[totalChallan]])</f>
        <v>1</v>
      </c>
      <c r="O2885" s="8" t="b">
        <f>AND(TrafficData[[#This Row],[pendingAmount]]&lt;=TrafficData[[#This Row],[totalAmount]],TrafficData[[#This Row],[disposedAmount]]&lt;=TrafficData[[#This Row],[totalAmount]])</f>
        <v>1</v>
      </c>
      <c r="P2885" s="8" t="b">
        <f>AND(TrafficData[[#This Row],[pendingCourt]]&lt;=TrafficData[[#This Row],[totalCourt]],TrafficData[[#This Row],[disposedCourt]]&lt;=TrafficData[[#This Row],[totalCourt]])</f>
        <v>1</v>
      </c>
    </row>
    <row r="2886" spans="1:16">
      <c r="A2886" s="1">
        <v>44890</v>
      </c>
      <c r="B2886">
        <v>144160</v>
      </c>
      <c r="C2886">
        <v>65948</v>
      </c>
      <c r="D2886">
        <v>78212</v>
      </c>
      <c r="E2886">
        <v>126885340</v>
      </c>
      <c r="F2886">
        <v>98339726</v>
      </c>
      <c r="G2886">
        <v>225225066</v>
      </c>
      <c r="H2886">
        <v>48309</v>
      </c>
      <c r="I2886">
        <v>11425</v>
      </c>
      <c r="J2886">
        <v>59734</v>
      </c>
      <c r="K2886" t="b">
        <f>TrafficData[[#This Row],[disposedChallan]]+TrafficData[[#This Row],[pendingChallan]]=TrafficData[[#This Row],[totalChallan]]</f>
        <v>1</v>
      </c>
      <c r="L2886" t="b">
        <f>TrafficData[[#This Row],[pendingAmount]]+TrafficData[[#This Row],[disposedAmount]]=TrafficData[[#This Row],[totalAmount]]</f>
        <v>1</v>
      </c>
      <c r="M2886" t="b">
        <f>TrafficData[[#This Row],[pendingCourt]]+TrafficData[[#This Row],[disposedCourt]]=TrafficData[[#This Row],[totalCourt]]</f>
        <v>1</v>
      </c>
      <c r="N2886" s="8" t="b">
        <f>AND(TrafficData[[#This Row],[disposedChallan]]&lt;=TrafficData[[#This Row],[totalChallan]],TrafficData[[#This Row],[pendingChallan]]&lt;=TrafficData[[#This Row],[totalChallan]])</f>
        <v>1</v>
      </c>
      <c r="O2886" s="8" t="b">
        <f>AND(TrafficData[[#This Row],[pendingAmount]]&lt;=TrafficData[[#This Row],[totalAmount]],TrafficData[[#This Row],[disposedAmount]]&lt;=TrafficData[[#This Row],[totalAmount]])</f>
        <v>1</v>
      </c>
      <c r="P2886" s="8" t="b">
        <f>AND(TrafficData[[#This Row],[pendingCourt]]&lt;=TrafficData[[#This Row],[totalCourt]],TrafficData[[#This Row],[disposedCourt]]&lt;=TrafficData[[#This Row],[totalCourt]])</f>
        <v>1</v>
      </c>
    </row>
    <row r="2887" spans="1:16">
      <c r="A2887" s="1">
        <v>44891</v>
      </c>
      <c r="B2887">
        <v>151115</v>
      </c>
      <c r="C2887">
        <v>70628</v>
      </c>
      <c r="D2887">
        <v>80487</v>
      </c>
      <c r="E2887">
        <v>132974068</v>
      </c>
      <c r="F2887">
        <v>98838412</v>
      </c>
      <c r="G2887">
        <v>231812480</v>
      </c>
      <c r="H2887">
        <v>55627</v>
      </c>
      <c r="I2887">
        <v>13577</v>
      </c>
      <c r="J2887">
        <v>69204</v>
      </c>
      <c r="K2887" t="b">
        <f>TrafficData[[#This Row],[disposedChallan]]+TrafficData[[#This Row],[pendingChallan]]=TrafficData[[#This Row],[totalChallan]]</f>
        <v>1</v>
      </c>
      <c r="L2887" t="b">
        <f>TrafficData[[#This Row],[pendingAmount]]+TrafficData[[#This Row],[disposedAmount]]=TrafficData[[#This Row],[totalAmount]]</f>
        <v>1</v>
      </c>
      <c r="M2887" t="b">
        <f>TrafficData[[#This Row],[pendingCourt]]+TrafficData[[#This Row],[disposedCourt]]=TrafficData[[#This Row],[totalCourt]]</f>
        <v>1</v>
      </c>
      <c r="N2887" s="8" t="b">
        <f>AND(TrafficData[[#This Row],[disposedChallan]]&lt;=TrafficData[[#This Row],[totalChallan]],TrafficData[[#This Row],[pendingChallan]]&lt;=TrafficData[[#This Row],[totalChallan]])</f>
        <v>1</v>
      </c>
      <c r="O2887" s="8" t="b">
        <f>AND(TrafficData[[#This Row],[pendingAmount]]&lt;=TrafficData[[#This Row],[totalAmount]],TrafficData[[#This Row],[disposedAmount]]&lt;=TrafficData[[#This Row],[totalAmount]])</f>
        <v>1</v>
      </c>
      <c r="P2887" s="8" t="b">
        <f>AND(TrafficData[[#This Row],[pendingCourt]]&lt;=TrafficData[[#This Row],[totalCourt]],TrafficData[[#This Row],[disposedCourt]]&lt;=TrafficData[[#This Row],[totalCourt]])</f>
        <v>1</v>
      </c>
    </row>
    <row r="2888" spans="1:16">
      <c r="A2888" s="1">
        <v>44892</v>
      </c>
      <c r="B2888">
        <v>137396</v>
      </c>
      <c r="C2888">
        <v>60351</v>
      </c>
      <c r="D2888">
        <v>77045</v>
      </c>
      <c r="E2888">
        <v>117299529</v>
      </c>
      <c r="F2888">
        <v>73599310</v>
      </c>
      <c r="G2888">
        <v>190898839</v>
      </c>
      <c r="H2888">
        <v>54450</v>
      </c>
      <c r="I2888">
        <v>12077</v>
      </c>
      <c r="J2888">
        <v>66527</v>
      </c>
      <c r="K2888" t="b">
        <f>TrafficData[[#This Row],[disposedChallan]]+TrafficData[[#This Row],[pendingChallan]]=TrafficData[[#This Row],[totalChallan]]</f>
        <v>1</v>
      </c>
      <c r="L2888" t="b">
        <f>TrafficData[[#This Row],[pendingAmount]]+TrafficData[[#This Row],[disposedAmount]]=TrafficData[[#This Row],[totalAmount]]</f>
        <v>1</v>
      </c>
      <c r="M2888" t="b">
        <f>TrafficData[[#This Row],[pendingCourt]]+TrafficData[[#This Row],[disposedCourt]]=TrafficData[[#This Row],[totalCourt]]</f>
        <v>1</v>
      </c>
      <c r="N2888" s="8" t="b">
        <f>AND(TrafficData[[#This Row],[disposedChallan]]&lt;=TrafficData[[#This Row],[totalChallan]],TrafficData[[#This Row],[pendingChallan]]&lt;=TrafficData[[#This Row],[totalChallan]])</f>
        <v>1</v>
      </c>
      <c r="O2888" s="8" t="b">
        <f>AND(TrafficData[[#This Row],[pendingAmount]]&lt;=TrafficData[[#This Row],[totalAmount]],TrafficData[[#This Row],[disposedAmount]]&lt;=TrafficData[[#This Row],[totalAmount]])</f>
        <v>1</v>
      </c>
      <c r="P2888" s="8" t="b">
        <f>AND(TrafficData[[#This Row],[pendingCourt]]&lt;=TrafficData[[#This Row],[totalCourt]],TrafficData[[#This Row],[disposedCourt]]&lt;=TrafficData[[#This Row],[totalCourt]])</f>
        <v>1</v>
      </c>
    </row>
    <row r="2889" spans="1:16">
      <c r="A2889" s="1">
        <v>44893</v>
      </c>
      <c r="B2889">
        <v>165988</v>
      </c>
      <c r="C2889">
        <v>74149</v>
      </c>
      <c r="D2889">
        <v>91839</v>
      </c>
      <c r="E2889">
        <v>148068100</v>
      </c>
      <c r="F2889">
        <v>91604149</v>
      </c>
      <c r="G2889">
        <v>239672249</v>
      </c>
      <c r="H2889">
        <v>64223</v>
      </c>
      <c r="I2889">
        <v>14668</v>
      </c>
      <c r="J2889">
        <v>78891</v>
      </c>
      <c r="K2889" t="b">
        <f>TrafficData[[#This Row],[disposedChallan]]+TrafficData[[#This Row],[pendingChallan]]=TrafficData[[#This Row],[totalChallan]]</f>
        <v>1</v>
      </c>
      <c r="L2889" t="b">
        <f>TrafficData[[#This Row],[pendingAmount]]+TrafficData[[#This Row],[disposedAmount]]=TrafficData[[#This Row],[totalAmount]]</f>
        <v>1</v>
      </c>
      <c r="M2889" t="b">
        <f>TrafficData[[#This Row],[pendingCourt]]+TrafficData[[#This Row],[disposedCourt]]=TrafficData[[#This Row],[totalCourt]]</f>
        <v>1</v>
      </c>
      <c r="N2889" s="8" t="b">
        <f>AND(TrafficData[[#This Row],[disposedChallan]]&lt;=TrafficData[[#This Row],[totalChallan]],TrafficData[[#This Row],[pendingChallan]]&lt;=TrafficData[[#This Row],[totalChallan]])</f>
        <v>1</v>
      </c>
      <c r="O2889" s="8" t="b">
        <f>AND(TrafficData[[#This Row],[pendingAmount]]&lt;=TrafficData[[#This Row],[totalAmount]],TrafficData[[#This Row],[disposedAmount]]&lt;=TrafficData[[#This Row],[totalAmount]])</f>
        <v>1</v>
      </c>
      <c r="P2889" s="8" t="b">
        <f>AND(TrafficData[[#This Row],[pendingCourt]]&lt;=TrafficData[[#This Row],[totalCourt]],TrafficData[[#This Row],[disposedCourt]]&lt;=TrafficData[[#This Row],[totalCourt]])</f>
        <v>1</v>
      </c>
    </row>
    <row r="2890" spans="1:16">
      <c r="A2890" s="1">
        <v>44894</v>
      </c>
      <c r="B2890">
        <v>169612</v>
      </c>
      <c r="C2890">
        <v>75132</v>
      </c>
      <c r="D2890">
        <v>94480</v>
      </c>
      <c r="E2890">
        <v>157975671</v>
      </c>
      <c r="F2890">
        <v>106360525</v>
      </c>
      <c r="G2890">
        <v>264336196</v>
      </c>
      <c r="H2890">
        <v>60287</v>
      </c>
      <c r="I2890">
        <v>14234</v>
      </c>
      <c r="J2890">
        <v>74521</v>
      </c>
      <c r="K2890" t="b">
        <f>TrafficData[[#This Row],[disposedChallan]]+TrafficData[[#This Row],[pendingChallan]]=TrafficData[[#This Row],[totalChallan]]</f>
        <v>1</v>
      </c>
      <c r="L2890" t="b">
        <f>TrafficData[[#This Row],[pendingAmount]]+TrafficData[[#This Row],[disposedAmount]]=TrafficData[[#This Row],[totalAmount]]</f>
        <v>1</v>
      </c>
      <c r="M2890" t="b">
        <f>TrafficData[[#This Row],[pendingCourt]]+TrafficData[[#This Row],[disposedCourt]]=TrafficData[[#This Row],[totalCourt]]</f>
        <v>1</v>
      </c>
      <c r="N2890" s="8" t="b">
        <f>AND(TrafficData[[#This Row],[disposedChallan]]&lt;=TrafficData[[#This Row],[totalChallan]],TrafficData[[#This Row],[pendingChallan]]&lt;=TrafficData[[#This Row],[totalChallan]])</f>
        <v>1</v>
      </c>
      <c r="O2890" s="8" t="b">
        <f>AND(TrafficData[[#This Row],[pendingAmount]]&lt;=TrafficData[[#This Row],[totalAmount]],TrafficData[[#This Row],[disposedAmount]]&lt;=TrafficData[[#This Row],[totalAmount]])</f>
        <v>1</v>
      </c>
      <c r="P2890" s="8" t="b">
        <f>AND(TrafficData[[#This Row],[pendingCourt]]&lt;=TrafficData[[#This Row],[totalCourt]],TrafficData[[#This Row],[disposedCourt]]&lt;=TrafficData[[#This Row],[totalCourt]])</f>
        <v>1</v>
      </c>
    </row>
    <row r="2891" spans="1:16">
      <c r="A2891" s="1">
        <v>44895</v>
      </c>
      <c r="B2891">
        <v>171326</v>
      </c>
      <c r="C2891">
        <v>76589</v>
      </c>
      <c r="D2891">
        <v>94737</v>
      </c>
      <c r="E2891">
        <v>153128145</v>
      </c>
      <c r="F2891">
        <v>101543126</v>
      </c>
      <c r="G2891">
        <v>254671271</v>
      </c>
      <c r="H2891">
        <v>58892</v>
      </c>
      <c r="I2891">
        <v>14349</v>
      </c>
      <c r="J2891">
        <v>73241</v>
      </c>
      <c r="K2891" t="b">
        <f>TrafficData[[#This Row],[disposedChallan]]+TrafficData[[#This Row],[pendingChallan]]=TrafficData[[#This Row],[totalChallan]]</f>
        <v>1</v>
      </c>
      <c r="L2891" t="b">
        <f>TrafficData[[#This Row],[pendingAmount]]+TrafficData[[#This Row],[disposedAmount]]=TrafficData[[#This Row],[totalAmount]]</f>
        <v>1</v>
      </c>
      <c r="M2891" t="b">
        <f>TrafficData[[#This Row],[pendingCourt]]+TrafficData[[#This Row],[disposedCourt]]=TrafficData[[#This Row],[totalCourt]]</f>
        <v>1</v>
      </c>
      <c r="N2891" s="8" t="b">
        <f>AND(TrafficData[[#This Row],[disposedChallan]]&lt;=TrafficData[[#This Row],[totalChallan]],TrafficData[[#This Row],[pendingChallan]]&lt;=TrafficData[[#This Row],[totalChallan]])</f>
        <v>1</v>
      </c>
      <c r="O2891" s="8" t="b">
        <f>AND(TrafficData[[#This Row],[pendingAmount]]&lt;=TrafficData[[#This Row],[totalAmount]],TrafficData[[#This Row],[disposedAmount]]&lt;=TrafficData[[#This Row],[totalAmount]])</f>
        <v>1</v>
      </c>
      <c r="P2891" s="8" t="b">
        <f>AND(TrafficData[[#This Row],[pendingCourt]]&lt;=TrafficData[[#This Row],[totalCourt]],TrafficData[[#This Row],[disposedCourt]]&lt;=TrafficData[[#This Row],[totalCourt]])</f>
        <v>1</v>
      </c>
    </row>
    <row r="2892" spans="1:16">
      <c r="A2892" s="1">
        <v>44896</v>
      </c>
      <c r="B2892">
        <v>148387</v>
      </c>
      <c r="C2892">
        <v>73916</v>
      </c>
      <c r="D2892">
        <v>74471</v>
      </c>
      <c r="E2892">
        <v>126262391</v>
      </c>
      <c r="F2892">
        <v>114275509</v>
      </c>
      <c r="G2892">
        <v>240537900</v>
      </c>
      <c r="H2892">
        <v>43792</v>
      </c>
      <c r="I2892">
        <v>11036</v>
      </c>
      <c r="J2892">
        <v>54828</v>
      </c>
      <c r="K2892" t="b">
        <f>TrafficData[[#This Row],[disposedChallan]]+TrafficData[[#This Row],[pendingChallan]]=TrafficData[[#This Row],[totalChallan]]</f>
        <v>1</v>
      </c>
      <c r="L2892" t="b">
        <f>TrafficData[[#This Row],[pendingAmount]]+TrafficData[[#This Row],[disposedAmount]]=TrafficData[[#This Row],[totalAmount]]</f>
        <v>1</v>
      </c>
      <c r="M2892" t="b">
        <f>TrafficData[[#This Row],[pendingCourt]]+TrafficData[[#This Row],[disposedCourt]]=TrafficData[[#This Row],[totalCourt]]</f>
        <v>1</v>
      </c>
      <c r="N2892" s="8" t="b">
        <f>AND(TrafficData[[#This Row],[disposedChallan]]&lt;=TrafficData[[#This Row],[totalChallan]],TrafficData[[#This Row],[pendingChallan]]&lt;=TrafficData[[#This Row],[totalChallan]])</f>
        <v>1</v>
      </c>
      <c r="O2892" s="8" t="b">
        <f>AND(TrafficData[[#This Row],[pendingAmount]]&lt;=TrafficData[[#This Row],[totalAmount]],TrafficData[[#This Row],[disposedAmount]]&lt;=TrafficData[[#This Row],[totalAmount]])</f>
        <v>1</v>
      </c>
      <c r="P2892" s="8" t="b">
        <f>AND(TrafficData[[#This Row],[pendingCourt]]&lt;=TrafficData[[#This Row],[totalCourt]],TrafficData[[#This Row],[disposedCourt]]&lt;=TrafficData[[#This Row],[totalCourt]])</f>
        <v>1</v>
      </c>
    </row>
    <row r="2893" spans="1:16">
      <c r="A2893" s="1">
        <v>44897</v>
      </c>
      <c r="B2893">
        <v>140239</v>
      </c>
      <c r="C2893">
        <v>71122</v>
      </c>
      <c r="D2893">
        <v>69117</v>
      </c>
      <c r="E2893">
        <v>117191951</v>
      </c>
      <c r="F2893">
        <v>112313077</v>
      </c>
      <c r="G2893">
        <v>229505028</v>
      </c>
      <c r="H2893">
        <v>40157</v>
      </c>
      <c r="I2893">
        <v>10051</v>
      </c>
      <c r="J2893">
        <v>50208</v>
      </c>
      <c r="K2893" t="b">
        <f>TrafficData[[#This Row],[disposedChallan]]+TrafficData[[#This Row],[pendingChallan]]=TrafficData[[#This Row],[totalChallan]]</f>
        <v>1</v>
      </c>
      <c r="L2893" t="b">
        <f>TrafficData[[#This Row],[pendingAmount]]+TrafficData[[#This Row],[disposedAmount]]=TrafficData[[#This Row],[totalAmount]]</f>
        <v>1</v>
      </c>
      <c r="M2893" t="b">
        <f>TrafficData[[#This Row],[pendingCourt]]+TrafficData[[#This Row],[disposedCourt]]=TrafficData[[#This Row],[totalCourt]]</f>
        <v>1</v>
      </c>
      <c r="N2893" s="8" t="b">
        <f>AND(TrafficData[[#This Row],[disposedChallan]]&lt;=TrafficData[[#This Row],[totalChallan]],TrafficData[[#This Row],[pendingChallan]]&lt;=TrafficData[[#This Row],[totalChallan]])</f>
        <v>1</v>
      </c>
      <c r="O2893" s="8" t="b">
        <f>AND(TrafficData[[#This Row],[pendingAmount]]&lt;=TrafficData[[#This Row],[totalAmount]],TrafficData[[#This Row],[disposedAmount]]&lt;=TrafficData[[#This Row],[totalAmount]])</f>
        <v>1</v>
      </c>
      <c r="P2893" s="8" t="b">
        <f>AND(TrafficData[[#This Row],[pendingCourt]]&lt;=TrafficData[[#This Row],[totalCourt]],TrafficData[[#This Row],[disposedCourt]]&lt;=TrafficData[[#This Row],[totalCourt]])</f>
        <v>1</v>
      </c>
    </row>
    <row r="2894" spans="1:16">
      <c r="A2894" s="1">
        <v>44898</v>
      </c>
      <c r="B2894">
        <v>138246</v>
      </c>
      <c r="C2894">
        <v>69317</v>
      </c>
      <c r="D2894">
        <v>68929</v>
      </c>
      <c r="E2894">
        <v>116081794</v>
      </c>
      <c r="F2894">
        <v>105257528</v>
      </c>
      <c r="G2894">
        <v>221339322</v>
      </c>
      <c r="H2894">
        <v>42097</v>
      </c>
      <c r="I2894">
        <v>11024</v>
      </c>
      <c r="J2894">
        <v>53121</v>
      </c>
      <c r="K2894" t="b">
        <f>TrafficData[[#This Row],[disposedChallan]]+TrafficData[[#This Row],[pendingChallan]]=TrafficData[[#This Row],[totalChallan]]</f>
        <v>1</v>
      </c>
      <c r="L2894" t="b">
        <f>TrafficData[[#This Row],[pendingAmount]]+TrafficData[[#This Row],[disposedAmount]]=TrafficData[[#This Row],[totalAmount]]</f>
        <v>1</v>
      </c>
      <c r="M2894" t="b">
        <f>TrafficData[[#This Row],[pendingCourt]]+TrafficData[[#This Row],[disposedCourt]]=TrafficData[[#This Row],[totalCourt]]</f>
        <v>1</v>
      </c>
      <c r="N2894" s="8" t="b">
        <f>AND(TrafficData[[#This Row],[disposedChallan]]&lt;=TrafficData[[#This Row],[totalChallan]],TrafficData[[#This Row],[pendingChallan]]&lt;=TrafficData[[#This Row],[totalChallan]])</f>
        <v>1</v>
      </c>
      <c r="O2894" s="8" t="b">
        <f>AND(TrafficData[[#This Row],[pendingAmount]]&lt;=TrafficData[[#This Row],[totalAmount]],TrafficData[[#This Row],[disposedAmount]]&lt;=TrafficData[[#This Row],[totalAmount]])</f>
        <v>1</v>
      </c>
      <c r="P2894" s="8" t="b">
        <f>AND(TrafficData[[#This Row],[pendingCourt]]&lt;=TrafficData[[#This Row],[totalCourt]],TrafficData[[#This Row],[disposedCourt]]&lt;=TrafficData[[#This Row],[totalCourt]])</f>
        <v>1</v>
      </c>
    </row>
    <row r="2895" spans="1:16">
      <c r="A2895" s="1">
        <v>44899</v>
      </c>
      <c r="B2895">
        <v>119386</v>
      </c>
      <c r="C2895">
        <v>58345</v>
      </c>
      <c r="D2895">
        <v>61041</v>
      </c>
      <c r="E2895">
        <v>91931609</v>
      </c>
      <c r="F2895">
        <v>77309275</v>
      </c>
      <c r="G2895">
        <v>169240884</v>
      </c>
      <c r="H2895">
        <v>34611</v>
      </c>
      <c r="I2895">
        <v>8852</v>
      </c>
      <c r="J2895">
        <v>43463</v>
      </c>
      <c r="K2895" t="b">
        <f>TrafficData[[#This Row],[disposedChallan]]+TrafficData[[#This Row],[pendingChallan]]=TrafficData[[#This Row],[totalChallan]]</f>
        <v>1</v>
      </c>
      <c r="L2895" t="b">
        <f>TrafficData[[#This Row],[pendingAmount]]+TrafficData[[#This Row],[disposedAmount]]=TrafficData[[#This Row],[totalAmount]]</f>
        <v>1</v>
      </c>
      <c r="M2895" t="b">
        <f>TrafficData[[#This Row],[pendingCourt]]+TrafficData[[#This Row],[disposedCourt]]=TrafficData[[#This Row],[totalCourt]]</f>
        <v>1</v>
      </c>
      <c r="N2895" s="8" t="b">
        <f>AND(TrafficData[[#This Row],[disposedChallan]]&lt;=TrafficData[[#This Row],[totalChallan]],TrafficData[[#This Row],[pendingChallan]]&lt;=TrafficData[[#This Row],[totalChallan]])</f>
        <v>1</v>
      </c>
      <c r="O2895" s="8" t="b">
        <f>AND(TrafficData[[#This Row],[pendingAmount]]&lt;=TrafficData[[#This Row],[totalAmount]],TrafficData[[#This Row],[disposedAmount]]&lt;=TrafficData[[#This Row],[totalAmount]])</f>
        <v>1</v>
      </c>
      <c r="P2895" s="8" t="b">
        <f>AND(TrafficData[[#This Row],[pendingCourt]]&lt;=TrafficData[[#This Row],[totalCourt]],TrafficData[[#This Row],[disposedCourt]]&lt;=TrafficData[[#This Row],[totalCourt]])</f>
        <v>1</v>
      </c>
    </row>
    <row r="2896" spans="1:16">
      <c r="A2896" s="1">
        <v>44900</v>
      </c>
      <c r="B2896">
        <v>143585</v>
      </c>
      <c r="C2896">
        <v>69774</v>
      </c>
      <c r="D2896">
        <v>73811</v>
      </c>
      <c r="E2896">
        <v>132762491</v>
      </c>
      <c r="F2896">
        <v>108254112</v>
      </c>
      <c r="G2896">
        <v>241016603</v>
      </c>
      <c r="H2896">
        <v>44757</v>
      </c>
      <c r="I2896">
        <v>11370</v>
      </c>
      <c r="J2896">
        <v>56127</v>
      </c>
      <c r="K2896" t="b">
        <f>TrafficData[[#This Row],[disposedChallan]]+TrafficData[[#This Row],[pendingChallan]]=TrafficData[[#This Row],[totalChallan]]</f>
        <v>1</v>
      </c>
      <c r="L2896" t="b">
        <f>TrafficData[[#This Row],[pendingAmount]]+TrafficData[[#This Row],[disposedAmount]]=TrafficData[[#This Row],[totalAmount]]</f>
        <v>1</v>
      </c>
      <c r="M2896" t="b">
        <f>TrafficData[[#This Row],[pendingCourt]]+TrafficData[[#This Row],[disposedCourt]]=TrafficData[[#This Row],[totalCourt]]</f>
        <v>1</v>
      </c>
      <c r="N2896" s="8" t="b">
        <f>AND(TrafficData[[#This Row],[disposedChallan]]&lt;=TrafficData[[#This Row],[totalChallan]],TrafficData[[#This Row],[pendingChallan]]&lt;=TrafficData[[#This Row],[totalChallan]])</f>
        <v>1</v>
      </c>
      <c r="O2896" s="8" t="b">
        <f>AND(TrafficData[[#This Row],[pendingAmount]]&lt;=TrafficData[[#This Row],[totalAmount]],TrafficData[[#This Row],[disposedAmount]]&lt;=TrafficData[[#This Row],[totalAmount]])</f>
        <v>1</v>
      </c>
      <c r="P2896" s="8" t="b">
        <f>AND(TrafficData[[#This Row],[pendingCourt]]&lt;=TrafficData[[#This Row],[totalCourt]],TrafficData[[#This Row],[disposedCourt]]&lt;=TrafficData[[#This Row],[totalCourt]])</f>
        <v>1</v>
      </c>
    </row>
    <row r="2897" spans="1:16">
      <c r="A2897" s="1">
        <v>44901</v>
      </c>
      <c r="B2897">
        <v>141936</v>
      </c>
      <c r="C2897">
        <v>70455</v>
      </c>
      <c r="D2897">
        <v>71481</v>
      </c>
      <c r="E2897">
        <v>134964333</v>
      </c>
      <c r="F2897">
        <v>119181531</v>
      </c>
      <c r="G2897">
        <v>254145864</v>
      </c>
      <c r="H2897">
        <v>44681</v>
      </c>
      <c r="I2897">
        <v>11749</v>
      </c>
      <c r="J2897">
        <v>56430</v>
      </c>
      <c r="K2897" t="b">
        <f>TrafficData[[#This Row],[disposedChallan]]+TrafficData[[#This Row],[pendingChallan]]=TrafficData[[#This Row],[totalChallan]]</f>
        <v>1</v>
      </c>
      <c r="L2897" t="b">
        <f>TrafficData[[#This Row],[pendingAmount]]+TrafficData[[#This Row],[disposedAmount]]=TrafficData[[#This Row],[totalAmount]]</f>
        <v>1</v>
      </c>
      <c r="M2897" t="b">
        <f>TrafficData[[#This Row],[pendingCourt]]+TrafficData[[#This Row],[disposedCourt]]=TrafficData[[#This Row],[totalCourt]]</f>
        <v>1</v>
      </c>
      <c r="N2897" s="8" t="b">
        <f>AND(TrafficData[[#This Row],[disposedChallan]]&lt;=TrafficData[[#This Row],[totalChallan]],TrafficData[[#This Row],[pendingChallan]]&lt;=TrafficData[[#This Row],[totalChallan]])</f>
        <v>1</v>
      </c>
      <c r="O2897" s="8" t="b">
        <f>AND(TrafficData[[#This Row],[pendingAmount]]&lt;=TrafficData[[#This Row],[totalAmount]],TrafficData[[#This Row],[disposedAmount]]&lt;=TrafficData[[#This Row],[totalAmount]])</f>
        <v>1</v>
      </c>
      <c r="P2897" s="8" t="b">
        <f>AND(TrafficData[[#This Row],[pendingCourt]]&lt;=TrafficData[[#This Row],[totalCourt]],TrafficData[[#This Row],[disposedCourt]]&lt;=TrafficData[[#This Row],[totalCourt]])</f>
        <v>1</v>
      </c>
    </row>
    <row r="2898" spans="1:16">
      <c r="A2898" s="1">
        <v>44902</v>
      </c>
      <c r="B2898">
        <v>142420</v>
      </c>
      <c r="C2898">
        <v>71151</v>
      </c>
      <c r="D2898">
        <v>71269</v>
      </c>
      <c r="E2898">
        <v>139707879</v>
      </c>
      <c r="F2898">
        <v>120208931</v>
      </c>
      <c r="G2898">
        <v>259916810</v>
      </c>
      <c r="H2898">
        <v>46106</v>
      </c>
      <c r="I2898">
        <v>12226</v>
      </c>
      <c r="J2898">
        <v>58332</v>
      </c>
      <c r="K2898" t="b">
        <f>TrafficData[[#This Row],[disposedChallan]]+TrafficData[[#This Row],[pendingChallan]]=TrafficData[[#This Row],[totalChallan]]</f>
        <v>1</v>
      </c>
      <c r="L2898" t="b">
        <f>TrafficData[[#This Row],[pendingAmount]]+TrafficData[[#This Row],[disposedAmount]]=TrafficData[[#This Row],[totalAmount]]</f>
        <v>1</v>
      </c>
      <c r="M2898" t="b">
        <f>TrafficData[[#This Row],[pendingCourt]]+TrafficData[[#This Row],[disposedCourt]]=TrafficData[[#This Row],[totalCourt]]</f>
        <v>1</v>
      </c>
      <c r="N2898" s="8" t="b">
        <f>AND(TrafficData[[#This Row],[disposedChallan]]&lt;=TrafficData[[#This Row],[totalChallan]],TrafficData[[#This Row],[pendingChallan]]&lt;=TrafficData[[#This Row],[totalChallan]])</f>
        <v>1</v>
      </c>
      <c r="O2898" s="8" t="b">
        <f>AND(TrafficData[[#This Row],[pendingAmount]]&lt;=TrafficData[[#This Row],[totalAmount]],TrafficData[[#This Row],[disposedAmount]]&lt;=TrafficData[[#This Row],[totalAmount]])</f>
        <v>1</v>
      </c>
      <c r="P2898" s="8" t="b">
        <f>AND(TrafficData[[#This Row],[pendingCourt]]&lt;=TrafficData[[#This Row],[totalCourt]],TrafficData[[#This Row],[disposedCourt]]&lt;=TrafficData[[#This Row],[totalCourt]])</f>
        <v>1</v>
      </c>
    </row>
    <row r="2899" spans="1:16">
      <c r="A2899" s="1">
        <v>44903</v>
      </c>
      <c r="B2899">
        <v>136061</v>
      </c>
      <c r="C2899">
        <v>67761</v>
      </c>
      <c r="D2899">
        <v>68300</v>
      </c>
      <c r="E2899">
        <v>139193086</v>
      </c>
      <c r="F2899">
        <v>116235977</v>
      </c>
      <c r="G2899">
        <v>255429063</v>
      </c>
      <c r="H2899">
        <v>46019</v>
      </c>
      <c r="I2899">
        <v>11187</v>
      </c>
      <c r="J2899">
        <v>57206</v>
      </c>
      <c r="K2899" t="b">
        <f>TrafficData[[#This Row],[disposedChallan]]+TrafficData[[#This Row],[pendingChallan]]=TrafficData[[#This Row],[totalChallan]]</f>
        <v>1</v>
      </c>
      <c r="L2899" t="b">
        <f>TrafficData[[#This Row],[pendingAmount]]+TrafficData[[#This Row],[disposedAmount]]=TrafficData[[#This Row],[totalAmount]]</f>
        <v>1</v>
      </c>
      <c r="M2899" t="b">
        <f>TrafficData[[#This Row],[pendingCourt]]+TrafficData[[#This Row],[disposedCourt]]=TrafficData[[#This Row],[totalCourt]]</f>
        <v>1</v>
      </c>
      <c r="N2899" s="8" t="b">
        <f>AND(TrafficData[[#This Row],[disposedChallan]]&lt;=TrafficData[[#This Row],[totalChallan]],TrafficData[[#This Row],[pendingChallan]]&lt;=TrafficData[[#This Row],[totalChallan]])</f>
        <v>1</v>
      </c>
      <c r="O2899" s="8" t="b">
        <f>AND(TrafficData[[#This Row],[pendingAmount]]&lt;=TrafficData[[#This Row],[totalAmount]],TrafficData[[#This Row],[disposedAmount]]&lt;=TrafficData[[#This Row],[totalAmount]])</f>
        <v>1</v>
      </c>
      <c r="P2899" s="8" t="b">
        <f>AND(TrafficData[[#This Row],[pendingCourt]]&lt;=TrafficData[[#This Row],[totalCourt]],TrafficData[[#This Row],[disposedCourt]]&lt;=TrafficData[[#This Row],[totalCourt]])</f>
        <v>1</v>
      </c>
    </row>
    <row r="2900" spans="1:16">
      <c r="A2900" s="1">
        <v>44904</v>
      </c>
      <c r="B2900">
        <v>138420</v>
      </c>
      <c r="C2900">
        <v>68707</v>
      </c>
      <c r="D2900">
        <v>69713</v>
      </c>
      <c r="E2900">
        <v>126096255</v>
      </c>
      <c r="F2900">
        <v>114084613</v>
      </c>
      <c r="G2900">
        <v>240180868</v>
      </c>
      <c r="H2900">
        <v>44584</v>
      </c>
      <c r="I2900">
        <v>11804</v>
      </c>
      <c r="J2900">
        <v>56388</v>
      </c>
      <c r="K2900" t="b">
        <f>TrafficData[[#This Row],[disposedChallan]]+TrafficData[[#This Row],[pendingChallan]]=TrafficData[[#This Row],[totalChallan]]</f>
        <v>1</v>
      </c>
      <c r="L2900" t="b">
        <f>TrafficData[[#This Row],[pendingAmount]]+TrafficData[[#This Row],[disposedAmount]]=TrafficData[[#This Row],[totalAmount]]</f>
        <v>1</v>
      </c>
      <c r="M2900" t="b">
        <f>TrafficData[[#This Row],[pendingCourt]]+TrafficData[[#This Row],[disposedCourt]]=TrafficData[[#This Row],[totalCourt]]</f>
        <v>1</v>
      </c>
      <c r="N2900" s="8" t="b">
        <f>AND(TrafficData[[#This Row],[disposedChallan]]&lt;=TrafficData[[#This Row],[totalChallan]],TrafficData[[#This Row],[pendingChallan]]&lt;=TrafficData[[#This Row],[totalChallan]])</f>
        <v>1</v>
      </c>
      <c r="O2900" s="8" t="b">
        <f>AND(TrafficData[[#This Row],[pendingAmount]]&lt;=TrafficData[[#This Row],[totalAmount]],TrafficData[[#This Row],[disposedAmount]]&lt;=TrafficData[[#This Row],[totalAmount]])</f>
        <v>1</v>
      </c>
      <c r="P2900" s="8" t="b">
        <f>AND(TrafficData[[#This Row],[pendingCourt]]&lt;=TrafficData[[#This Row],[totalCourt]],TrafficData[[#This Row],[disposedCourt]]&lt;=TrafficData[[#This Row],[totalCourt]])</f>
        <v>1</v>
      </c>
    </row>
    <row r="2901" spans="1:16">
      <c r="A2901" s="1">
        <v>44905</v>
      </c>
      <c r="B2901">
        <v>140662</v>
      </c>
      <c r="C2901">
        <v>66935</v>
      </c>
      <c r="D2901">
        <v>73727</v>
      </c>
      <c r="E2901">
        <v>131825354</v>
      </c>
      <c r="F2901">
        <v>103407469</v>
      </c>
      <c r="G2901">
        <v>235232823</v>
      </c>
      <c r="H2901">
        <v>42284</v>
      </c>
      <c r="I2901">
        <v>11740</v>
      </c>
      <c r="J2901">
        <v>54024</v>
      </c>
      <c r="K2901" t="b">
        <f>TrafficData[[#This Row],[disposedChallan]]+TrafficData[[#This Row],[pendingChallan]]=TrafficData[[#This Row],[totalChallan]]</f>
        <v>1</v>
      </c>
      <c r="L2901" t="b">
        <f>TrafficData[[#This Row],[pendingAmount]]+TrafficData[[#This Row],[disposedAmount]]=TrafficData[[#This Row],[totalAmount]]</f>
        <v>1</v>
      </c>
      <c r="M2901" t="b">
        <f>TrafficData[[#This Row],[pendingCourt]]+TrafficData[[#This Row],[disposedCourt]]=TrafficData[[#This Row],[totalCourt]]</f>
        <v>1</v>
      </c>
      <c r="N2901" s="8" t="b">
        <f>AND(TrafficData[[#This Row],[disposedChallan]]&lt;=TrafficData[[#This Row],[totalChallan]],TrafficData[[#This Row],[pendingChallan]]&lt;=TrafficData[[#This Row],[totalChallan]])</f>
        <v>1</v>
      </c>
      <c r="O2901" s="8" t="b">
        <f>AND(TrafficData[[#This Row],[pendingAmount]]&lt;=TrafficData[[#This Row],[totalAmount]],TrafficData[[#This Row],[disposedAmount]]&lt;=TrafficData[[#This Row],[totalAmount]])</f>
        <v>1</v>
      </c>
      <c r="P2901" s="8" t="b">
        <f>AND(TrafficData[[#This Row],[pendingCourt]]&lt;=TrafficData[[#This Row],[totalCourt]],TrafficData[[#This Row],[disposedCourt]]&lt;=TrafficData[[#This Row],[totalCourt]])</f>
        <v>1</v>
      </c>
    </row>
    <row r="2902" spans="1:16">
      <c r="A2902" s="1">
        <v>44906</v>
      </c>
      <c r="B2902">
        <v>126045</v>
      </c>
      <c r="C2902">
        <v>55436</v>
      </c>
      <c r="D2902">
        <v>70609</v>
      </c>
      <c r="E2902">
        <v>115364109</v>
      </c>
      <c r="F2902">
        <v>78194393</v>
      </c>
      <c r="G2902">
        <v>193558502</v>
      </c>
      <c r="H2902">
        <v>38047</v>
      </c>
      <c r="I2902">
        <v>9743</v>
      </c>
      <c r="J2902">
        <v>47790</v>
      </c>
      <c r="K2902" t="b">
        <f>TrafficData[[#This Row],[disposedChallan]]+TrafficData[[#This Row],[pendingChallan]]=TrafficData[[#This Row],[totalChallan]]</f>
        <v>1</v>
      </c>
      <c r="L2902" t="b">
        <f>TrafficData[[#This Row],[pendingAmount]]+TrafficData[[#This Row],[disposedAmount]]=TrafficData[[#This Row],[totalAmount]]</f>
        <v>1</v>
      </c>
      <c r="M2902" t="b">
        <f>TrafficData[[#This Row],[pendingCourt]]+TrafficData[[#This Row],[disposedCourt]]=TrafficData[[#This Row],[totalCourt]]</f>
        <v>1</v>
      </c>
      <c r="N2902" s="8" t="b">
        <f>AND(TrafficData[[#This Row],[disposedChallan]]&lt;=TrafficData[[#This Row],[totalChallan]],TrafficData[[#This Row],[pendingChallan]]&lt;=TrafficData[[#This Row],[totalChallan]])</f>
        <v>1</v>
      </c>
      <c r="O2902" s="8" t="b">
        <f>AND(TrafficData[[#This Row],[pendingAmount]]&lt;=TrafficData[[#This Row],[totalAmount]],TrafficData[[#This Row],[disposedAmount]]&lt;=TrafficData[[#This Row],[totalAmount]])</f>
        <v>1</v>
      </c>
      <c r="P2902" s="8" t="b">
        <f>AND(TrafficData[[#This Row],[pendingCourt]]&lt;=TrafficData[[#This Row],[totalCourt]],TrafficData[[#This Row],[disposedCourt]]&lt;=TrafficData[[#This Row],[totalCourt]])</f>
        <v>1</v>
      </c>
    </row>
    <row r="2903" spans="1:16">
      <c r="A2903" s="1">
        <v>44907</v>
      </c>
      <c r="B2903">
        <v>149585</v>
      </c>
      <c r="C2903">
        <v>69344</v>
      </c>
      <c r="D2903">
        <v>80241</v>
      </c>
      <c r="E2903">
        <v>148197197</v>
      </c>
      <c r="F2903">
        <v>108992219</v>
      </c>
      <c r="G2903">
        <v>257189416</v>
      </c>
      <c r="H2903">
        <v>43035</v>
      </c>
      <c r="I2903">
        <v>11628</v>
      </c>
      <c r="J2903">
        <v>54663</v>
      </c>
      <c r="K2903" t="b">
        <f>TrafficData[[#This Row],[disposedChallan]]+TrafficData[[#This Row],[pendingChallan]]=TrafficData[[#This Row],[totalChallan]]</f>
        <v>1</v>
      </c>
      <c r="L2903" t="b">
        <f>TrafficData[[#This Row],[pendingAmount]]+TrafficData[[#This Row],[disposedAmount]]=TrafficData[[#This Row],[totalAmount]]</f>
        <v>1</v>
      </c>
      <c r="M2903" t="b">
        <f>TrafficData[[#This Row],[pendingCourt]]+TrafficData[[#This Row],[disposedCourt]]=TrafficData[[#This Row],[totalCourt]]</f>
        <v>1</v>
      </c>
      <c r="N2903" s="8" t="b">
        <f>AND(TrafficData[[#This Row],[disposedChallan]]&lt;=TrafficData[[#This Row],[totalChallan]],TrafficData[[#This Row],[pendingChallan]]&lt;=TrafficData[[#This Row],[totalChallan]])</f>
        <v>1</v>
      </c>
      <c r="O2903" s="8" t="b">
        <f>AND(TrafficData[[#This Row],[pendingAmount]]&lt;=TrafficData[[#This Row],[totalAmount]],TrafficData[[#This Row],[disposedAmount]]&lt;=TrafficData[[#This Row],[totalAmount]])</f>
        <v>1</v>
      </c>
      <c r="P2903" s="8" t="b">
        <f>AND(TrafficData[[#This Row],[pendingCourt]]&lt;=TrafficData[[#This Row],[totalCourt]],TrafficData[[#This Row],[disposedCourt]]&lt;=TrafficData[[#This Row],[totalCourt]])</f>
        <v>1</v>
      </c>
    </row>
    <row r="2904" spans="1:16">
      <c r="A2904" s="1">
        <v>44908</v>
      </c>
      <c r="B2904">
        <v>149785</v>
      </c>
      <c r="C2904">
        <v>73573</v>
      </c>
      <c r="D2904">
        <v>76212</v>
      </c>
      <c r="E2904">
        <v>147568303</v>
      </c>
      <c r="F2904">
        <v>123874096</v>
      </c>
      <c r="G2904">
        <v>271442399</v>
      </c>
      <c r="H2904">
        <v>45278</v>
      </c>
      <c r="I2904">
        <v>11367</v>
      </c>
      <c r="J2904">
        <v>56645</v>
      </c>
      <c r="K2904" t="b">
        <f>TrafficData[[#This Row],[disposedChallan]]+TrafficData[[#This Row],[pendingChallan]]=TrafficData[[#This Row],[totalChallan]]</f>
        <v>1</v>
      </c>
      <c r="L2904" t="b">
        <f>TrafficData[[#This Row],[pendingAmount]]+TrafficData[[#This Row],[disposedAmount]]=TrafficData[[#This Row],[totalAmount]]</f>
        <v>1</v>
      </c>
      <c r="M2904" t="b">
        <f>TrafficData[[#This Row],[pendingCourt]]+TrafficData[[#This Row],[disposedCourt]]=TrafficData[[#This Row],[totalCourt]]</f>
        <v>1</v>
      </c>
      <c r="N2904" s="8" t="b">
        <f>AND(TrafficData[[#This Row],[disposedChallan]]&lt;=TrafficData[[#This Row],[totalChallan]],TrafficData[[#This Row],[pendingChallan]]&lt;=TrafficData[[#This Row],[totalChallan]])</f>
        <v>1</v>
      </c>
      <c r="O2904" s="8" t="b">
        <f>AND(TrafficData[[#This Row],[pendingAmount]]&lt;=TrafficData[[#This Row],[totalAmount]],TrafficData[[#This Row],[disposedAmount]]&lt;=TrafficData[[#This Row],[totalAmount]])</f>
        <v>1</v>
      </c>
      <c r="P2904" s="8" t="b">
        <f>AND(TrafficData[[#This Row],[pendingCourt]]&lt;=TrafficData[[#This Row],[totalCourt]],TrafficData[[#This Row],[disposedCourt]]&lt;=TrafficData[[#This Row],[totalCourt]])</f>
        <v>1</v>
      </c>
    </row>
    <row r="2905" spans="1:16">
      <c r="A2905" s="1">
        <v>44909</v>
      </c>
      <c r="B2905">
        <v>153912</v>
      </c>
      <c r="C2905">
        <v>75491</v>
      </c>
      <c r="D2905">
        <v>78421</v>
      </c>
      <c r="E2905">
        <v>151659558</v>
      </c>
      <c r="F2905">
        <v>125544897</v>
      </c>
      <c r="G2905">
        <v>277204455</v>
      </c>
      <c r="H2905">
        <v>47073</v>
      </c>
      <c r="I2905">
        <v>11839</v>
      </c>
      <c r="J2905">
        <v>58912</v>
      </c>
      <c r="K2905" t="b">
        <f>TrafficData[[#This Row],[disposedChallan]]+TrafficData[[#This Row],[pendingChallan]]=TrafficData[[#This Row],[totalChallan]]</f>
        <v>1</v>
      </c>
      <c r="L2905" t="b">
        <f>TrafficData[[#This Row],[pendingAmount]]+TrafficData[[#This Row],[disposedAmount]]=TrafficData[[#This Row],[totalAmount]]</f>
        <v>1</v>
      </c>
      <c r="M2905" t="b">
        <f>TrafficData[[#This Row],[pendingCourt]]+TrafficData[[#This Row],[disposedCourt]]=TrafficData[[#This Row],[totalCourt]]</f>
        <v>1</v>
      </c>
      <c r="N2905" s="8" t="b">
        <f>AND(TrafficData[[#This Row],[disposedChallan]]&lt;=TrafficData[[#This Row],[totalChallan]],TrafficData[[#This Row],[pendingChallan]]&lt;=TrafficData[[#This Row],[totalChallan]])</f>
        <v>1</v>
      </c>
      <c r="O2905" s="8" t="b">
        <f>AND(TrafficData[[#This Row],[pendingAmount]]&lt;=TrafficData[[#This Row],[totalAmount]],TrafficData[[#This Row],[disposedAmount]]&lt;=TrafficData[[#This Row],[totalAmount]])</f>
        <v>1</v>
      </c>
      <c r="P2905" s="8" t="b">
        <f>AND(TrafficData[[#This Row],[pendingCourt]]&lt;=TrafficData[[#This Row],[totalCourt]],TrafficData[[#This Row],[disposedCourt]]&lt;=TrafficData[[#This Row],[totalCourt]])</f>
        <v>1</v>
      </c>
    </row>
    <row r="2906" spans="1:16">
      <c r="A2906" s="1">
        <v>44910</v>
      </c>
      <c r="B2906">
        <v>150753</v>
      </c>
      <c r="C2906">
        <v>75611</v>
      </c>
      <c r="D2906">
        <v>75142</v>
      </c>
      <c r="E2906">
        <v>143757346</v>
      </c>
      <c r="F2906">
        <v>123715395</v>
      </c>
      <c r="G2906">
        <v>267472741</v>
      </c>
      <c r="H2906">
        <v>45581</v>
      </c>
      <c r="I2906">
        <v>11455</v>
      </c>
      <c r="J2906">
        <v>57036</v>
      </c>
      <c r="K2906" t="b">
        <f>TrafficData[[#This Row],[disposedChallan]]+TrafficData[[#This Row],[pendingChallan]]=TrafficData[[#This Row],[totalChallan]]</f>
        <v>1</v>
      </c>
      <c r="L2906" t="b">
        <f>TrafficData[[#This Row],[pendingAmount]]+TrafficData[[#This Row],[disposedAmount]]=TrafficData[[#This Row],[totalAmount]]</f>
        <v>1</v>
      </c>
      <c r="M2906" t="b">
        <f>TrafficData[[#This Row],[pendingCourt]]+TrafficData[[#This Row],[disposedCourt]]=TrafficData[[#This Row],[totalCourt]]</f>
        <v>1</v>
      </c>
      <c r="N2906" s="8" t="b">
        <f>AND(TrafficData[[#This Row],[disposedChallan]]&lt;=TrafficData[[#This Row],[totalChallan]],TrafficData[[#This Row],[pendingChallan]]&lt;=TrafficData[[#This Row],[totalChallan]])</f>
        <v>1</v>
      </c>
      <c r="O2906" s="8" t="b">
        <f>AND(TrafficData[[#This Row],[pendingAmount]]&lt;=TrafficData[[#This Row],[totalAmount]],TrafficData[[#This Row],[disposedAmount]]&lt;=TrafficData[[#This Row],[totalAmount]])</f>
        <v>1</v>
      </c>
      <c r="P2906" s="8" t="b">
        <f>AND(TrafficData[[#This Row],[pendingCourt]]&lt;=TrafficData[[#This Row],[totalCourt]],TrafficData[[#This Row],[disposedCourt]]&lt;=TrafficData[[#This Row],[totalCourt]])</f>
        <v>1</v>
      </c>
    </row>
    <row r="2907" spans="1:16">
      <c r="A2907" s="1">
        <v>44911</v>
      </c>
      <c r="B2907">
        <v>143718</v>
      </c>
      <c r="C2907">
        <v>69950</v>
      </c>
      <c r="D2907">
        <v>73768</v>
      </c>
      <c r="E2907">
        <v>129096052</v>
      </c>
      <c r="F2907">
        <v>114291735</v>
      </c>
      <c r="G2907">
        <v>243387787</v>
      </c>
      <c r="H2907">
        <v>41560</v>
      </c>
      <c r="I2907">
        <v>10950</v>
      </c>
      <c r="J2907">
        <v>52510</v>
      </c>
      <c r="K2907" t="b">
        <f>TrafficData[[#This Row],[disposedChallan]]+TrafficData[[#This Row],[pendingChallan]]=TrafficData[[#This Row],[totalChallan]]</f>
        <v>1</v>
      </c>
      <c r="L2907" t="b">
        <f>TrafficData[[#This Row],[pendingAmount]]+TrafficData[[#This Row],[disposedAmount]]=TrafficData[[#This Row],[totalAmount]]</f>
        <v>1</v>
      </c>
      <c r="M2907" t="b">
        <f>TrafficData[[#This Row],[pendingCourt]]+TrafficData[[#This Row],[disposedCourt]]=TrafficData[[#This Row],[totalCourt]]</f>
        <v>1</v>
      </c>
      <c r="N2907" s="8" t="b">
        <f>AND(TrafficData[[#This Row],[disposedChallan]]&lt;=TrafficData[[#This Row],[totalChallan]],TrafficData[[#This Row],[pendingChallan]]&lt;=TrafficData[[#This Row],[totalChallan]])</f>
        <v>1</v>
      </c>
      <c r="O2907" s="8" t="b">
        <f>AND(TrafficData[[#This Row],[pendingAmount]]&lt;=TrafficData[[#This Row],[totalAmount]],TrafficData[[#This Row],[disposedAmount]]&lt;=TrafficData[[#This Row],[totalAmount]])</f>
        <v>1</v>
      </c>
      <c r="P2907" s="8" t="b">
        <f>AND(TrafficData[[#This Row],[pendingCourt]]&lt;=TrafficData[[#This Row],[totalCourt]],TrafficData[[#This Row],[disposedCourt]]&lt;=TrafficData[[#This Row],[totalCourt]])</f>
        <v>1</v>
      </c>
    </row>
    <row r="2908" spans="1:16">
      <c r="A2908" s="1">
        <v>44912</v>
      </c>
      <c r="B2908">
        <v>137346</v>
      </c>
      <c r="C2908">
        <v>70251</v>
      </c>
      <c r="D2908">
        <v>67095</v>
      </c>
      <c r="E2908">
        <v>124452942</v>
      </c>
      <c r="F2908">
        <v>110606004</v>
      </c>
      <c r="G2908">
        <v>235058946</v>
      </c>
      <c r="H2908">
        <v>36900</v>
      </c>
      <c r="I2908">
        <v>10540</v>
      </c>
      <c r="J2908">
        <v>47440</v>
      </c>
      <c r="K2908" t="b">
        <f>TrafficData[[#This Row],[disposedChallan]]+TrafficData[[#This Row],[pendingChallan]]=TrafficData[[#This Row],[totalChallan]]</f>
        <v>1</v>
      </c>
      <c r="L2908" t="b">
        <f>TrafficData[[#This Row],[pendingAmount]]+TrafficData[[#This Row],[disposedAmount]]=TrafficData[[#This Row],[totalAmount]]</f>
        <v>1</v>
      </c>
      <c r="M2908" t="b">
        <f>TrafficData[[#This Row],[pendingCourt]]+TrafficData[[#This Row],[disposedCourt]]=TrafficData[[#This Row],[totalCourt]]</f>
        <v>1</v>
      </c>
      <c r="N2908" s="8" t="b">
        <f>AND(TrafficData[[#This Row],[disposedChallan]]&lt;=TrafficData[[#This Row],[totalChallan]],TrafficData[[#This Row],[pendingChallan]]&lt;=TrafficData[[#This Row],[totalChallan]])</f>
        <v>1</v>
      </c>
      <c r="O2908" s="8" t="b">
        <f>AND(TrafficData[[#This Row],[pendingAmount]]&lt;=TrafficData[[#This Row],[totalAmount]],TrafficData[[#This Row],[disposedAmount]]&lt;=TrafficData[[#This Row],[totalAmount]])</f>
        <v>1</v>
      </c>
      <c r="P2908" s="8" t="b">
        <f>AND(TrafficData[[#This Row],[pendingCourt]]&lt;=TrafficData[[#This Row],[totalCourt]],TrafficData[[#This Row],[disposedCourt]]&lt;=TrafficData[[#This Row],[totalCourt]])</f>
        <v>1</v>
      </c>
    </row>
    <row r="2909" spans="1:16">
      <c r="A2909" s="1">
        <v>44913</v>
      </c>
      <c r="B2909">
        <v>126436</v>
      </c>
      <c r="C2909">
        <v>59617</v>
      </c>
      <c r="D2909">
        <v>66819</v>
      </c>
      <c r="E2909">
        <v>111140413</v>
      </c>
      <c r="F2909">
        <v>78833999</v>
      </c>
      <c r="G2909">
        <v>189974412</v>
      </c>
      <c r="H2909">
        <v>33116</v>
      </c>
      <c r="I2909">
        <v>8765</v>
      </c>
      <c r="J2909">
        <v>41881</v>
      </c>
      <c r="K2909" t="b">
        <f>TrafficData[[#This Row],[disposedChallan]]+TrafficData[[#This Row],[pendingChallan]]=TrafficData[[#This Row],[totalChallan]]</f>
        <v>1</v>
      </c>
      <c r="L2909" t="b">
        <f>TrafficData[[#This Row],[pendingAmount]]+TrafficData[[#This Row],[disposedAmount]]=TrafficData[[#This Row],[totalAmount]]</f>
        <v>1</v>
      </c>
      <c r="M2909" t="b">
        <f>TrafficData[[#This Row],[pendingCourt]]+TrafficData[[#This Row],[disposedCourt]]=TrafficData[[#This Row],[totalCourt]]</f>
        <v>1</v>
      </c>
      <c r="N2909" s="8" t="b">
        <f>AND(TrafficData[[#This Row],[disposedChallan]]&lt;=TrafficData[[#This Row],[totalChallan]],TrafficData[[#This Row],[pendingChallan]]&lt;=TrafficData[[#This Row],[totalChallan]])</f>
        <v>1</v>
      </c>
      <c r="O2909" s="8" t="b">
        <f>AND(TrafficData[[#This Row],[pendingAmount]]&lt;=TrafficData[[#This Row],[totalAmount]],TrafficData[[#This Row],[disposedAmount]]&lt;=TrafficData[[#This Row],[totalAmount]])</f>
        <v>1</v>
      </c>
      <c r="P2909" s="8" t="b">
        <f>AND(TrafficData[[#This Row],[pendingCourt]]&lt;=TrafficData[[#This Row],[totalCourt]],TrafficData[[#This Row],[disposedCourt]]&lt;=TrafficData[[#This Row],[totalCourt]])</f>
        <v>1</v>
      </c>
    </row>
    <row r="2910" spans="1:16">
      <c r="A2910" s="1">
        <v>44914</v>
      </c>
      <c r="B2910">
        <v>132845</v>
      </c>
      <c r="C2910">
        <v>67751</v>
      </c>
      <c r="D2910">
        <v>65094</v>
      </c>
      <c r="E2910">
        <v>116404997</v>
      </c>
      <c r="F2910">
        <v>98023246</v>
      </c>
      <c r="G2910">
        <v>214428243</v>
      </c>
      <c r="H2910">
        <v>37403</v>
      </c>
      <c r="I2910">
        <v>10319</v>
      </c>
      <c r="J2910">
        <v>47722</v>
      </c>
      <c r="K2910" t="b">
        <f>TrafficData[[#This Row],[disposedChallan]]+TrafficData[[#This Row],[pendingChallan]]=TrafficData[[#This Row],[totalChallan]]</f>
        <v>1</v>
      </c>
      <c r="L2910" t="b">
        <f>TrafficData[[#This Row],[pendingAmount]]+TrafficData[[#This Row],[disposedAmount]]=TrafficData[[#This Row],[totalAmount]]</f>
        <v>1</v>
      </c>
      <c r="M2910" t="b">
        <f>TrafficData[[#This Row],[pendingCourt]]+TrafficData[[#This Row],[disposedCourt]]=TrafficData[[#This Row],[totalCourt]]</f>
        <v>1</v>
      </c>
      <c r="N2910" s="8" t="b">
        <f>AND(TrafficData[[#This Row],[disposedChallan]]&lt;=TrafficData[[#This Row],[totalChallan]],TrafficData[[#This Row],[pendingChallan]]&lt;=TrafficData[[#This Row],[totalChallan]])</f>
        <v>1</v>
      </c>
      <c r="O2910" s="8" t="b">
        <f>AND(TrafficData[[#This Row],[pendingAmount]]&lt;=TrafficData[[#This Row],[totalAmount]],TrafficData[[#This Row],[disposedAmount]]&lt;=TrafficData[[#This Row],[totalAmount]])</f>
        <v>1</v>
      </c>
      <c r="P2910" s="8" t="b">
        <f>AND(TrafficData[[#This Row],[pendingCourt]]&lt;=TrafficData[[#This Row],[totalCourt]],TrafficData[[#This Row],[disposedCourt]]&lt;=TrafficData[[#This Row],[totalCourt]])</f>
        <v>1</v>
      </c>
    </row>
    <row r="2911" spans="1:16">
      <c r="A2911" s="1">
        <v>44915</v>
      </c>
      <c r="B2911">
        <v>141567</v>
      </c>
      <c r="C2911">
        <v>71917</v>
      </c>
      <c r="D2911">
        <v>69650</v>
      </c>
      <c r="E2911">
        <v>137816362</v>
      </c>
      <c r="F2911">
        <v>116390304</v>
      </c>
      <c r="G2911">
        <v>254206666</v>
      </c>
      <c r="H2911">
        <v>39958</v>
      </c>
      <c r="I2911">
        <v>10965</v>
      </c>
      <c r="J2911">
        <v>50923</v>
      </c>
      <c r="K2911" t="b">
        <f>TrafficData[[#This Row],[disposedChallan]]+TrafficData[[#This Row],[pendingChallan]]=TrafficData[[#This Row],[totalChallan]]</f>
        <v>1</v>
      </c>
      <c r="L2911" t="b">
        <f>TrafficData[[#This Row],[pendingAmount]]+TrafficData[[#This Row],[disposedAmount]]=TrafficData[[#This Row],[totalAmount]]</f>
        <v>1</v>
      </c>
      <c r="M2911" t="b">
        <f>TrafficData[[#This Row],[pendingCourt]]+TrafficData[[#This Row],[disposedCourt]]=TrafficData[[#This Row],[totalCourt]]</f>
        <v>1</v>
      </c>
      <c r="N2911" s="8" t="b">
        <f>AND(TrafficData[[#This Row],[disposedChallan]]&lt;=TrafficData[[#This Row],[totalChallan]],TrafficData[[#This Row],[pendingChallan]]&lt;=TrafficData[[#This Row],[totalChallan]])</f>
        <v>1</v>
      </c>
      <c r="O2911" s="8" t="b">
        <f>AND(TrafficData[[#This Row],[pendingAmount]]&lt;=TrafficData[[#This Row],[totalAmount]],TrafficData[[#This Row],[disposedAmount]]&lt;=TrafficData[[#This Row],[totalAmount]])</f>
        <v>1</v>
      </c>
      <c r="P2911" s="8" t="b">
        <f>AND(TrafficData[[#This Row],[pendingCourt]]&lt;=TrafficData[[#This Row],[totalCourt]],TrafficData[[#This Row],[disposedCourt]]&lt;=TrafficData[[#This Row],[totalCourt]])</f>
        <v>1</v>
      </c>
    </row>
    <row r="2912" spans="1:16">
      <c r="A2912" s="1">
        <v>44916</v>
      </c>
      <c r="B2912">
        <v>140911</v>
      </c>
      <c r="C2912">
        <v>71250</v>
      </c>
      <c r="D2912">
        <v>69661</v>
      </c>
      <c r="E2912">
        <v>127295930</v>
      </c>
      <c r="F2912">
        <v>108625349</v>
      </c>
      <c r="G2912">
        <v>235921279</v>
      </c>
      <c r="H2912">
        <v>39693</v>
      </c>
      <c r="I2912">
        <v>10699</v>
      </c>
      <c r="J2912">
        <v>50392</v>
      </c>
      <c r="K2912" t="b">
        <f>TrafficData[[#This Row],[disposedChallan]]+TrafficData[[#This Row],[pendingChallan]]=TrafficData[[#This Row],[totalChallan]]</f>
        <v>1</v>
      </c>
      <c r="L2912" t="b">
        <f>TrafficData[[#This Row],[pendingAmount]]+TrafficData[[#This Row],[disposedAmount]]=TrafficData[[#This Row],[totalAmount]]</f>
        <v>1</v>
      </c>
      <c r="M2912" t="b">
        <f>TrafficData[[#This Row],[pendingCourt]]+TrafficData[[#This Row],[disposedCourt]]=TrafficData[[#This Row],[totalCourt]]</f>
        <v>1</v>
      </c>
      <c r="N2912" s="8" t="b">
        <f>AND(TrafficData[[#This Row],[disposedChallan]]&lt;=TrafficData[[#This Row],[totalChallan]],TrafficData[[#This Row],[pendingChallan]]&lt;=TrafficData[[#This Row],[totalChallan]])</f>
        <v>1</v>
      </c>
      <c r="O2912" s="8" t="b">
        <f>AND(TrafficData[[#This Row],[pendingAmount]]&lt;=TrafficData[[#This Row],[totalAmount]],TrafficData[[#This Row],[disposedAmount]]&lt;=TrafficData[[#This Row],[totalAmount]])</f>
        <v>1</v>
      </c>
      <c r="P2912" s="8" t="b">
        <f>AND(TrafficData[[#This Row],[pendingCourt]]&lt;=TrafficData[[#This Row],[totalCourt]],TrafficData[[#This Row],[disposedCourt]]&lt;=TrafficData[[#This Row],[totalCourt]])</f>
        <v>1</v>
      </c>
    </row>
    <row r="2913" spans="1:16">
      <c r="A2913" s="1">
        <v>44917</v>
      </c>
      <c r="B2913">
        <v>136823</v>
      </c>
      <c r="C2913">
        <v>69939</v>
      </c>
      <c r="D2913">
        <v>66884</v>
      </c>
      <c r="E2913">
        <v>128825042</v>
      </c>
      <c r="F2913">
        <v>115017403</v>
      </c>
      <c r="G2913">
        <v>243842445</v>
      </c>
      <c r="H2913">
        <v>37826</v>
      </c>
      <c r="I2913">
        <v>10422</v>
      </c>
      <c r="J2913">
        <v>48248</v>
      </c>
      <c r="K2913" t="b">
        <f>TrafficData[[#This Row],[disposedChallan]]+TrafficData[[#This Row],[pendingChallan]]=TrafficData[[#This Row],[totalChallan]]</f>
        <v>1</v>
      </c>
      <c r="L2913" t="b">
        <f>TrafficData[[#This Row],[pendingAmount]]+TrafficData[[#This Row],[disposedAmount]]=TrafficData[[#This Row],[totalAmount]]</f>
        <v>1</v>
      </c>
      <c r="M2913" t="b">
        <f>TrafficData[[#This Row],[pendingCourt]]+TrafficData[[#This Row],[disposedCourt]]=TrafficData[[#This Row],[totalCourt]]</f>
        <v>1</v>
      </c>
      <c r="N2913" s="8" t="b">
        <f>AND(TrafficData[[#This Row],[disposedChallan]]&lt;=TrafficData[[#This Row],[totalChallan]],TrafficData[[#This Row],[pendingChallan]]&lt;=TrafficData[[#This Row],[totalChallan]])</f>
        <v>1</v>
      </c>
      <c r="O2913" s="8" t="b">
        <f>AND(TrafficData[[#This Row],[pendingAmount]]&lt;=TrafficData[[#This Row],[totalAmount]],TrafficData[[#This Row],[disposedAmount]]&lt;=TrafficData[[#This Row],[totalAmount]])</f>
        <v>1</v>
      </c>
      <c r="P2913" s="8" t="b">
        <f>AND(TrafficData[[#This Row],[pendingCourt]]&lt;=TrafficData[[#This Row],[totalCourt]],TrafficData[[#This Row],[disposedCourt]]&lt;=TrafficData[[#This Row],[totalCourt]])</f>
        <v>1</v>
      </c>
    </row>
    <row r="2914" spans="1:16">
      <c r="A2914" s="1">
        <v>44918</v>
      </c>
      <c r="B2914">
        <v>137315</v>
      </c>
      <c r="C2914">
        <v>68303</v>
      </c>
      <c r="D2914">
        <v>69012</v>
      </c>
      <c r="E2914">
        <v>121340518</v>
      </c>
      <c r="F2914">
        <v>111964511</v>
      </c>
      <c r="G2914">
        <v>233305029</v>
      </c>
      <c r="H2914">
        <v>37811</v>
      </c>
      <c r="I2914">
        <v>10308</v>
      </c>
      <c r="J2914">
        <v>48119</v>
      </c>
      <c r="K2914" t="b">
        <f>TrafficData[[#This Row],[disposedChallan]]+TrafficData[[#This Row],[pendingChallan]]=TrafficData[[#This Row],[totalChallan]]</f>
        <v>1</v>
      </c>
      <c r="L2914" t="b">
        <f>TrafficData[[#This Row],[pendingAmount]]+TrafficData[[#This Row],[disposedAmount]]=TrafficData[[#This Row],[totalAmount]]</f>
        <v>1</v>
      </c>
      <c r="M2914" t="b">
        <f>TrafficData[[#This Row],[pendingCourt]]+TrafficData[[#This Row],[disposedCourt]]=TrafficData[[#This Row],[totalCourt]]</f>
        <v>1</v>
      </c>
      <c r="N2914" s="8" t="b">
        <f>AND(TrafficData[[#This Row],[disposedChallan]]&lt;=TrafficData[[#This Row],[totalChallan]],TrafficData[[#This Row],[pendingChallan]]&lt;=TrafficData[[#This Row],[totalChallan]])</f>
        <v>1</v>
      </c>
      <c r="O2914" s="8" t="b">
        <f>AND(TrafficData[[#This Row],[pendingAmount]]&lt;=TrafficData[[#This Row],[totalAmount]],TrafficData[[#This Row],[disposedAmount]]&lt;=TrafficData[[#This Row],[totalAmount]])</f>
        <v>1</v>
      </c>
      <c r="P2914" s="8" t="b">
        <f>AND(TrafficData[[#This Row],[pendingCourt]]&lt;=TrafficData[[#This Row],[totalCourt]],TrafficData[[#This Row],[disposedCourt]]&lt;=TrafficData[[#This Row],[totalCourt]])</f>
        <v>1</v>
      </c>
    </row>
    <row r="2915" spans="1:16">
      <c r="A2915" s="1">
        <v>44919</v>
      </c>
      <c r="B2915">
        <v>131684</v>
      </c>
      <c r="C2915">
        <v>66772</v>
      </c>
      <c r="D2915">
        <v>64912</v>
      </c>
      <c r="E2915">
        <v>109919692</v>
      </c>
      <c r="F2915">
        <v>93642179</v>
      </c>
      <c r="G2915">
        <v>203561871</v>
      </c>
      <c r="H2915">
        <v>36502</v>
      </c>
      <c r="I2915">
        <v>10412</v>
      </c>
      <c r="J2915">
        <v>46914</v>
      </c>
      <c r="K2915" t="b">
        <f>TrafficData[[#This Row],[disposedChallan]]+TrafficData[[#This Row],[pendingChallan]]=TrafficData[[#This Row],[totalChallan]]</f>
        <v>1</v>
      </c>
      <c r="L2915" t="b">
        <f>TrafficData[[#This Row],[pendingAmount]]+TrafficData[[#This Row],[disposedAmount]]=TrafficData[[#This Row],[totalAmount]]</f>
        <v>1</v>
      </c>
      <c r="M2915" t="b">
        <f>TrafficData[[#This Row],[pendingCourt]]+TrafficData[[#This Row],[disposedCourt]]=TrafficData[[#This Row],[totalCourt]]</f>
        <v>1</v>
      </c>
      <c r="N2915" s="8" t="b">
        <f>AND(TrafficData[[#This Row],[disposedChallan]]&lt;=TrafficData[[#This Row],[totalChallan]],TrafficData[[#This Row],[pendingChallan]]&lt;=TrafficData[[#This Row],[totalChallan]])</f>
        <v>1</v>
      </c>
      <c r="O2915" s="8" t="b">
        <f>AND(TrafficData[[#This Row],[pendingAmount]]&lt;=TrafficData[[#This Row],[totalAmount]],TrafficData[[#This Row],[disposedAmount]]&lt;=TrafficData[[#This Row],[totalAmount]])</f>
        <v>1</v>
      </c>
      <c r="P2915" s="8" t="b">
        <f>AND(TrafficData[[#This Row],[pendingCourt]]&lt;=TrafficData[[#This Row],[totalCourt]],TrafficData[[#This Row],[disposedCourt]]&lt;=TrafficData[[#This Row],[totalCourt]])</f>
        <v>1</v>
      </c>
    </row>
    <row r="2916" spans="1:16">
      <c r="A2916" s="1">
        <v>44920</v>
      </c>
      <c r="B2916">
        <v>109611</v>
      </c>
      <c r="C2916">
        <v>52369</v>
      </c>
      <c r="D2916">
        <v>57242</v>
      </c>
      <c r="E2916">
        <v>85977555</v>
      </c>
      <c r="F2916">
        <v>70655118</v>
      </c>
      <c r="G2916">
        <v>156632673</v>
      </c>
      <c r="H2916">
        <v>33638</v>
      </c>
      <c r="I2916">
        <v>9345</v>
      </c>
      <c r="J2916">
        <v>42983</v>
      </c>
      <c r="K2916" t="b">
        <f>TrafficData[[#This Row],[disposedChallan]]+TrafficData[[#This Row],[pendingChallan]]=TrafficData[[#This Row],[totalChallan]]</f>
        <v>1</v>
      </c>
      <c r="L2916" t="b">
        <f>TrafficData[[#This Row],[pendingAmount]]+TrafficData[[#This Row],[disposedAmount]]=TrafficData[[#This Row],[totalAmount]]</f>
        <v>1</v>
      </c>
      <c r="M2916" t="b">
        <f>TrafficData[[#This Row],[pendingCourt]]+TrafficData[[#This Row],[disposedCourt]]=TrafficData[[#This Row],[totalCourt]]</f>
        <v>1</v>
      </c>
      <c r="N2916" s="8" t="b">
        <f>AND(TrafficData[[#This Row],[disposedChallan]]&lt;=TrafficData[[#This Row],[totalChallan]],TrafficData[[#This Row],[pendingChallan]]&lt;=TrafficData[[#This Row],[totalChallan]])</f>
        <v>1</v>
      </c>
      <c r="O2916" s="8" t="b">
        <f>AND(TrafficData[[#This Row],[pendingAmount]]&lt;=TrafficData[[#This Row],[totalAmount]],TrafficData[[#This Row],[disposedAmount]]&lt;=TrafficData[[#This Row],[totalAmount]])</f>
        <v>1</v>
      </c>
      <c r="P2916" s="8" t="b">
        <f>AND(TrafficData[[#This Row],[pendingCourt]]&lt;=TrafficData[[#This Row],[totalCourt]],TrafficData[[#This Row],[disposedCourt]]&lt;=TrafficData[[#This Row],[totalCourt]])</f>
        <v>1</v>
      </c>
    </row>
    <row r="2917" spans="1:16">
      <c r="A2917" s="1">
        <v>44921</v>
      </c>
      <c r="B2917">
        <v>135499</v>
      </c>
      <c r="C2917">
        <v>67263</v>
      </c>
      <c r="D2917">
        <v>68236</v>
      </c>
      <c r="E2917">
        <v>111949057</v>
      </c>
      <c r="F2917">
        <v>93430128</v>
      </c>
      <c r="G2917">
        <v>205379185</v>
      </c>
      <c r="H2917">
        <v>38120</v>
      </c>
      <c r="I2917">
        <v>10314</v>
      </c>
      <c r="J2917">
        <v>48434</v>
      </c>
      <c r="K2917" t="b">
        <f>TrafficData[[#This Row],[disposedChallan]]+TrafficData[[#This Row],[pendingChallan]]=TrafficData[[#This Row],[totalChallan]]</f>
        <v>1</v>
      </c>
      <c r="L2917" t="b">
        <f>TrafficData[[#This Row],[pendingAmount]]+TrafficData[[#This Row],[disposedAmount]]=TrafficData[[#This Row],[totalAmount]]</f>
        <v>1</v>
      </c>
      <c r="M2917" t="b">
        <f>TrafficData[[#This Row],[pendingCourt]]+TrafficData[[#This Row],[disposedCourt]]=TrafficData[[#This Row],[totalCourt]]</f>
        <v>1</v>
      </c>
      <c r="N2917" s="8" t="b">
        <f>AND(TrafficData[[#This Row],[disposedChallan]]&lt;=TrafficData[[#This Row],[totalChallan]],TrafficData[[#This Row],[pendingChallan]]&lt;=TrafficData[[#This Row],[totalChallan]])</f>
        <v>1</v>
      </c>
      <c r="O2917" s="8" t="b">
        <f>AND(TrafficData[[#This Row],[pendingAmount]]&lt;=TrafficData[[#This Row],[totalAmount]],TrafficData[[#This Row],[disposedAmount]]&lt;=TrafficData[[#This Row],[totalAmount]])</f>
        <v>1</v>
      </c>
      <c r="P2917" s="8" t="b">
        <f>AND(TrafficData[[#This Row],[pendingCourt]]&lt;=TrafficData[[#This Row],[totalCourt]],TrafficData[[#This Row],[disposedCourt]]&lt;=TrafficData[[#This Row],[totalCourt]])</f>
        <v>1</v>
      </c>
    </row>
    <row r="2918" spans="1:16">
      <c r="A2918" s="1">
        <v>44922</v>
      </c>
      <c r="B2918">
        <v>142670</v>
      </c>
      <c r="C2918">
        <v>69889</v>
      </c>
      <c r="D2918">
        <v>72781</v>
      </c>
      <c r="E2918">
        <v>118014844</v>
      </c>
      <c r="F2918">
        <v>99739585</v>
      </c>
      <c r="G2918">
        <v>217754429</v>
      </c>
      <c r="H2918">
        <v>42174</v>
      </c>
      <c r="I2918">
        <v>11041</v>
      </c>
      <c r="J2918">
        <v>53215</v>
      </c>
      <c r="K2918" t="b">
        <f>TrafficData[[#This Row],[disposedChallan]]+TrafficData[[#This Row],[pendingChallan]]=TrafficData[[#This Row],[totalChallan]]</f>
        <v>1</v>
      </c>
      <c r="L2918" t="b">
        <f>TrafficData[[#This Row],[pendingAmount]]+TrafficData[[#This Row],[disposedAmount]]=TrafficData[[#This Row],[totalAmount]]</f>
        <v>1</v>
      </c>
      <c r="M2918" t="b">
        <f>TrafficData[[#This Row],[pendingCourt]]+TrafficData[[#This Row],[disposedCourt]]=TrafficData[[#This Row],[totalCourt]]</f>
        <v>1</v>
      </c>
      <c r="N2918" s="8" t="b">
        <f>AND(TrafficData[[#This Row],[disposedChallan]]&lt;=TrafficData[[#This Row],[totalChallan]],TrafficData[[#This Row],[pendingChallan]]&lt;=TrafficData[[#This Row],[totalChallan]])</f>
        <v>1</v>
      </c>
      <c r="O2918" s="8" t="b">
        <f>AND(TrafficData[[#This Row],[pendingAmount]]&lt;=TrafficData[[#This Row],[totalAmount]],TrafficData[[#This Row],[disposedAmount]]&lt;=TrafficData[[#This Row],[totalAmount]])</f>
        <v>1</v>
      </c>
      <c r="P2918" s="8" t="b">
        <f>AND(TrafficData[[#This Row],[pendingCourt]]&lt;=TrafficData[[#This Row],[totalCourt]],TrafficData[[#This Row],[disposedCourt]]&lt;=TrafficData[[#This Row],[totalCourt]])</f>
        <v>1</v>
      </c>
    </row>
    <row r="2919" spans="1:16">
      <c r="A2919" s="1">
        <v>44923</v>
      </c>
      <c r="B2919">
        <v>140503</v>
      </c>
      <c r="C2919">
        <v>70591</v>
      </c>
      <c r="D2919">
        <v>69912</v>
      </c>
      <c r="E2919">
        <v>122770102</v>
      </c>
      <c r="F2919">
        <v>104698525</v>
      </c>
      <c r="G2919">
        <v>227468627</v>
      </c>
      <c r="H2919">
        <v>42511</v>
      </c>
      <c r="I2919">
        <v>11421</v>
      </c>
      <c r="J2919">
        <v>53932</v>
      </c>
      <c r="K2919" t="b">
        <f>TrafficData[[#This Row],[disposedChallan]]+TrafficData[[#This Row],[pendingChallan]]=TrafficData[[#This Row],[totalChallan]]</f>
        <v>1</v>
      </c>
      <c r="L2919" t="b">
        <f>TrafficData[[#This Row],[pendingAmount]]+TrafficData[[#This Row],[disposedAmount]]=TrafficData[[#This Row],[totalAmount]]</f>
        <v>1</v>
      </c>
      <c r="M2919" t="b">
        <f>TrafficData[[#This Row],[pendingCourt]]+TrafficData[[#This Row],[disposedCourt]]=TrafficData[[#This Row],[totalCourt]]</f>
        <v>1</v>
      </c>
      <c r="N2919" s="8" t="b">
        <f>AND(TrafficData[[#This Row],[disposedChallan]]&lt;=TrafficData[[#This Row],[totalChallan]],TrafficData[[#This Row],[pendingChallan]]&lt;=TrafficData[[#This Row],[totalChallan]])</f>
        <v>1</v>
      </c>
      <c r="O2919" s="8" t="b">
        <f>AND(TrafficData[[#This Row],[pendingAmount]]&lt;=TrafficData[[#This Row],[totalAmount]],TrafficData[[#This Row],[disposedAmount]]&lt;=TrafficData[[#This Row],[totalAmount]])</f>
        <v>1</v>
      </c>
      <c r="P2919" s="8" t="b">
        <f>AND(TrafficData[[#This Row],[pendingCourt]]&lt;=TrafficData[[#This Row],[totalCourt]],TrafficData[[#This Row],[disposedCourt]]&lt;=TrafficData[[#This Row],[totalCourt]])</f>
        <v>1</v>
      </c>
    </row>
    <row r="2920" spans="1:16">
      <c r="A2920" s="1">
        <v>44924</v>
      </c>
      <c r="B2920">
        <v>141259</v>
      </c>
      <c r="C2920">
        <v>67351</v>
      </c>
      <c r="D2920">
        <v>73908</v>
      </c>
      <c r="E2920">
        <v>128049882</v>
      </c>
      <c r="F2920">
        <v>94938791</v>
      </c>
      <c r="G2920">
        <v>222988673</v>
      </c>
      <c r="H2920">
        <v>42282</v>
      </c>
      <c r="I2920">
        <v>11047</v>
      </c>
      <c r="J2920">
        <v>53329</v>
      </c>
      <c r="K2920" t="b">
        <f>TrafficData[[#This Row],[disposedChallan]]+TrafficData[[#This Row],[pendingChallan]]=TrafficData[[#This Row],[totalChallan]]</f>
        <v>1</v>
      </c>
      <c r="L2920" t="b">
        <f>TrafficData[[#This Row],[pendingAmount]]+TrafficData[[#This Row],[disposedAmount]]=TrafficData[[#This Row],[totalAmount]]</f>
        <v>1</v>
      </c>
      <c r="M2920" t="b">
        <f>TrafficData[[#This Row],[pendingCourt]]+TrafficData[[#This Row],[disposedCourt]]=TrafficData[[#This Row],[totalCourt]]</f>
        <v>1</v>
      </c>
      <c r="N2920" s="8" t="b">
        <f>AND(TrafficData[[#This Row],[disposedChallan]]&lt;=TrafficData[[#This Row],[totalChallan]],TrafficData[[#This Row],[pendingChallan]]&lt;=TrafficData[[#This Row],[totalChallan]])</f>
        <v>1</v>
      </c>
      <c r="O2920" s="8" t="b">
        <f>AND(TrafficData[[#This Row],[pendingAmount]]&lt;=TrafficData[[#This Row],[totalAmount]],TrafficData[[#This Row],[disposedAmount]]&lt;=TrafficData[[#This Row],[totalAmount]])</f>
        <v>1</v>
      </c>
      <c r="P2920" s="8" t="b">
        <f>AND(TrafficData[[#This Row],[pendingCourt]]&lt;=TrafficData[[#This Row],[totalCourt]],TrafficData[[#This Row],[disposedCourt]]&lt;=TrafficData[[#This Row],[totalCourt]])</f>
        <v>1</v>
      </c>
    </row>
    <row r="2921" spans="1:16">
      <c r="A2921" s="1">
        <v>44925</v>
      </c>
      <c r="B2921">
        <v>155753</v>
      </c>
      <c r="C2921">
        <v>70796</v>
      </c>
      <c r="D2921">
        <v>84957</v>
      </c>
      <c r="E2921">
        <v>147799534</v>
      </c>
      <c r="F2921">
        <v>101663535</v>
      </c>
      <c r="G2921">
        <v>249463069</v>
      </c>
      <c r="H2921">
        <v>46514</v>
      </c>
      <c r="I2921">
        <v>12124</v>
      </c>
      <c r="J2921">
        <v>58638</v>
      </c>
      <c r="K2921" t="b">
        <f>TrafficData[[#This Row],[disposedChallan]]+TrafficData[[#This Row],[pendingChallan]]=TrafficData[[#This Row],[totalChallan]]</f>
        <v>1</v>
      </c>
      <c r="L2921" t="b">
        <f>TrafficData[[#This Row],[pendingAmount]]+TrafficData[[#This Row],[disposedAmount]]=TrafficData[[#This Row],[totalAmount]]</f>
        <v>1</v>
      </c>
      <c r="M2921" t="b">
        <f>TrafficData[[#This Row],[pendingCourt]]+TrafficData[[#This Row],[disposedCourt]]=TrafficData[[#This Row],[totalCourt]]</f>
        <v>1</v>
      </c>
      <c r="N2921" s="8" t="b">
        <f>AND(TrafficData[[#This Row],[disposedChallan]]&lt;=TrafficData[[#This Row],[totalChallan]],TrafficData[[#This Row],[pendingChallan]]&lt;=TrafficData[[#This Row],[totalChallan]])</f>
        <v>1</v>
      </c>
      <c r="O2921" s="8" t="b">
        <f>AND(TrafficData[[#This Row],[pendingAmount]]&lt;=TrafficData[[#This Row],[totalAmount]],TrafficData[[#This Row],[disposedAmount]]&lt;=TrafficData[[#This Row],[totalAmount]])</f>
        <v>1</v>
      </c>
      <c r="P2921" s="8" t="b">
        <f>AND(TrafficData[[#This Row],[pendingCourt]]&lt;=TrafficData[[#This Row],[totalCourt]],TrafficData[[#This Row],[disposedCourt]]&lt;=TrafficData[[#This Row],[totalCourt]])</f>
        <v>1</v>
      </c>
    </row>
    <row r="2922" spans="1:16">
      <c r="A2922" s="1">
        <v>44926</v>
      </c>
      <c r="B2922">
        <v>145828</v>
      </c>
      <c r="C2922">
        <v>67331</v>
      </c>
      <c r="D2922">
        <v>78497</v>
      </c>
      <c r="E2922">
        <v>133978064</v>
      </c>
      <c r="F2922">
        <v>84149192</v>
      </c>
      <c r="G2922">
        <v>218127256</v>
      </c>
      <c r="H2922">
        <v>42128</v>
      </c>
      <c r="I2922">
        <v>11577</v>
      </c>
      <c r="J2922">
        <v>53705</v>
      </c>
      <c r="K2922" t="b">
        <f>TrafficData[[#This Row],[disposedChallan]]+TrafficData[[#This Row],[pendingChallan]]=TrafficData[[#This Row],[totalChallan]]</f>
        <v>1</v>
      </c>
      <c r="L2922" t="b">
        <f>TrafficData[[#This Row],[pendingAmount]]+TrafficData[[#This Row],[disposedAmount]]=TrafficData[[#This Row],[totalAmount]]</f>
        <v>1</v>
      </c>
      <c r="M2922" t="b">
        <f>TrafficData[[#This Row],[pendingCourt]]+TrafficData[[#This Row],[disposedCourt]]=TrafficData[[#This Row],[totalCourt]]</f>
        <v>1</v>
      </c>
      <c r="N2922" s="8" t="b">
        <f>AND(TrafficData[[#This Row],[disposedChallan]]&lt;=TrafficData[[#This Row],[totalChallan]],TrafficData[[#This Row],[pendingChallan]]&lt;=TrafficData[[#This Row],[totalChallan]])</f>
        <v>1</v>
      </c>
      <c r="O2922" s="8" t="b">
        <f>AND(TrafficData[[#This Row],[pendingAmount]]&lt;=TrafficData[[#This Row],[totalAmount]],TrafficData[[#This Row],[disposedAmount]]&lt;=TrafficData[[#This Row],[totalAmount]])</f>
        <v>1</v>
      </c>
      <c r="P2922" s="8" t="b">
        <f>AND(TrafficData[[#This Row],[pendingCourt]]&lt;=TrafficData[[#This Row],[totalCourt]],TrafficData[[#This Row],[disposedCourt]]&lt;=TrafficData[[#This Row],[totalCourt]])</f>
        <v>1</v>
      </c>
    </row>
    <row r="2923" spans="1:16">
      <c r="A2923" s="1">
        <v>44927</v>
      </c>
      <c r="B2923">
        <v>102882</v>
      </c>
      <c r="C2923">
        <v>47325</v>
      </c>
      <c r="D2923">
        <v>55557</v>
      </c>
      <c r="E2923">
        <v>85848045</v>
      </c>
      <c r="F2923">
        <v>72582447</v>
      </c>
      <c r="G2923">
        <v>158430492</v>
      </c>
      <c r="H2923">
        <v>29750</v>
      </c>
      <c r="I2923">
        <v>8519</v>
      </c>
      <c r="J2923">
        <v>38269</v>
      </c>
      <c r="K2923" t="b">
        <f>TrafficData[[#This Row],[disposedChallan]]+TrafficData[[#This Row],[pendingChallan]]=TrafficData[[#This Row],[totalChallan]]</f>
        <v>1</v>
      </c>
      <c r="L2923" t="b">
        <f>TrafficData[[#This Row],[pendingAmount]]+TrafficData[[#This Row],[disposedAmount]]=TrafficData[[#This Row],[totalAmount]]</f>
        <v>1</v>
      </c>
      <c r="M2923" t="b">
        <f>TrafficData[[#This Row],[pendingCourt]]+TrafficData[[#This Row],[disposedCourt]]=TrafficData[[#This Row],[totalCourt]]</f>
        <v>1</v>
      </c>
      <c r="N2923" s="8" t="b">
        <f>AND(TrafficData[[#This Row],[disposedChallan]]&lt;=TrafficData[[#This Row],[totalChallan]],TrafficData[[#This Row],[pendingChallan]]&lt;=TrafficData[[#This Row],[totalChallan]])</f>
        <v>1</v>
      </c>
      <c r="O2923" s="8" t="b">
        <f>AND(TrafficData[[#This Row],[pendingAmount]]&lt;=TrafficData[[#This Row],[totalAmount]],TrafficData[[#This Row],[disposedAmount]]&lt;=TrafficData[[#This Row],[totalAmount]])</f>
        <v>1</v>
      </c>
      <c r="P2923" s="8" t="b">
        <f>AND(TrafficData[[#This Row],[pendingCourt]]&lt;=TrafficData[[#This Row],[totalCourt]],TrafficData[[#This Row],[disposedCourt]]&lt;=TrafficData[[#This Row],[totalCourt]])</f>
        <v>1</v>
      </c>
    </row>
    <row r="2924" spans="1:16">
      <c r="A2924" s="1">
        <v>44928</v>
      </c>
      <c r="B2924">
        <v>150649</v>
      </c>
      <c r="C2924">
        <v>73252</v>
      </c>
      <c r="D2924">
        <v>77397</v>
      </c>
      <c r="E2924">
        <v>127681086</v>
      </c>
      <c r="F2924">
        <v>103247321</v>
      </c>
      <c r="G2924">
        <v>230928407</v>
      </c>
      <c r="H2924">
        <v>47381</v>
      </c>
      <c r="I2924">
        <v>11912</v>
      </c>
      <c r="J2924">
        <v>59293</v>
      </c>
      <c r="K2924" t="b">
        <f>TrafficData[[#This Row],[disposedChallan]]+TrafficData[[#This Row],[pendingChallan]]=TrafficData[[#This Row],[totalChallan]]</f>
        <v>1</v>
      </c>
      <c r="L2924" t="b">
        <f>TrafficData[[#This Row],[pendingAmount]]+TrafficData[[#This Row],[disposedAmount]]=TrafficData[[#This Row],[totalAmount]]</f>
        <v>1</v>
      </c>
      <c r="M2924" t="b">
        <f>TrafficData[[#This Row],[pendingCourt]]+TrafficData[[#This Row],[disposedCourt]]=TrafficData[[#This Row],[totalCourt]]</f>
        <v>1</v>
      </c>
      <c r="N2924" s="8" t="b">
        <f>AND(TrafficData[[#This Row],[disposedChallan]]&lt;=TrafficData[[#This Row],[totalChallan]],TrafficData[[#This Row],[pendingChallan]]&lt;=TrafficData[[#This Row],[totalChallan]])</f>
        <v>1</v>
      </c>
      <c r="O2924" s="8" t="b">
        <f>AND(TrafficData[[#This Row],[pendingAmount]]&lt;=TrafficData[[#This Row],[totalAmount]],TrafficData[[#This Row],[disposedAmount]]&lt;=TrafficData[[#This Row],[totalAmount]])</f>
        <v>1</v>
      </c>
      <c r="P2924" s="8" t="b">
        <f>AND(TrafficData[[#This Row],[pendingCourt]]&lt;=TrafficData[[#This Row],[totalCourt]],TrafficData[[#This Row],[disposedCourt]]&lt;=TrafficData[[#This Row],[totalCourt]])</f>
        <v>1</v>
      </c>
    </row>
    <row r="2925" spans="1:16">
      <c r="A2925" s="1">
        <v>44929</v>
      </c>
      <c r="B2925">
        <v>154630</v>
      </c>
      <c r="C2925">
        <v>75514</v>
      </c>
      <c r="D2925">
        <v>79116</v>
      </c>
      <c r="E2925">
        <v>131489717</v>
      </c>
      <c r="F2925">
        <v>115380318</v>
      </c>
      <c r="G2925">
        <v>246870035</v>
      </c>
      <c r="H2925">
        <v>50683</v>
      </c>
      <c r="I2925">
        <v>12120</v>
      </c>
      <c r="J2925">
        <v>62803</v>
      </c>
      <c r="K2925" t="b">
        <f>TrafficData[[#This Row],[disposedChallan]]+TrafficData[[#This Row],[pendingChallan]]=TrafficData[[#This Row],[totalChallan]]</f>
        <v>1</v>
      </c>
      <c r="L2925" t="b">
        <f>TrafficData[[#This Row],[pendingAmount]]+TrafficData[[#This Row],[disposedAmount]]=TrafficData[[#This Row],[totalAmount]]</f>
        <v>1</v>
      </c>
      <c r="M2925" t="b">
        <f>TrafficData[[#This Row],[pendingCourt]]+TrafficData[[#This Row],[disposedCourt]]=TrafficData[[#This Row],[totalCourt]]</f>
        <v>1</v>
      </c>
      <c r="N2925" s="8" t="b">
        <f>AND(TrafficData[[#This Row],[disposedChallan]]&lt;=TrafficData[[#This Row],[totalChallan]],TrafficData[[#This Row],[pendingChallan]]&lt;=TrafficData[[#This Row],[totalChallan]])</f>
        <v>1</v>
      </c>
      <c r="O2925" s="8" t="b">
        <f>AND(TrafficData[[#This Row],[pendingAmount]]&lt;=TrafficData[[#This Row],[totalAmount]],TrafficData[[#This Row],[disposedAmount]]&lt;=TrafficData[[#This Row],[totalAmount]])</f>
        <v>1</v>
      </c>
      <c r="P2925" s="8" t="b">
        <f>AND(TrafficData[[#This Row],[pendingCourt]]&lt;=TrafficData[[#This Row],[totalCourt]],TrafficData[[#This Row],[disposedCourt]]&lt;=TrafficData[[#This Row],[totalCourt]])</f>
        <v>1</v>
      </c>
    </row>
    <row r="2926" spans="1:16">
      <c r="A2926" s="1">
        <v>44930</v>
      </c>
      <c r="B2926">
        <v>163993</v>
      </c>
      <c r="C2926">
        <v>79275</v>
      </c>
      <c r="D2926">
        <v>84718</v>
      </c>
      <c r="E2926">
        <v>148442477</v>
      </c>
      <c r="F2926">
        <v>132742662</v>
      </c>
      <c r="G2926">
        <v>281185139</v>
      </c>
      <c r="H2926">
        <v>51129</v>
      </c>
      <c r="I2926">
        <v>12617</v>
      </c>
      <c r="J2926">
        <v>63746</v>
      </c>
      <c r="K2926" t="b">
        <f>TrafficData[[#This Row],[disposedChallan]]+TrafficData[[#This Row],[pendingChallan]]=TrafficData[[#This Row],[totalChallan]]</f>
        <v>1</v>
      </c>
      <c r="L2926" t="b">
        <f>TrafficData[[#This Row],[pendingAmount]]+TrafficData[[#This Row],[disposedAmount]]=TrafficData[[#This Row],[totalAmount]]</f>
        <v>1</v>
      </c>
      <c r="M2926" t="b">
        <f>TrafficData[[#This Row],[pendingCourt]]+TrafficData[[#This Row],[disposedCourt]]=TrafficData[[#This Row],[totalCourt]]</f>
        <v>1</v>
      </c>
      <c r="N2926" s="8" t="b">
        <f>AND(TrafficData[[#This Row],[disposedChallan]]&lt;=TrafficData[[#This Row],[totalChallan]],TrafficData[[#This Row],[pendingChallan]]&lt;=TrafficData[[#This Row],[totalChallan]])</f>
        <v>1</v>
      </c>
      <c r="O2926" s="8" t="b">
        <f>AND(TrafficData[[#This Row],[pendingAmount]]&lt;=TrafficData[[#This Row],[totalAmount]],TrafficData[[#This Row],[disposedAmount]]&lt;=TrafficData[[#This Row],[totalAmount]])</f>
        <v>1</v>
      </c>
      <c r="P2926" s="8" t="b">
        <f>AND(TrafficData[[#This Row],[pendingCourt]]&lt;=TrafficData[[#This Row],[totalCourt]],TrafficData[[#This Row],[disposedCourt]]&lt;=TrafficData[[#This Row],[totalCourt]])</f>
        <v>1</v>
      </c>
    </row>
    <row r="2927" spans="1:16">
      <c r="A2927" s="1">
        <v>44931</v>
      </c>
      <c r="B2927">
        <v>163160</v>
      </c>
      <c r="C2927">
        <v>79193</v>
      </c>
      <c r="D2927">
        <v>83967</v>
      </c>
      <c r="E2927">
        <v>144136280</v>
      </c>
      <c r="F2927">
        <v>126490011</v>
      </c>
      <c r="G2927">
        <v>270626291</v>
      </c>
      <c r="H2927">
        <v>50425</v>
      </c>
      <c r="I2927">
        <v>12412</v>
      </c>
      <c r="J2927">
        <v>62837</v>
      </c>
      <c r="K2927" t="b">
        <f>TrafficData[[#This Row],[disposedChallan]]+TrafficData[[#This Row],[pendingChallan]]=TrafficData[[#This Row],[totalChallan]]</f>
        <v>1</v>
      </c>
      <c r="L2927" t="b">
        <f>TrafficData[[#This Row],[pendingAmount]]+TrafficData[[#This Row],[disposedAmount]]=TrafficData[[#This Row],[totalAmount]]</f>
        <v>1</v>
      </c>
      <c r="M2927" t="b">
        <f>TrafficData[[#This Row],[pendingCourt]]+TrafficData[[#This Row],[disposedCourt]]=TrafficData[[#This Row],[totalCourt]]</f>
        <v>1</v>
      </c>
      <c r="N2927" s="8" t="b">
        <f>AND(TrafficData[[#This Row],[disposedChallan]]&lt;=TrafficData[[#This Row],[totalChallan]],TrafficData[[#This Row],[pendingChallan]]&lt;=TrafficData[[#This Row],[totalChallan]])</f>
        <v>1</v>
      </c>
      <c r="O2927" s="8" t="b">
        <f>AND(TrafficData[[#This Row],[pendingAmount]]&lt;=TrafficData[[#This Row],[totalAmount]],TrafficData[[#This Row],[disposedAmount]]&lt;=TrafficData[[#This Row],[totalAmount]])</f>
        <v>1</v>
      </c>
      <c r="P2927" s="8" t="b">
        <f>AND(TrafficData[[#This Row],[pendingCourt]]&lt;=TrafficData[[#This Row],[totalCourt]],TrafficData[[#This Row],[disposedCourt]]&lt;=TrafficData[[#This Row],[totalCourt]])</f>
        <v>1</v>
      </c>
    </row>
    <row r="2928" spans="1:16">
      <c r="A2928" s="1">
        <v>44932</v>
      </c>
      <c r="B2928">
        <v>163859</v>
      </c>
      <c r="C2928">
        <v>78086</v>
      </c>
      <c r="D2928">
        <v>85773</v>
      </c>
      <c r="E2928">
        <v>146321743</v>
      </c>
      <c r="F2928">
        <v>122252728</v>
      </c>
      <c r="G2928">
        <v>268574471</v>
      </c>
      <c r="H2928">
        <v>54100</v>
      </c>
      <c r="I2928">
        <v>12552</v>
      </c>
      <c r="J2928">
        <v>66652</v>
      </c>
      <c r="K2928" t="b">
        <f>TrafficData[[#This Row],[disposedChallan]]+TrafficData[[#This Row],[pendingChallan]]=TrafficData[[#This Row],[totalChallan]]</f>
        <v>1</v>
      </c>
      <c r="L2928" t="b">
        <f>TrafficData[[#This Row],[pendingAmount]]+TrafficData[[#This Row],[disposedAmount]]=TrafficData[[#This Row],[totalAmount]]</f>
        <v>1</v>
      </c>
      <c r="M2928" t="b">
        <f>TrafficData[[#This Row],[pendingCourt]]+TrafficData[[#This Row],[disposedCourt]]=TrafficData[[#This Row],[totalCourt]]</f>
        <v>1</v>
      </c>
      <c r="N2928" s="8" t="b">
        <f>AND(TrafficData[[#This Row],[disposedChallan]]&lt;=TrafficData[[#This Row],[totalChallan]],TrafficData[[#This Row],[pendingChallan]]&lt;=TrafficData[[#This Row],[totalChallan]])</f>
        <v>1</v>
      </c>
      <c r="O2928" s="8" t="b">
        <f>AND(TrafficData[[#This Row],[pendingAmount]]&lt;=TrafficData[[#This Row],[totalAmount]],TrafficData[[#This Row],[disposedAmount]]&lt;=TrafficData[[#This Row],[totalAmount]])</f>
        <v>1</v>
      </c>
      <c r="P2928" s="8" t="b">
        <f>AND(TrafficData[[#This Row],[pendingCourt]]&lt;=TrafficData[[#This Row],[totalCourt]],TrafficData[[#This Row],[disposedCourt]]&lt;=TrafficData[[#This Row],[totalCourt]])</f>
        <v>1</v>
      </c>
    </row>
    <row r="2929" spans="1:16">
      <c r="A2929" s="1">
        <v>44933</v>
      </c>
      <c r="B2929">
        <v>159591</v>
      </c>
      <c r="C2929">
        <v>77068</v>
      </c>
      <c r="D2929">
        <v>82523</v>
      </c>
      <c r="E2929">
        <v>144265921</v>
      </c>
      <c r="F2929">
        <v>112114401</v>
      </c>
      <c r="G2929">
        <v>256380322</v>
      </c>
      <c r="H2929">
        <v>49716</v>
      </c>
      <c r="I2929">
        <v>12750</v>
      </c>
      <c r="J2929">
        <v>62466</v>
      </c>
      <c r="K2929" t="b">
        <f>TrafficData[[#This Row],[disposedChallan]]+TrafficData[[#This Row],[pendingChallan]]=TrafficData[[#This Row],[totalChallan]]</f>
        <v>1</v>
      </c>
      <c r="L2929" t="b">
        <f>TrafficData[[#This Row],[pendingAmount]]+TrafficData[[#This Row],[disposedAmount]]=TrafficData[[#This Row],[totalAmount]]</f>
        <v>1</v>
      </c>
      <c r="M2929" t="b">
        <f>TrafficData[[#This Row],[pendingCourt]]+TrafficData[[#This Row],[disposedCourt]]=TrafficData[[#This Row],[totalCourt]]</f>
        <v>1</v>
      </c>
      <c r="N2929" s="8" t="b">
        <f>AND(TrafficData[[#This Row],[disposedChallan]]&lt;=TrafficData[[#This Row],[totalChallan]],TrafficData[[#This Row],[pendingChallan]]&lt;=TrafficData[[#This Row],[totalChallan]])</f>
        <v>1</v>
      </c>
      <c r="O2929" s="8" t="b">
        <f>AND(TrafficData[[#This Row],[pendingAmount]]&lt;=TrafficData[[#This Row],[totalAmount]],TrafficData[[#This Row],[disposedAmount]]&lt;=TrafficData[[#This Row],[totalAmount]])</f>
        <v>1</v>
      </c>
      <c r="P2929" s="8" t="b">
        <f>AND(TrafficData[[#This Row],[pendingCourt]]&lt;=TrafficData[[#This Row],[totalCourt]],TrafficData[[#This Row],[disposedCourt]]&lt;=TrafficData[[#This Row],[totalCourt]])</f>
        <v>1</v>
      </c>
    </row>
    <row r="2930" spans="1:16">
      <c r="A2930" s="1">
        <v>44934</v>
      </c>
      <c r="B2930">
        <v>140222</v>
      </c>
      <c r="C2930">
        <v>65956</v>
      </c>
      <c r="D2930">
        <v>74266</v>
      </c>
      <c r="E2930">
        <v>122732300</v>
      </c>
      <c r="F2930">
        <v>84969097</v>
      </c>
      <c r="G2930">
        <v>207701397</v>
      </c>
      <c r="H2930">
        <v>46260</v>
      </c>
      <c r="I2930">
        <v>11044</v>
      </c>
      <c r="J2930">
        <v>57304</v>
      </c>
      <c r="K2930" t="b">
        <f>TrafficData[[#This Row],[disposedChallan]]+TrafficData[[#This Row],[pendingChallan]]=TrafficData[[#This Row],[totalChallan]]</f>
        <v>1</v>
      </c>
      <c r="L2930" t="b">
        <f>TrafficData[[#This Row],[pendingAmount]]+TrafficData[[#This Row],[disposedAmount]]=TrafficData[[#This Row],[totalAmount]]</f>
        <v>1</v>
      </c>
      <c r="M2930" t="b">
        <f>TrafficData[[#This Row],[pendingCourt]]+TrafficData[[#This Row],[disposedCourt]]=TrafficData[[#This Row],[totalCourt]]</f>
        <v>1</v>
      </c>
      <c r="N2930" s="8" t="b">
        <f>AND(TrafficData[[#This Row],[disposedChallan]]&lt;=TrafficData[[#This Row],[totalChallan]],TrafficData[[#This Row],[pendingChallan]]&lt;=TrafficData[[#This Row],[totalChallan]])</f>
        <v>1</v>
      </c>
      <c r="O2930" s="8" t="b">
        <f>AND(TrafficData[[#This Row],[pendingAmount]]&lt;=TrafficData[[#This Row],[totalAmount]],TrafficData[[#This Row],[disposedAmount]]&lt;=TrafficData[[#This Row],[totalAmount]])</f>
        <v>1</v>
      </c>
      <c r="P2930" s="8" t="b">
        <f>AND(TrafficData[[#This Row],[pendingCourt]]&lt;=TrafficData[[#This Row],[totalCourt]],TrafficData[[#This Row],[disposedCourt]]&lt;=TrafficData[[#This Row],[totalCourt]])</f>
        <v>1</v>
      </c>
    </row>
    <row r="2931" spans="1:16">
      <c r="A2931" s="1">
        <v>44935</v>
      </c>
      <c r="B2931">
        <v>159560</v>
      </c>
      <c r="C2931">
        <v>75536</v>
      </c>
      <c r="D2931">
        <v>84024</v>
      </c>
      <c r="E2931">
        <v>151165108</v>
      </c>
      <c r="F2931">
        <v>116150465</v>
      </c>
      <c r="G2931">
        <v>267315573</v>
      </c>
      <c r="H2931">
        <v>51127</v>
      </c>
      <c r="I2931">
        <v>12546</v>
      </c>
      <c r="J2931">
        <v>63673</v>
      </c>
      <c r="K2931" t="b">
        <f>TrafficData[[#This Row],[disposedChallan]]+TrafficData[[#This Row],[pendingChallan]]=TrafficData[[#This Row],[totalChallan]]</f>
        <v>1</v>
      </c>
      <c r="L2931" t="b">
        <f>TrafficData[[#This Row],[pendingAmount]]+TrafficData[[#This Row],[disposedAmount]]=TrafficData[[#This Row],[totalAmount]]</f>
        <v>1</v>
      </c>
      <c r="M2931" t="b">
        <f>TrafficData[[#This Row],[pendingCourt]]+TrafficData[[#This Row],[disposedCourt]]=TrafficData[[#This Row],[totalCourt]]</f>
        <v>1</v>
      </c>
      <c r="N2931" s="8" t="b">
        <f>AND(TrafficData[[#This Row],[disposedChallan]]&lt;=TrafficData[[#This Row],[totalChallan]],TrafficData[[#This Row],[pendingChallan]]&lt;=TrafficData[[#This Row],[totalChallan]])</f>
        <v>1</v>
      </c>
      <c r="O2931" s="8" t="b">
        <f>AND(TrafficData[[#This Row],[pendingAmount]]&lt;=TrafficData[[#This Row],[totalAmount]],TrafficData[[#This Row],[disposedAmount]]&lt;=TrafficData[[#This Row],[totalAmount]])</f>
        <v>1</v>
      </c>
      <c r="P2931" s="8" t="b">
        <f>AND(TrafficData[[#This Row],[pendingCourt]]&lt;=TrafficData[[#This Row],[totalCourt]],TrafficData[[#This Row],[disposedCourt]]&lt;=TrafficData[[#This Row],[totalCourt]])</f>
        <v>1</v>
      </c>
    </row>
    <row r="2932" spans="1:16">
      <c r="A2932" s="1">
        <v>44936</v>
      </c>
      <c r="B2932">
        <v>151987</v>
      </c>
      <c r="C2932">
        <v>73551</v>
      </c>
      <c r="D2932">
        <v>78436</v>
      </c>
      <c r="E2932">
        <v>148114377</v>
      </c>
      <c r="F2932">
        <v>119285061</v>
      </c>
      <c r="G2932">
        <v>267399438</v>
      </c>
      <c r="H2932">
        <v>49446</v>
      </c>
      <c r="I2932">
        <v>11837</v>
      </c>
      <c r="J2932">
        <v>61283</v>
      </c>
      <c r="K2932" t="b">
        <f>TrafficData[[#This Row],[disposedChallan]]+TrafficData[[#This Row],[pendingChallan]]=TrafficData[[#This Row],[totalChallan]]</f>
        <v>1</v>
      </c>
      <c r="L2932" t="b">
        <f>TrafficData[[#This Row],[pendingAmount]]+TrafficData[[#This Row],[disposedAmount]]=TrafficData[[#This Row],[totalAmount]]</f>
        <v>1</v>
      </c>
      <c r="M2932" t="b">
        <f>TrafficData[[#This Row],[pendingCourt]]+TrafficData[[#This Row],[disposedCourt]]=TrafficData[[#This Row],[totalCourt]]</f>
        <v>1</v>
      </c>
      <c r="N2932" s="8" t="b">
        <f>AND(TrafficData[[#This Row],[disposedChallan]]&lt;=TrafficData[[#This Row],[totalChallan]],TrafficData[[#This Row],[pendingChallan]]&lt;=TrafficData[[#This Row],[totalChallan]])</f>
        <v>1</v>
      </c>
      <c r="O2932" s="8" t="b">
        <f>AND(TrafficData[[#This Row],[pendingAmount]]&lt;=TrafficData[[#This Row],[totalAmount]],TrafficData[[#This Row],[disposedAmount]]&lt;=TrafficData[[#This Row],[totalAmount]])</f>
        <v>1</v>
      </c>
      <c r="P2932" s="8" t="b">
        <f>AND(TrafficData[[#This Row],[pendingCourt]]&lt;=TrafficData[[#This Row],[totalCourt]],TrafficData[[#This Row],[disposedCourt]]&lt;=TrafficData[[#This Row],[totalCourt]])</f>
        <v>1</v>
      </c>
    </row>
    <row r="2933" spans="1:16">
      <c r="A2933" s="1">
        <v>44937</v>
      </c>
      <c r="B2933">
        <v>163319</v>
      </c>
      <c r="C2933">
        <v>78226</v>
      </c>
      <c r="D2933">
        <v>85093</v>
      </c>
      <c r="E2933">
        <v>162147799</v>
      </c>
      <c r="F2933">
        <v>119649128</v>
      </c>
      <c r="G2933">
        <v>281796927</v>
      </c>
      <c r="H2933">
        <v>53290</v>
      </c>
      <c r="I2933">
        <v>13161</v>
      </c>
      <c r="J2933">
        <v>66451</v>
      </c>
      <c r="K2933" t="b">
        <f>TrafficData[[#This Row],[disposedChallan]]+TrafficData[[#This Row],[pendingChallan]]=TrafficData[[#This Row],[totalChallan]]</f>
        <v>1</v>
      </c>
      <c r="L2933" t="b">
        <f>TrafficData[[#This Row],[pendingAmount]]+TrafficData[[#This Row],[disposedAmount]]=TrafficData[[#This Row],[totalAmount]]</f>
        <v>1</v>
      </c>
      <c r="M2933" t="b">
        <f>TrafficData[[#This Row],[pendingCourt]]+TrafficData[[#This Row],[disposedCourt]]=TrafficData[[#This Row],[totalCourt]]</f>
        <v>1</v>
      </c>
      <c r="N2933" s="8" t="b">
        <f>AND(TrafficData[[#This Row],[disposedChallan]]&lt;=TrafficData[[#This Row],[totalChallan]],TrafficData[[#This Row],[pendingChallan]]&lt;=TrafficData[[#This Row],[totalChallan]])</f>
        <v>1</v>
      </c>
      <c r="O2933" s="8" t="b">
        <f>AND(TrafficData[[#This Row],[pendingAmount]]&lt;=TrafficData[[#This Row],[totalAmount]],TrafficData[[#This Row],[disposedAmount]]&lt;=TrafficData[[#This Row],[totalAmount]])</f>
        <v>1</v>
      </c>
      <c r="P2933" s="8" t="b">
        <f>AND(TrafficData[[#This Row],[pendingCourt]]&lt;=TrafficData[[#This Row],[totalCourt]],TrafficData[[#This Row],[disposedCourt]]&lt;=TrafficData[[#This Row],[totalCourt]])</f>
        <v>1</v>
      </c>
    </row>
    <row r="2934" spans="1:16">
      <c r="A2934" s="1">
        <v>44938</v>
      </c>
      <c r="B2934">
        <v>168300</v>
      </c>
      <c r="C2934">
        <v>82536</v>
      </c>
      <c r="D2934">
        <v>85764</v>
      </c>
      <c r="E2934">
        <v>164026236</v>
      </c>
      <c r="F2934">
        <v>122038095</v>
      </c>
      <c r="G2934">
        <v>286064331</v>
      </c>
      <c r="H2934">
        <v>52748</v>
      </c>
      <c r="I2934">
        <v>12725</v>
      </c>
      <c r="J2934">
        <v>65473</v>
      </c>
      <c r="K2934" t="b">
        <f>TrafficData[[#This Row],[disposedChallan]]+TrafficData[[#This Row],[pendingChallan]]=TrafficData[[#This Row],[totalChallan]]</f>
        <v>1</v>
      </c>
      <c r="L2934" t="b">
        <f>TrafficData[[#This Row],[pendingAmount]]+TrafficData[[#This Row],[disposedAmount]]=TrafficData[[#This Row],[totalAmount]]</f>
        <v>1</v>
      </c>
      <c r="M2934" t="b">
        <f>TrafficData[[#This Row],[pendingCourt]]+TrafficData[[#This Row],[disposedCourt]]=TrafficData[[#This Row],[totalCourt]]</f>
        <v>1</v>
      </c>
      <c r="N2934" s="8" t="b">
        <f>AND(TrafficData[[#This Row],[disposedChallan]]&lt;=TrafficData[[#This Row],[totalChallan]],TrafficData[[#This Row],[pendingChallan]]&lt;=TrafficData[[#This Row],[totalChallan]])</f>
        <v>1</v>
      </c>
      <c r="O2934" s="8" t="b">
        <f>AND(TrafficData[[#This Row],[pendingAmount]]&lt;=TrafficData[[#This Row],[totalAmount]],TrafficData[[#This Row],[disposedAmount]]&lt;=TrafficData[[#This Row],[totalAmount]])</f>
        <v>1</v>
      </c>
      <c r="P2934" s="8" t="b">
        <f>AND(TrafficData[[#This Row],[pendingCourt]]&lt;=TrafficData[[#This Row],[totalCourt]],TrafficData[[#This Row],[disposedCourt]]&lt;=TrafficData[[#This Row],[totalCourt]])</f>
        <v>1</v>
      </c>
    </row>
    <row r="2935" spans="1:16">
      <c r="A2935" s="1">
        <v>44939</v>
      </c>
      <c r="B2935">
        <v>160263</v>
      </c>
      <c r="C2935">
        <v>76224</v>
      </c>
      <c r="D2935">
        <v>84039</v>
      </c>
      <c r="E2935">
        <v>148002185</v>
      </c>
      <c r="F2935">
        <v>120962878</v>
      </c>
      <c r="G2935">
        <v>268965063</v>
      </c>
      <c r="H2935">
        <v>50367</v>
      </c>
      <c r="I2935">
        <v>11527</v>
      </c>
      <c r="J2935">
        <v>61894</v>
      </c>
      <c r="K2935" t="b">
        <f>TrafficData[[#This Row],[disposedChallan]]+TrafficData[[#This Row],[pendingChallan]]=TrafficData[[#This Row],[totalChallan]]</f>
        <v>1</v>
      </c>
      <c r="L2935" t="b">
        <f>TrafficData[[#This Row],[pendingAmount]]+TrafficData[[#This Row],[disposedAmount]]=TrafficData[[#This Row],[totalAmount]]</f>
        <v>1</v>
      </c>
      <c r="M2935" t="b">
        <f>TrafficData[[#This Row],[pendingCourt]]+TrafficData[[#This Row],[disposedCourt]]=TrafficData[[#This Row],[totalCourt]]</f>
        <v>1</v>
      </c>
      <c r="N2935" s="8" t="b">
        <f>AND(TrafficData[[#This Row],[disposedChallan]]&lt;=TrafficData[[#This Row],[totalChallan]],TrafficData[[#This Row],[pendingChallan]]&lt;=TrafficData[[#This Row],[totalChallan]])</f>
        <v>1</v>
      </c>
      <c r="O2935" s="8" t="b">
        <f>AND(TrafficData[[#This Row],[pendingAmount]]&lt;=TrafficData[[#This Row],[totalAmount]],TrafficData[[#This Row],[disposedAmount]]&lt;=TrafficData[[#This Row],[totalAmount]])</f>
        <v>1</v>
      </c>
      <c r="P2935" s="8" t="b">
        <f>AND(TrafficData[[#This Row],[pendingCourt]]&lt;=TrafficData[[#This Row],[totalCourt]],TrafficData[[#This Row],[disposedCourt]]&lt;=TrafficData[[#This Row],[totalCourt]])</f>
        <v>1</v>
      </c>
    </row>
    <row r="2936" spans="1:16">
      <c r="A2936" s="1">
        <v>44940</v>
      </c>
      <c r="B2936">
        <v>146081</v>
      </c>
      <c r="C2936">
        <v>71146</v>
      </c>
      <c r="D2936">
        <v>74935</v>
      </c>
      <c r="E2936">
        <v>122473900</v>
      </c>
      <c r="F2936">
        <v>91624712</v>
      </c>
      <c r="G2936">
        <v>214098612</v>
      </c>
      <c r="H2936">
        <v>45231</v>
      </c>
      <c r="I2936">
        <v>11467</v>
      </c>
      <c r="J2936">
        <v>56698</v>
      </c>
      <c r="K2936" t="b">
        <f>TrafficData[[#This Row],[disposedChallan]]+TrafficData[[#This Row],[pendingChallan]]=TrafficData[[#This Row],[totalChallan]]</f>
        <v>1</v>
      </c>
      <c r="L2936" t="b">
        <f>TrafficData[[#This Row],[pendingAmount]]+TrafficData[[#This Row],[disposedAmount]]=TrafficData[[#This Row],[totalAmount]]</f>
        <v>1</v>
      </c>
      <c r="M2936" t="b">
        <f>TrafficData[[#This Row],[pendingCourt]]+TrafficData[[#This Row],[disposedCourt]]=TrafficData[[#This Row],[totalCourt]]</f>
        <v>1</v>
      </c>
      <c r="N2936" s="8" t="b">
        <f>AND(TrafficData[[#This Row],[disposedChallan]]&lt;=TrafficData[[#This Row],[totalChallan]],TrafficData[[#This Row],[pendingChallan]]&lt;=TrafficData[[#This Row],[totalChallan]])</f>
        <v>1</v>
      </c>
      <c r="O2936" s="8" t="b">
        <f>AND(TrafficData[[#This Row],[pendingAmount]]&lt;=TrafficData[[#This Row],[totalAmount]],TrafficData[[#This Row],[disposedAmount]]&lt;=TrafficData[[#This Row],[totalAmount]])</f>
        <v>1</v>
      </c>
      <c r="P2936" s="8" t="b">
        <f>AND(TrafficData[[#This Row],[pendingCourt]]&lt;=TrafficData[[#This Row],[totalCourt]],TrafficData[[#This Row],[disposedCourt]]&lt;=TrafficData[[#This Row],[totalCourt]])</f>
        <v>1</v>
      </c>
    </row>
    <row r="2937" spans="1:16">
      <c r="A2937" s="1">
        <v>44941</v>
      </c>
      <c r="B2937">
        <v>119974</v>
      </c>
      <c r="C2937">
        <v>56502</v>
      </c>
      <c r="D2937">
        <v>63472</v>
      </c>
      <c r="E2937">
        <v>105086148</v>
      </c>
      <c r="F2937">
        <v>67380936</v>
      </c>
      <c r="G2937">
        <v>172467084</v>
      </c>
      <c r="H2937">
        <v>41101</v>
      </c>
      <c r="I2937">
        <v>10016</v>
      </c>
      <c r="J2937">
        <v>51117</v>
      </c>
      <c r="K2937" t="b">
        <f>TrafficData[[#This Row],[disposedChallan]]+TrafficData[[#This Row],[pendingChallan]]=TrafficData[[#This Row],[totalChallan]]</f>
        <v>1</v>
      </c>
      <c r="L2937" t="b">
        <f>TrafficData[[#This Row],[pendingAmount]]+TrafficData[[#This Row],[disposedAmount]]=TrafficData[[#This Row],[totalAmount]]</f>
        <v>1</v>
      </c>
      <c r="M2937" t="b">
        <f>TrafficData[[#This Row],[pendingCourt]]+TrafficData[[#This Row],[disposedCourt]]=TrafficData[[#This Row],[totalCourt]]</f>
        <v>1</v>
      </c>
      <c r="N2937" s="8" t="b">
        <f>AND(TrafficData[[#This Row],[disposedChallan]]&lt;=TrafficData[[#This Row],[totalChallan]],TrafficData[[#This Row],[pendingChallan]]&lt;=TrafficData[[#This Row],[totalChallan]])</f>
        <v>1</v>
      </c>
      <c r="O2937" s="8" t="b">
        <f>AND(TrafficData[[#This Row],[pendingAmount]]&lt;=TrafficData[[#This Row],[totalAmount]],TrafficData[[#This Row],[disposedAmount]]&lt;=TrafficData[[#This Row],[totalAmount]])</f>
        <v>1</v>
      </c>
      <c r="P2937" s="8" t="b">
        <f>AND(TrafficData[[#This Row],[pendingCourt]]&lt;=TrafficData[[#This Row],[totalCourt]],TrafficData[[#This Row],[disposedCourt]]&lt;=TrafficData[[#This Row],[totalCourt]])</f>
        <v>1</v>
      </c>
    </row>
    <row r="2938" spans="1:16">
      <c r="A2938" s="1">
        <v>44942</v>
      </c>
      <c r="B2938">
        <v>148908</v>
      </c>
      <c r="C2938">
        <v>70054</v>
      </c>
      <c r="D2938">
        <v>78854</v>
      </c>
      <c r="E2938">
        <v>141103328</v>
      </c>
      <c r="F2938">
        <v>94943089</v>
      </c>
      <c r="G2938">
        <v>236046417</v>
      </c>
      <c r="H2938">
        <v>51279</v>
      </c>
      <c r="I2938">
        <v>12546</v>
      </c>
      <c r="J2938">
        <v>63825</v>
      </c>
      <c r="K2938" t="b">
        <f>TrafficData[[#This Row],[disposedChallan]]+TrafficData[[#This Row],[pendingChallan]]=TrafficData[[#This Row],[totalChallan]]</f>
        <v>1</v>
      </c>
      <c r="L2938" t="b">
        <f>TrafficData[[#This Row],[pendingAmount]]+TrafficData[[#This Row],[disposedAmount]]=TrafficData[[#This Row],[totalAmount]]</f>
        <v>1</v>
      </c>
      <c r="M2938" t="b">
        <f>TrafficData[[#This Row],[pendingCourt]]+TrafficData[[#This Row],[disposedCourt]]=TrafficData[[#This Row],[totalCourt]]</f>
        <v>1</v>
      </c>
      <c r="N2938" s="8" t="b">
        <f>AND(TrafficData[[#This Row],[disposedChallan]]&lt;=TrafficData[[#This Row],[totalChallan]],TrafficData[[#This Row],[pendingChallan]]&lt;=TrafficData[[#This Row],[totalChallan]])</f>
        <v>1</v>
      </c>
      <c r="O2938" s="8" t="b">
        <f>AND(TrafficData[[#This Row],[pendingAmount]]&lt;=TrafficData[[#This Row],[totalAmount]],TrafficData[[#This Row],[disposedAmount]]&lt;=TrafficData[[#This Row],[totalAmount]])</f>
        <v>1</v>
      </c>
      <c r="P2938" s="8" t="b">
        <f>AND(TrafficData[[#This Row],[pendingCourt]]&lt;=TrafficData[[#This Row],[totalCourt]],TrafficData[[#This Row],[disposedCourt]]&lt;=TrafficData[[#This Row],[totalCourt]])</f>
        <v>1</v>
      </c>
    </row>
    <row r="2939" spans="1:16">
      <c r="A2939" s="1">
        <v>44943</v>
      </c>
      <c r="B2939">
        <v>149808</v>
      </c>
      <c r="C2939">
        <v>71196</v>
      </c>
      <c r="D2939">
        <v>78612</v>
      </c>
      <c r="E2939">
        <v>136151594</v>
      </c>
      <c r="F2939">
        <v>105865825</v>
      </c>
      <c r="G2939">
        <v>242017419</v>
      </c>
      <c r="H2939">
        <v>49641</v>
      </c>
      <c r="I2939">
        <v>12344</v>
      </c>
      <c r="J2939">
        <v>61985</v>
      </c>
      <c r="K2939" t="b">
        <f>TrafficData[[#This Row],[disposedChallan]]+TrafficData[[#This Row],[pendingChallan]]=TrafficData[[#This Row],[totalChallan]]</f>
        <v>1</v>
      </c>
      <c r="L2939" t="b">
        <f>TrafficData[[#This Row],[pendingAmount]]+TrafficData[[#This Row],[disposedAmount]]=TrafficData[[#This Row],[totalAmount]]</f>
        <v>1</v>
      </c>
      <c r="M2939" t="b">
        <f>TrafficData[[#This Row],[pendingCourt]]+TrafficData[[#This Row],[disposedCourt]]=TrafficData[[#This Row],[totalCourt]]</f>
        <v>1</v>
      </c>
      <c r="N2939" s="8" t="b">
        <f>AND(TrafficData[[#This Row],[disposedChallan]]&lt;=TrafficData[[#This Row],[totalChallan]],TrafficData[[#This Row],[pendingChallan]]&lt;=TrafficData[[#This Row],[totalChallan]])</f>
        <v>1</v>
      </c>
      <c r="O2939" s="8" t="b">
        <f>AND(TrafficData[[#This Row],[pendingAmount]]&lt;=TrafficData[[#This Row],[totalAmount]],TrafficData[[#This Row],[disposedAmount]]&lt;=TrafficData[[#This Row],[totalAmount]])</f>
        <v>1</v>
      </c>
      <c r="P2939" s="8" t="b">
        <f>AND(TrafficData[[#This Row],[pendingCourt]]&lt;=TrafficData[[#This Row],[totalCourt]],TrafficData[[#This Row],[disposedCourt]]&lt;=TrafficData[[#This Row],[totalCourt]])</f>
        <v>1</v>
      </c>
    </row>
    <row r="2940" spans="1:16">
      <c r="A2940" s="1">
        <v>44944</v>
      </c>
      <c r="B2940">
        <v>156077</v>
      </c>
      <c r="C2940">
        <v>74033</v>
      </c>
      <c r="D2940">
        <v>82044</v>
      </c>
      <c r="E2940">
        <v>145546248</v>
      </c>
      <c r="F2940">
        <v>123411768</v>
      </c>
      <c r="G2940">
        <v>268958016</v>
      </c>
      <c r="H2940">
        <v>50091</v>
      </c>
      <c r="I2940">
        <v>12615</v>
      </c>
      <c r="J2940">
        <v>62706</v>
      </c>
      <c r="K2940" t="b">
        <f>TrafficData[[#This Row],[disposedChallan]]+TrafficData[[#This Row],[pendingChallan]]=TrafficData[[#This Row],[totalChallan]]</f>
        <v>1</v>
      </c>
      <c r="L2940" t="b">
        <f>TrafficData[[#This Row],[pendingAmount]]+TrafficData[[#This Row],[disposedAmount]]=TrafficData[[#This Row],[totalAmount]]</f>
        <v>1</v>
      </c>
      <c r="M2940" t="b">
        <f>TrafficData[[#This Row],[pendingCourt]]+TrafficData[[#This Row],[disposedCourt]]=TrafficData[[#This Row],[totalCourt]]</f>
        <v>1</v>
      </c>
      <c r="N2940" s="8" t="b">
        <f>AND(TrafficData[[#This Row],[disposedChallan]]&lt;=TrafficData[[#This Row],[totalChallan]],TrafficData[[#This Row],[pendingChallan]]&lt;=TrafficData[[#This Row],[totalChallan]])</f>
        <v>1</v>
      </c>
      <c r="O2940" s="8" t="b">
        <f>AND(TrafficData[[#This Row],[pendingAmount]]&lt;=TrafficData[[#This Row],[totalAmount]],TrafficData[[#This Row],[disposedAmount]]&lt;=TrafficData[[#This Row],[totalAmount]])</f>
        <v>1</v>
      </c>
      <c r="P2940" s="8" t="b">
        <f>AND(TrafficData[[#This Row],[pendingCourt]]&lt;=TrafficData[[#This Row],[totalCourt]],TrafficData[[#This Row],[disposedCourt]]&lt;=TrafficData[[#This Row],[totalCourt]])</f>
        <v>1</v>
      </c>
    </row>
    <row r="2941" spans="1:16">
      <c r="A2941" s="1">
        <v>44945</v>
      </c>
      <c r="B2941">
        <v>153835</v>
      </c>
      <c r="C2941">
        <v>73849</v>
      </c>
      <c r="D2941">
        <v>79986</v>
      </c>
      <c r="E2941">
        <v>141907121</v>
      </c>
      <c r="F2941">
        <v>118927120</v>
      </c>
      <c r="G2941">
        <v>260834241</v>
      </c>
      <c r="H2941">
        <v>51851</v>
      </c>
      <c r="I2941">
        <v>13026</v>
      </c>
      <c r="J2941">
        <v>64877</v>
      </c>
      <c r="K2941" t="b">
        <f>TrafficData[[#This Row],[disposedChallan]]+TrafficData[[#This Row],[pendingChallan]]=TrafficData[[#This Row],[totalChallan]]</f>
        <v>1</v>
      </c>
      <c r="L2941" t="b">
        <f>TrafficData[[#This Row],[pendingAmount]]+TrafficData[[#This Row],[disposedAmount]]=TrafficData[[#This Row],[totalAmount]]</f>
        <v>1</v>
      </c>
      <c r="M2941" t="b">
        <f>TrafficData[[#This Row],[pendingCourt]]+TrafficData[[#This Row],[disposedCourt]]=TrafficData[[#This Row],[totalCourt]]</f>
        <v>1</v>
      </c>
      <c r="N2941" s="8" t="b">
        <f>AND(TrafficData[[#This Row],[disposedChallan]]&lt;=TrafficData[[#This Row],[totalChallan]],TrafficData[[#This Row],[pendingChallan]]&lt;=TrafficData[[#This Row],[totalChallan]])</f>
        <v>1</v>
      </c>
      <c r="O2941" s="8" t="b">
        <f>AND(TrafficData[[#This Row],[pendingAmount]]&lt;=TrafficData[[#This Row],[totalAmount]],TrafficData[[#This Row],[disposedAmount]]&lt;=TrafficData[[#This Row],[totalAmount]])</f>
        <v>1</v>
      </c>
      <c r="P2941" s="8" t="b">
        <f>AND(TrafficData[[#This Row],[pendingCourt]]&lt;=TrafficData[[#This Row],[totalCourt]],TrafficData[[#This Row],[disposedCourt]]&lt;=TrafficData[[#This Row],[totalCourt]])</f>
        <v>1</v>
      </c>
    </row>
    <row r="2942" spans="1:16">
      <c r="A2942" s="1">
        <v>44946</v>
      </c>
      <c r="B2942">
        <v>157237</v>
      </c>
      <c r="C2942">
        <v>72611</v>
      </c>
      <c r="D2942">
        <v>84626</v>
      </c>
      <c r="E2942">
        <v>151944344</v>
      </c>
      <c r="F2942">
        <v>116196731</v>
      </c>
      <c r="G2942">
        <v>268141075</v>
      </c>
      <c r="H2942">
        <v>54138</v>
      </c>
      <c r="I2942">
        <v>13398</v>
      </c>
      <c r="J2942">
        <v>67536</v>
      </c>
      <c r="K2942" t="b">
        <f>TrafficData[[#This Row],[disposedChallan]]+TrafficData[[#This Row],[pendingChallan]]=TrafficData[[#This Row],[totalChallan]]</f>
        <v>1</v>
      </c>
      <c r="L2942" t="b">
        <f>TrafficData[[#This Row],[pendingAmount]]+TrafficData[[#This Row],[disposedAmount]]=TrafficData[[#This Row],[totalAmount]]</f>
        <v>1</v>
      </c>
      <c r="M2942" t="b">
        <f>TrafficData[[#This Row],[pendingCourt]]+TrafficData[[#This Row],[disposedCourt]]=TrafficData[[#This Row],[totalCourt]]</f>
        <v>1</v>
      </c>
      <c r="N2942" s="8" t="b">
        <f>AND(TrafficData[[#This Row],[disposedChallan]]&lt;=TrafficData[[#This Row],[totalChallan]],TrafficData[[#This Row],[pendingChallan]]&lt;=TrafficData[[#This Row],[totalChallan]])</f>
        <v>1</v>
      </c>
      <c r="O2942" s="8" t="b">
        <f>AND(TrafficData[[#This Row],[pendingAmount]]&lt;=TrafficData[[#This Row],[totalAmount]],TrafficData[[#This Row],[disposedAmount]]&lt;=TrafficData[[#This Row],[totalAmount]])</f>
        <v>1</v>
      </c>
      <c r="P2942" s="8" t="b">
        <f>AND(TrafficData[[#This Row],[pendingCourt]]&lt;=TrafficData[[#This Row],[totalCourt]],TrafficData[[#This Row],[disposedCourt]]&lt;=TrafficData[[#This Row],[totalCourt]])</f>
        <v>1</v>
      </c>
    </row>
    <row r="2943" spans="1:16">
      <c r="A2943" s="1">
        <v>44947</v>
      </c>
      <c r="B2943">
        <v>158979</v>
      </c>
      <c r="C2943">
        <v>78418</v>
      </c>
      <c r="D2943">
        <v>80561</v>
      </c>
      <c r="E2943">
        <v>139312276</v>
      </c>
      <c r="F2943">
        <v>113787027</v>
      </c>
      <c r="G2943">
        <v>253099303</v>
      </c>
      <c r="H2943">
        <v>49843</v>
      </c>
      <c r="I2943">
        <v>12849</v>
      </c>
      <c r="J2943">
        <v>62692</v>
      </c>
      <c r="K2943" t="b">
        <f>TrafficData[[#This Row],[disposedChallan]]+TrafficData[[#This Row],[pendingChallan]]=TrafficData[[#This Row],[totalChallan]]</f>
        <v>1</v>
      </c>
      <c r="L2943" t="b">
        <f>TrafficData[[#This Row],[pendingAmount]]+TrafficData[[#This Row],[disposedAmount]]=TrafficData[[#This Row],[totalAmount]]</f>
        <v>1</v>
      </c>
      <c r="M2943" t="b">
        <f>TrafficData[[#This Row],[pendingCourt]]+TrafficData[[#This Row],[disposedCourt]]=TrafficData[[#This Row],[totalCourt]]</f>
        <v>1</v>
      </c>
      <c r="N2943" s="8" t="b">
        <f>AND(TrafficData[[#This Row],[disposedChallan]]&lt;=TrafficData[[#This Row],[totalChallan]],TrafficData[[#This Row],[pendingChallan]]&lt;=TrafficData[[#This Row],[totalChallan]])</f>
        <v>1</v>
      </c>
      <c r="O2943" s="8" t="b">
        <f>AND(TrafficData[[#This Row],[pendingAmount]]&lt;=TrafficData[[#This Row],[totalAmount]],TrafficData[[#This Row],[disposedAmount]]&lt;=TrafficData[[#This Row],[totalAmount]])</f>
        <v>1</v>
      </c>
      <c r="P2943" s="8" t="b">
        <f>AND(TrafficData[[#This Row],[pendingCourt]]&lt;=TrafficData[[#This Row],[totalCourt]],TrafficData[[#This Row],[disposedCourt]]&lt;=TrafficData[[#This Row],[totalCourt]])</f>
        <v>1</v>
      </c>
    </row>
    <row r="2944" spans="1:16">
      <c r="A2944" s="1">
        <v>44948</v>
      </c>
      <c r="B2944">
        <v>134109</v>
      </c>
      <c r="C2944">
        <v>63188</v>
      </c>
      <c r="D2944">
        <v>70921</v>
      </c>
      <c r="E2944">
        <v>110062823</v>
      </c>
      <c r="F2944">
        <v>84857051</v>
      </c>
      <c r="G2944">
        <v>194919874</v>
      </c>
      <c r="H2944">
        <v>41498</v>
      </c>
      <c r="I2944">
        <v>10627</v>
      </c>
      <c r="J2944">
        <v>52125</v>
      </c>
      <c r="K2944" t="b">
        <f>TrafficData[[#This Row],[disposedChallan]]+TrafficData[[#This Row],[pendingChallan]]=TrafficData[[#This Row],[totalChallan]]</f>
        <v>1</v>
      </c>
      <c r="L2944" t="b">
        <f>TrafficData[[#This Row],[pendingAmount]]+TrafficData[[#This Row],[disposedAmount]]=TrafficData[[#This Row],[totalAmount]]</f>
        <v>1</v>
      </c>
      <c r="M2944" t="b">
        <f>TrafficData[[#This Row],[pendingCourt]]+TrafficData[[#This Row],[disposedCourt]]=TrafficData[[#This Row],[totalCourt]]</f>
        <v>1</v>
      </c>
      <c r="N2944" s="8" t="b">
        <f>AND(TrafficData[[#This Row],[disposedChallan]]&lt;=TrafficData[[#This Row],[totalChallan]],TrafficData[[#This Row],[pendingChallan]]&lt;=TrafficData[[#This Row],[totalChallan]])</f>
        <v>1</v>
      </c>
      <c r="O2944" s="8" t="b">
        <f>AND(TrafficData[[#This Row],[pendingAmount]]&lt;=TrafficData[[#This Row],[totalAmount]],TrafficData[[#This Row],[disposedAmount]]&lt;=TrafficData[[#This Row],[totalAmount]])</f>
        <v>1</v>
      </c>
      <c r="P2944" s="8" t="b">
        <f>AND(TrafficData[[#This Row],[pendingCourt]]&lt;=TrafficData[[#This Row],[totalCourt]],TrafficData[[#This Row],[disposedCourt]]&lt;=TrafficData[[#This Row],[totalCourt]])</f>
        <v>1</v>
      </c>
    </row>
    <row r="2945" spans="1:16">
      <c r="A2945" s="1">
        <v>44949</v>
      </c>
      <c r="B2945">
        <v>153438</v>
      </c>
      <c r="C2945">
        <v>71113</v>
      </c>
      <c r="D2945">
        <v>82325</v>
      </c>
      <c r="E2945">
        <v>135436668</v>
      </c>
      <c r="F2945">
        <v>102126905</v>
      </c>
      <c r="G2945">
        <v>237563573</v>
      </c>
      <c r="H2945">
        <v>50651</v>
      </c>
      <c r="I2945">
        <v>12206</v>
      </c>
      <c r="J2945">
        <v>62857</v>
      </c>
      <c r="K2945" t="b">
        <f>TrafficData[[#This Row],[disposedChallan]]+TrafficData[[#This Row],[pendingChallan]]=TrafficData[[#This Row],[totalChallan]]</f>
        <v>1</v>
      </c>
      <c r="L2945" t="b">
        <f>TrafficData[[#This Row],[pendingAmount]]+TrafficData[[#This Row],[disposedAmount]]=TrafficData[[#This Row],[totalAmount]]</f>
        <v>1</v>
      </c>
      <c r="M2945" t="b">
        <f>TrafficData[[#This Row],[pendingCourt]]+TrafficData[[#This Row],[disposedCourt]]=TrafficData[[#This Row],[totalCourt]]</f>
        <v>1</v>
      </c>
      <c r="N2945" s="8" t="b">
        <f>AND(TrafficData[[#This Row],[disposedChallan]]&lt;=TrafficData[[#This Row],[totalChallan]],TrafficData[[#This Row],[pendingChallan]]&lt;=TrafficData[[#This Row],[totalChallan]])</f>
        <v>1</v>
      </c>
      <c r="O2945" s="8" t="b">
        <f>AND(TrafficData[[#This Row],[pendingAmount]]&lt;=TrafficData[[#This Row],[totalAmount]],TrafficData[[#This Row],[disposedAmount]]&lt;=TrafficData[[#This Row],[totalAmount]])</f>
        <v>1</v>
      </c>
      <c r="P2945" s="8" t="b">
        <f>AND(TrafficData[[#This Row],[pendingCourt]]&lt;=TrafficData[[#This Row],[totalCourt]],TrafficData[[#This Row],[disposedCourt]]&lt;=TrafficData[[#This Row],[totalCourt]])</f>
        <v>1</v>
      </c>
    </row>
    <row r="2946" spans="1:16">
      <c r="A2946" s="1">
        <v>44950</v>
      </c>
      <c r="B2946">
        <v>148993</v>
      </c>
      <c r="C2946">
        <v>68380</v>
      </c>
      <c r="D2946">
        <v>80613</v>
      </c>
      <c r="E2946">
        <v>142912630</v>
      </c>
      <c r="F2946">
        <v>113277208</v>
      </c>
      <c r="G2946">
        <v>256189838</v>
      </c>
      <c r="H2946">
        <v>51290</v>
      </c>
      <c r="I2946">
        <v>12149</v>
      </c>
      <c r="J2946">
        <v>63439</v>
      </c>
      <c r="K2946" t="b">
        <f>TrafficData[[#This Row],[disposedChallan]]+TrafficData[[#This Row],[pendingChallan]]=TrafficData[[#This Row],[totalChallan]]</f>
        <v>1</v>
      </c>
      <c r="L2946" t="b">
        <f>TrafficData[[#This Row],[pendingAmount]]+TrafficData[[#This Row],[disposedAmount]]=TrafficData[[#This Row],[totalAmount]]</f>
        <v>1</v>
      </c>
      <c r="M2946" t="b">
        <f>TrafficData[[#This Row],[pendingCourt]]+TrafficData[[#This Row],[disposedCourt]]=TrafficData[[#This Row],[totalCourt]]</f>
        <v>1</v>
      </c>
      <c r="N2946" s="8" t="b">
        <f>AND(TrafficData[[#This Row],[disposedChallan]]&lt;=TrafficData[[#This Row],[totalChallan]],TrafficData[[#This Row],[pendingChallan]]&lt;=TrafficData[[#This Row],[totalChallan]])</f>
        <v>1</v>
      </c>
      <c r="O2946" s="8" t="b">
        <f>AND(TrafficData[[#This Row],[pendingAmount]]&lt;=TrafficData[[#This Row],[totalAmount]],TrafficData[[#This Row],[disposedAmount]]&lt;=TrafficData[[#This Row],[totalAmount]])</f>
        <v>1</v>
      </c>
      <c r="P2946" s="8" t="b">
        <f>AND(TrafficData[[#This Row],[pendingCourt]]&lt;=TrafficData[[#This Row],[totalCourt]],TrafficData[[#This Row],[disposedCourt]]&lt;=TrafficData[[#This Row],[totalCourt]])</f>
        <v>1</v>
      </c>
    </row>
    <row r="2947" spans="1:16">
      <c r="A2947" s="1">
        <v>44951</v>
      </c>
      <c r="B2947">
        <v>139872</v>
      </c>
      <c r="C2947">
        <v>68102</v>
      </c>
      <c r="D2947">
        <v>71770</v>
      </c>
      <c r="E2947">
        <v>125565039</v>
      </c>
      <c r="F2947">
        <v>108158351</v>
      </c>
      <c r="G2947">
        <v>233723390</v>
      </c>
      <c r="H2947">
        <v>44621</v>
      </c>
      <c r="I2947">
        <v>11176</v>
      </c>
      <c r="J2947">
        <v>55797</v>
      </c>
      <c r="K2947" t="b">
        <f>TrafficData[[#This Row],[disposedChallan]]+TrafficData[[#This Row],[pendingChallan]]=TrafficData[[#This Row],[totalChallan]]</f>
        <v>1</v>
      </c>
      <c r="L2947" t="b">
        <f>TrafficData[[#This Row],[pendingAmount]]+TrafficData[[#This Row],[disposedAmount]]=TrafficData[[#This Row],[totalAmount]]</f>
        <v>1</v>
      </c>
      <c r="M2947" t="b">
        <f>TrafficData[[#This Row],[pendingCourt]]+TrafficData[[#This Row],[disposedCourt]]=TrafficData[[#This Row],[totalCourt]]</f>
        <v>1</v>
      </c>
      <c r="N2947" s="8" t="b">
        <f>AND(TrafficData[[#This Row],[disposedChallan]]&lt;=TrafficData[[#This Row],[totalChallan]],TrafficData[[#This Row],[pendingChallan]]&lt;=TrafficData[[#This Row],[totalChallan]])</f>
        <v>1</v>
      </c>
      <c r="O2947" s="8" t="b">
        <f>AND(TrafficData[[#This Row],[pendingAmount]]&lt;=TrafficData[[#This Row],[totalAmount]],TrafficData[[#This Row],[disposedAmount]]&lt;=TrafficData[[#This Row],[totalAmount]])</f>
        <v>1</v>
      </c>
      <c r="P2947" s="8" t="b">
        <f>AND(TrafficData[[#This Row],[pendingCourt]]&lt;=TrafficData[[#This Row],[totalCourt]],TrafficData[[#This Row],[disposedCourt]]&lt;=TrafficData[[#This Row],[totalCourt]])</f>
        <v>1</v>
      </c>
    </row>
    <row r="2948" spans="1:16">
      <c r="A2948" s="1">
        <v>44952</v>
      </c>
      <c r="B2948">
        <v>90378</v>
      </c>
      <c r="C2948">
        <v>42585</v>
      </c>
      <c r="D2948">
        <v>47793</v>
      </c>
      <c r="E2948">
        <v>64794675</v>
      </c>
      <c r="F2948">
        <v>51514042</v>
      </c>
      <c r="G2948">
        <v>116308717</v>
      </c>
      <c r="H2948">
        <v>25154</v>
      </c>
      <c r="I2948">
        <v>6223</v>
      </c>
      <c r="J2948">
        <v>31377</v>
      </c>
      <c r="K2948" t="b">
        <f>TrafficData[[#This Row],[disposedChallan]]+TrafficData[[#This Row],[pendingChallan]]=TrafficData[[#This Row],[totalChallan]]</f>
        <v>1</v>
      </c>
      <c r="L2948" t="b">
        <f>TrafficData[[#This Row],[pendingAmount]]+TrafficData[[#This Row],[disposedAmount]]=TrafficData[[#This Row],[totalAmount]]</f>
        <v>1</v>
      </c>
      <c r="M2948" t="b">
        <f>TrafficData[[#This Row],[pendingCourt]]+TrafficData[[#This Row],[disposedCourt]]=TrafficData[[#This Row],[totalCourt]]</f>
        <v>1</v>
      </c>
      <c r="N2948" s="8" t="b">
        <f>AND(TrafficData[[#This Row],[disposedChallan]]&lt;=TrafficData[[#This Row],[totalChallan]],TrafficData[[#This Row],[pendingChallan]]&lt;=TrafficData[[#This Row],[totalChallan]])</f>
        <v>1</v>
      </c>
      <c r="O2948" s="8" t="b">
        <f>AND(TrafficData[[#This Row],[pendingAmount]]&lt;=TrafficData[[#This Row],[totalAmount]],TrafficData[[#This Row],[disposedAmount]]&lt;=TrafficData[[#This Row],[totalAmount]])</f>
        <v>1</v>
      </c>
      <c r="P2948" s="8" t="b">
        <f>AND(TrafficData[[#This Row],[pendingCourt]]&lt;=TrafficData[[#This Row],[totalCourt]],TrafficData[[#This Row],[disposedCourt]]&lt;=TrafficData[[#This Row],[totalCourt]])</f>
        <v>1</v>
      </c>
    </row>
    <row r="2949" spans="1:16">
      <c r="A2949" s="1">
        <v>44953</v>
      </c>
      <c r="B2949">
        <v>151453</v>
      </c>
      <c r="C2949">
        <v>70629</v>
      </c>
      <c r="D2949">
        <v>80824</v>
      </c>
      <c r="E2949">
        <v>136171151</v>
      </c>
      <c r="F2949">
        <v>98200403</v>
      </c>
      <c r="G2949">
        <v>234371554</v>
      </c>
      <c r="H2949">
        <v>49290</v>
      </c>
      <c r="I2949">
        <v>12060</v>
      </c>
      <c r="J2949">
        <v>61350</v>
      </c>
      <c r="K2949" t="b">
        <f>TrafficData[[#This Row],[disposedChallan]]+TrafficData[[#This Row],[pendingChallan]]=TrafficData[[#This Row],[totalChallan]]</f>
        <v>1</v>
      </c>
      <c r="L2949" t="b">
        <f>TrafficData[[#This Row],[pendingAmount]]+TrafficData[[#This Row],[disposedAmount]]=TrafficData[[#This Row],[totalAmount]]</f>
        <v>1</v>
      </c>
      <c r="M2949" t="b">
        <f>TrafficData[[#This Row],[pendingCourt]]+TrafficData[[#This Row],[disposedCourt]]=TrafficData[[#This Row],[totalCourt]]</f>
        <v>1</v>
      </c>
      <c r="N2949" s="8" t="b">
        <f>AND(TrafficData[[#This Row],[disposedChallan]]&lt;=TrafficData[[#This Row],[totalChallan]],TrafficData[[#This Row],[pendingChallan]]&lt;=TrafficData[[#This Row],[totalChallan]])</f>
        <v>1</v>
      </c>
      <c r="O2949" s="8" t="b">
        <f>AND(TrafficData[[#This Row],[pendingAmount]]&lt;=TrafficData[[#This Row],[totalAmount]],TrafficData[[#This Row],[disposedAmount]]&lt;=TrafficData[[#This Row],[totalAmount]])</f>
        <v>1</v>
      </c>
      <c r="P2949" s="8" t="b">
        <f>AND(TrafficData[[#This Row],[pendingCourt]]&lt;=TrafficData[[#This Row],[totalCourt]],TrafficData[[#This Row],[disposedCourt]]&lt;=TrafficData[[#This Row],[totalCourt]])</f>
        <v>1</v>
      </c>
    </row>
    <row r="2950" spans="1:16">
      <c r="A2950" s="1">
        <v>44954</v>
      </c>
      <c r="B2950">
        <v>157262</v>
      </c>
      <c r="C2950">
        <v>73902</v>
      </c>
      <c r="D2950">
        <v>83360</v>
      </c>
      <c r="E2950">
        <v>133841597</v>
      </c>
      <c r="F2950">
        <v>103884967</v>
      </c>
      <c r="G2950">
        <v>237726564</v>
      </c>
      <c r="H2950">
        <v>48741</v>
      </c>
      <c r="I2950">
        <v>12690</v>
      </c>
      <c r="J2950">
        <v>61431</v>
      </c>
      <c r="K2950" t="b">
        <f>TrafficData[[#This Row],[disposedChallan]]+TrafficData[[#This Row],[pendingChallan]]=TrafficData[[#This Row],[totalChallan]]</f>
        <v>1</v>
      </c>
      <c r="L2950" t="b">
        <f>TrafficData[[#This Row],[pendingAmount]]+TrafficData[[#This Row],[disposedAmount]]=TrafficData[[#This Row],[totalAmount]]</f>
        <v>1</v>
      </c>
      <c r="M2950" t="b">
        <f>TrafficData[[#This Row],[pendingCourt]]+TrafficData[[#This Row],[disposedCourt]]=TrafficData[[#This Row],[totalCourt]]</f>
        <v>1</v>
      </c>
      <c r="N2950" s="8" t="b">
        <f>AND(TrafficData[[#This Row],[disposedChallan]]&lt;=TrafficData[[#This Row],[totalChallan]],TrafficData[[#This Row],[pendingChallan]]&lt;=TrafficData[[#This Row],[totalChallan]])</f>
        <v>1</v>
      </c>
      <c r="O2950" s="8" t="b">
        <f>AND(TrafficData[[#This Row],[pendingAmount]]&lt;=TrafficData[[#This Row],[totalAmount]],TrafficData[[#This Row],[disposedAmount]]&lt;=TrafficData[[#This Row],[totalAmount]])</f>
        <v>1</v>
      </c>
      <c r="P2950" s="8" t="b">
        <f>AND(TrafficData[[#This Row],[pendingCourt]]&lt;=TrafficData[[#This Row],[totalCourt]],TrafficData[[#This Row],[disposedCourt]]&lt;=TrafficData[[#This Row],[totalCourt]])</f>
        <v>1</v>
      </c>
    </row>
    <row r="2951" spans="1:16">
      <c r="A2951" s="1">
        <v>44955</v>
      </c>
      <c r="B2951">
        <v>131612</v>
      </c>
      <c r="C2951">
        <v>57919</v>
      </c>
      <c r="D2951">
        <v>73693</v>
      </c>
      <c r="E2951">
        <v>114369428</v>
      </c>
      <c r="F2951">
        <v>75910819</v>
      </c>
      <c r="G2951">
        <v>190280247</v>
      </c>
      <c r="H2951">
        <v>39721</v>
      </c>
      <c r="I2951">
        <v>9658</v>
      </c>
      <c r="J2951">
        <v>49379</v>
      </c>
      <c r="K2951" t="b">
        <f>TrafficData[[#This Row],[disposedChallan]]+TrafficData[[#This Row],[pendingChallan]]=TrafficData[[#This Row],[totalChallan]]</f>
        <v>1</v>
      </c>
      <c r="L2951" t="b">
        <f>TrafficData[[#This Row],[pendingAmount]]+TrafficData[[#This Row],[disposedAmount]]=TrafficData[[#This Row],[totalAmount]]</f>
        <v>1</v>
      </c>
      <c r="M2951" t="b">
        <f>TrafficData[[#This Row],[pendingCourt]]+TrafficData[[#This Row],[disposedCourt]]=TrafficData[[#This Row],[totalCourt]]</f>
        <v>1</v>
      </c>
      <c r="N2951" s="8" t="b">
        <f>AND(TrafficData[[#This Row],[disposedChallan]]&lt;=TrafficData[[#This Row],[totalChallan]],TrafficData[[#This Row],[pendingChallan]]&lt;=TrafficData[[#This Row],[totalChallan]])</f>
        <v>1</v>
      </c>
      <c r="O2951" s="8" t="b">
        <f>AND(TrafficData[[#This Row],[pendingAmount]]&lt;=TrafficData[[#This Row],[totalAmount]],TrafficData[[#This Row],[disposedAmount]]&lt;=TrafficData[[#This Row],[totalAmount]])</f>
        <v>1</v>
      </c>
      <c r="P2951" s="8" t="b">
        <f>AND(TrafficData[[#This Row],[pendingCourt]]&lt;=TrafficData[[#This Row],[totalCourt]],TrafficData[[#This Row],[disposedCourt]]&lt;=TrafficData[[#This Row],[totalCourt]])</f>
        <v>1</v>
      </c>
    </row>
    <row r="2952" spans="1:16">
      <c r="A2952" s="1">
        <v>44956</v>
      </c>
      <c r="B2952">
        <v>151559</v>
      </c>
      <c r="C2952">
        <v>67843</v>
      </c>
      <c r="D2952">
        <v>83716</v>
      </c>
      <c r="E2952">
        <v>138814352</v>
      </c>
      <c r="F2952">
        <v>97078847</v>
      </c>
      <c r="G2952">
        <v>235893199</v>
      </c>
      <c r="H2952">
        <v>47340</v>
      </c>
      <c r="I2952">
        <v>11626</v>
      </c>
      <c r="J2952">
        <v>58966</v>
      </c>
      <c r="K2952" t="b">
        <f>TrafficData[[#This Row],[disposedChallan]]+TrafficData[[#This Row],[pendingChallan]]=TrafficData[[#This Row],[totalChallan]]</f>
        <v>1</v>
      </c>
      <c r="L2952" t="b">
        <f>TrafficData[[#This Row],[pendingAmount]]+TrafficData[[#This Row],[disposedAmount]]=TrafficData[[#This Row],[totalAmount]]</f>
        <v>1</v>
      </c>
      <c r="M2952" t="b">
        <f>TrafficData[[#This Row],[pendingCourt]]+TrafficData[[#This Row],[disposedCourt]]=TrafficData[[#This Row],[totalCourt]]</f>
        <v>1</v>
      </c>
      <c r="N2952" s="8" t="b">
        <f>AND(TrafficData[[#This Row],[disposedChallan]]&lt;=TrafficData[[#This Row],[totalChallan]],TrafficData[[#This Row],[pendingChallan]]&lt;=TrafficData[[#This Row],[totalChallan]])</f>
        <v>1</v>
      </c>
      <c r="O2952" s="8" t="b">
        <f>AND(TrafficData[[#This Row],[pendingAmount]]&lt;=TrafficData[[#This Row],[totalAmount]],TrafficData[[#This Row],[disposedAmount]]&lt;=TrafficData[[#This Row],[totalAmount]])</f>
        <v>1</v>
      </c>
      <c r="P2952" s="8" t="b">
        <f>AND(TrafficData[[#This Row],[pendingCourt]]&lt;=TrafficData[[#This Row],[totalCourt]],TrafficData[[#This Row],[disposedCourt]]&lt;=TrafficData[[#This Row],[totalCourt]])</f>
        <v>1</v>
      </c>
    </row>
    <row r="2953" spans="1:16">
      <c r="A2953" s="1">
        <v>44957</v>
      </c>
      <c r="B2953">
        <v>166296</v>
      </c>
      <c r="C2953">
        <v>72924</v>
      </c>
      <c r="D2953">
        <v>93372</v>
      </c>
      <c r="E2953">
        <v>154784159</v>
      </c>
      <c r="F2953">
        <v>107184435</v>
      </c>
      <c r="G2953">
        <v>261968594</v>
      </c>
      <c r="H2953">
        <v>61198</v>
      </c>
      <c r="I2953">
        <v>14107</v>
      </c>
      <c r="J2953">
        <v>75305</v>
      </c>
      <c r="K2953" t="b">
        <f>TrafficData[[#This Row],[disposedChallan]]+TrafficData[[#This Row],[pendingChallan]]=TrafficData[[#This Row],[totalChallan]]</f>
        <v>1</v>
      </c>
      <c r="L2953" t="b">
        <f>TrafficData[[#This Row],[pendingAmount]]+TrafficData[[#This Row],[disposedAmount]]=TrafficData[[#This Row],[totalAmount]]</f>
        <v>1</v>
      </c>
      <c r="M2953" t="b">
        <f>TrafficData[[#This Row],[pendingCourt]]+TrafficData[[#This Row],[disposedCourt]]=TrafficData[[#This Row],[totalCourt]]</f>
        <v>1</v>
      </c>
      <c r="N2953" s="8" t="b">
        <f>AND(TrafficData[[#This Row],[disposedChallan]]&lt;=TrafficData[[#This Row],[totalChallan]],TrafficData[[#This Row],[pendingChallan]]&lt;=TrafficData[[#This Row],[totalChallan]])</f>
        <v>1</v>
      </c>
      <c r="O2953" s="8" t="b">
        <f>AND(TrafficData[[#This Row],[pendingAmount]]&lt;=TrafficData[[#This Row],[totalAmount]],TrafficData[[#This Row],[disposedAmount]]&lt;=TrafficData[[#This Row],[totalAmount]])</f>
        <v>1</v>
      </c>
      <c r="P2953" s="8" t="b">
        <f>AND(TrafficData[[#This Row],[pendingCourt]]&lt;=TrafficData[[#This Row],[totalCourt]],TrafficData[[#This Row],[disposedCourt]]&lt;=TrafficData[[#This Row],[totalCourt]])</f>
        <v>1</v>
      </c>
    </row>
    <row r="2954" spans="1:16">
      <c r="A2954" s="1">
        <v>44958</v>
      </c>
      <c r="B2954">
        <v>163027</v>
      </c>
      <c r="C2954">
        <v>78301</v>
      </c>
      <c r="D2954">
        <v>84726</v>
      </c>
      <c r="E2954">
        <v>152610185</v>
      </c>
      <c r="F2954">
        <v>135529267</v>
      </c>
      <c r="G2954">
        <v>288139452</v>
      </c>
      <c r="H2954">
        <v>56409</v>
      </c>
      <c r="I2954">
        <v>14034</v>
      </c>
      <c r="J2954">
        <v>70443</v>
      </c>
      <c r="K2954" t="b">
        <f>TrafficData[[#This Row],[disposedChallan]]+TrafficData[[#This Row],[pendingChallan]]=TrafficData[[#This Row],[totalChallan]]</f>
        <v>1</v>
      </c>
      <c r="L2954" t="b">
        <f>TrafficData[[#This Row],[pendingAmount]]+TrafficData[[#This Row],[disposedAmount]]=TrafficData[[#This Row],[totalAmount]]</f>
        <v>1</v>
      </c>
      <c r="M2954" t="b">
        <f>TrafficData[[#This Row],[pendingCourt]]+TrafficData[[#This Row],[disposedCourt]]=TrafficData[[#This Row],[totalCourt]]</f>
        <v>1</v>
      </c>
      <c r="N2954" s="8" t="b">
        <f>AND(TrafficData[[#This Row],[disposedChallan]]&lt;=TrafficData[[#This Row],[totalChallan]],TrafficData[[#This Row],[pendingChallan]]&lt;=TrafficData[[#This Row],[totalChallan]])</f>
        <v>1</v>
      </c>
      <c r="O2954" s="8" t="b">
        <f>AND(TrafficData[[#This Row],[pendingAmount]]&lt;=TrafficData[[#This Row],[totalAmount]],TrafficData[[#This Row],[disposedAmount]]&lt;=TrafficData[[#This Row],[totalAmount]])</f>
        <v>1</v>
      </c>
      <c r="P2954" s="8" t="b">
        <f>AND(TrafficData[[#This Row],[pendingCourt]]&lt;=TrafficData[[#This Row],[totalCourt]],TrafficData[[#This Row],[disposedCourt]]&lt;=TrafficData[[#This Row],[totalCourt]])</f>
        <v>1</v>
      </c>
    </row>
    <row r="2955" spans="1:16">
      <c r="A2955" s="1">
        <v>44959</v>
      </c>
      <c r="B2955">
        <v>165127</v>
      </c>
      <c r="C2955">
        <v>80573</v>
      </c>
      <c r="D2955">
        <v>84554</v>
      </c>
      <c r="E2955">
        <v>157808025</v>
      </c>
      <c r="F2955">
        <v>147370250</v>
      </c>
      <c r="G2955">
        <v>305178275</v>
      </c>
      <c r="H2955">
        <v>57678</v>
      </c>
      <c r="I2955">
        <v>14318</v>
      </c>
      <c r="J2955">
        <v>71996</v>
      </c>
      <c r="K2955" t="b">
        <f>TrafficData[[#This Row],[disposedChallan]]+TrafficData[[#This Row],[pendingChallan]]=TrafficData[[#This Row],[totalChallan]]</f>
        <v>1</v>
      </c>
      <c r="L2955" t="b">
        <f>TrafficData[[#This Row],[pendingAmount]]+TrafficData[[#This Row],[disposedAmount]]=TrafficData[[#This Row],[totalAmount]]</f>
        <v>1</v>
      </c>
      <c r="M2955" t="b">
        <f>TrafficData[[#This Row],[pendingCourt]]+TrafficData[[#This Row],[disposedCourt]]=TrafficData[[#This Row],[totalCourt]]</f>
        <v>1</v>
      </c>
      <c r="N2955" s="8" t="b">
        <f>AND(TrafficData[[#This Row],[disposedChallan]]&lt;=TrafficData[[#This Row],[totalChallan]],TrafficData[[#This Row],[pendingChallan]]&lt;=TrafficData[[#This Row],[totalChallan]])</f>
        <v>1</v>
      </c>
      <c r="O2955" s="8" t="b">
        <f>AND(TrafficData[[#This Row],[pendingAmount]]&lt;=TrafficData[[#This Row],[totalAmount]],TrafficData[[#This Row],[disposedAmount]]&lt;=TrafficData[[#This Row],[totalAmount]])</f>
        <v>1</v>
      </c>
      <c r="P2955" s="8" t="b">
        <f>AND(TrafficData[[#This Row],[pendingCourt]]&lt;=TrafficData[[#This Row],[totalCourt]],TrafficData[[#This Row],[disposedCourt]]&lt;=TrafficData[[#This Row],[totalCourt]])</f>
        <v>1</v>
      </c>
    </row>
    <row r="2956" spans="1:16">
      <c r="A2956" s="1">
        <v>44960</v>
      </c>
      <c r="B2956">
        <v>167240</v>
      </c>
      <c r="C2956">
        <v>79013</v>
      </c>
      <c r="D2956">
        <v>88227</v>
      </c>
      <c r="E2956">
        <v>161735836</v>
      </c>
      <c r="F2956">
        <v>140461470</v>
      </c>
      <c r="G2956">
        <v>302197306</v>
      </c>
      <c r="H2956">
        <v>59414</v>
      </c>
      <c r="I2956">
        <v>14499</v>
      </c>
      <c r="J2956">
        <v>73913</v>
      </c>
      <c r="K2956" t="b">
        <f>TrafficData[[#This Row],[disposedChallan]]+TrafficData[[#This Row],[pendingChallan]]=TrafficData[[#This Row],[totalChallan]]</f>
        <v>1</v>
      </c>
      <c r="L2956" t="b">
        <f>TrafficData[[#This Row],[pendingAmount]]+TrafficData[[#This Row],[disposedAmount]]=TrafficData[[#This Row],[totalAmount]]</f>
        <v>1</v>
      </c>
      <c r="M2956" t="b">
        <f>TrafficData[[#This Row],[pendingCourt]]+TrafficData[[#This Row],[disposedCourt]]=TrafficData[[#This Row],[totalCourt]]</f>
        <v>1</v>
      </c>
      <c r="N2956" s="8" t="b">
        <f>AND(TrafficData[[#This Row],[disposedChallan]]&lt;=TrafficData[[#This Row],[totalChallan]],TrafficData[[#This Row],[pendingChallan]]&lt;=TrafficData[[#This Row],[totalChallan]])</f>
        <v>1</v>
      </c>
      <c r="O2956" s="8" t="b">
        <f>AND(TrafficData[[#This Row],[pendingAmount]]&lt;=TrafficData[[#This Row],[totalAmount]],TrafficData[[#This Row],[disposedAmount]]&lt;=TrafficData[[#This Row],[totalAmount]])</f>
        <v>1</v>
      </c>
      <c r="P2956" s="8" t="b">
        <f>AND(TrafficData[[#This Row],[pendingCourt]]&lt;=TrafficData[[#This Row],[totalCourt]],TrafficData[[#This Row],[disposedCourt]]&lt;=TrafficData[[#This Row],[totalCourt]])</f>
        <v>1</v>
      </c>
    </row>
    <row r="2957" spans="1:16">
      <c r="A2957" s="1">
        <v>44961</v>
      </c>
      <c r="B2957">
        <v>163901</v>
      </c>
      <c r="C2957">
        <v>80804</v>
      </c>
      <c r="D2957">
        <v>83097</v>
      </c>
      <c r="E2957">
        <v>150245802</v>
      </c>
      <c r="F2957">
        <v>129791285</v>
      </c>
      <c r="G2957">
        <v>280037087</v>
      </c>
      <c r="H2957">
        <v>52226</v>
      </c>
      <c r="I2957">
        <v>13522</v>
      </c>
      <c r="J2957">
        <v>65748</v>
      </c>
      <c r="K2957" t="b">
        <f>TrafficData[[#This Row],[disposedChallan]]+TrafficData[[#This Row],[pendingChallan]]=TrafficData[[#This Row],[totalChallan]]</f>
        <v>1</v>
      </c>
      <c r="L2957" t="b">
        <f>TrafficData[[#This Row],[pendingAmount]]+TrafficData[[#This Row],[disposedAmount]]=TrafficData[[#This Row],[totalAmount]]</f>
        <v>1</v>
      </c>
      <c r="M2957" t="b">
        <f>TrafficData[[#This Row],[pendingCourt]]+TrafficData[[#This Row],[disposedCourt]]=TrafficData[[#This Row],[totalCourt]]</f>
        <v>1</v>
      </c>
      <c r="N2957" s="8" t="b">
        <f>AND(TrafficData[[#This Row],[disposedChallan]]&lt;=TrafficData[[#This Row],[totalChallan]],TrafficData[[#This Row],[pendingChallan]]&lt;=TrafficData[[#This Row],[totalChallan]])</f>
        <v>1</v>
      </c>
      <c r="O2957" s="8" t="b">
        <f>AND(TrafficData[[#This Row],[pendingAmount]]&lt;=TrafficData[[#This Row],[totalAmount]],TrafficData[[#This Row],[disposedAmount]]&lt;=TrafficData[[#This Row],[totalAmount]])</f>
        <v>1</v>
      </c>
      <c r="P2957" s="8" t="b">
        <f>AND(TrafficData[[#This Row],[pendingCourt]]&lt;=TrafficData[[#This Row],[totalCourt]],TrafficData[[#This Row],[disposedCourt]]&lt;=TrafficData[[#This Row],[totalCourt]])</f>
        <v>1</v>
      </c>
    </row>
    <row r="2958" spans="1:16">
      <c r="A2958" s="1">
        <v>44962</v>
      </c>
      <c r="B2958">
        <v>143448</v>
      </c>
      <c r="C2958">
        <v>66234</v>
      </c>
      <c r="D2958">
        <v>77214</v>
      </c>
      <c r="E2958">
        <v>136219688</v>
      </c>
      <c r="F2958">
        <v>90720503</v>
      </c>
      <c r="G2958">
        <v>226940191</v>
      </c>
      <c r="H2958">
        <v>52864</v>
      </c>
      <c r="I2958">
        <v>12799</v>
      </c>
      <c r="J2958">
        <v>65663</v>
      </c>
      <c r="K2958" t="b">
        <f>TrafficData[[#This Row],[disposedChallan]]+TrafficData[[#This Row],[pendingChallan]]=TrafficData[[#This Row],[totalChallan]]</f>
        <v>1</v>
      </c>
      <c r="L2958" t="b">
        <f>TrafficData[[#This Row],[pendingAmount]]+TrafficData[[#This Row],[disposedAmount]]=TrafficData[[#This Row],[totalAmount]]</f>
        <v>1</v>
      </c>
      <c r="M2958" t="b">
        <f>TrafficData[[#This Row],[pendingCourt]]+TrafficData[[#This Row],[disposedCourt]]=TrafficData[[#This Row],[totalCourt]]</f>
        <v>1</v>
      </c>
      <c r="N2958" s="8" t="b">
        <f>AND(TrafficData[[#This Row],[disposedChallan]]&lt;=TrafficData[[#This Row],[totalChallan]],TrafficData[[#This Row],[pendingChallan]]&lt;=TrafficData[[#This Row],[totalChallan]])</f>
        <v>1</v>
      </c>
      <c r="O2958" s="8" t="b">
        <f>AND(TrafficData[[#This Row],[pendingAmount]]&lt;=TrafficData[[#This Row],[totalAmount]],TrafficData[[#This Row],[disposedAmount]]&lt;=TrafficData[[#This Row],[totalAmount]])</f>
        <v>1</v>
      </c>
      <c r="P2958" s="8" t="b">
        <f>AND(TrafficData[[#This Row],[pendingCourt]]&lt;=TrafficData[[#This Row],[totalCourt]],TrafficData[[#This Row],[disposedCourt]]&lt;=TrafficData[[#This Row],[totalCourt]])</f>
        <v>1</v>
      </c>
    </row>
    <row r="2959" spans="1:16">
      <c r="A2959" s="1">
        <v>44963</v>
      </c>
      <c r="B2959">
        <v>164430</v>
      </c>
      <c r="C2959">
        <v>75863</v>
      </c>
      <c r="D2959">
        <v>88567</v>
      </c>
      <c r="E2959">
        <v>156666342</v>
      </c>
      <c r="F2959">
        <v>122422354</v>
      </c>
      <c r="G2959">
        <v>279088696</v>
      </c>
      <c r="H2959">
        <v>58982</v>
      </c>
      <c r="I2959">
        <v>13824</v>
      </c>
      <c r="J2959">
        <v>72806</v>
      </c>
      <c r="K2959" t="b">
        <f>TrafficData[[#This Row],[disposedChallan]]+TrafficData[[#This Row],[pendingChallan]]=TrafficData[[#This Row],[totalChallan]]</f>
        <v>1</v>
      </c>
      <c r="L2959" t="b">
        <f>TrafficData[[#This Row],[pendingAmount]]+TrafficData[[#This Row],[disposedAmount]]=TrafficData[[#This Row],[totalAmount]]</f>
        <v>1</v>
      </c>
      <c r="M2959" t="b">
        <f>TrafficData[[#This Row],[pendingCourt]]+TrafficData[[#This Row],[disposedCourt]]=TrafficData[[#This Row],[totalCourt]]</f>
        <v>1</v>
      </c>
      <c r="N2959" s="8" t="b">
        <f>AND(TrafficData[[#This Row],[disposedChallan]]&lt;=TrafficData[[#This Row],[totalChallan]],TrafficData[[#This Row],[pendingChallan]]&lt;=TrafficData[[#This Row],[totalChallan]])</f>
        <v>1</v>
      </c>
      <c r="O2959" s="8" t="b">
        <f>AND(TrafficData[[#This Row],[pendingAmount]]&lt;=TrafficData[[#This Row],[totalAmount]],TrafficData[[#This Row],[disposedAmount]]&lt;=TrafficData[[#This Row],[totalAmount]])</f>
        <v>1</v>
      </c>
      <c r="P2959" s="8" t="b">
        <f>AND(TrafficData[[#This Row],[pendingCourt]]&lt;=TrafficData[[#This Row],[totalCourt]],TrafficData[[#This Row],[disposedCourt]]&lt;=TrafficData[[#This Row],[totalCourt]])</f>
        <v>1</v>
      </c>
    </row>
    <row r="2960" spans="1:16">
      <c r="A2960" s="1">
        <v>44964</v>
      </c>
      <c r="B2960">
        <v>169092</v>
      </c>
      <c r="C2960">
        <v>78619</v>
      </c>
      <c r="D2960">
        <v>90473</v>
      </c>
      <c r="E2960">
        <v>171061655</v>
      </c>
      <c r="F2960">
        <v>134490163</v>
      </c>
      <c r="G2960">
        <v>305551818</v>
      </c>
      <c r="H2960">
        <v>58400</v>
      </c>
      <c r="I2960">
        <v>14340</v>
      </c>
      <c r="J2960">
        <v>72740</v>
      </c>
      <c r="K2960" t="b">
        <f>TrafficData[[#This Row],[disposedChallan]]+TrafficData[[#This Row],[pendingChallan]]=TrafficData[[#This Row],[totalChallan]]</f>
        <v>1</v>
      </c>
      <c r="L2960" t="b">
        <f>TrafficData[[#This Row],[pendingAmount]]+TrafficData[[#This Row],[disposedAmount]]=TrafficData[[#This Row],[totalAmount]]</f>
        <v>1</v>
      </c>
      <c r="M2960" t="b">
        <f>TrafficData[[#This Row],[pendingCourt]]+TrafficData[[#This Row],[disposedCourt]]=TrafficData[[#This Row],[totalCourt]]</f>
        <v>1</v>
      </c>
      <c r="N2960" s="8" t="b">
        <f>AND(TrafficData[[#This Row],[disposedChallan]]&lt;=TrafficData[[#This Row],[totalChallan]],TrafficData[[#This Row],[pendingChallan]]&lt;=TrafficData[[#This Row],[totalChallan]])</f>
        <v>1</v>
      </c>
      <c r="O2960" s="8" t="b">
        <f>AND(TrafficData[[#This Row],[pendingAmount]]&lt;=TrafficData[[#This Row],[totalAmount]],TrafficData[[#This Row],[disposedAmount]]&lt;=TrafficData[[#This Row],[totalAmount]])</f>
        <v>1</v>
      </c>
      <c r="P2960" s="8" t="b">
        <f>AND(TrafficData[[#This Row],[pendingCourt]]&lt;=TrafficData[[#This Row],[totalCourt]],TrafficData[[#This Row],[disposedCourt]]&lt;=TrafficData[[#This Row],[totalCourt]])</f>
        <v>1</v>
      </c>
    </row>
    <row r="2961" spans="1:16">
      <c r="A2961" s="1">
        <v>44965</v>
      </c>
      <c r="B2961">
        <v>145740</v>
      </c>
      <c r="C2961">
        <v>66540</v>
      </c>
      <c r="D2961">
        <v>79200</v>
      </c>
      <c r="E2961">
        <v>140234663</v>
      </c>
      <c r="F2961">
        <v>120052769</v>
      </c>
      <c r="G2961">
        <v>260287432</v>
      </c>
      <c r="H2961">
        <v>49080</v>
      </c>
      <c r="I2961">
        <v>11752</v>
      </c>
      <c r="J2961">
        <v>60832</v>
      </c>
      <c r="K2961" t="b">
        <f>TrafficData[[#This Row],[disposedChallan]]+TrafficData[[#This Row],[pendingChallan]]=TrafficData[[#This Row],[totalChallan]]</f>
        <v>1</v>
      </c>
      <c r="L2961" t="b">
        <f>TrafficData[[#This Row],[pendingAmount]]+TrafficData[[#This Row],[disposedAmount]]=TrafficData[[#This Row],[totalAmount]]</f>
        <v>1</v>
      </c>
      <c r="M2961" t="b">
        <f>TrafficData[[#This Row],[pendingCourt]]+TrafficData[[#This Row],[disposedCourt]]=TrafficData[[#This Row],[totalCourt]]</f>
        <v>1</v>
      </c>
      <c r="N2961" s="8" t="b">
        <f>AND(TrafficData[[#This Row],[disposedChallan]]&lt;=TrafficData[[#This Row],[totalChallan]],TrafficData[[#This Row],[pendingChallan]]&lt;=TrafficData[[#This Row],[totalChallan]])</f>
        <v>1</v>
      </c>
      <c r="O2961" s="8" t="b">
        <f>AND(TrafficData[[#This Row],[pendingAmount]]&lt;=TrafficData[[#This Row],[totalAmount]],TrafficData[[#This Row],[disposedAmount]]&lt;=TrafficData[[#This Row],[totalAmount]])</f>
        <v>1</v>
      </c>
      <c r="P2961" s="8" t="b">
        <f>AND(TrafficData[[#This Row],[pendingCourt]]&lt;=TrafficData[[#This Row],[totalCourt]],TrafficData[[#This Row],[disposedCourt]]&lt;=TrafficData[[#This Row],[totalCourt]])</f>
        <v>1</v>
      </c>
    </row>
    <row r="2962" spans="1:16">
      <c r="A2962" s="1">
        <v>44966</v>
      </c>
      <c r="B2962">
        <v>167198</v>
      </c>
      <c r="C2962">
        <v>76164</v>
      </c>
      <c r="D2962">
        <v>91034</v>
      </c>
      <c r="E2962">
        <v>167144641</v>
      </c>
      <c r="F2962">
        <v>135534237</v>
      </c>
      <c r="G2962">
        <v>302678878</v>
      </c>
      <c r="H2962">
        <v>57310</v>
      </c>
      <c r="I2962">
        <v>13715</v>
      </c>
      <c r="J2962">
        <v>71025</v>
      </c>
      <c r="K2962" t="b">
        <f>TrafficData[[#This Row],[disposedChallan]]+TrafficData[[#This Row],[pendingChallan]]=TrafficData[[#This Row],[totalChallan]]</f>
        <v>1</v>
      </c>
      <c r="L2962" t="b">
        <f>TrafficData[[#This Row],[pendingAmount]]+TrafficData[[#This Row],[disposedAmount]]=TrafficData[[#This Row],[totalAmount]]</f>
        <v>1</v>
      </c>
      <c r="M2962" t="b">
        <f>TrafficData[[#This Row],[pendingCourt]]+TrafficData[[#This Row],[disposedCourt]]=TrafficData[[#This Row],[totalCourt]]</f>
        <v>1</v>
      </c>
      <c r="N2962" s="8" t="b">
        <f>AND(TrafficData[[#This Row],[disposedChallan]]&lt;=TrafficData[[#This Row],[totalChallan]],TrafficData[[#This Row],[pendingChallan]]&lt;=TrafficData[[#This Row],[totalChallan]])</f>
        <v>1</v>
      </c>
      <c r="O2962" s="8" t="b">
        <f>AND(TrafficData[[#This Row],[pendingAmount]]&lt;=TrafficData[[#This Row],[totalAmount]],TrafficData[[#This Row],[disposedAmount]]&lt;=TrafficData[[#This Row],[totalAmount]])</f>
        <v>1</v>
      </c>
      <c r="P2962" s="8" t="b">
        <f>AND(TrafficData[[#This Row],[pendingCourt]]&lt;=TrafficData[[#This Row],[totalCourt]],TrafficData[[#This Row],[disposedCourt]]&lt;=TrafficData[[#This Row],[totalCourt]])</f>
        <v>1</v>
      </c>
    </row>
    <row r="2963" spans="1:16">
      <c r="A2963" s="1">
        <v>44967</v>
      </c>
      <c r="B2963">
        <v>154618</v>
      </c>
      <c r="C2963">
        <v>71801</v>
      </c>
      <c r="D2963">
        <v>82817</v>
      </c>
      <c r="E2963">
        <v>148700790</v>
      </c>
      <c r="F2963">
        <v>122949591</v>
      </c>
      <c r="G2963">
        <v>271650381</v>
      </c>
      <c r="H2963">
        <v>52071</v>
      </c>
      <c r="I2963">
        <v>12597</v>
      </c>
      <c r="J2963">
        <v>64668</v>
      </c>
      <c r="K2963" t="b">
        <f>TrafficData[[#This Row],[disposedChallan]]+TrafficData[[#This Row],[pendingChallan]]=TrafficData[[#This Row],[totalChallan]]</f>
        <v>1</v>
      </c>
      <c r="L2963" t="b">
        <f>TrafficData[[#This Row],[pendingAmount]]+TrafficData[[#This Row],[disposedAmount]]=TrafficData[[#This Row],[totalAmount]]</f>
        <v>1</v>
      </c>
      <c r="M2963" t="b">
        <f>TrafficData[[#This Row],[pendingCourt]]+TrafficData[[#This Row],[disposedCourt]]=TrafficData[[#This Row],[totalCourt]]</f>
        <v>1</v>
      </c>
      <c r="N2963" s="8" t="b">
        <f>AND(TrafficData[[#This Row],[disposedChallan]]&lt;=TrafficData[[#This Row],[totalChallan]],TrafficData[[#This Row],[pendingChallan]]&lt;=TrafficData[[#This Row],[totalChallan]])</f>
        <v>1</v>
      </c>
      <c r="O2963" s="8" t="b">
        <f>AND(TrafficData[[#This Row],[pendingAmount]]&lt;=TrafficData[[#This Row],[totalAmount]],TrafficData[[#This Row],[disposedAmount]]&lt;=TrafficData[[#This Row],[totalAmount]])</f>
        <v>1</v>
      </c>
      <c r="P2963" s="8" t="b">
        <f>AND(TrafficData[[#This Row],[pendingCourt]]&lt;=TrafficData[[#This Row],[totalCourt]],TrafficData[[#This Row],[disposedCourt]]&lt;=TrafficData[[#This Row],[totalCourt]])</f>
        <v>1</v>
      </c>
    </row>
    <row r="2964" spans="1:16">
      <c r="A2964" s="1">
        <v>44968</v>
      </c>
      <c r="B2964">
        <v>159587</v>
      </c>
      <c r="C2964">
        <v>73859</v>
      </c>
      <c r="D2964">
        <v>85728</v>
      </c>
      <c r="E2964">
        <v>140700772</v>
      </c>
      <c r="F2964">
        <v>110205067</v>
      </c>
      <c r="G2964">
        <v>250905839</v>
      </c>
      <c r="H2964">
        <v>51387</v>
      </c>
      <c r="I2964">
        <v>12805</v>
      </c>
      <c r="J2964">
        <v>64192</v>
      </c>
      <c r="K2964" t="b">
        <f>TrafficData[[#This Row],[disposedChallan]]+TrafficData[[#This Row],[pendingChallan]]=TrafficData[[#This Row],[totalChallan]]</f>
        <v>1</v>
      </c>
      <c r="L2964" t="b">
        <f>TrafficData[[#This Row],[pendingAmount]]+TrafficData[[#This Row],[disposedAmount]]=TrafficData[[#This Row],[totalAmount]]</f>
        <v>1</v>
      </c>
      <c r="M2964" t="b">
        <f>TrafficData[[#This Row],[pendingCourt]]+TrafficData[[#This Row],[disposedCourt]]=TrafficData[[#This Row],[totalCourt]]</f>
        <v>1</v>
      </c>
      <c r="N2964" s="8" t="b">
        <f>AND(TrafficData[[#This Row],[disposedChallan]]&lt;=TrafficData[[#This Row],[totalChallan]],TrafficData[[#This Row],[pendingChallan]]&lt;=TrafficData[[#This Row],[totalChallan]])</f>
        <v>1</v>
      </c>
      <c r="O2964" s="8" t="b">
        <f>AND(TrafficData[[#This Row],[pendingAmount]]&lt;=TrafficData[[#This Row],[totalAmount]],TrafficData[[#This Row],[disposedAmount]]&lt;=TrafficData[[#This Row],[totalAmount]])</f>
        <v>1</v>
      </c>
      <c r="P2964" s="8" t="b">
        <f>AND(TrafficData[[#This Row],[pendingCourt]]&lt;=TrafficData[[#This Row],[totalCourt]],TrafficData[[#This Row],[disposedCourt]]&lt;=TrafficData[[#This Row],[totalCourt]])</f>
        <v>1</v>
      </c>
    </row>
    <row r="2965" spans="1:16">
      <c r="A2965" s="1">
        <v>44969</v>
      </c>
      <c r="B2965">
        <v>149645</v>
      </c>
      <c r="C2965">
        <v>65667</v>
      </c>
      <c r="D2965">
        <v>83978</v>
      </c>
      <c r="E2965">
        <v>129447863</v>
      </c>
      <c r="F2965">
        <v>85846729</v>
      </c>
      <c r="G2965">
        <v>215294592</v>
      </c>
      <c r="H2965">
        <v>49498</v>
      </c>
      <c r="I2965">
        <v>11649</v>
      </c>
      <c r="J2965">
        <v>61147</v>
      </c>
      <c r="K2965" t="b">
        <f>TrafficData[[#This Row],[disposedChallan]]+TrafficData[[#This Row],[pendingChallan]]=TrafficData[[#This Row],[totalChallan]]</f>
        <v>1</v>
      </c>
      <c r="L2965" t="b">
        <f>TrafficData[[#This Row],[pendingAmount]]+TrafficData[[#This Row],[disposedAmount]]=TrafficData[[#This Row],[totalAmount]]</f>
        <v>1</v>
      </c>
      <c r="M2965" t="b">
        <f>TrafficData[[#This Row],[pendingCourt]]+TrafficData[[#This Row],[disposedCourt]]=TrafficData[[#This Row],[totalCourt]]</f>
        <v>1</v>
      </c>
      <c r="N2965" s="8" t="b">
        <f>AND(TrafficData[[#This Row],[disposedChallan]]&lt;=TrafficData[[#This Row],[totalChallan]],TrafficData[[#This Row],[pendingChallan]]&lt;=TrafficData[[#This Row],[totalChallan]])</f>
        <v>1</v>
      </c>
      <c r="O2965" s="8" t="b">
        <f>AND(TrafficData[[#This Row],[pendingAmount]]&lt;=TrafficData[[#This Row],[totalAmount]],TrafficData[[#This Row],[disposedAmount]]&lt;=TrafficData[[#This Row],[totalAmount]])</f>
        <v>1</v>
      </c>
      <c r="P2965" s="8" t="b">
        <f>AND(TrafficData[[#This Row],[pendingCourt]]&lt;=TrafficData[[#This Row],[totalCourt]],TrafficData[[#This Row],[disposedCourt]]&lt;=TrafficData[[#This Row],[totalCourt]])</f>
        <v>1</v>
      </c>
    </row>
    <row r="2966" spans="1:16">
      <c r="A2966" s="1">
        <v>44970</v>
      </c>
      <c r="B2966">
        <v>168145</v>
      </c>
      <c r="C2966">
        <v>77205</v>
      </c>
      <c r="D2966">
        <v>90940</v>
      </c>
      <c r="E2966">
        <v>162006604</v>
      </c>
      <c r="F2966">
        <v>122325340</v>
      </c>
      <c r="G2966">
        <v>284331944</v>
      </c>
      <c r="H2966">
        <v>54637</v>
      </c>
      <c r="I2966">
        <v>13238</v>
      </c>
      <c r="J2966">
        <v>67875</v>
      </c>
      <c r="K2966" t="b">
        <f>TrafficData[[#This Row],[disposedChallan]]+TrafficData[[#This Row],[pendingChallan]]=TrafficData[[#This Row],[totalChallan]]</f>
        <v>1</v>
      </c>
      <c r="L2966" t="b">
        <f>TrafficData[[#This Row],[pendingAmount]]+TrafficData[[#This Row],[disposedAmount]]=TrafficData[[#This Row],[totalAmount]]</f>
        <v>1</v>
      </c>
      <c r="M2966" t="b">
        <f>TrafficData[[#This Row],[pendingCourt]]+TrafficData[[#This Row],[disposedCourt]]=TrafficData[[#This Row],[totalCourt]]</f>
        <v>1</v>
      </c>
      <c r="N2966" s="8" t="b">
        <f>AND(TrafficData[[#This Row],[disposedChallan]]&lt;=TrafficData[[#This Row],[totalChallan]],TrafficData[[#This Row],[pendingChallan]]&lt;=TrafficData[[#This Row],[totalChallan]])</f>
        <v>1</v>
      </c>
      <c r="O2966" s="8" t="b">
        <f>AND(TrafficData[[#This Row],[pendingAmount]]&lt;=TrafficData[[#This Row],[totalAmount]],TrafficData[[#This Row],[disposedAmount]]&lt;=TrafficData[[#This Row],[totalAmount]])</f>
        <v>1</v>
      </c>
      <c r="P2966" s="8" t="b">
        <f>AND(TrafficData[[#This Row],[pendingCourt]]&lt;=TrafficData[[#This Row],[totalCourt]],TrafficData[[#This Row],[disposedCourt]]&lt;=TrafficData[[#This Row],[totalCourt]])</f>
        <v>1</v>
      </c>
    </row>
    <row r="2967" spans="1:16">
      <c r="A2967" s="1">
        <v>44971</v>
      </c>
      <c r="B2967">
        <v>175755</v>
      </c>
      <c r="C2967">
        <v>78417</v>
      </c>
      <c r="D2967">
        <v>97338</v>
      </c>
      <c r="E2967">
        <v>181050718</v>
      </c>
      <c r="F2967">
        <v>131760277</v>
      </c>
      <c r="G2967">
        <v>312810995</v>
      </c>
      <c r="H2967">
        <v>59922</v>
      </c>
      <c r="I2967">
        <v>14032</v>
      </c>
      <c r="J2967">
        <v>73954</v>
      </c>
      <c r="K2967" t="b">
        <f>TrafficData[[#This Row],[disposedChallan]]+TrafficData[[#This Row],[pendingChallan]]=TrafficData[[#This Row],[totalChallan]]</f>
        <v>1</v>
      </c>
      <c r="L2967" t="b">
        <f>TrafficData[[#This Row],[pendingAmount]]+TrafficData[[#This Row],[disposedAmount]]=TrafficData[[#This Row],[totalAmount]]</f>
        <v>1</v>
      </c>
      <c r="M2967" t="b">
        <f>TrafficData[[#This Row],[pendingCourt]]+TrafficData[[#This Row],[disposedCourt]]=TrafficData[[#This Row],[totalCourt]]</f>
        <v>1</v>
      </c>
      <c r="N2967" s="8" t="b">
        <f>AND(TrafficData[[#This Row],[disposedChallan]]&lt;=TrafficData[[#This Row],[totalChallan]],TrafficData[[#This Row],[pendingChallan]]&lt;=TrafficData[[#This Row],[totalChallan]])</f>
        <v>1</v>
      </c>
      <c r="O2967" s="8" t="b">
        <f>AND(TrafficData[[#This Row],[pendingAmount]]&lt;=TrafficData[[#This Row],[totalAmount]],TrafficData[[#This Row],[disposedAmount]]&lt;=TrafficData[[#This Row],[totalAmount]])</f>
        <v>1</v>
      </c>
      <c r="P2967" s="8" t="b">
        <f>AND(TrafficData[[#This Row],[pendingCourt]]&lt;=TrafficData[[#This Row],[totalCourt]],TrafficData[[#This Row],[disposedCourt]]&lt;=TrafficData[[#This Row],[totalCourt]])</f>
        <v>1</v>
      </c>
    </row>
    <row r="2968" spans="1:16">
      <c r="A2968" s="1">
        <v>44972</v>
      </c>
      <c r="B2968">
        <v>168640</v>
      </c>
      <c r="C2968">
        <v>77474</v>
      </c>
      <c r="D2968">
        <v>91166</v>
      </c>
      <c r="E2968">
        <v>169467675</v>
      </c>
      <c r="F2968">
        <v>132538368</v>
      </c>
      <c r="G2968">
        <v>302006043</v>
      </c>
      <c r="H2968">
        <v>56613</v>
      </c>
      <c r="I2968">
        <v>13328</v>
      </c>
      <c r="J2968">
        <v>69941</v>
      </c>
      <c r="K2968" t="b">
        <f>TrafficData[[#This Row],[disposedChallan]]+TrafficData[[#This Row],[pendingChallan]]=TrafficData[[#This Row],[totalChallan]]</f>
        <v>1</v>
      </c>
      <c r="L2968" t="b">
        <f>TrafficData[[#This Row],[pendingAmount]]+TrafficData[[#This Row],[disposedAmount]]=TrafficData[[#This Row],[totalAmount]]</f>
        <v>1</v>
      </c>
      <c r="M2968" t="b">
        <f>TrafficData[[#This Row],[pendingCourt]]+TrafficData[[#This Row],[disposedCourt]]=TrafficData[[#This Row],[totalCourt]]</f>
        <v>1</v>
      </c>
      <c r="N2968" s="8" t="b">
        <f>AND(TrafficData[[#This Row],[disposedChallan]]&lt;=TrafficData[[#This Row],[totalChallan]],TrafficData[[#This Row],[pendingChallan]]&lt;=TrafficData[[#This Row],[totalChallan]])</f>
        <v>1</v>
      </c>
      <c r="O2968" s="8" t="b">
        <f>AND(TrafficData[[#This Row],[pendingAmount]]&lt;=TrafficData[[#This Row],[totalAmount]],TrafficData[[#This Row],[disposedAmount]]&lt;=TrafficData[[#This Row],[totalAmount]])</f>
        <v>1</v>
      </c>
      <c r="P2968" s="8" t="b">
        <f>AND(TrafficData[[#This Row],[pendingCourt]]&lt;=TrafficData[[#This Row],[totalCourt]],TrafficData[[#This Row],[disposedCourt]]&lt;=TrafficData[[#This Row],[totalCourt]])</f>
        <v>1</v>
      </c>
    </row>
    <row r="2969" spans="1:16">
      <c r="A2969" s="1">
        <v>44973</v>
      </c>
      <c r="B2969">
        <v>166243</v>
      </c>
      <c r="C2969">
        <v>76701</v>
      </c>
      <c r="D2969">
        <v>89542</v>
      </c>
      <c r="E2969">
        <v>171111908</v>
      </c>
      <c r="F2969">
        <v>130804307</v>
      </c>
      <c r="G2969">
        <v>301916215</v>
      </c>
      <c r="H2969">
        <v>55375</v>
      </c>
      <c r="I2969">
        <v>12953</v>
      </c>
      <c r="J2969">
        <v>68328</v>
      </c>
      <c r="K2969" t="b">
        <f>TrafficData[[#This Row],[disposedChallan]]+TrafficData[[#This Row],[pendingChallan]]=TrafficData[[#This Row],[totalChallan]]</f>
        <v>1</v>
      </c>
      <c r="L2969" t="b">
        <f>TrafficData[[#This Row],[pendingAmount]]+TrafficData[[#This Row],[disposedAmount]]=TrafficData[[#This Row],[totalAmount]]</f>
        <v>1</v>
      </c>
      <c r="M2969" t="b">
        <f>TrafficData[[#This Row],[pendingCourt]]+TrafficData[[#This Row],[disposedCourt]]=TrafficData[[#This Row],[totalCourt]]</f>
        <v>1</v>
      </c>
      <c r="N2969" s="8" t="b">
        <f>AND(TrafficData[[#This Row],[disposedChallan]]&lt;=TrafficData[[#This Row],[totalChallan]],TrafficData[[#This Row],[pendingChallan]]&lt;=TrafficData[[#This Row],[totalChallan]])</f>
        <v>1</v>
      </c>
      <c r="O2969" s="8" t="b">
        <f>AND(TrafficData[[#This Row],[pendingAmount]]&lt;=TrafficData[[#This Row],[totalAmount]],TrafficData[[#This Row],[disposedAmount]]&lt;=TrafficData[[#This Row],[totalAmount]])</f>
        <v>1</v>
      </c>
      <c r="P2969" s="8" t="b">
        <f>AND(TrafficData[[#This Row],[pendingCourt]]&lt;=TrafficData[[#This Row],[totalCourt]],TrafficData[[#This Row],[disposedCourt]]&lt;=TrafficData[[#This Row],[totalCourt]])</f>
        <v>1</v>
      </c>
    </row>
    <row r="2970" spans="1:16">
      <c r="A2970" s="1">
        <v>44974</v>
      </c>
      <c r="B2970">
        <v>168678</v>
      </c>
      <c r="C2970">
        <v>76454</v>
      </c>
      <c r="D2970">
        <v>92224</v>
      </c>
      <c r="E2970">
        <v>175558669</v>
      </c>
      <c r="F2970">
        <v>129918352</v>
      </c>
      <c r="G2970">
        <v>305477021</v>
      </c>
      <c r="H2970">
        <v>57994</v>
      </c>
      <c r="I2970">
        <v>13490</v>
      </c>
      <c r="J2970">
        <v>71484</v>
      </c>
      <c r="K2970" t="b">
        <f>TrafficData[[#This Row],[disposedChallan]]+TrafficData[[#This Row],[pendingChallan]]=TrafficData[[#This Row],[totalChallan]]</f>
        <v>1</v>
      </c>
      <c r="L2970" t="b">
        <f>TrafficData[[#This Row],[pendingAmount]]+TrafficData[[#This Row],[disposedAmount]]=TrafficData[[#This Row],[totalAmount]]</f>
        <v>1</v>
      </c>
      <c r="M2970" t="b">
        <f>TrafficData[[#This Row],[pendingCourt]]+TrafficData[[#This Row],[disposedCourt]]=TrafficData[[#This Row],[totalCourt]]</f>
        <v>1</v>
      </c>
      <c r="N2970" s="8" t="b">
        <f>AND(TrafficData[[#This Row],[disposedChallan]]&lt;=TrafficData[[#This Row],[totalChallan]],TrafficData[[#This Row],[pendingChallan]]&lt;=TrafficData[[#This Row],[totalChallan]])</f>
        <v>1</v>
      </c>
      <c r="O2970" s="8" t="b">
        <f>AND(TrafficData[[#This Row],[pendingAmount]]&lt;=TrafficData[[#This Row],[totalAmount]],TrafficData[[#This Row],[disposedAmount]]&lt;=TrafficData[[#This Row],[totalAmount]])</f>
        <v>1</v>
      </c>
      <c r="P2970" s="8" t="b">
        <f>AND(TrafficData[[#This Row],[pendingCourt]]&lt;=TrafficData[[#This Row],[totalCourt]],TrafficData[[#This Row],[disposedCourt]]&lt;=TrafficData[[#This Row],[totalCourt]])</f>
        <v>1</v>
      </c>
    </row>
    <row r="2971" spans="1:16">
      <c r="A2971" s="1">
        <v>44975</v>
      </c>
      <c r="B2971">
        <v>138615</v>
      </c>
      <c r="C2971">
        <v>61261</v>
      </c>
      <c r="D2971">
        <v>77354</v>
      </c>
      <c r="E2971">
        <v>136263429</v>
      </c>
      <c r="F2971">
        <v>90395994</v>
      </c>
      <c r="G2971">
        <v>226659423</v>
      </c>
      <c r="H2971">
        <v>49525</v>
      </c>
      <c r="I2971">
        <v>11376</v>
      </c>
      <c r="J2971">
        <v>60901</v>
      </c>
      <c r="K2971" t="b">
        <f>TrafficData[[#This Row],[disposedChallan]]+TrafficData[[#This Row],[pendingChallan]]=TrafficData[[#This Row],[totalChallan]]</f>
        <v>1</v>
      </c>
      <c r="L2971" t="b">
        <f>TrafficData[[#This Row],[pendingAmount]]+TrafficData[[#This Row],[disposedAmount]]=TrafficData[[#This Row],[totalAmount]]</f>
        <v>1</v>
      </c>
      <c r="M2971" t="b">
        <f>TrafficData[[#This Row],[pendingCourt]]+TrafficData[[#This Row],[disposedCourt]]=TrafficData[[#This Row],[totalCourt]]</f>
        <v>1</v>
      </c>
      <c r="N2971" s="8" t="b">
        <f>AND(TrafficData[[#This Row],[disposedChallan]]&lt;=TrafficData[[#This Row],[totalChallan]],TrafficData[[#This Row],[pendingChallan]]&lt;=TrafficData[[#This Row],[totalChallan]])</f>
        <v>1</v>
      </c>
      <c r="O2971" s="8" t="b">
        <f>AND(TrafficData[[#This Row],[pendingAmount]]&lt;=TrafficData[[#This Row],[totalAmount]],TrafficData[[#This Row],[disposedAmount]]&lt;=TrafficData[[#This Row],[totalAmount]])</f>
        <v>1</v>
      </c>
      <c r="P2971" s="8" t="b">
        <f>AND(TrafficData[[#This Row],[pendingCourt]]&lt;=TrafficData[[#This Row],[totalCourt]],TrafficData[[#This Row],[disposedCourt]]&lt;=TrafficData[[#This Row],[totalCourt]])</f>
        <v>1</v>
      </c>
    </row>
    <row r="2972" spans="1:16">
      <c r="A2972" s="1">
        <v>44976</v>
      </c>
      <c r="B2972">
        <v>131665</v>
      </c>
      <c r="C2972">
        <v>59117</v>
      </c>
      <c r="D2972">
        <v>72548</v>
      </c>
      <c r="E2972">
        <v>121234073</v>
      </c>
      <c r="F2972">
        <v>82594411</v>
      </c>
      <c r="G2972">
        <v>203828484</v>
      </c>
      <c r="H2972">
        <v>45045</v>
      </c>
      <c r="I2972">
        <v>10771</v>
      </c>
      <c r="J2972">
        <v>55816</v>
      </c>
      <c r="K2972" t="b">
        <f>TrafficData[[#This Row],[disposedChallan]]+TrafficData[[#This Row],[pendingChallan]]=TrafficData[[#This Row],[totalChallan]]</f>
        <v>1</v>
      </c>
      <c r="L2972" t="b">
        <f>TrafficData[[#This Row],[pendingAmount]]+TrafficData[[#This Row],[disposedAmount]]=TrafficData[[#This Row],[totalAmount]]</f>
        <v>1</v>
      </c>
      <c r="M2972" t="b">
        <f>TrafficData[[#This Row],[pendingCourt]]+TrafficData[[#This Row],[disposedCourt]]=TrafficData[[#This Row],[totalCourt]]</f>
        <v>1</v>
      </c>
      <c r="N2972" s="8" t="b">
        <f>AND(TrafficData[[#This Row],[disposedChallan]]&lt;=TrafficData[[#This Row],[totalChallan]],TrafficData[[#This Row],[pendingChallan]]&lt;=TrafficData[[#This Row],[totalChallan]])</f>
        <v>1</v>
      </c>
      <c r="O2972" s="8" t="b">
        <f>AND(TrafficData[[#This Row],[pendingAmount]]&lt;=TrafficData[[#This Row],[totalAmount]],TrafficData[[#This Row],[disposedAmount]]&lt;=TrafficData[[#This Row],[totalAmount]])</f>
        <v>1</v>
      </c>
      <c r="P2972" s="8" t="b">
        <f>AND(TrafficData[[#This Row],[pendingCourt]]&lt;=TrafficData[[#This Row],[totalCourt]],TrafficData[[#This Row],[disposedCourt]]&lt;=TrafficData[[#This Row],[totalCourt]])</f>
        <v>1</v>
      </c>
    </row>
    <row r="2973" spans="1:16">
      <c r="A2973" s="1">
        <v>44977</v>
      </c>
      <c r="B2973">
        <v>171175</v>
      </c>
      <c r="C2973">
        <v>78212</v>
      </c>
      <c r="D2973">
        <v>92963</v>
      </c>
      <c r="E2973">
        <v>171024817</v>
      </c>
      <c r="F2973">
        <v>124234972</v>
      </c>
      <c r="G2973">
        <v>295259789</v>
      </c>
      <c r="H2973">
        <v>57415</v>
      </c>
      <c r="I2973">
        <v>13827</v>
      </c>
      <c r="J2973">
        <v>71242</v>
      </c>
      <c r="K2973" t="b">
        <f>TrafficData[[#This Row],[disposedChallan]]+TrafficData[[#This Row],[pendingChallan]]=TrafficData[[#This Row],[totalChallan]]</f>
        <v>1</v>
      </c>
      <c r="L2973" t="b">
        <f>TrafficData[[#This Row],[pendingAmount]]+TrafficData[[#This Row],[disposedAmount]]=TrafficData[[#This Row],[totalAmount]]</f>
        <v>1</v>
      </c>
      <c r="M2973" t="b">
        <f>TrafficData[[#This Row],[pendingCourt]]+TrafficData[[#This Row],[disposedCourt]]=TrafficData[[#This Row],[totalCourt]]</f>
        <v>1</v>
      </c>
      <c r="N2973" s="8" t="b">
        <f>AND(TrafficData[[#This Row],[disposedChallan]]&lt;=TrafficData[[#This Row],[totalChallan]],TrafficData[[#This Row],[pendingChallan]]&lt;=TrafficData[[#This Row],[totalChallan]])</f>
        <v>1</v>
      </c>
      <c r="O2973" s="8" t="b">
        <f>AND(TrafficData[[#This Row],[pendingAmount]]&lt;=TrafficData[[#This Row],[totalAmount]],TrafficData[[#This Row],[disposedAmount]]&lt;=TrafficData[[#This Row],[totalAmount]])</f>
        <v>1</v>
      </c>
      <c r="P2973" s="8" t="b">
        <f>AND(TrafficData[[#This Row],[pendingCourt]]&lt;=TrafficData[[#This Row],[totalCourt]],TrafficData[[#This Row],[disposedCourt]]&lt;=TrafficData[[#This Row],[totalCourt]])</f>
        <v>1</v>
      </c>
    </row>
    <row r="2974" spans="1:16">
      <c r="A2974" s="1">
        <v>44978</v>
      </c>
      <c r="B2974">
        <v>174271</v>
      </c>
      <c r="C2974">
        <v>80981</v>
      </c>
      <c r="D2974">
        <v>93290</v>
      </c>
      <c r="E2974">
        <v>185005107</v>
      </c>
      <c r="F2974">
        <v>138251890</v>
      </c>
      <c r="G2974">
        <v>323256997</v>
      </c>
      <c r="H2974">
        <v>56779</v>
      </c>
      <c r="I2974">
        <v>13756</v>
      </c>
      <c r="J2974">
        <v>70535</v>
      </c>
      <c r="K2974" t="b">
        <f>TrafficData[[#This Row],[disposedChallan]]+TrafficData[[#This Row],[pendingChallan]]=TrafficData[[#This Row],[totalChallan]]</f>
        <v>1</v>
      </c>
      <c r="L2974" t="b">
        <f>TrafficData[[#This Row],[pendingAmount]]+TrafficData[[#This Row],[disposedAmount]]=TrafficData[[#This Row],[totalAmount]]</f>
        <v>1</v>
      </c>
      <c r="M2974" t="b">
        <f>TrafficData[[#This Row],[pendingCourt]]+TrafficData[[#This Row],[disposedCourt]]=TrafficData[[#This Row],[totalCourt]]</f>
        <v>1</v>
      </c>
      <c r="N2974" s="8" t="b">
        <f>AND(TrafficData[[#This Row],[disposedChallan]]&lt;=TrafficData[[#This Row],[totalChallan]],TrafficData[[#This Row],[pendingChallan]]&lt;=TrafficData[[#This Row],[totalChallan]])</f>
        <v>1</v>
      </c>
      <c r="O2974" s="8" t="b">
        <f>AND(TrafficData[[#This Row],[pendingAmount]]&lt;=TrafficData[[#This Row],[totalAmount]],TrafficData[[#This Row],[disposedAmount]]&lt;=TrafficData[[#This Row],[totalAmount]])</f>
        <v>1</v>
      </c>
      <c r="P2974" s="8" t="b">
        <f>AND(TrafficData[[#This Row],[pendingCourt]]&lt;=TrafficData[[#This Row],[totalCourt]],TrafficData[[#This Row],[disposedCourt]]&lt;=TrafficData[[#This Row],[totalCourt]])</f>
        <v>1</v>
      </c>
    </row>
    <row r="2975" spans="1:16">
      <c r="A2975" s="1">
        <v>44979</v>
      </c>
      <c r="B2975">
        <v>172988</v>
      </c>
      <c r="C2975">
        <v>81615</v>
      </c>
      <c r="D2975">
        <v>91373</v>
      </c>
      <c r="E2975">
        <v>176477474</v>
      </c>
      <c r="F2975">
        <v>1026631542</v>
      </c>
      <c r="G2975">
        <v>1203109016</v>
      </c>
      <c r="H2975">
        <v>57832</v>
      </c>
      <c r="I2975">
        <v>13883</v>
      </c>
      <c r="J2975">
        <v>71715</v>
      </c>
      <c r="K2975" t="b">
        <f>TrafficData[[#This Row],[disposedChallan]]+TrafficData[[#This Row],[pendingChallan]]=TrafficData[[#This Row],[totalChallan]]</f>
        <v>1</v>
      </c>
      <c r="L2975" t="b">
        <f>TrafficData[[#This Row],[pendingAmount]]+TrafficData[[#This Row],[disposedAmount]]=TrafficData[[#This Row],[totalAmount]]</f>
        <v>1</v>
      </c>
      <c r="M2975" t="b">
        <f>TrafficData[[#This Row],[pendingCourt]]+TrafficData[[#This Row],[disposedCourt]]=TrafficData[[#This Row],[totalCourt]]</f>
        <v>1</v>
      </c>
      <c r="N2975" s="8" t="b">
        <f>AND(TrafficData[[#This Row],[disposedChallan]]&lt;=TrafficData[[#This Row],[totalChallan]],TrafficData[[#This Row],[pendingChallan]]&lt;=TrafficData[[#This Row],[totalChallan]])</f>
        <v>1</v>
      </c>
      <c r="O2975" s="8" t="b">
        <f>AND(TrafficData[[#This Row],[pendingAmount]]&lt;=TrafficData[[#This Row],[totalAmount]],TrafficData[[#This Row],[disposedAmount]]&lt;=TrafficData[[#This Row],[totalAmount]])</f>
        <v>1</v>
      </c>
      <c r="P2975" s="8" t="b">
        <f>AND(TrafficData[[#This Row],[pendingCourt]]&lt;=TrafficData[[#This Row],[totalCourt]],TrafficData[[#This Row],[disposedCourt]]&lt;=TrafficData[[#This Row],[totalCourt]])</f>
        <v>1</v>
      </c>
    </row>
    <row r="2976" spans="1:16">
      <c r="A2976" s="1">
        <v>44980</v>
      </c>
      <c r="B2976">
        <v>172413</v>
      </c>
      <c r="C2976">
        <v>80526</v>
      </c>
      <c r="D2976">
        <v>91887</v>
      </c>
      <c r="E2976">
        <v>178319229</v>
      </c>
      <c r="F2976">
        <v>135957605</v>
      </c>
      <c r="G2976">
        <v>314276834</v>
      </c>
      <c r="H2976">
        <v>57152</v>
      </c>
      <c r="I2976">
        <v>14128</v>
      </c>
      <c r="J2976">
        <v>71280</v>
      </c>
      <c r="K2976" t="b">
        <f>TrafficData[[#This Row],[disposedChallan]]+TrafficData[[#This Row],[pendingChallan]]=TrafficData[[#This Row],[totalChallan]]</f>
        <v>1</v>
      </c>
      <c r="L2976" t="b">
        <f>TrafficData[[#This Row],[pendingAmount]]+TrafficData[[#This Row],[disposedAmount]]=TrafficData[[#This Row],[totalAmount]]</f>
        <v>1</v>
      </c>
      <c r="M2976" t="b">
        <f>TrafficData[[#This Row],[pendingCourt]]+TrafficData[[#This Row],[disposedCourt]]=TrafficData[[#This Row],[totalCourt]]</f>
        <v>1</v>
      </c>
      <c r="N2976" s="8" t="b">
        <f>AND(TrafficData[[#This Row],[disposedChallan]]&lt;=TrafficData[[#This Row],[totalChallan]],TrafficData[[#This Row],[pendingChallan]]&lt;=TrafficData[[#This Row],[totalChallan]])</f>
        <v>1</v>
      </c>
      <c r="O2976" s="8" t="b">
        <f>AND(TrafficData[[#This Row],[pendingAmount]]&lt;=TrafficData[[#This Row],[totalAmount]],TrafficData[[#This Row],[disposedAmount]]&lt;=TrafficData[[#This Row],[totalAmount]])</f>
        <v>1</v>
      </c>
      <c r="P2976" s="8" t="b">
        <f>AND(TrafficData[[#This Row],[pendingCourt]]&lt;=TrafficData[[#This Row],[totalCourt]],TrafficData[[#This Row],[disposedCourt]]&lt;=TrafficData[[#This Row],[totalCourt]])</f>
        <v>1</v>
      </c>
    </row>
    <row r="2977" spans="1:16">
      <c r="A2977" s="1">
        <v>44981</v>
      </c>
      <c r="B2977">
        <v>174160</v>
      </c>
      <c r="C2977">
        <v>79357</v>
      </c>
      <c r="D2977">
        <v>94803</v>
      </c>
      <c r="E2977">
        <v>165970355</v>
      </c>
      <c r="F2977">
        <v>126051531</v>
      </c>
      <c r="G2977">
        <v>292021886</v>
      </c>
      <c r="H2977">
        <v>59831</v>
      </c>
      <c r="I2977">
        <v>14444</v>
      </c>
      <c r="J2977">
        <v>74275</v>
      </c>
      <c r="K2977" t="b">
        <f>TrafficData[[#This Row],[disposedChallan]]+TrafficData[[#This Row],[pendingChallan]]=TrafficData[[#This Row],[totalChallan]]</f>
        <v>1</v>
      </c>
      <c r="L2977" t="b">
        <f>TrafficData[[#This Row],[pendingAmount]]+TrafficData[[#This Row],[disposedAmount]]=TrafficData[[#This Row],[totalAmount]]</f>
        <v>1</v>
      </c>
      <c r="M2977" t="b">
        <f>TrafficData[[#This Row],[pendingCourt]]+TrafficData[[#This Row],[disposedCourt]]=TrafficData[[#This Row],[totalCourt]]</f>
        <v>1</v>
      </c>
      <c r="N2977" s="8" t="b">
        <f>AND(TrafficData[[#This Row],[disposedChallan]]&lt;=TrafficData[[#This Row],[totalChallan]],TrafficData[[#This Row],[pendingChallan]]&lt;=TrafficData[[#This Row],[totalChallan]])</f>
        <v>1</v>
      </c>
      <c r="O2977" s="8" t="b">
        <f>AND(TrafficData[[#This Row],[pendingAmount]]&lt;=TrafficData[[#This Row],[totalAmount]],TrafficData[[#This Row],[disposedAmount]]&lt;=TrafficData[[#This Row],[totalAmount]])</f>
        <v>1</v>
      </c>
      <c r="P2977" s="8" t="b">
        <f>AND(TrafficData[[#This Row],[pendingCourt]]&lt;=TrafficData[[#This Row],[totalCourt]],TrafficData[[#This Row],[disposedCourt]]&lt;=TrafficData[[#This Row],[totalCourt]])</f>
        <v>1</v>
      </c>
    </row>
    <row r="2978" spans="1:16">
      <c r="A2978" s="1">
        <v>44982</v>
      </c>
      <c r="B2978">
        <v>166787</v>
      </c>
      <c r="C2978">
        <v>78360</v>
      </c>
      <c r="D2978">
        <v>88427</v>
      </c>
      <c r="E2978">
        <v>159426048</v>
      </c>
      <c r="F2978">
        <v>120036917</v>
      </c>
      <c r="G2978">
        <v>279462965</v>
      </c>
      <c r="H2978">
        <v>53282</v>
      </c>
      <c r="I2978">
        <v>13111</v>
      </c>
      <c r="J2978">
        <v>66393</v>
      </c>
      <c r="K2978" t="b">
        <f>TrafficData[[#This Row],[disposedChallan]]+TrafficData[[#This Row],[pendingChallan]]=TrafficData[[#This Row],[totalChallan]]</f>
        <v>1</v>
      </c>
      <c r="L2978" t="b">
        <f>TrafficData[[#This Row],[pendingAmount]]+TrafficData[[#This Row],[disposedAmount]]=TrafficData[[#This Row],[totalAmount]]</f>
        <v>1</v>
      </c>
      <c r="M2978" t="b">
        <f>TrafficData[[#This Row],[pendingCourt]]+TrafficData[[#This Row],[disposedCourt]]=TrafficData[[#This Row],[totalCourt]]</f>
        <v>1</v>
      </c>
      <c r="N2978" s="8" t="b">
        <f>AND(TrafficData[[#This Row],[disposedChallan]]&lt;=TrafficData[[#This Row],[totalChallan]],TrafficData[[#This Row],[pendingChallan]]&lt;=TrafficData[[#This Row],[totalChallan]])</f>
        <v>1</v>
      </c>
      <c r="O2978" s="8" t="b">
        <f>AND(TrafficData[[#This Row],[pendingAmount]]&lt;=TrafficData[[#This Row],[totalAmount]],TrafficData[[#This Row],[disposedAmount]]&lt;=TrafficData[[#This Row],[totalAmount]])</f>
        <v>1</v>
      </c>
      <c r="P2978" s="8" t="b">
        <f>AND(TrafficData[[#This Row],[pendingCourt]]&lt;=TrafficData[[#This Row],[totalCourt]],TrafficData[[#This Row],[disposedCourt]]&lt;=TrafficData[[#This Row],[totalCourt]])</f>
        <v>1</v>
      </c>
    </row>
    <row r="2979" spans="1:16">
      <c r="A2979" s="1">
        <v>44983</v>
      </c>
      <c r="B2979">
        <v>154108</v>
      </c>
      <c r="C2979">
        <v>66056</v>
      </c>
      <c r="D2979">
        <v>88052</v>
      </c>
      <c r="E2979">
        <v>148072812</v>
      </c>
      <c r="F2979">
        <v>86530558</v>
      </c>
      <c r="G2979">
        <v>234603370</v>
      </c>
      <c r="H2979">
        <v>54815</v>
      </c>
      <c r="I2979">
        <v>12968</v>
      </c>
      <c r="J2979">
        <v>67783</v>
      </c>
      <c r="K2979" t="b">
        <f>TrafficData[[#This Row],[disposedChallan]]+TrafficData[[#This Row],[pendingChallan]]=TrafficData[[#This Row],[totalChallan]]</f>
        <v>1</v>
      </c>
      <c r="L2979" t="b">
        <f>TrafficData[[#This Row],[pendingAmount]]+TrafficData[[#This Row],[disposedAmount]]=TrafficData[[#This Row],[totalAmount]]</f>
        <v>1</v>
      </c>
      <c r="M2979" t="b">
        <f>TrafficData[[#This Row],[pendingCourt]]+TrafficData[[#This Row],[disposedCourt]]=TrafficData[[#This Row],[totalCourt]]</f>
        <v>1</v>
      </c>
      <c r="N2979" s="8" t="b">
        <f>AND(TrafficData[[#This Row],[disposedChallan]]&lt;=TrafficData[[#This Row],[totalChallan]],TrafficData[[#This Row],[pendingChallan]]&lt;=TrafficData[[#This Row],[totalChallan]])</f>
        <v>1</v>
      </c>
      <c r="O2979" s="8" t="b">
        <f>AND(TrafficData[[#This Row],[pendingAmount]]&lt;=TrafficData[[#This Row],[totalAmount]],TrafficData[[#This Row],[disposedAmount]]&lt;=TrafficData[[#This Row],[totalAmount]])</f>
        <v>1</v>
      </c>
      <c r="P2979" s="8" t="b">
        <f>AND(TrafficData[[#This Row],[pendingCourt]]&lt;=TrafficData[[#This Row],[totalCourt]],TrafficData[[#This Row],[disposedCourt]]&lt;=TrafficData[[#This Row],[totalCourt]])</f>
        <v>1</v>
      </c>
    </row>
    <row r="2980" spans="1:16">
      <c r="A2980" s="1">
        <v>44984</v>
      </c>
      <c r="B2980">
        <v>179917</v>
      </c>
      <c r="C2980">
        <v>79764</v>
      </c>
      <c r="D2980">
        <v>100153</v>
      </c>
      <c r="E2980">
        <v>178071545</v>
      </c>
      <c r="F2980">
        <v>121522160</v>
      </c>
      <c r="G2980">
        <v>299593705</v>
      </c>
      <c r="H2980">
        <v>63683</v>
      </c>
      <c r="I2980">
        <v>14330</v>
      </c>
      <c r="J2980">
        <v>78013</v>
      </c>
      <c r="K2980" t="b">
        <f>TrafficData[[#This Row],[disposedChallan]]+TrafficData[[#This Row],[pendingChallan]]=TrafficData[[#This Row],[totalChallan]]</f>
        <v>1</v>
      </c>
      <c r="L2980" t="b">
        <f>TrafficData[[#This Row],[pendingAmount]]+TrafficData[[#This Row],[disposedAmount]]=TrafficData[[#This Row],[totalAmount]]</f>
        <v>1</v>
      </c>
      <c r="M2980" t="b">
        <f>TrafficData[[#This Row],[pendingCourt]]+TrafficData[[#This Row],[disposedCourt]]=TrafficData[[#This Row],[totalCourt]]</f>
        <v>1</v>
      </c>
      <c r="N2980" s="8" t="b">
        <f>AND(TrafficData[[#This Row],[disposedChallan]]&lt;=TrafficData[[#This Row],[totalChallan]],TrafficData[[#This Row],[pendingChallan]]&lt;=TrafficData[[#This Row],[totalChallan]])</f>
        <v>1</v>
      </c>
      <c r="O2980" s="8" t="b">
        <f>AND(TrafficData[[#This Row],[pendingAmount]]&lt;=TrafficData[[#This Row],[totalAmount]],TrafficData[[#This Row],[disposedAmount]]&lt;=TrafficData[[#This Row],[totalAmount]])</f>
        <v>1</v>
      </c>
      <c r="P2980" s="8" t="b">
        <f>AND(TrafficData[[#This Row],[pendingCourt]]&lt;=TrafficData[[#This Row],[totalCourt]],TrafficData[[#This Row],[disposedCourt]]&lt;=TrafficData[[#This Row],[totalCourt]])</f>
        <v>1</v>
      </c>
    </row>
    <row r="2981" spans="1:16">
      <c r="A2981" s="1">
        <v>44985</v>
      </c>
      <c r="B2981">
        <v>174309</v>
      </c>
      <c r="C2981">
        <v>77966</v>
      </c>
      <c r="D2981">
        <v>96343</v>
      </c>
      <c r="E2981">
        <v>173043353</v>
      </c>
      <c r="F2981">
        <v>122506833</v>
      </c>
      <c r="G2981">
        <v>295550186</v>
      </c>
      <c r="H2981">
        <v>62092</v>
      </c>
      <c r="I2981">
        <v>14098</v>
      </c>
      <c r="J2981">
        <v>76190</v>
      </c>
      <c r="K2981" t="b">
        <f>TrafficData[[#This Row],[disposedChallan]]+TrafficData[[#This Row],[pendingChallan]]=TrafficData[[#This Row],[totalChallan]]</f>
        <v>1</v>
      </c>
      <c r="L2981" t="b">
        <f>TrafficData[[#This Row],[pendingAmount]]+TrafficData[[#This Row],[disposedAmount]]=TrafficData[[#This Row],[totalAmount]]</f>
        <v>1</v>
      </c>
      <c r="M2981" t="b">
        <f>TrafficData[[#This Row],[pendingCourt]]+TrafficData[[#This Row],[disposedCourt]]=TrafficData[[#This Row],[totalCourt]]</f>
        <v>1</v>
      </c>
      <c r="N2981" s="8" t="b">
        <f>AND(TrafficData[[#This Row],[disposedChallan]]&lt;=TrafficData[[#This Row],[totalChallan]],TrafficData[[#This Row],[pendingChallan]]&lt;=TrafficData[[#This Row],[totalChallan]])</f>
        <v>1</v>
      </c>
      <c r="O2981" s="8" t="b">
        <f>AND(TrafficData[[#This Row],[pendingAmount]]&lt;=TrafficData[[#This Row],[totalAmount]],TrafficData[[#This Row],[disposedAmount]]&lt;=TrafficData[[#This Row],[totalAmount]])</f>
        <v>1</v>
      </c>
      <c r="P2981" s="8" t="b">
        <f>AND(TrafficData[[#This Row],[pendingCourt]]&lt;=TrafficData[[#This Row],[totalCourt]],TrafficData[[#This Row],[disposedCourt]]&lt;=TrafficData[[#This Row],[totalCourt]])</f>
        <v>1</v>
      </c>
    </row>
    <row r="2982" spans="1:16">
      <c r="A2982" s="1">
        <v>44986</v>
      </c>
      <c r="B2982">
        <v>189495</v>
      </c>
      <c r="C2982">
        <v>87505</v>
      </c>
      <c r="D2982">
        <v>101990</v>
      </c>
      <c r="E2982">
        <v>171134177</v>
      </c>
      <c r="F2982">
        <v>168336200</v>
      </c>
      <c r="G2982">
        <v>339470377</v>
      </c>
      <c r="H2982">
        <v>63575</v>
      </c>
      <c r="I2982">
        <v>14399</v>
      </c>
      <c r="J2982">
        <v>77974</v>
      </c>
      <c r="K2982" t="b">
        <f>TrafficData[[#This Row],[disposedChallan]]+TrafficData[[#This Row],[pendingChallan]]=TrafficData[[#This Row],[totalChallan]]</f>
        <v>1</v>
      </c>
      <c r="L2982" t="b">
        <f>TrafficData[[#This Row],[pendingAmount]]+TrafficData[[#This Row],[disposedAmount]]=TrafficData[[#This Row],[totalAmount]]</f>
        <v>1</v>
      </c>
      <c r="M2982" t="b">
        <f>TrafficData[[#This Row],[pendingCourt]]+TrafficData[[#This Row],[disposedCourt]]=TrafficData[[#This Row],[totalCourt]]</f>
        <v>1</v>
      </c>
      <c r="N2982" s="8" t="b">
        <f>AND(TrafficData[[#This Row],[disposedChallan]]&lt;=TrafficData[[#This Row],[totalChallan]],TrafficData[[#This Row],[pendingChallan]]&lt;=TrafficData[[#This Row],[totalChallan]])</f>
        <v>1</v>
      </c>
      <c r="O2982" s="8" t="b">
        <f>AND(TrafficData[[#This Row],[pendingAmount]]&lt;=TrafficData[[#This Row],[totalAmount]],TrafficData[[#This Row],[disposedAmount]]&lt;=TrafficData[[#This Row],[totalAmount]])</f>
        <v>1</v>
      </c>
      <c r="P2982" s="8" t="b">
        <f>AND(TrafficData[[#This Row],[pendingCourt]]&lt;=TrafficData[[#This Row],[totalCourt]],TrafficData[[#This Row],[disposedCourt]]&lt;=TrafficData[[#This Row],[totalCourt]])</f>
        <v>1</v>
      </c>
    </row>
    <row r="2983" spans="1:16">
      <c r="A2983" s="1">
        <v>44987</v>
      </c>
      <c r="B2983">
        <v>195411</v>
      </c>
      <c r="C2983">
        <v>90441</v>
      </c>
      <c r="D2983">
        <v>104970</v>
      </c>
      <c r="E2983">
        <v>184434317</v>
      </c>
      <c r="F2983">
        <v>176620801</v>
      </c>
      <c r="G2983">
        <v>361055118</v>
      </c>
      <c r="H2983">
        <v>65112</v>
      </c>
      <c r="I2983">
        <v>14342</v>
      </c>
      <c r="J2983">
        <v>79454</v>
      </c>
      <c r="K2983" t="b">
        <f>TrafficData[[#This Row],[disposedChallan]]+TrafficData[[#This Row],[pendingChallan]]=TrafficData[[#This Row],[totalChallan]]</f>
        <v>1</v>
      </c>
      <c r="L2983" t="b">
        <f>TrafficData[[#This Row],[pendingAmount]]+TrafficData[[#This Row],[disposedAmount]]=TrafficData[[#This Row],[totalAmount]]</f>
        <v>1</v>
      </c>
      <c r="M2983" t="b">
        <f>TrafficData[[#This Row],[pendingCourt]]+TrafficData[[#This Row],[disposedCourt]]=TrafficData[[#This Row],[totalCourt]]</f>
        <v>1</v>
      </c>
      <c r="N2983" s="8" t="b">
        <f>AND(TrafficData[[#This Row],[disposedChallan]]&lt;=TrafficData[[#This Row],[totalChallan]],TrafficData[[#This Row],[pendingChallan]]&lt;=TrafficData[[#This Row],[totalChallan]])</f>
        <v>1</v>
      </c>
      <c r="O2983" s="8" t="b">
        <f>AND(TrafficData[[#This Row],[pendingAmount]]&lt;=TrafficData[[#This Row],[totalAmount]],TrafficData[[#This Row],[disposedAmount]]&lt;=TrafficData[[#This Row],[totalAmount]])</f>
        <v>1</v>
      </c>
      <c r="P2983" s="8" t="b">
        <f>AND(TrafficData[[#This Row],[pendingCourt]]&lt;=TrafficData[[#This Row],[totalCourt]],TrafficData[[#This Row],[disposedCourt]]&lt;=TrafficData[[#This Row],[totalCourt]])</f>
        <v>1</v>
      </c>
    </row>
    <row r="2984" spans="1:16">
      <c r="A2984" s="1">
        <v>44988</v>
      </c>
      <c r="B2984">
        <v>184765</v>
      </c>
      <c r="C2984">
        <v>89029</v>
      </c>
      <c r="D2984">
        <v>95736</v>
      </c>
      <c r="E2984">
        <v>182623305</v>
      </c>
      <c r="F2984">
        <v>176382236</v>
      </c>
      <c r="G2984">
        <v>359005541</v>
      </c>
      <c r="H2984">
        <v>59545</v>
      </c>
      <c r="I2984">
        <v>14321</v>
      </c>
      <c r="J2984">
        <v>73866</v>
      </c>
      <c r="K2984" t="b">
        <f>TrafficData[[#This Row],[disposedChallan]]+TrafficData[[#This Row],[pendingChallan]]=TrafficData[[#This Row],[totalChallan]]</f>
        <v>1</v>
      </c>
      <c r="L2984" t="b">
        <f>TrafficData[[#This Row],[pendingAmount]]+TrafficData[[#This Row],[disposedAmount]]=TrafficData[[#This Row],[totalAmount]]</f>
        <v>1</v>
      </c>
      <c r="M2984" t="b">
        <f>TrafficData[[#This Row],[pendingCourt]]+TrafficData[[#This Row],[disposedCourt]]=TrafficData[[#This Row],[totalCourt]]</f>
        <v>1</v>
      </c>
      <c r="N2984" s="8" t="b">
        <f>AND(TrafficData[[#This Row],[disposedChallan]]&lt;=TrafficData[[#This Row],[totalChallan]],TrafficData[[#This Row],[pendingChallan]]&lt;=TrafficData[[#This Row],[totalChallan]])</f>
        <v>1</v>
      </c>
      <c r="O2984" s="8" t="b">
        <f>AND(TrafficData[[#This Row],[pendingAmount]]&lt;=TrafficData[[#This Row],[totalAmount]],TrafficData[[#This Row],[disposedAmount]]&lt;=TrafficData[[#This Row],[totalAmount]])</f>
        <v>1</v>
      </c>
      <c r="P2984" s="8" t="b">
        <f>AND(TrafficData[[#This Row],[pendingCourt]]&lt;=TrafficData[[#This Row],[totalCourt]],TrafficData[[#This Row],[disposedCourt]]&lt;=TrafficData[[#This Row],[totalCourt]])</f>
        <v>1</v>
      </c>
    </row>
    <row r="2985" spans="1:16">
      <c r="A2985" s="1">
        <v>44989</v>
      </c>
      <c r="B2985">
        <v>187838</v>
      </c>
      <c r="C2985">
        <v>87543</v>
      </c>
      <c r="D2985">
        <v>100295</v>
      </c>
      <c r="E2985">
        <v>178934108</v>
      </c>
      <c r="F2985">
        <v>160605591</v>
      </c>
      <c r="G2985">
        <v>339539699</v>
      </c>
      <c r="H2985">
        <v>62460</v>
      </c>
      <c r="I2985">
        <v>14621</v>
      </c>
      <c r="J2985">
        <v>77081</v>
      </c>
      <c r="K2985" t="b">
        <f>TrafficData[[#This Row],[disposedChallan]]+TrafficData[[#This Row],[pendingChallan]]=TrafficData[[#This Row],[totalChallan]]</f>
        <v>1</v>
      </c>
      <c r="L2985" t="b">
        <f>TrafficData[[#This Row],[pendingAmount]]+TrafficData[[#This Row],[disposedAmount]]=TrafficData[[#This Row],[totalAmount]]</f>
        <v>1</v>
      </c>
      <c r="M2985" t="b">
        <f>TrafficData[[#This Row],[pendingCourt]]+TrafficData[[#This Row],[disposedCourt]]=TrafficData[[#This Row],[totalCourt]]</f>
        <v>1</v>
      </c>
      <c r="N2985" s="8" t="b">
        <f>AND(TrafficData[[#This Row],[disposedChallan]]&lt;=TrafficData[[#This Row],[totalChallan]],TrafficData[[#This Row],[pendingChallan]]&lt;=TrafficData[[#This Row],[totalChallan]])</f>
        <v>1</v>
      </c>
      <c r="O2985" s="8" t="b">
        <f>AND(TrafficData[[#This Row],[pendingAmount]]&lt;=TrafficData[[#This Row],[totalAmount]],TrafficData[[#This Row],[disposedAmount]]&lt;=TrafficData[[#This Row],[totalAmount]])</f>
        <v>1</v>
      </c>
      <c r="P2985" s="8" t="b">
        <f>AND(TrafficData[[#This Row],[pendingCourt]]&lt;=TrafficData[[#This Row],[totalCourt]],TrafficData[[#This Row],[disposedCourt]]&lt;=TrafficData[[#This Row],[totalCourt]])</f>
        <v>1</v>
      </c>
    </row>
    <row r="2986" spans="1:16">
      <c r="A2986" s="1">
        <v>44990</v>
      </c>
      <c r="B2986">
        <v>165456</v>
      </c>
      <c r="C2986">
        <v>75392</v>
      </c>
      <c r="D2986">
        <v>90064</v>
      </c>
      <c r="E2986">
        <v>139082547</v>
      </c>
      <c r="F2986">
        <v>114799844</v>
      </c>
      <c r="G2986">
        <v>253882391</v>
      </c>
      <c r="H2986">
        <v>58596</v>
      </c>
      <c r="I2986">
        <v>13838</v>
      </c>
      <c r="J2986">
        <v>72434</v>
      </c>
      <c r="K2986" t="b">
        <f>TrafficData[[#This Row],[disposedChallan]]+TrafficData[[#This Row],[pendingChallan]]=TrafficData[[#This Row],[totalChallan]]</f>
        <v>1</v>
      </c>
      <c r="L2986" t="b">
        <f>TrafficData[[#This Row],[pendingAmount]]+TrafficData[[#This Row],[disposedAmount]]=TrafficData[[#This Row],[totalAmount]]</f>
        <v>1</v>
      </c>
      <c r="M2986" t="b">
        <f>TrafficData[[#This Row],[pendingCourt]]+TrafficData[[#This Row],[disposedCourt]]=TrafficData[[#This Row],[totalCourt]]</f>
        <v>1</v>
      </c>
      <c r="N2986" s="8" t="b">
        <f>AND(TrafficData[[#This Row],[disposedChallan]]&lt;=TrafficData[[#This Row],[totalChallan]],TrafficData[[#This Row],[pendingChallan]]&lt;=TrafficData[[#This Row],[totalChallan]])</f>
        <v>1</v>
      </c>
      <c r="O2986" s="8" t="b">
        <f>AND(TrafficData[[#This Row],[pendingAmount]]&lt;=TrafficData[[#This Row],[totalAmount]],TrafficData[[#This Row],[disposedAmount]]&lt;=TrafficData[[#This Row],[totalAmount]])</f>
        <v>1</v>
      </c>
      <c r="P2986" s="8" t="b">
        <f>AND(TrafficData[[#This Row],[pendingCourt]]&lt;=TrafficData[[#This Row],[totalCourt]],TrafficData[[#This Row],[disposedCourt]]&lt;=TrafficData[[#This Row],[totalCourt]])</f>
        <v>1</v>
      </c>
    </row>
    <row r="2987" spans="1:16">
      <c r="A2987" s="1">
        <v>44991</v>
      </c>
      <c r="B2987">
        <v>180499</v>
      </c>
      <c r="C2987">
        <v>82536</v>
      </c>
      <c r="D2987">
        <v>97963</v>
      </c>
      <c r="E2987">
        <v>164379035</v>
      </c>
      <c r="F2987">
        <v>123600944</v>
      </c>
      <c r="G2987">
        <v>287979979</v>
      </c>
      <c r="H2987">
        <v>62092</v>
      </c>
      <c r="I2987">
        <v>15025</v>
      </c>
      <c r="J2987">
        <v>77117</v>
      </c>
      <c r="K2987" t="b">
        <f>TrafficData[[#This Row],[disposedChallan]]+TrafficData[[#This Row],[pendingChallan]]=TrafficData[[#This Row],[totalChallan]]</f>
        <v>1</v>
      </c>
      <c r="L2987" t="b">
        <f>TrafficData[[#This Row],[pendingAmount]]+TrafficData[[#This Row],[disposedAmount]]=TrafficData[[#This Row],[totalAmount]]</f>
        <v>1</v>
      </c>
      <c r="M2987" t="b">
        <f>TrafficData[[#This Row],[pendingCourt]]+TrafficData[[#This Row],[disposedCourt]]=TrafficData[[#This Row],[totalCourt]]</f>
        <v>1</v>
      </c>
      <c r="N2987" s="8" t="b">
        <f>AND(TrafficData[[#This Row],[disposedChallan]]&lt;=TrafficData[[#This Row],[totalChallan]],TrafficData[[#This Row],[pendingChallan]]&lt;=TrafficData[[#This Row],[totalChallan]])</f>
        <v>1</v>
      </c>
      <c r="O2987" s="8" t="b">
        <f>AND(TrafficData[[#This Row],[pendingAmount]]&lt;=TrafficData[[#This Row],[totalAmount]],TrafficData[[#This Row],[disposedAmount]]&lt;=TrafficData[[#This Row],[totalAmount]])</f>
        <v>1</v>
      </c>
      <c r="P2987" s="8" t="b">
        <f>AND(TrafficData[[#This Row],[pendingCourt]]&lt;=TrafficData[[#This Row],[totalCourt]],TrafficData[[#This Row],[disposedCourt]]&lt;=TrafficData[[#This Row],[totalCourt]])</f>
        <v>1</v>
      </c>
    </row>
    <row r="2988" spans="1:16">
      <c r="A2988" s="1">
        <v>44992</v>
      </c>
      <c r="B2988">
        <v>142386</v>
      </c>
      <c r="C2988">
        <v>62504</v>
      </c>
      <c r="D2988">
        <v>79882</v>
      </c>
      <c r="E2988">
        <v>123508874</v>
      </c>
      <c r="F2988">
        <v>74614994</v>
      </c>
      <c r="G2988">
        <v>198123868</v>
      </c>
      <c r="H2988">
        <v>47745</v>
      </c>
      <c r="I2988">
        <v>10954</v>
      </c>
      <c r="J2988">
        <v>58699</v>
      </c>
      <c r="K2988" t="b">
        <f>TrafficData[[#This Row],[disposedChallan]]+TrafficData[[#This Row],[pendingChallan]]=TrafficData[[#This Row],[totalChallan]]</f>
        <v>1</v>
      </c>
      <c r="L2988" t="b">
        <f>TrafficData[[#This Row],[pendingAmount]]+TrafficData[[#This Row],[disposedAmount]]=TrafficData[[#This Row],[totalAmount]]</f>
        <v>1</v>
      </c>
      <c r="M2988" t="b">
        <f>TrafficData[[#This Row],[pendingCourt]]+TrafficData[[#This Row],[disposedCourt]]=TrafficData[[#This Row],[totalCourt]]</f>
        <v>1</v>
      </c>
      <c r="N2988" s="8" t="b">
        <f>AND(TrafficData[[#This Row],[disposedChallan]]&lt;=TrafficData[[#This Row],[totalChallan]],TrafficData[[#This Row],[pendingChallan]]&lt;=TrafficData[[#This Row],[totalChallan]])</f>
        <v>1</v>
      </c>
      <c r="O2988" s="8" t="b">
        <f>AND(TrafficData[[#This Row],[pendingAmount]]&lt;=TrafficData[[#This Row],[totalAmount]],TrafficData[[#This Row],[disposedAmount]]&lt;=TrafficData[[#This Row],[totalAmount]])</f>
        <v>1</v>
      </c>
      <c r="P2988" s="8" t="b">
        <f>AND(TrafficData[[#This Row],[pendingCourt]]&lt;=TrafficData[[#This Row],[totalCourt]],TrafficData[[#This Row],[disposedCourt]]&lt;=TrafficData[[#This Row],[totalCourt]])</f>
        <v>1</v>
      </c>
    </row>
    <row r="2989" spans="1:16">
      <c r="A2989" s="1">
        <v>44993</v>
      </c>
      <c r="B2989">
        <v>139018</v>
      </c>
      <c r="C2989">
        <v>59058</v>
      </c>
      <c r="D2989">
        <v>79960</v>
      </c>
      <c r="E2989">
        <v>130414860</v>
      </c>
      <c r="F2989">
        <v>80729315</v>
      </c>
      <c r="G2989">
        <v>211144175</v>
      </c>
      <c r="H2989">
        <v>42582</v>
      </c>
      <c r="I2989">
        <v>9695</v>
      </c>
      <c r="J2989">
        <v>52277</v>
      </c>
      <c r="K2989" t="b">
        <f>TrafficData[[#This Row],[disposedChallan]]+TrafficData[[#This Row],[pendingChallan]]=TrafficData[[#This Row],[totalChallan]]</f>
        <v>1</v>
      </c>
      <c r="L2989" t="b">
        <f>TrafficData[[#This Row],[pendingAmount]]+TrafficData[[#This Row],[disposedAmount]]=TrafficData[[#This Row],[totalAmount]]</f>
        <v>1</v>
      </c>
      <c r="M2989" t="b">
        <f>TrafficData[[#This Row],[pendingCourt]]+TrafficData[[#This Row],[disposedCourt]]=TrafficData[[#This Row],[totalCourt]]</f>
        <v>1</v>
      </c>
      <c r="N2989" s="8" t="b">
        <f>AND(TrafficData[[#This Row],[disposedChallan]]&lt;=TrafficData[[#This Row],[totalChallan]],TrafficData[[#This Row],[pendingChallan]]&lt;=TrafficData[[#This Row],[totalChallan]])</f>
        <v>1</v>
      </c>
      <c r="O2989" s="8" t="b">
        <f>AND(TrafficData[[#This Row],[pendingAmount]]&lt;=TrafficData[[#This Row],[totalAmount]],TrafficData[[#This Row],[disposedAmount]]&lt;=TrafficData[[#This Row],[totalAmount]])</f>
        <v>1</v>
      </c>
      <c r="P2989" s="8" t="b">
        <f>AND(TrafficData[[#This Row],[pendingCourt]]&lt;=TrafficData[[#This Row],[totalCourt]],TrafficData[[#This Row],[disposedCourt]]&lt;=TrafficData[[#This Row],[totalCourt]])</f>
        <v>1</v>
      </c>
    </row>
    <row r="2990" spans="1:16">
      <c r="A2990" s="1">
        <v>44994</v>
      </c>
      <c r="B2990">
        <v>155110</v>
      </c>
      <c r="C2990">
        <v>74156</v>
      </c>
      <c r="D2990">
        <v>80954</v>
      </c>
      <c r="E2990">
        <v>131908950</v>
      </c>
      <c r="F2990">
        <v>107593528</v>
      </c>
      <c r="G2990">
        <v>239502478</v>
      </c>
      <c r="H2990">
        <v>43152</v>
      </c>
      <c r="I2990">
        <v>10223</v>
      </c>
      <c r="J2990">
        <v>53375</v>
      </c>
      <c r="K2990" t="b">
        <f>TrafficData[[#This Row],[disposedChallan]]+TrafficData[[#This Row],[pendingChallan]]=TrafficData[[#This Row],[totalChallan]]</f>
        <v>1</v>
      </c>
      <c r="L2990" t="b">
        <f>TrafficData[[#This Row],[pendingAmount]]+TrafficData[[#This Row],[disposedAmount]]=TrafficData[[#This Row],[totalAmount]]</f>
        <v>1</v>
      </c>
      <c r="M2990" t="b">
        <f>TrafficData[[#This Row],[pendingCourt]]+TrafficData[[#This Row],[disposedCourt]]=TrafficData[[#This Row],[totalCourt]]</f>
        <v>1</v>
      </c>
      <c r="N2990" s="8" t="b">
        <f>AND(TrafficData[[#This Row],[disposedChallan]]&lt;=TrafficData[[#This Row],[totalChallan]],TrafficData[[#This Row],[pendingChallan]]&lt;=TrafficData[[#This Row],[totalChallan]])</f>
        <v>1</v>
      </c>
      <c r="O2990" s="8" t="b">
        <f>AND(TrafficData[[#This Row],[pendingAmount]]&lt;=TrafficData[[#This Row],[totalAmount]],TrafficData[[#This Row],[disposedAmount]]&lt;=TrafficData[[#This Row],[totalAmount]])</f>
        <v>1</v>
      </c>
      <c r="P2990" s="8" t="b">
        <f>AND(TrafficData[[#This Row],[pendingCourt]]&lt;=TrafficData[[#This Row],[totalCourt]],TrafficData[[#This Row],[disposedCourt]]&lt;=TrafficData[[#This Row],[totalCourt]])</f>
        <v>1</v>
      </c>
    </row>
    <row r="2991" spans="1:16">
      <c r="A2991" s="1">
        <v>44995</v>
      </c>
      <c r="B2991">
        <v>184784</v>
      </c>
      <c r="C2991">
        <v>82598</v>
      </c>
      <c r="D2991">
        <v>102186</v>
      </c>
      <c r="E2991">
        <v>173978125</v>
      </c>
      <c r="F2991">
        <v>131163680</v>
      </c>
      <c r="G2991">
        <v>305141805</v>
      </c>
      <c r="H2991">
        <v>66016</v>
      </c>
      <c r="I2991">
        <v>14152</v>
      </c>
      <c r="J2991">
        <v>80168</v>
      </c>
      <c r="K2991" t="b">
        <f>TrafficData[[#This Row],[disposedChallan]]+TrafficData[[#This Row],[pendingChallan]]=TrafficData[[#This Row],[totalChallan]]</f>
        <v>1</v>
      </c>
      <c r="L2991" t="b">
        <f>TrafficData[[#This Row],[pendingAmount]]+TrafficData[[#This Row],[disposedAmount]]=TrafficData[[#This Row],[totalAmount]]</f>
        <v>1</v>
      </c>
      <c r="M2991" t="b">
        <f>TrafficData[[#This Row],[pendingCourt]]+TrafficData[[#This Row],[disposedCourt]]=TrafficData[[#This Row],[totalCourt]]</f>
        <v>1</v>
      </c>
      <c r="N2991" s="8" t="b">
        <f>AND(TrafficData[[#This Row],[disposedChallan]]&lt;=TrafficData[[#This Row],[totalChallan]],TrafficData[[#This Row],[pendingChallan]]&lt;=TrafficData[[#This Row],[totalChallan]])</f>
        <v>1</v>
      </c>
      <c r="O2991" s="8" t="b">
        <f>AND(TrafficData[[#This Row],[pendingAmount]]&lt;=TrafficData[[#This Row],[totalAmount]],TrafficData[[#This Row],[disposedAmount]]&lt;=TrafficData[[#This Row],[totalAmount]])</f>
        <v>1</v>
      </c>
      <c r="P2991" s="8" t="b">
        <f>AND(TrafficData[[#This Row],[pendingCourt]]&lt;=TrafficData[[#This Row],[totalCourt]],TrafficData[[#This Row],[disposedCourt]]&lt;=TrafficData[[#This Row],[totalCourt]])</f>
        <v>1</v>
      </c>
    </row>
    <row r="2992" spans="1:16">
      <c r="A2992" s="1">
        <v>44996</v>
      </c>
      <c r="B2992">
        <v>176538</v>
      </c>
      <c r="C2992">
        <v>81973</v>
      </c>
      <c r="D2992">
        <v>94565</v>
      </c>
      <c r="E2992">
        <v>165968771</v>
      </c>
      <c r="F2992">
        <v>134205345</v>
      </c>
      <c r="G2992">
        <v>300174116</v>
      </c>
      <c r="H2992">
        <v>62324</v>
      </c>
      <c r="I2992">
        <v>14533</v>
      </c>
      <c r="J2992">
        <v>76857</v>
      </c>
      <c r="K2992" t="b">
        <f>TrafficData[[#This Row],[disposedChallan]]+TrafficData[[#This Row],[pendingChallan]]=TrafficData[[#This Row],[totalChallan]]</f>
        <v>1</v>
      </c>
      <c r="L2992" t="b">
        <f>TrafficData[[#This Row],[pendingAmount]]+TrafficData[[#This Row],[disposedAmount]]=TrafficData[[#This Row],[totalAmount]]</f>
        <v>1</v>
      </c>
      <c r="M2992" t="b">
        <f>TrafficData[[#This Row],[pendingCourt]]+TrafficData[[#This Row],[disposedCourt]]=TrafficData[[#This Row],[totalCourt]]</f>
        <v>1</v>
      </c>
      <c r="N2992" s="8" t="b">
        <f>AND(TrafficData[[#This Row],[disposedChallan]]&lt;=TrafficData[[#This Row],[totalChallan]],TrafficData[[#This Row],[pendingChallan]]&lt;=TrafficData[[#This Row],[totalChallan]])</f>
        <v>1</v>
      </c>
      <c r="O2992" s="8" t="b">
        <f>AND(TrafficData[[#This Row],[pendingAmount]]&lt;=TrafficData[[#This Row],[totalAmount]],TrafficData[[#This Row],[disposedAmount]]&lt;=TrafficData[[#This Row],[totalAmount]])</f>
        <v>1</v>
      </c>
      <c r="P2992" s="8" t="b">
        <f>AND(TrafficData[[#This Row],[pendingCourt]]&lt;=TrafficData[[#This Row],[totalCourt]],TrafficData[[#This Row],[disposedCourt]]&lt;=TrafficData[[#This Row],[totalCourt]])</f>
        <v>1</v>
      </c>
    </row>
    <row r="2993" spans="1:16">
      <c r="A2993" s="1">
        <v>44997</v>
      </c>
      <c r="B2993">
        <v>165132</v>
      </c>
      <c r="C2993">
        <v>72050</v>
      </c>
      <c r="D2993">
        <v>93082</v>
      </c>
      <c r="E2993">
        <v>151779050</v>
      </c>
      <c r="F2993">
        <v>108319201</v>
      </c>
      <c r="G2993">
        <v>260098251</v>
      </c>
      <c r="H2993">
        <v>60307</v>
      </c>
      <c r="I2993">
        <v>13553</v>
      </c>
      <c r="J2993">
        <v>73860</v>
      </c>
      <c r="K2993" t="b">
        <f>TrafficData[[#This Row],[disposedChallan]]+TrafficData[[#This Row],[pendingChallan]]=TrafficData[[#This Row],[totalChallan]]</f>
        <v>1</v>
      </c>
      <c r="L2993" t="b">
        <f>TrafficData[[#This Row],[pendingAmount]]+TrafficData[[#This Row],[disposedAmount]]=TrafficData[[#This Row],[totalAmount]]</f>
        <v>1</v>
      </c>
      <c r="M2993" t="b">
        <f>TrafficData[[#This Row],[pendingCourt]]+TrafficData[[#This Row],[disposedCourt]]=TrafficData[[#This Row],[totalCourt]]</f>
        <v>1</v>
      </c>
      <c r="N2993" s="8" t="b">
        <f>AND(TrafficData[[#This Row],[disposedChallan]]&lt;=TrafficData[[#This Row],[totalChallan]],TrafficData[[#This Row],[pendingChallan]]&lt;=TrafficData[[#This Row],[totalChallan]])</f>
        <v>1</v>
      </c>
      <c r="O2993" s="8" t="b">
        <f>AND(TrafficData[[#This Row],[pendingAmount]]&lt;=TrafficData[[#This Row],[totalAmount]],TrafficData[[#This Row],[disposedAmount]]&lt;=TrafficData[[#This Row],[totalAmount]])</f>
        <v>1</v>
      </c>
      <c r="P2993" s="8" t="b">
        <f>AND(TrafficData[[#This Row],[pendingCourt]]&lt;=TrafficData[[#This Row],[totalCourt]],TrafficData[[#This Row],[disposedCourt]]&lt;=TrafficData[[#This Row],[totalCourt]])</f>
        <v>1</v>
      </c>
    </row>
    <row r="2994" spans="1:16">
      <c r="A2994" s="1">
        <v>44998</v>
      </c>
      <c r="B2994">
        <v>193760</v>
      </c>
      <c r="C2994">
        <v>88068</v>
      </c>
      <c r="D2994">
        <v>105692</v>
      </c>
      <c r="E2994">
        <v>188611254</v>
      </c>
      <c r="F2994">
        <v>141356794</v>
      </c>
      <c r="G2994">
        <v>329968048</v>
      </c>
      <c r="H2994">
        <v>67036</v>
      </c>
      <c r="I2994">
        <v>14998</v>
      </c>
      <c r="J2994">
        <v>82034</v>
      </c>
      <c r="K2994" t="b">
        <f>TrafficData[[#This Row],[disposedChallan]]+TrafficData[[#This Row],[pendingChallan]]=TrafficData[[#This Row],[totalChallan]]</f>
        <v>1</v>
      </c>
      <c r="L2994" t="b">
        <f>TrafficData[[#This Row],[pendingAmount]]+TrafficData[[#This Row],[disposedAmount]]=TrafficData[[#This Row],[totalAmount]]</f>
        <v>1</v>
      </c>
      <c r="M2994" t="b">
        <f>TrafficData[[#This Row],[pendingCourt]]+TrafficData[[#This Row],[disposedCourt]]=TrafficData[[#This Row],[totalCourt]]</f>
        <v>1</v>
      </c>
      <c r="N2994" s="8" t="b">
        <f>AND(TrafficData[[#This Row],[disposedChallan]]&lt;=TrafficData[[#This Row],[totalChallan]],TrafficData[[#This Row],[pendingChallan]]&lt;=TrafficData[[#This Row],[totalChallan]])</f>
        <v>1</v>
      </c>
      <c r="O2994" s="8" t="b">
        <f>AND(TrafficData[[#This Row],[pendingAmount]]&lt;=TrafficData[[#This Row],[totalAmount]],TrafficData[[#This Row],[disposedAmount]]&lt;=TrafficData[[#This Row],[totalAmount]])</f>
        <v>1</v>
      </c>
      <c r="P2994" s="8" t="b">
        <f>AND(TrafficData[[#This Row],[pendingCourt]]&lt;=TrafficData[[#This Row],[totalCourt]],TrafficData[[#This Row],[disposedCourt]]&lt;=TrafficData[[#This Row],[totalCourt]])</f>
        <v>1</v>
      </c>
    </row>
    <row r="2995" spans="1:16">
      <c r="A2995" s="1">
        <v>44999</v>
      </c>
      <c r="B2995">
        <v>190085</v>
      </c>
      <c r="C2995">
        <v>85740</v>
      </c>
      <c r="D2995">
        <v>104345</v>
      </c>
      <c r="E2995">
        <v>188363510</v>
      </c>
      <c r="F2995">
        <v>153926026</v>
      </c>
      <c r="G2995">
        <v>342289536</v>
      </c>
      <c r="H2995">
        <v>63543</v>
      </c>
      <c r="I2995">
        <v>13899</v>
      </c>
      <c r="J2995">
        <v>77442</v>
      </c>
      <c r="K2995" t="b">
        <f>TrafficData[[#This Row],[disposedChallan]]+TrafficData[[#This Row],[pendingChallan]]=TrafficData[[#This Row],[totalChallan]]</f>
        <v>1</v>
      </c>
      <c r="L2995" t="b">
        <f>TrafficData[[#This Row],[pendingAmount]]+TrafficData[[#This Row],[disposedAmount]]=TrafficData[[#This Row],[totalAmount]]</f>
        <v>1</v>
      </c>
      <c r="M2995" t="b">
        <f>TrafficData[[#This Row],[pendingCourt]]+TrafficData[[#This Row],[disposedCourt]]=TrafficData[[#This Row],[totalCourt]]</f>
        <v>1</v>
      </c>
      <c r="N2995" s="8" t="b">
        <f>AND(TrafficData[[#This Row],[disposedChallan]]&lt;=TrafficData[[#This Row],[totalChallan]],TrafficData[[#This Row],[pendingChallan]]&lt;=TrafficData[[#This Row],[totalChallan]])</f>
        <v>1</v>
      </c>
      <c r="O2995" s="8" t="b">
        <f>AND(TrafficData[[#This Row],[pendingAmount]]&lt;=TrafficData[[#This Row],[totalAmount]],TrafficData[[#This Row],[disposedAmount]]&lt;=TrafficData[[#This Row],[totalAmount]])</f>
        <v>1</v>
      </c>
      <c r="P2995" s="8" t="b">
        <f>AND(TrafficData[[#This Row],[pendingCourt]]&lt;=TrafficData[[#This Row],[totalCourt]],TrafficData[[#This Row],[disposedCourt]]&lt;=TrafficData[[#This Row],[totalCourt]])</f>
        <v>1</v>
      </c>
    </row>
    <row r="2996" spans="1:16">
      <c r="A2996" s="1">
        <v>45000</v>
      </c>
      <c r="B2996">
        <v>182511</v>
      </c>
      <c r="C2996">
        <v>82915</v>
      </c>
      <c r="D2996">
        <v>99596</v>
      </c>
      <c r="E2996">
        <v>173118062</v>
      </c>
      <c r="F2996">
        <v>148908345</v>
      </c>
      <c r="G2996">
        <v>322026407</v>
      </c>
      <c r="H2996">
        <v>62859</v>
      </c>
      <c r="I2996">
        <v>13984</v>
      </c>
      <c r="J2996">
        <v>76843</v>
      </c>
      <c r="K2996" t="b">
        <f>TrafficData[[#This Row],[disposedChallan]]+TrafficData[[#This Row],[pendingChallan]]=TrafficData[[#This Row],[totalChallan]]</f>
        <v>1</v>
      </c>
      <c r="L2996" t="b">
        <f>TrafficData[[#This Row],[pendingAmount]]+TrafficData[[#This Row],[disposedAmount]]=TrafficData[[#This Row],[totalAmount]]</f>
        <v>1</v>
      </c>
      <c r="M2996" t="b">
        <f>TrafficData[[#This Row],[pendingCourt]]+TrafficData[[#This Row],[disposedCourt]]=TrafficData[[#This Row],[totalCourt]]</f>
        <v>1</v>
      </c>
      <c r="N2996" s="8" t="b">
        <f>AND(TrafficData[[#This Row],[disposedChallan]]&lt;=TrafficData[[#This Row],[totalChallan]],TrafficData[[#This Row],[pendingChallan]]&lt;=TrafficData[[#This Row],[totalChallan]])</f>
        <v>1</v>
      </c>
      <c r="O2996" s="8" t="b">
        <f>AND(TrafficData[[#This Row],[pendingAmount]]&lt;=TrafficData[[#This Row],[totalAmount]],TrafficData[[#This Row],[disposedAmount]]&lt;=TrafficData[[#This Row],[totalAmount]])</f>
        <v>1</v>
      </c>
      <c r="P2996" s="8" t="b">
        <f>AND(TrafficData[[#This Row],[pendingCourt]]&lt;=TrafficData[[#This Row],[totalCourt]],TrafficData[[#This Row],[disposedCourt]]&lt;=TrafficData[[#This Row],[totalCourt]])</f>
        <v>1</v>
      </c>
    </row>
    <row r="2997" spans="1:16">
      <c r="A2997" s="1">
        <v>45001</v>
      </c>
      <c r="B2997">
        <v>187010</v>
      </c>
      <c r="C2997">
        <v>85141</v>
      </c>
      <c r="D2997">
        <v>101869</v>
      </c>
      <c r="E2997">
        <v>195272607</v>
      </c>
      <c r="F2997">
        <v>151382472</v>
      </c>
      <c r="G2997">
        <v>346655079</v>
      </c>
      <c r="H2997">
        <v>61724</v>
      </c>
      <c r="I2997">
        <v>13898</v>
      </c>
      <c r="J2997">
        <v>75622</v>
      </c>
      <c r="K2997" t="b">
        <f>TrafficData[[#This Row],[disposedChallan]]+TrafficData[[#This Row],[pendingChallan]]=TrafficData[[#This Row],[totalChallan]]</f>
        <v>1</v>
      </c>
      <c r="L2997" t="b">
        <f>TrafficData[[#This Row],[pendingAmount]]+TrafficData[[#This Row],[disposedAmount]]=TrafficData[[#This Row],[totalAmount]]</f>
        <v>1</v>
      </c>
      <c r="M2997" t="b">
        <f>TrafficData[[#This Row],[pendingCourt]]+TrafficData[[#This Row],[disposedCourt]]=TrafficData[[#This Row],[totalCourt]]</f>
        <v>1</v>
      </c>
      <c r="N2997" s="8" t="b">
        <f>AND(TrafficData[[#This Row],[disposedChallan]]&lt;=TrafficData[[#This Row],[totalChallan]],TrafficData[[#This Row],[pendingChallan]]&lt;=TrafficData[[#This Row],[totalChallan]])</f>
        <v>1</v>
      </c>
      <c r="O2997" s="8" t="b">
        <f>AND(TrafficData[[#This Row],[pendingAmount]]&lt;=TrafficData[[#This Row],[totalAmount]],TrafficData[[#This Row],[disposedAmount]]&lt;=TrafficData[[#This Row],[totalAmount]])</f>
        <v>1</v>
      </c>
      <c r="P2997" s="8" t="b">
        <f>AND(TrafficData[[#This Row],[pendingCourt]]&lt;=TrafficData[[#This Row],[totalCourt]],TrafficData[[#This Row],[disposedCourt]]&lt;=TrafficData[[#This Row],[totalCourt]])</f>
        <v>1</v>
      </c>
    </row>
    <row r="2998" spans="1:16">
      <c r="A2998" s="1">
        <v>45002</v>
      </c>
      <c r="B2998">
        <v>185714</v>
      </c>
      <c r="C2998">
        <v>83967</v>
      </c>
      <c r="D2998">
        <v>101747</v>
      </c>
      <c r="E2998">
        <v>182438167</v>
      </c>
      <c r="F2998">
        <v>155658631</v>
      </c>
      <c r="G2998">
        <v>338096798</v>
      </c>
      <c r="H2998">
        <v>62907</v>
      </c>
      <c r="I2998">
        <v>14354</v>
      </c>
      <c r="J2998">
        <v>77261</v>
      </c>
      <c r="K2998" t="b">
        <f>TrafficData[[#This Row],[disposedChallan]]+TrafficData[[#This Row],[pendingChallan]]=TrafficData[[#This Row],[totalChallan]]</f>
        <v>1</v>
      </c>
      <c r="L2998" t="b">
        <f>TrafficData[[#This Row],[pendingAmount]]+TrafficData[[#This Row],[disposedAmount]]=TrafficData[[#This Row],[totalAmount]]</f>
        <v>1</v>
      </c>
      <c r="M2998" t="b">
        <f>TrafficData[[#This Row],[pendingCourt]]+TrafficData[[#This Row],[disposedCourt]]=TrafficData[[#This Row],[totalCourt]]</f>
        <v>1</v>
      </c>
      <c r="N2998" s="8" t="b">
        <f>AND(TrafficData[[#This Row],[disposedChallan]]&lt;=TrafficData[[#This Row],[totalChallan]],TrafficData[[#This Row],[pendingChallan]]&lt;=TrafficData[[#This Row],[totalChallan]])</f>
        <v>1</v>
      </c>
      <c r="O2998" s="8" t="b">
        <f>AND(TrafficData[[#This Row],[pendingAmount]]&lt;=TrafficData[[#This Row],[totalAmount]],TrafficData[[#This Row],[disposedAmount]]&lt;=TrafficData[[#This Row],[totalAmount]])</f>
        <v>1</v>
      </c>
      <c r="P2998" s="8" t="b">
        <f>AND(TrafficData[[#This Row],[pendingCourt]]&lt;=TrafficData[[#This Row],[totalCourt]],TrafficData[[#This Row],[disposedCourt]]&lt;=TrafficData[[#This Row],[totalCourt]])</f>
        <v>1</v>
      </c>
    </row>
    <row r="2999" spans="1:16">
      <c r="A2999" s="1">
        <v>45003</v>
      </c>
      <c r="B2999">
        <v>177369</v>
      </c>
      <c r="C2999">
        <v>81678</v>
      </c>
      <c r="D2999">
        <v>95691</v>
      </c>
      <c r="E2999">
        <v>180393516</v>
      </c>
      <c r="F2999">
        <v>142783631</v>
      </c>
      <c r="G2999">
        <v>323177147</v>
      </c>
      <c r="H2999">
        <v>54914</v>
      </c>
      <c r="I2999">
        <v>13082</v>
      </c>
      <c r="J2999">
        <v>67996</v>
      </c>
      <c r="K2999" t="b">
        <f>TrafficData[[#This Row],[disposedChallan]]+TrafficData[[#This Row],[pendingChallan]]=TrafficData[[#This Row],[totalChallan]]</f>
        <v>1</v>
      </c>
      <c r="L2999" t="b">
        <f>TrafficData[[#This Row],[pendingAmount]]+TrafficData[[#This Row],[disposedAmount]]=TrafficData[[#This Row],[totalAmount]]</f>
        <v>1</v>
      </c>
      <c r="M2999" t="b">
        <f>TrafficData[[#This Row],[pendingCourt]]+TrafficData[[#This Row],[disposedCourt]]=TrafficData[[#This Row],[totalCourt]]</f>
        <v>1</v>
      </c>
      <c r="N2999" s="8" t="b">
        <f>AND(TrafficData[[#This Row],[disposedChallan]]&lt;=TrafficData[[#This Row],[totalChallan]],TrafficData[[#This Row],[pendingChallan]]&lt;=TrafficData[[#This Row],[totalChallan]])</f>
        <v>1</v>
      </c>
      <c r="O2999" s="8" t="b">
        <f>AND(TrafficData[[#This Row],[pendingAmount]]&lt;=TrafficData[[#This Row],[totalAmount]],TrafficData[[#This Row],[disposedAmount]]&lt;=TrafficData[[#This Row],[totalAmount]])</f>
        <v>1</v>
      </c>
      <c r="P2999" s="8" t="b">
        <f>AND(TrafficData[[#This Row],[pendingCourt]]&lt;=TrafficData[[#This Row],[totalCourt]],TrafficData[[#This Row],[disposedCourt]]&lt;=TrafficData[[#This Row],[totalCourt]])</f>
        <v>1</v>
      </c>
    </row>
    <row r="3000" spans="1:16">
      <c r="A3000" s="1">
        <v>45004</v>
      </c>
      <c r="B3000">
        <v>168398</v>
      </c>
      <c r="C3000">
        <v>72081</v>
      </c>
      <c r="D3000">
        <v>96317</v>
      </c>
      <c r="E3000">
        <v>162998416</v>
      </c>
      <c r="F3000">
        <v>108152526</v>
      </c>
      <c r="G3000">
        <v>271150942</v>
      </c>
      <c r="H3000">
        <v>53683</v>
      </c>
      <c r="I3000">
        <v>12415</v>
      </c>
      <c r="J3000">
        <v>66098</v>
      </c>
      <c r="K3000" t="b">
        <f>TrafficData[[#This Row],[disposedChallan]]+TrafficData[[#This Row],[pendingChallan]]=TrafficData[[#This Row],[totalChallan]]</f>
        <v>1</v>
      </c>
      <c r="L3000" t="b">
        <f>TrafficData[[#This Row],[pendingAmount]]+TrafficData[[#This Row],[disposedAmount]]=TrafficData[[#This Row],[totalAmount]]</f>
        <v>1</v>
      </c>
      <c r="M3000" t="b">
        <f>TrafficData[[#This Row],[pendingCourt]]+TrafficData[[#This Row],[disposedCourt]]=TrafficData[[#This Row],[totalCourt]]</f>
        <v>1</v>
      </c>
      <c r="N3000" s="8" t="b">
        <f>AND(TrafficData[[#This Row],[disposedChallan]]&lt;=TrafficData[[#This Row],[totalChallan]],TrafficData[[#This Row],[pendingChallan]]&lt;=TrafficData[[#This Row],[totalChallan]])</f>
        <v>1</v>
      </c>
      <c r="O3000" s="8" t="b">
        <f>AND(TrafficData[[#This Row],[pendingAmount]]&lt;=TrafficData[[#This Row],[totalAmount]],TrafficData[[#This Row],[disposedAmount]]&lt;=TrafficData[[#This Row],[totalAmount]])</f>
        <v>1</v>
      </c>
      <c r="P3000" s="8" t="b">
        <f>AND(TrafficData[[#This Row],[pendingCourt]]&lt;=TrafficData[[#This Row],[totalCourt]],TrafficData[[#This Row],[disposedCourt]]&lt;=TrafficData[[#This Row],[totalCourt]])</f>
        <v>1</v>
      </c>
    </row>
    <row r="3001" spans="1:16">
      <c r="A3001" s="1">
        <v>45005</v>
      </c>
      <c r="B3001">
        <v>179885</v>
      </c>
      <c r="C3001">
        <v>79618</v>
      </c>
      <c r="D3001">
        <v>100267</v>
      </c>
      <c r="E3001">
        <v>176464209</v>
      </c>
      <c r="F3001">
        <v>229907362</v>
      </c>
      <c r="G3001">
        <v>406371571</v>
      </c>
      <c r="H3001">
        <v>59615</v>
      </c>
      <c r="I3001">
        <v>12733</v>
      </c>
      <c r="J3001">
        <v>72348</v>
      </c>
      <c r="K3001" t="b">
        <f>TrafficData[[#This Row],[disposedChallan]]+TrafficData[[#This Row],[pendingChallan]]=TrafficData[[#This Row],[totalChallan]]</f>
        <v>1</v>
      </c>
      <c r="L3001" t="b">
        <f>TrafficData[[#This Row],[pendingAmount]]+TrafficData[[#This Row],[disposedAmount]]=TrafficData[[#This Row],[totalAmount]]</f>
        <v>1</v>
      </c>
      <c r="M3001" t="b">
        <f>TrafficData[[#This Row],[pendingCourt]]+TrafficData[[#This Row],[disposedCourt]]=TrafficData[[#This Row],[totalCourt]]</f>
        <v>1</v>
      </c>
      <c r="N3001" s="8" t="b">
        <f>AND(TrafficData[[#This Row],[disposedChallan]]&lt;=TrafficData[[#This Row],[totalChallan]],TrafficData[[#This Row],[pendingChallan]]&lt;=TrafficData[[#This Row],[totalChallan]])</f>
        <v>1</v>
      </c>
      <c r="O3001" s="8" t="b">
        <f>AND(TrafficData[[#This Row],[pendingAmount]]&lt;=TrafficData[[#This Row],[totalAmount]],TrafficData[[#This Row],[disposedAmount]]&lt;=TrafficData[[#This Row],[totalAmount]])</f>
        <v>1</v>
      </c>
      <c r="P3001" s="8" t="b">
        <f>AND(TrafficData[[#This Row],[pendingCourt]]&lt;=TrafficData[[#This Row],[totalCourt]],TrafficData[[#This Row],[disposedCourt]]&lt;=TrafficData[[#This Row],[totalCourt]])</f>
        <v>1</v>
      </c>
    </row>
    <row r="3002" spans="1:16">
      <c r="A3002" s="1">
        <v>45006</v>
      </c>
      <c r="B3002">
        <v>189498</v>
      </c>
      <c r="C3002">
        <v>84507</v>
      </c>
      <c r="D3002">
        <v>104991</v>
      </c>
      <c r="E3002">
        <v>187284084</v>
      </c>
      <c r="F3002">
        <v>143195832</v>
      </c>
      <c r="G3002">
        <v>330479916</v>
      </c>
      <c r="H3002">
        <v>61587</v>
      </c>
      <c r="I3002">
        <v>13742</v>
      </c>
      <c r="J3002">
        <v>75329</v>
      </c>
      <c r="K3002" t="b">
        <f>TrafficData[[#This Row],[disposedChallan]]+TrafficData[[#This Row],[pendingChallan]]=TrafficData[[#This Row],[totalChallan]]</f>
        <v>1</v>
      </c>
      <c r="L3002" t="b">
        <f>TrafficData[[#This Row],[pendingAmount]]+TrafficData[[#This Row],[disposedAmount]]=TrafficData[[#This Row],[totalAmount]]</f>
        <v>1</v>
      </c>
      <c r="M3002" t="b">
        <f>TrafficData[[#This Row],[pendingCourt]]+TrafficData[[#This Row],[disposedCourt]]=TrafficData[[#This Row],[totalCourt]]</f>
        <v>1</v>
      </c>
      <c r="N3002" s="8" t="b">
        <f>AND(TrafficData[[#This Row],[disposedChallan]]&lt;=TrafficData[[#This Row],[totalChallan]],TrafficData[[#This Row],[pendingChallan]]&lt;=TrafficData[[#This Row],[totalChallan]])</f>
        <v>1</v>
      </c>
      <c r="O3002" s="8" t="b">
        <f>AND(TrafficData[[#This Row],[pendingAmount]]&lt;=TrafficData[[#This Row],[totalAmount]],TrafficData[[#This Row],[disposedAmount]]&lt;=TrafficData[[#This Row],[totalAmount]])</f>
        <v>1</v>
      </c>
      <c r="P3002" s="8" t="b">
        <f>AND(TrafficData[[#This Row],[pendingCourt]]&lt;=TrafficData[[#This Row],[totalCourt]],TrafficData[[#This Row],[disposedCourt]]&lt;=TrafficData[[#This Row],[totalCourt]])</f>
        <v>1</v>
      </c>
    </row>
    <row r="3003" spans="1:16">
      <c r="A3003" s="1">
        <v>45007</v>
      </c>
      <c r="B3003">
        <v>192988</v>
      </c>
      <c r="C3003">
        <v>85168</v>
      </c>
      <c r="D3003">
        <v>107820</v>
      </c>
      <c r="E3003">
        <v>189492881</v>
      </c>
      <c r="F3003">
        <v>138131344</v>
      </c>
      <c r="G3003">
        <v>327624225</v>
      </c>
      <c r="H3003">
        <v>62015</v>
      </c>
      <c r="I3003">
        <v>13835</v>
      </c>
      <c r="J3003">
        <v>75850</v>
      </c>
      <c r="K3003" t="b">
        <f>TrafficData[[#This Row],[disposedChallan]]+TrafficData[[#This Row],[pendingChallan]]=TrafficData[[#This Row],[totalChallan]]</f>
        <v>1</v>
      </c>
      <c r="L3003" t="b">
        <f>TrafficData[[#This Row],[pendingAmount]]+TrafficData[[#This Row],[disposedAmount]]=TrafficData[[#This Row],[totalAmount]]</f>
        <v>1</v>
      </c>
      <c r="M3003" t="b">
        <f>TrafficData[[#This Row],[pendingCourt]]+TrafficData[[#This Row],[disposedCourt]]=TrafficData[[#This Row],[totalCourt]]</f>
        <v>1</v>
      </c>
      <c r="N3003" s="8" t="b">
        <f>AND(TrafficData[[#This Row],[disposedChallan]]&lt;=TrafficData[[#This Row],[totalChallan]],TrafficData[[#This Row],[pendingChallan]]&lt;=TrafficData[[#This Row],[totalChallan]])</f>
        <v>1</v>
      </c>
      <c r="O3003" s="8" t="b">
        <f>AND(TrafficData[[#This Row],[pendingAmount]]&lt;=TrafficData[[#This Row],[totalAmount]],TrafficData[[#This Row],[disposedAmount]]&lt;=TrafficData[[#This Row],[totalAmount]])</f>
        <v>1</v>
      </c>
      <c r="P3003" s="8" t="b">
        <f>AND(TrafficData[[#This Row],[pendingCourt]]&lt;=TrafficData[[#This Row],[totalCourt]],TrafficData[[#This Row],[disposedCourt]]&lt;=TrafficData[[#This Row],[totalCourt]])</f>
        <v>1</v>
      </c>
    </row>
    <row r="3004" spans="1:16">
      <c r="A3004" s="1">
        <v>45008</v>
      </c>
      <c r="B3004">
        <v>193242</v>
      </c>
      <c r="C3004">
        <v>85422</v>
      </c>
      <c r="D3004">
        <v>107820</v>
      </c>
      <c r="E3004">
        <v>202652541</v>
      </c>
      <c r="F3004">
        <v>153722005</v>
      </c>
      <c r="G3004">
        <v>356374546</v>
      </c>
      <c r="H3004">
        <v>62845</v>
      </c>
      <c r="I3004">
        <v>14391</v>
      </c>
      <c r="J3004">
        <v>77236</v>
      </c>
      <c r="K3004" t="b">
        <f>TrafficData[[#This Row],[disposedChallan]]+TrafficData[[#This Row],[pendingChallan]]=TrafficData[[#This Row],[totalChallan]]</f>
        <v>1</v>
      </c>
      <c r="L3004" t="b">
        <f>TrafficData[[#This Row],[pendingAmount]]+TrafficData[[#This Row],[disposedAmount]]=TrafficData[[#This Row],[totalAmount]]</f>
        <v>1</v>
      </c>
      <c r="M3004" t="b">
        <f>TrafficData[[#This Row],[pendingCourt]]+TrafficData[[#This Row],[disposedCourt]]=TrafficData[[#This Row],[totalCourt]]</f>
        <v>1</v>
      </c>
      <c r="N3004" s="8" t="b">
        <f>AND(TrafficData[[#This Row],[disposedChallan]]&lt;=TrafficData[[#This Row],[totalChallan]],TrafficData[[#This Row],[pendingChallan]]&lt;=TrafficData[[#This Row],[totalChallan]])</f>
        <v>1</v>
      </c>
      <c r="O3004" s="8" t="b">
        <f>AND(TrafficData[[#This Row],[pendingAmount]]&lt;=TrafficData[[#This Row],[totalAmount]],TrafficData[[#This Row],[disposedAmount]]&lt;=TrafficData[[#This Row],[totalAmount]])</f>
        <v>1</v>
      </c>
      <c r="P3004" s="8" t="b">
        <f>AND(TrafficData[[#This Row],[pendingCourt]]&lt;=TrafficData[[#This Row],[totalCourt]],TrafficData[[#This Row],[disposedCourt]]&lt;=TrafficData[[#This Row],[totalCourt]])</f>
        <v>1</v>
      </c>
    </row>
    <row r="3005" spans="1:16">
      <c r="A3005" s="1">
        <v>45009</v>
      </c>
      <c r="B3005">
        <v>182741</v>
      </c>
      <c r="C3005">
        <v>81339</v>
      </c>
      <c r="D3005">
        <v>101402</v>
      </c>
      <c r="E3005">
        <v>186561585</v>
      </c>
      <c r="F3005">
        <v>141178148</v>
      </c>
      <c r="G3005">
        <v>327739733</v>
      </c>
      <c r="H3005">
        <v>60263</v>
      </c>
      <c r="I3005">
        <v>13275</v>
      </c>
      <c r="J3005">
        <v>73538</v>
      </c>
      <c r="K3005" t="b">
        <f>TrafficData[[#This Row],[disposedChallan]]+TrafficData[[#This Row],[pendingChallan]]=TrafficData[[#This Row],[totalChallan]]</f>
        <v>1</v>
      </c>
      <c r="L3005" t="b">
        <f>TrafficData[[#This Row],[pendingAmount]]+TrafficData[[#This Row],[disposedAmount]]=TrafficData[[#This Row],[totalAmount]]</f>
        <v>1</v>
      </c>
      <c r="M3005" t="b">
        <f>TrafficData[[#This Row],[pendingCourt]]+TrafficData[[#This Row],[disposedCourt]]=TrafficData[[#This Row],[totalCourt]]</f>
        <v>1</v>
      </c>
      <c r="N3005" s="8" t="b">
        <f>AND(TrafficData[[#This Row],[disposedChallan]]&lt;=TrafficData[[#This Row],[totalChallan]],TrafficData[[#This Row],[pendingChallan]]&lt;=TrafficData[[#This Row],[totalChallan]])</f>
        <v>1</v>
      </c>
      <c r="O3005" s="8" t="b">
        <f>AND(TrafficData[[#This Row],[pendingAmount]]&lt;=TrafficData[[#This Row],[totalAmount]],TrafficData[[#This Row],[disposedAmount]]&lt;=TrafficData[[#This Row],[totalAmount]])</f>
        <v>1</v>
      </c>
      <c r="P3005" s="8" t="b">
        <f>AND(TrafficData[[#This Row],[pendingCourt]]&lt;=TrafficData[[#This Row],[totalCourt]],TrafficData[[#This Row],[disposedCourt]]&lt;=TrafficData[[#This Row],[totalCourt]])</f>
        <v>1</v>
      </c>
    </row>
    <row r="3006" spans="1:16">
      <c r="A3006" s="1">
        <v>45010</v>
      </c>
      <c r="B3006">
        <v>185359</v>
      </c>
      <c r="C3006">
        <v>82477</v>
      </c>
      <c r="D3006">
        <v>102882</v>
      </c>
      <c r="E3006">
        <v>183657052</v>
      </c>
      <c r="F3006">
        <v>133779863</v>
      </c>
      <c r="G3006">
        <v>317436915</v>
      </c>
      <c r="H3006">
        <v>59651</v>
      </c>
      <c r="I3006">
        <v>14023</v>
      </c>
      <c r="J3006">
        <v>73674</v>
      </c>
      <c r="K3006" t="b">
        <f>TrafficData[[#This Row],[disposedChallan]]+TrafficData[[#This Row],[pendingChallan]]=TrafficData[[#This Row],[totalChallan]]</f>
        <v>1</v>
      </c>
      <c r="L3006" t="b">
        <f>TrafficData[[#This Row],[pendingAmount]]+TrafficData[[#This Row],[disposedAmount]]=TrafficData[[#This Row],[totalAmount]]</f>
        <v>1</v>
      </c>
      <c r="M3006" t="b">
        <f>TrafficData[[#This Row],[pendingCourt]]+TrafficData[[#This Row],[disposedCourt]]=TrafficData[[#This Row],[totalCourt]]</f>
        <v>1</v>
      </c>
      <c r="N3006" s="8" t="b">
        <f>AND(TrafficData[[#This Row],[disposedChallan]]&lt;=TrafficData[[#This Row],[totalChallan]],TrafficData[[#This Row],[pendingChallan]]&lt;=TrafficData[[#This Row],[totalChallan]])</f>
        <v>1</v>
      </c>
      <c r="O3006" s="8" t="b">
        <f>AND(TrafficData[[#This Row],[pendingAmount]]&lt;=TrafficData[[#This Row],[totalAmount]],TrafficData[[#This Row],[disposedAmount]]&lt;=TrafficData[[#This Row],[totalAmount]])</f>
        <v>1</v>
      </c>
      <c r="P3006" s="8" t="b">
        <f>AND(TrafficData[[#This Row],[pendingCourt]]&lt;=TrafficData[[#This Row],[totalCourt]],TrafficData[[#This Row],[disposedCourt]]&lt;=TrafficData[[#This Row],[totalCourt]])</f>
        <v>1</v>
      </c>
    </row>
    <row r="3007" spans="1:16">
      <c r="A3007" s="1">
        <v>45011</v>
      </c>
      <c r="B3007">
        <v>161433</v>
      </c>
      <c r="C3007">
        <v>69222</v>
      </c>
      <c r="D3007">
        <v>92211</v>
      </c>
      <c r="E3007">
        <v>157472880</v>
      </c>
      <c r="F3007">
        <v>98954992</v>
      </c>
      <c r="G3007">
        <v>256427872</v>
      </c>
      <c r="H3007">
        <v>52509</v>
      </c>
      <c r="I3007">
        <v>12566</v>
      </c>
      <c r="J3007">
        <v>65075</v>
      </c>
      <c r="K3007" t="b">
        <f>TrafficData[[#This Row],[disposedChallan]]+TrafficData[[#This Row],[pendingChallan]]=TrafficData[[#This Row],[totalChallan]]</f>
        <v>1</v>
      </c>
      <c r="L3007" t="b">
        <f>TrafficData[[#This Row],[pendingAmount]]+TrafficData[[#This Row],[disposedAmount]]=TrafficData[[#This Row],[totalAmount]]</f>
        <v>1</v>
      </c>
      <c r="M3007" t="b">
        <f>TrafficData[[#This Row],[pendingCourt]]+TrafficData[[#This Row],[disposedCourt]]=TrafficData[[#This Row],[totalCourt]]</f>
        <v>1</v>
      </c>
      <c r="N3007" s="8" t="b">
        <f>AND(TrafficData[[#This Row],[disposedChallan]]&lt;=TrafficData[[#This Row],[totalChallan]],TrafficData[[#This Row],[pendingChallan]]&lt;=TrafficData[[#This Row],[totalChallan]])</f>
        <v>1</v>
      </c>
      <c r="O3007" s="8" t="b">
        <f>AND(TrafficData[[#This Row],[pendingAmount]]&lt;=TrafficData[[#This Row],[totalAmount]],TrafficData[[#This Row],[disposedAmount]]&lt;=TrafficData[[#This Row],[totalAmount]])</f>
        <v>1</v>
      </c>
      <c r="P3007" s="8" t="b">
        <f>AND(TrafficData[[#This Row],[pendingCourt]]&lt;=TrafficData[[#This Row],[totalCourt]],TrafficData[[#This Row],[disposedCourt]]&lt;=TrafficData[[#This Row],[totalCourt]])</f>
        <v>1</v>
      </c>
    </row>
    <row r="3008" spans="1:16">
      <c r="A3008" s="1">
        <v>45012</v>
      </c>
      <c r="B3008">
        <v>175900</v>
      </c>
      <c r="C3008">
        <v>77264</v>
      </c>
      <c r="D3008">
        <v>98636</v>
      </c>
      <c r="E3008">
        <v>163176062</v>
      </c>
      <c r="F3008">
        <v>126178429</v>
      </c>
      <c r="G3008">
        <v>289354491</v>
      </c>
      <c r="H3008">
        <v>59347</v>
      </c>
      <c r="I3008">
        <v>13312</v>
      </c>
      <c r="J3008">
        <v>72659</v>
      </c>
      <c r="K3008" t="b">
        <f>TrafficData[[#This Row],[disposedChallan]]+TrafficData[[#This Row],[pendingChallan]]=TrafficData[[#This Row],[totalChallan]]</f>
        <v>1</v>
      </c>
      <c r="L3008" t="b">
        <f>TrafficData[[#This Row],[pendingAmount]]+TrafficData[[#This Row],[disposedAmount]]=TrafficData[[#This Row],[totalAmount]]</f>
        <v>1</v>
      </c>
      <c r="M3008" t="b">
        <f>TrafficData[[#This Row],[pendingCourt]]+TrafficData[[#This Row],[disposedCourt]]=TrafficData[[#This Row],[totalCourt]]</f>
        <v>1</v>
      </c>
      <c r="N3008" s="8" t="b">
        <f>AND(TrafficData[[#This Row],[disposedChallan]]&lt;=TrafficData[[#This Row],[totalChallan]],TrafficData[[#This Row],[pendingChallan]]&lt;=TrafficData[[#This Row],[totalChallan]])</f>
        <v>1</v>
      </c>
      <c r="O3008" s="8" t="b">
        <f>AND(TrafficData[[#This Row],[pendingAmount]]&lt;=TrafficData[[#This Row],[totalAmount]],TrafficData[[#This Row],[disposedAmount]]&lt;=TrafficData[[#This Row],[totalAmount]])</f>
        <v>1</v>
      </c>
      <c r="P3008" s="8" t="b">
        <f>AND(TrafficData[[#This Row],[pendingCourt]]&lt;=TrafficData[[#This Row],[totalCourt]],TrafficData[[#This Row],[disposedCourt]]&lt;=TrafficData[[#This Row],[totalCourt]])</f>
        <v>1</v>
      </c>
    </row>
    <row r="3009" spans="1:16">
      <c r="A3009" s="1">
        <v>45013</v>
      </c>
      <c r="B3009">
        <v>186151</v>
      </c>
      <c r="C3009">
        <v>80133</v>
      </c>
      <c r="D3009">
        <v>106018</v>
      </c>
      <c r="E3009">
        <v>186454014</v>
      </c>
      <c r="F3009">
        <v>137047257</v>
      </c>
      <c r="G3009">
        <v>323501271</v>
      </c>
      <c r="H3009">
        <v>61931</v>
      </c>
      <c r="I3009">
        <v>13870</v>
      </c>
      <c r="J3009">
        <v>75801</v>
      </c>
      <c r="K3009" t="b">
        <f>TrafficData[[#This Row],[disposedChallan]]+TrafficData[[#This Row],[pendingChallan]]=TrafficData[[#This Row],[totalChallan]]</f>
        <v>1</v>
      </c>
      <c r="L3009" t="b">
        <f>TrafficData[[#This Row],[pendingAmount]]+TrafficData[[#This Row],[disposedAmount]]=TrafficData[[#This Row],[totalAmount]]</f>
        <v>1</v>
      </c>
      <c r="M3009" t="b">
        <f>TrafficData[[#This Row],[pendingCourt]]+TrafficData[[#This Row],[disposedCourt]]=TrafficData[[#This Row],[totalCourt]]</f>
        <v>1</v>
      </c>
      <c r="N3009" s="8" t="b">
        <f>AND(TrafficData[[#This Row],[disposedChallan]]&lt;=TrafficData[[#This Row],[totalChallan]],TrafficData[[#This Row],[pendingChallan]]&lt;=TrafficData[[#This Row],[totalChallan]])</f>
        <v>1</v>
      </c>
      <c r="O3009" s="8" t="b">
        <f>AND(TrafficData[[#This Row],[pendingAmount]]&lt;=TrafficData[[#This Row],[totalAmount]],TrafficData[[#This Row],[disposedAmount]]&lt;=TrafficData[[#This Row],[totalAmount]])</f>
        <v>1</v>
      </c>
      <c r="P3009" s="8" t="b">
        <f>AND(TrafficData[[#This Row],[pendingCourt]]&lt;=TrafficData[[#This Row],[totalCourt]],TrafficData[[#This Row],[disposedCourt]]&lt;=TrafficData[[#This Row],[totalCourt]])</f>
        <v>1</v>
      </c>
    </row>
    <row r="3010" spans="1:16">
      <c r="A3010" s="1">
        <v>45014</v>
      </c>
      <c r="B3010">
        <v>184585</v>
      </c>
      <c r="C3010">
        <v>79804</v>
      </c>
      <c r="D3010">
        <v>104781</v>
      </c>
      <c r="E3010">
        <v>178051726</v>
      </c>
      <c r="F3010">
        <v>130399391</v>
      </c>
      <c r="G3010">
        <v>308451117</v>
      </c>
      <c r="H3010">
        <v>60940</v>
      </c>
      <c r="I3010">
        <v>13686</v>
      </c>
      <c r="J3010">
        <v>74626</v>
      </c>
      <c r="K3010" t="b">
        <f>TrafficData[[#This Row],[disposedChallan]]+TrafficData[[#This Row],[pendingChallan]]=TrafficData[[#This Row],[totalChallan]]</f>
        <v>1</v>
      </c>
      <c r="L3010" t="b">
        <f>TrafficData[[#This Row],[pendingAmount]]+TrafficData[[#This Row],[disposedAmount]]=TrafficData[[#This Row],[totalAmount]]</f>
        <v>1</v>
      </c>
      <c r="M3010" t="b">
        <f>TrafficData[[#This Row],[pendingCourt]]+TrafficData[[#This Row],[disposedCourt]]=TrafficData[[#This Row],[totalCourt]]</f>
        <v>1</v>
      </c>
      <c r="N3010" s="8" t="b">
        <f>AND(TrafficData[[#This Row],[disposedChallan]]&lt;=TrafficData[[#This Row],[totalChallan]],TrafficData[[#This Row],[pendingChallan]]&lt;=TrafficData[[#This Row],[totalChallan]])</f>
        <v>1</v>
      </c>
      <c r="O3010" s="8" t="b">
        <f>AND(TrafficData[[#This Row],[pendingAmount]]&lt;=TrafficData[[#This Row],[totalAmount]],TrafficData[[#This Row],[disposedAmount]]&lt;=TrafficData[[#This Row],[totalAmount]])</f>
        <v>1</v>
      </c>
      <c r="P3010" s="8" t="b">
        <f>AND(TrafficData[[#This Row],[pendingCourt]]&lt;=TrafficData[[#This Row],[totalCourt]],TrafficData[[#This Row],[disposedCourt]]&lt;=TrafficData[[#This Row],[totalCourt]])</f>
        <v>1</v>
      </c>
    </row>
    <row r="3011" spans="1:16">
      <c r="A3011" s="1">
        <v>45015</v>
      </c>
      <c r="B3011">
        <v>156649</v>
      </c>
      <c r="C3011">
        <v>67691</v>
      </c>
      <c r="D3011">
        <v>88958</v>
      </c>
      <c r="E3011">
        <v>144638767</v>
      </c>
      <c r="F3011">
        <v>102753138</v>
      </c>
      <c r="G3011">
        <v>247391905</v>
      </c>
      <c r="H3011">
        <v>49949</v>
      </c>
      <c r="I3011">
        <v>11251</v>
      </c>
      <c r="J3011">
        <v>61200</v>
      </c>
      <c r="K3011" t="b">
        <f>TrafficData[[#This Row],[disposedChallan]]+TrafficData[[#This Row],[pendingChallan]]=TrafficData[[#This Row],[totalChallan]]</f>
        <v>1</v>
      </c>
      <c r="L3011" t="b">
        <f>TrafficData[[#This Row],[pendingAmount]]+TrafficData[[#This Row],[disposedAmount]]=TrafficData[[#This Row],[totalAmount]]</f>
        <v>1</v>
      </c>
      <c r="M3011" t="b">
        <f>TrafficData[[#This Row],[pendingCourt]]+TrafficData[[#This Row],[disposedCourt]]=TrafficData[[#This Row],[totalCourt]]</f>
        <v>1</v>
      </c>
      <c r="N3011" s="8" t="b">
        <f>AND(TrafficData[[#This Row],[disposedChallan]]&lt;=TrafficData[[#This Row],[totalChallan]],TrafficData[[#This Row],[pendingChallan]]&lt;=TrafficData[[#This Row],[totalChallan]])</f>
        <v>1</v>
      </c>
      <c r="O3011" s="8" t="b">
        <f>AND(TrafficData[[#This Row],[pendingAmount]]&lt;=TrafficData[[#This Row],[totalAmount]],TrafficData[[#This Row],[disposedAmount]]&lt;=TrafficData[[#This Row],[totalAmount]])</f>
        <v>1</v>
      </c>
      <c r="P3011" s="8" t="b">
        <f>AND(TrafficData[[#This Row],[pendingCourt]]&lt;=TrafficData[[#This Row],[totalCourt]],TrafficData[[#This Row],[disposedCourt]]&lt;=TrafficData[[#This Row],[totalCourt]])</f>
        <v>1</v>
      </c>
    </row>
    <row r="3012" spans="1:16">
      <c r="A3012" s="1">
        <v>45016</v>
      </c>
      <c r="B3012">
        <v>160973</v>
      </c>
      <c r="C3012">
        <v>69267</v>
      </c>
      <c r="D3012">
        <v>91706</v>
      </c>
      <c r="E3012">
        <v>158045321</v>
      </c>
      <c r="F3012">
        <v>103936293</v>
      </c>
      <c r="G3012">
        <v>261981614</v>
      </c>
      <c r="H3012">
        <v>54302</v>
      </c>
      <c r="I3012">
        <v>12068</v>
      </c>
      <c r="J3012">
        <v>66370</v>
      </c>
      <c r="K3012" t="b">
        <f>TrafficData[[#This Row],[disposedChallan]]+TrafficData[[#This Row],[pendingChallan]]=TrafficData[[#This Row],[totalChallan]]</f>
        <v>1</v>
      </c>
      <c r="L3012" t="b">
        <f>TrafficData[[#This Row],[pendingAmount]]+TrafficData[[#This Row],[disposedAmount]]=TrafficData[[#This Row],[totalAmount]]</f>
        <v>1</v>
      </c>
      <c r="M3012" t="b">
        <f>TrafficData[[#This Row],[pendingCourt]]+TrafficData[[#This Row],[disposedCourt]]=TrafficData[[#This Row],[totalCourt]]</f>
        <v>1</v>
      </c>
      <c r="N3012" s="8" t="b">
        <f>AND(TrafficData[[#This Row],[disposedChallan]]&lt;=TrafficData[[#This Row],[totalChallan]],TrafficData[[#This Row],[pendingChallan]]&lt;=TrafficData[[#This Row],[totalChallan]])</f>
        <v>1</v>
      </c>
      <c r="O3012" s="8" t="b">
        <f>AND(TrafficData[[#This Row],[pendingAmount]]&lt;=TrafficData[[#This Row],[totalAmount]],TrafficData[[#This Row],[disposedAmount]]&lt;=TrafficData[[#This Row],[totalAmount]])</f>
        <v>1</v>
      </c>
      <c r="P3012" s="8" t="b">
        <f>AND(TrafficData[[#This Row],[pendingCourt]]&lt;=TrafficData[[#This Row],[totalCourt]],TrafficData[[#This Row],[disposedCourt]]&lt;=TrafficData[[#This Row],[totalCourt]])</f>
        <v>1</v>
      </c>
    </row>
    <row r="3013" spans="1:16">
      <c r="A3013" s="1">
        <v>45017</v>
      </c>
      <c r="B3013">
        <v>178020</v>
      </c>
      <c r="C3013">
        <v>80181</v>
      </c>
      <c r="D3013">
        <v>97839</v>
      </c>
      <c r="E3013">
        <v>173139036</v>
      </c>
      <c r="F3013">
        <v>118451998</v>
      </c>
      <c r="G3013">
        <v>291591034</v>
      </c>
      <c r="H3013">
        <v>56476</v>
      </c>
      <c r="I3013">
        <v>13552</v>
      </c>
      <c r="J3013">
        <v>70028</v>
      </c>
      <c r="K3013" t="b">
        <f>TrafficData[[#This Row],[disposedChallan]]+TrafficData[[#This Row],[pendingChallan]]=TrafficData[[#This Row],[totalChallan]]</f>
        <v>1</v>
      </c>
      <c r="L3013" t="b">
        <f>TrafficData[[#This Row],[pendingAmount]]+TrafficData[[#This Row],[disposedAmount]]=TrafficData[[#This Row],[totalAmount]]</f>
        <v>1</v>
      </c>
      <c r="M3013" t="b">
        <f>TrafficData[[#This Row],[pendingCourt]]+TrafficData[[#This Row],[disposedCourt]]=TrafficData[[#This Row],[totalCourt]]</f>
        <v>1</v>
      </c>
      <c r="N3013" s="8" t="b">
        <f>AND(TrafficData[[#This Row],[disposedChallan]]&lt;=TrafficData[[#This Row],[totalChallan]],TrafficData[[#This Row],[pendingChallan]]&lt;=TrafficData[[#This Row],[totalChallan]])</f>
        <v>1</v>
      </c>
      <c r="O3013" s="8" t="b">
        <f>AND(TrafficData[[#This Row],[pendingAmount]]&lt;=TrafficData[[#This Row],[totalAmount]],TrafficData[[#This Row],[disposedAmount]]&lt;=TrafficData[[#This Row],[totalAmount]])</f>
        <v>1</v>
      </c>
      <c r="P3013" s="8" t="b">
        <f>AND(TrafficData[[#This Row],[pendingCourt]]&lt;=TrafficData[[#This Row],[totalCourt]],TrafficData[[#This Row],[disposedCourt]]&lt;=TrafficData[[#This Row],[totalCourt]])</f>
        <v>1</v>
      </c>
    </row>
    <row r="3014" spans="1:16">
      <c r="A3014" s="1">
        <v>45018</v>
      </c>
      <c r="B3014">
        <v>174539</v>
      </c>
      <c r="C3014">
        <v>74824</v>
      </c>
      <c r="D3014">
        <v>99715</v>
      </c>
      <c r="E3014">
        <v>170030157</v>
      </c>
      <c r="F3014">
        <v>98238034</v>
      </c>
      <c r="G3014">
        <v>268268191</v>
      </c>
      <c r="H3014">
        <v>57043</v>
      </c>
      <c r="I3014">
        <v>13264</v>
      </c>
      <c r="J3014">
        <v>70307</v>
      </c>
      <c r="K3014" t="b">
        <f>TrafficData[[#This Row],[disposedChallan]]+TrafficData[[#This Row],[pendingChallan]]=TrafficData[[#This Row],[totalChallan]]</f>
        <v>1</v>
      </c>
      <c r="L3014" t="b">
        <f>TrafficData[[#This Row],[pendingAmount]]+TrafficData[[#This Row],[disposedAmount]]=TrafficData[[#This Row],[totalAmount]]</f>
        <v>1</v>
      </c>
      <c r="M3014" t="b">
        <f>TrafficData[[#This Row],[pendingCourt]]+TrafficData[[#This Row],[disposedCourt]]=TrafficData[[#This Row],[totalCourt]]</f>
        <v>1</v>
      </c>
      <c r="N3014" s="8" t="b">
        <f>AND(TrafficData[[#This Row],[disposedChallan]]&lt;=TrafficData[[#This Row],[totalChallan]],TrafficData[[#This Row],[pendingChallan]]&lt;=TrafficData[[#This Row],[totalChallan]])</f>
        <v>1</v>
      </c>
      <c r="O3014" s="8" t="b">
        <f>AND(TrafficData[[#This Row],[pendingAmount]]&lt;=TrafficData[[#This Row],[totalAmount]],TrafficData[[#This Row],[disposedAmount]]&lt;=TrafficData[[#This Row],[totalAmount]])</f>
        <v>1</v>
      </c>
      <c r="P3014" s="8" t="b">
        <f>AND(TrafficData[[#This Row],[pendingCourt]]&lt;=TrafficData[[#This Row],[totalCourt]],TrafficData[[#This Row],[disposedCourt]]&lt;=TrafficData[[#This Row],[totalCourt]])</f>
        <v>1</v>
      </c>
    </row>
    <row r="3015" spans="1:16">
      <c r="A3015" s="1">
        <v>45019</v>
      </c>
      <c r="B3015">
        <v>190240</v>
      </c>
      <c r="C3015">
        <v>81646</v>
      </c>
      <c r="D3015">
        <v>108594</v>
      </c>
      <c r="E3015">
        <v>184907652</v>
      </c>
      <c r="F3015">
        <v>120681367</v>
      </c>
      <c r="G3015">
        <v>305589019</v>
      </c>
      <c r="H3015">
        <v>65795</v>
      </c>
      <c r="I3015">
        <v>15147</v>
      </c>
      <c r="J3015">
        <v>80942</v>
      </c>
      <c r="K3015" t="b">
        <f>TrafficData[[#This Row],[disposedChallan]]+TrafficData[[#This Row],[pendingChallan]]=TrafficData[[#This Row],[totalChallan]]</f>
        <v>1</v>
      </c>
      <c r="L3015" t="b">
        <f>TrafficData[[#This Row],[pendingAmount]]+TrafficData[[#This Row],[disposedAmount]]=TrafficData[[#This Row],[totalAmount]]</f>
        <v>1</v>
      </c>
      <c r="M3015" t="b">
        <f>TrafficData[[#This Row],[pendingCourt]]+TrafficData[[#This Row],[disposedCourt]]=TrafficData[[#This Row],[totalCourt]]</f>
        <v>1</v>
      </c>
      <c r="N3015" s="8" t="b">
        <f>AND(TrafficData[[#This Row],[disposedChallan]]&lt;=TrafficData[[#This Row],[totalChallan]],TrafficData[[#This Row],[pendingChallan]]&lt;=TrafficData[[#This Row],[totalChallan]])</f>
        <v>1</v>
      </c>
      <c r="O3015" s="8" t="b">
        <f>AND(TrafficData[[#This Row],[pendingAmount]]&lt;=TrafficData[[#This Row],[totalAmount]],TrafficData[[#This Row],[disposedAmount]]&lt;=TrafficData[[#This Row],[totalAmount]])</f>
        <v>1</v>
      </c>
      <c r="P3015" s="8" t="b">
        <f>AND(TrafficData[[#This Row],[pendingCourt]]&lt;=TrafficData[[#This Row],[totalCourt]],TrafficData[[#This Row],[disposedCourt]]&lt;=TrafficData[[#This Row],[totalCourt]])</f>
        <v>1</v>
      </c>
    </row>
    <row r="3016" spans="1:16">
      <c r="A3016" s="1">
        <v>45020</v>
      </c>
      <c r="B3016">
        <v>186224</v>
      </c>
      <c r="C3016">
        <v>81480</v>
      </c>
      <c r="D3016">
        <v>104744</v>
      </c>
      <c r="E3016">
        <v>177722251</v>
      </c>
      <c r="F3016">
        <v>120580269</v>
      </c>
      <c r="G3016">
        <v>298302520</v>
      </c>
      <c r="H3016">
        <v>65071</v>
      </c>
      <c r="I3016">
        <v>15281</v>
      </c>
      <c r="J3016">
        <v>80352</v>
      </c>
      <c r="K3016" t="b">
        <f>TrafficData[[#This Row],[disposedChallan]]+TrafficData[[#This Row],[pendingChallan]]=TrafficData[[#This Row],[totalChallan]]</f>
        <v>1</v>
      </c>
      <c r="L3016" t="b">
        <f>TrafficData[[#This Row],[pendingAmount]]+TrafficData[[#This Row],[disposedAmount]]=TrafficData[[#This Row],[totalAmount]]</f>
        <v>1</v>
      </c>
      <c r="M3016" t="b">
        <f>TrafficData[[#This Row],[pendingCourt]]+TrafficData[[#This Row],[disposedCourt]]=TrafficData[[#This Row],[totalCourt]]</f>
        <v>1</v>
      </c>
      <c r="N3016" s="8" t="b">
        <f>AND(TrafficData[[#This Row],[disposedChallan]]&lt;=TrafficData[[#This Row],[totalChallan]],TrafficData[[#This Row],[pendingChallan]]&lt;=TrafficData[[#This Row],[totalChallan]])</f>
        <v>1</v>
      </c>
      <c r="O3016" s="8" t="b">
        <f>AND(TrafficData[[#This Row],[pendingAmount]]&lt;=TrafficData[[#This Row],[totalAmount]],TrafficData[[#This Row],[disposedAmount]]&lt;=TrafficData[[#This Row],[totalAmount]])</f>
        <v>1</v>
      </c>
      <c r="P3016" s="8" t="b">
        <f>AND(TrafficData[[#This Row],[pendingCourt]]&lt;=TrafficData[[#This Row],[totalCourt]],TrafficData[[#This Row],[disposedCourt]]&lt;=TrafficData[[#This Row],[totalCourt]])</f>
        <v>1</v>
      </c>
    </row>
    <row r="3017" spans="1:16">
      <c r="A3017" s="1">
        <v>45021</v>
      </c>
      <c r="B3017">
        <v>188592</v>
      </c>
      <c r="C3017">
        <v>83120</v>
      </c>
      <c r="D3017">
        <v>105472</v>
      </c>
      <c r="E3017">
        <v>186388081</v>
      </c>
      <c r="F3017">
        <v>134814824</v>
      </c>
      <c r="G3017">
        <v>321202905</v>
      </c>
      <c r="H3017">
        <v>67042</v>
      </c>
      <c r="I3017">
        <v>15357</v>
      </c>
      <c r="J3017">
        <v>82399</v>
      </c>
      <c r="K3017" t="b">
        <f>TrafficData[[#This Row],[disposedChallan]]+TrafficData[[#This Row],[pendingChallan]]=TrafficData[[#This Row],[totalChallan]]</f>
        <v>1</v>
      </c>
      <c r="L3017" t="b">
        <f>TrafficData[[#This Row],[pendingAmount]]+TrafficData[[#This Row],[disposedAmount]]=TrafficData[[#This Row],[totalAmount]]</f>
        <v>1</v>
      </c>
      <c r="M3017" t="b">
        <f>TrafficData[[#This Row],[pendingCourt]]+TrafficData[[#This Row],[disposedCourt]]=TrafficData[[#This Row],[totalCourt]]</f>
        <v>1</v>
      </c>
      <c r="N3017" s="8" t="b">
        <f>AND(TrafficData[[#This Row],[disposedChallan]]&lt;=TrafficData[[#This Row],[totalChallan]],TrafficData[[#This Row],[pendingChallan]]&lt;=TrafficData[[#This Row],[totalChallan]])</f>
        <v>1</v>
      </c>
      <c r="O3017" s="8" t="b">
        <f>AND(TrafficData[[#This Row],[pendingAmount]]&lt;=TrafficData[[#This Row],[totalAmount]],TrafficData[[#This Row],[disposedAmount]]&lt;=TrafficData[[#This Row],[totalAmount]])</f>
        <v>1</v>
      </c>
      <c r="P3017" s="8" t="b">
        <f>AND(TrafficData[[#This Row],[pendingCourt]]&lt;=TrafficData[[#This Row],[totalCourt]],TrafficData[[#This Row],[disposedCourt]]&lt;=TrafficData[[#This Row],[totalCourt]])</f>
        <v>1</v>
      </c>
    </row>
    <row r="3018" spans="1:16">
      <c r="A3018" s="1">
        <v>45022</v>
      </c>
      <c r="B3018">
        <v>180912</v>
      </c>
      <c r="C3018">
        <v>78932</v>
      </c>
      <c r="D3018">
        <v>101980</v>
      </c>
      <c r="E3018">
        <v>181857229</v>
      </c>
      <c r="F3018">
        <v>128235246</v>
      </c>
      <c r="G3018">
        <v>310092475</v>
      </c>
      <c r="H3018">
        <v>62653</v>
      </c>
      <c r="I3018">
        <v>14414</v>
      </c>
      <c r="J3018">
        <v>77067</v>
      </c>
      <c r="K3018" t="b">
        <f>TrafficData[[#This Row],[disposedChallan]]+TrafficData[[#This Row],[pendingChallan]]=TrafficData[[#This Row],[totalChallan]]</f>
        <v>1</v>
      </c>
      <c r="L3018" t="b">
        <f>TrafficData[[#This Row],[pendingAmount]]+TrafficData[[#This Row],[disposedAmount]]=TrafficData[[#This Row],[totalAmount]]</f>
        <v>1</v>
      </c>
      <c r="M3018" t="b">
        <f>TrafficData[[#This Row],[pendingCourt]]+TrafficData[[#This Row],[disposedCourt]]=TrafficData[[#This Row],[totalCourt]]</f>
        <v>1</v>
      </c>
      <c r="N3018" s="8" t="b">
        <f>AND(TrafficData[[#This Row],[disposedChallan]]&lt;=TrafficData[[#This Row],[totalChallan]],TrafficData[[#This Row],[pendingChallan]]&lt;=TrafficData[[#This Row],[totalChallan]])</f>
        <v>1</v>
      </c>
      <c r="O3018" s="8" t="b">
        <f>AND(TrafficData[[#This Row],[pendingAmount]]&lt;=TrafficData[[#This Row],[totalAmount]],TrafficData[[#This Row],[disposedAmount]]&lt;=TrafficData[[#This Row],[totalAmount]])</f>
        <v>1</v>
      </c>
      <c r="P3018" s="8" t="b">
        <f>AND(TrafficData[[#This Row],[pendingCourt]]&lt;=TrafficData[[#This Row],[totalCourt]],TrafficData[[#This Row],[disposedCourt]]&lt;=TrafficData[[#This Row],[totalCourt]])</f>
        <v>1</v>
      </c>
    </row>
    <row r="3019" spans="1:16">
      <c r="A3019" s="1">
        <v>45023</v>
      </c>
      <c r="B3019">
        <v>186410</v>
      </c>
      <c r="C3019">
        <v>81548</v>
      </c>
      <c r="D3019">
        <v>104862</v>
      </c>
      <c r="E3019">
        <v>178062432</v>
      </c>
      <c r="F3019">
        <v>113499907</v>
      </c>
      <c r="G3019">
        <v>291562339</v>
      </c>
      <c r="H3019">
        <v>62882</v>
      </c>
      <c r="I3019">
        <v>14102</v>
      </c>
      <c r="J3019">
        <v>76984</v>
      </c>
      <c r="K3019" t="b">
        <f>TrafficData[[#This Row],[disposedChallan]]+TrafficData[[#This Row],[pendingChallan]]=TrafficData[[#This Row],[totalChallan]]</f>
        <v>1</v>
      </c>
      <c r="L3019" t="b">
        <f>TrafficData[[#This Row],[pendingAmount]]+TrafficData[[#This Row],[disposedAmount]]=TrafficData[[#This Row],[totalAmount]]</f>
        <v>1</v>
      </c>
      <c r="M3019" t="b">
        <f>TrafficData[[#This Row],[pendingCourt]]+TrafficData[[#This Row],[disposedCourt]]=TrafficData[[#This Row],[totalCourt]]</f>
        <v>1</v>
      </c>
      <c r="N3019" s="8" t="b">
        <f>AND(TrafficData[[#This Row],[disposedChallan]]&lt;=TrafficData[[#This Row],[totalChallan]],TrafficData[[#This Row],[pendingChallan]]&lt;=TrafficData[[#This Row],[totalChallan]])</f>
        <v>1</v>
      </c>
      <c r="O3019" s="8" t="b">
        <f>AND(TrafficData[[#This Row],[pendingAmount]]&lt;=TrafficData[[#This Row],[totalAmount]],TrafficData[[#This Row],[disposedAmount]]&lt;=TrafficData[[#This Row],[totalAmount]])</f>
        <v>1</v>
      </c>
      <c r="P3019" s="8" t="b">
        <f>AND(TrafficData[[#This Row],[pendingCourt]]&lt;=TrafficData[[#This Row],[totalCourt]],TrafficData[[#This Row],[disposedCourt]]&lt;=TrafficData[[#This Row],[totalCourt]])</f>
        <v>1</v>
      </c>
    </row>
    <row r="3020" spans="1:16">
      <c r="A3020" s="1">
        <v>45024</v>
      </c>
      <c r="B3020">
        <v>176820</v>
      </c>
      <c r="C3020">
        <v>80220</v>
      </c>
      <c r="D3020">
        <v>96600</v>
      </c>
      <c r="E3020">
        <v>165162191</v>
      </c>
      <c r="F3020">
        <v>106625004</v>
      </c>
      <c r="G3020">
        <v>271787195</v>
      </c>
      <c r="H3020">
        <v>58160</v>
      </c>
      <c r="I3020">
        <v>14219</v>
      </c>
      <c r="J3020">
        <v>72379</v>
      </c>
      <c r="K3020" t="b">
        <f>TrafficData[[#This Row],[disposedChallan]]+TrafficData[[#This Row],[pendingChallan]]=TrafficData[[#This Row],[totalChallan]]</f>
        <v>1</v>
      </c>
      <c r="L3020" t="b">
        <f>TrafficData[[#This Row],[pendingAmount]]+TrafficData[[#This Row],[disposedAmount]]=TrafficData[[#This Row],[totalAmount]]</f>
        <v>1</v>
      </c>
      <c r="M3020" t="b">
        <f>TrafficData[[#This Row],[pendingCourt]]+TrafficData[[#This Row],[disposedCourt]]=TrafficData[[#This Row],[totalCourt]]</f>
        <v>1</v>
      </c>
      <c r="N3020" s="8" t="b">
        <f>AND(TrafficData[[#This Row],[disposedChallan]]&lt;=TrafficData[[#This Row],[totalChallan]],TrafficData[[#This Row],[pendingChallan]]&lt;=TrafficData[[#This Row],[totalChallan]])</f>
        <v>1</v>
      </c>
      <c r="O3020" s="8" t="b">
        <f>AND(TrafficData[[#This Row],[pendingAmount]]&lt;=TrafficData[[#This Row],[totalAmount]],TrafficData[[#This Row],[disposedAmount]]&lt;=TrafficData[[#This Row],[totalAmount]])</f>
        <v>1</v>
      </c>
      <c r="P3020" s="8" t="b">
        <f>AND(TrafficData[[#This Row],[pendingCourt]]&lt;=TrafficData[[#This Row],[totalCourt]],TrafficData[[#This Row],[disposedCourt]]&lt;=TrafficData[[#This Row],[totalCourt]])</f>
        <v>1</v>
      </c>
    </row>
    <row r="3021" spans="1:16">
      <c r="A3021" s="1">
        <v>45025</v>
      </c>
      <c r="B3021">
        <v>155174</v>
      </c>
      <c r="C3021">
        <v>67114</v>
      </c>
      <c r="D3021">
        <v>88060</v>
      </c>
      <c r="E3021">
        <v>143053922</v>
      </c>
      <c r="F3021">
        <v>82866094</v>
      </c>
      <c r="G3021">
        <v>225920016</v>
      </c>
      <c r="H3021">
        <v>53098</v>
      </c>
      <c r="I3021">
        <v>12152</v>
      </c>
      <c r="J3021">
        <v>65250</v>
      </c>
      <c r="K3021" t="b">
        <f>TrafficData[[#This Row],[disposedChallan]]+TrafficData[[#This Row],[pendingChallan]]=TrafficData[[#This Row],[totalChallan]]</f>
        <v>1</v>
      </c>
      <c r="L3021" t="b">
        <f>TrafficData[[#This Row],[pendingAmount]]+TrafficData[[#This Row],[disposedAmount]]=TrafficData[[#This Row],[totalAmount]]</f>
        <v>1</v>
      </c>
      <c r="M3021" t="b">
        <f>TrafficData[[#This Row],[pendingCourt]]+TrafficData[[#This Row],[disposedCourt]]=TrafficData[[#This Row],[totalCourt]]</f>
        <v>1</v>
      </c>
      <c r="N3021" s="8" t="b">
        <f>AND(TrafficData[[#This Row],[disposedChallan]]&lt;=TrafficData[[#This Row],[totalChallan]],TrafficData[[#This Row],[pendingChallan]]&lt;=TrafficData[[#This Row],[totalChallan]])</f>
        <v>1</v>
      </c>
      <c r="O3021" s="8" t="b">
        <f>AND(TrafficData[[#This Row],[pendingAmount]]&lt;=TrafficData[[#This Row],[totalAmount]],TrafficData[[#This Row],[disposedAmount]]&lt;=TrafficData[[#This Row],[totalAmount]])</f>
        <v>1</v>
      </c>
      <c r="P3021" s="8" t="b">
        <f>AND(TrafficData[[#This Row],[pendingCourt]]&lt;=TrafficData[[#This Row],[totalCourt]],TrafficData[[#This Row],[disposedCourt]]&lt;=TrafficData[[#This Row],[totalCourt]])</f>
        <v>1</v>
      </c>
    </row>
    <row r="3022" spans="1:16">
      <c r="A3022" s="1">
        <v>45026</v>
      </c>
      <c r="B3022">
        <v>190607</v>
      </c>
      <c r="C3022">
        <v>82764</v>
      </c>
      <c r="D3022">
        <v>107843</v>
      </c>
      <c r="E3022">
        <v>175974204</v>
      </c>
      <c r="F3022">
        <v>116094239</v>
      </c>
      <c r="G3022">
        <v>292068443</v>
      </c>
      <c r="H3022">
        <v>67535</v>
      </c>
      <c r="I3022">
        <v>14724</v>
      </c>
      <c r="J3022">
        <v>82259</v>
      </c>
      <c r="K3022" t="b">
        <f>TrafficData[[#This Row],[disposedChallan]]+TrafficData[[#This Row],[pendingChallan]]=TrafficData[[#This Row],[totalChallan]]</f>
        <v>1</v>
      </c>
      <c r="L3022" t="b">
        <f>TrafficData[[#This Row],[pendingAmount]]+TrafficData[[#This Row],[disposedAmount]]=TrafficData[[#This Row],[totalAmount]]</f>
        <v>1</v>
      </c>
      <c r="M3022" t="b">
        <f>TrafficData[[#This Row],[pendingCourt]]+TrafficData[[#This Row],[disposedCourt]]=TrafficData[[#This Row],[totalCourt]]</f>
        <v>1</v>
      </c>
      <c r="N3022" s="8" t="b">
        <f>AND(TrafficData[[#This Row],[disposedChallan]]&lt;=TrafficData[[#This Row],[totalChallan]],TrafficData[[#This Row],[pendingChallan]]&lt;=TrafficData[[#This Row],[totalChallan]])</f>
        <v>1</v>
      </c>
      <c r="O3022" s="8" t="b">
        <f>AND(TrafficData[[#This Row],[pendingAmount]]&lt;=TrafficData[[#This Row],[totalAmount]],TrafficData[[#This Row],[disposedAmount]]&lt;=TrafficData[[#This Row],[totalAmount]])</f>
        <v>1</v>
      </c>
      <c r="P3022" s="8" t="b">
        <f>AND(TrafficData[[#This Row],[pendingCourt]]&lt;=TrafficData[[#This Row],[totalCourt]],TrafficData[[#This Row],[disposedCourt]]&lt;=TrafficData[[#This Row],[totalCourt]])</f>
        <v>1</v>
      </c>
    </row>
    <row r="3023" spans="1:16">
      <c r="A3023" s="1">
        <v>45027</v>
      </c>
      <c r="B3023">
        <v>192335</v>
      </c>
      <c r="C3023">
        <v>83170</v>
      </c>
      <c r="D3023">
        <v>109165</v>
      </c>
      <c r="E3023">
        <v>177445651</v>
      </c>
      <c r="F3023">
        <v>128026314</v>
      </c>
      <c r="G3023">
        <v>305471965</v>
      </c>
      <c r="H3023">
        <v>66213</v>
      </c>
      <c r="I3023">
        <v>14407</v>
      </c>
      <c r="J3023">
        <v>80620</v>
      </c>
      <c r="K3023" t="b">
        <f>TrafficData[[#This Row],[disposedChallan]]+TrafficData[[#This Row],[pendingChallan]]=TrafficData[[#This Row],[totalChallan]]</f>
        <v>1</v>
      </c>
      <c r="L3023" t="b">
        <f>TrafficData[[#This Row],[pendingAmount]]+TrafficData[[#This Row],[disposedAmount]]=TrafficData[[#This Row],[totalAmount]]</f>
        <v>1</v>
      </c>
      <c r="M3023" t="b">
        <f>TrafficData[[#This Row],[pendingCourt]]+TrafficData[[#This Row],[disposedCourt]]=TrafficData[[#This Row],[totalCourt]]</f>
        <v>1</v>
      </c>
      <c r="N3023" s="8" t="b">
        <f>AND(TrafficData[[#This Row],[disposedChallan]]&lt;=TrafficData[[#This Row],[totalChallan]],TrafficData[[#This Row],[pendingChallan]]&lt;=TrafficData[[#This Row],[totalChallan]])</f>
        <v>1</v>
      </c>
      <c r="O3023" s="8" t="b">
        <f>AND(TrafficData[[#This Row],[pendingAmount]]&lt;=TrafficData[[#This Row],[totalAmount]],TrafficData[[#This Row],[disposedAmount]]&lt;=TrafficData[[#This Row],[totalAmount]])</f>
        <v>1</v>
      </c>
      <c r="P3023" s="8" t="b">
        <f>AND(TrafficData[[#This Row],[pendingCourt]]&lt;=TrafficData[[#This Row],[totalCourt]],TrafficData[[#This Row],[disposedCourt]]&lt;=TrafficData[[#This Row],[totalCourt]])</f>
        <v>1</v>
      </c>
    </row>
    <row r="3024" spans="1:16">
      <c r="A3024" s="1">
        <v>45028</v>
      </c>
      <c r="B3024">
        <v>196838</v>
      </c>
      <c r="C3024">
        <v>86341</v>
      </c>
      <c r="D3024">
        <v>110497</v>
      </c>
      <c r="E3024">
        <v>178433114</v>
      </c>
      <c r="F3024">
        <v>131327311</v>
      </c>
      <c r="G3024">
        <v>309760425</v>
      </c>
      <c r="H3024">
        <v>66722</v>
      </c>
      <c r="I3024">
        <v>14749</v>
      </c>
      <c r="J3024">
        <v>81471</v>
      </c>
      <c r="K3024" t="b">
        <f>TrafficData[[#This Row],[disposedChallan]]+TrafficData[[#This Row],[pendingChallan]]=TrafficData[[#This Row],[totalChallan]]</f>
        <v>1</v>
      </c>
      <c r="L3024" t="b">
        <f>TrafficData[[#This Row],[pendingAmount]]+TrafficData[[#This Row],[disposedAmount]]=TrafficData[[#This Row],[totalAmount]]</f>
        <v>1</v>
      </c>
      <c r="M3024" t="b">
        <f>TrafficData[[#This Row],[pendingCourt]]+TrafficData[[#This Row],[disposedCourt]]=TrafficData[[#This Row],[totalCourt]]</f>
        <v>1</v>
      </c>
      <c r="N3024" s="8" t="b">
        <f>AND(TrafficData[[#This Row],[disposedChallan]]&lt;=TrafficData[[#This Row],[totalChallan]],TrafficData[[#This Row],[pendingChallan]]&lt;=TrafficData[[#This Row],[totalChallan]])</f>
        <v>1</v>
      </c>
      <c r="O3024" s="8" t="b">
        <f>AND(TrafficData[[#This Row],[pendingAmount]]&lt;=TrafficData[[#This Row],[totalAmount]],TrafficData[[#This Row],[disposedAmount]]&lt;=TrafficData[[#This Row],[totalAmount]])</f>
        <v>1</v>
      </c>
      <c r="P3024" s="8" t="b">
        <f>AND(TrafficData[[#This Row],[pendingCourt]]&lt;=TrafficData[[#This Row],[totalCourt]],TrafficData[[#This Row],[disposedCourt]]&lt;=TrafficData[[#This Row],[totalCourt]])</f>
        <v>1</v>
      </c>
    </row>
    <row r="3025" spans="1:16">
      <c r="A3025" s="1">
        <v>45029</v>
      </c>
      <c r="B3025">
        <v>189692</v>
      </c>
      <c r="C3025">
        <v>82184</v>
      </c>
      <c r="D3025">
        <v>107508</v>
      </c>
      <c r="E3025">
        <v>174942049</v>
      </c>
      <c r="F3025">
        <v>124469678</v>
      </c>
      <c r="G3025">
        <v>299411727</v>
      </c>
      <c r="H3025">
        <v>64890</v>
      </c>
      <c r="I3025">
        <v>14337</v>
      </c>
      <c r="J3025">
        <v>79227</v>
      </c>
      <c r="K3025" t="b">
        <f>TrafficData[[#This Row],[disposedChallan]]+TrafficData[[#This Row],[pendingChallan]]=TrafficData[[#This Row],[totalChallan]]</f>
        <v>1</v>
      </c>
      <c r="L3025" t="b">
        <f>TrafficData[[#This Row],[pendingAmount]]+TrafficData[[#This Row],[disposedAmount]]=TrafficData[[#This Row],[totalAmount]]</f>
        <v>1</v>
      </c>
      <c r="M3025" t="b">
        <f>TrafficData[[#This Row],[pendingCourt]]+TrafficData[[#This Row],[disposedCourt]]=TrafficData[[#This Row],[totalCourt]]</f>
        <v>1</v>
      </c>
      <c r="N3025" s="8" t="b">
        <f>AND(TrafficData[[#This Row],[disposedChallan]]&lt;=TrafficData[[#This Row],[totalChallan]],TrafficData[[#This Row],[pendingChallan]]&lt;=TrafficData[[#This Row],[totalChallan]])</f>
        <v>1</v>
      </c>
      <c r="O3025" s="8" t="b">
        <f>AND(TrafficData[[#This Row],[pendingAmount]]&lt;=TrafficData[[#This Row],[totalAmount]],TrafficData[[#This Row],[disposedAmount]]&lt;=TrafficData[[#This Row],[totalAmount]])</f>
        <v>1</v>
      </c>
      <c r="P3025" s="8" t="b">
        <f>AND(TrafficData[[#This Row],[pendingCourt]]&lt;=TrafficData[[#This Row],[totalCourt]],TrafficData[[#This Row],[disposedCourt]]&lt;=TrafficData[[#This Row],[totalCourt]])</f>
        <v>1</v>
      </c>
    </row>
    <row r="3026" spans="1:16">
      <c r="A3026" s="1">
        <v>45030</v>
      </c>
      <c r="B3026">
        <v>160959</v>
      </c>
      <c r="C3026">
        <v>69538</v>
      </c>
      <c r="D3026">
        <v>91421</v>
      </c>
      <c r="E3026">
        <v>143048208</v>
      </c>
      <c r="F3026">
        <v>95243798</v>
      </c>
      <c r="G3026">
        <v>238292006</v>
      </c>
      <c r="H3026">
        <v>56810</v>
      </c>
      <c r="I3026">
        <v>12792</v>
      </c>
      <c r="J3026">
        <v>69602</v>
      </c>
      <c r="K3026" t="b">
        <f>TrafficData[[#This Row],[disposedChallan]]+TrafficData[[#This Row],[pendingChallan]]=TrafficData[[#This Row],[totalChallan]]</f>
        <v>1</v>
      </c>
      <c r="L3026" t="b">
        <f>TrafficData[[#This Row],[pendingAmount]]+TrafficData[[#This Row],[disposedAmount]]=TrafficData[[#This Row],[totalAmount]]</f>
        <v>1</v>
      </c>
      <c r="M3026" t="b">
        <f>TrafficData[[#This Row],[pendingCourt]]+TrafficData[[#This Row],[disposedCourt]]=TrafficData[[#This Row],[totalCourt]]</f>
        <v>1</v>
      </c>
      <c r="N3026" s="8" t="b">
        <f>AND(TrafficData[[#This Row],[disposedChallan]]&lt;=TrafficData[[#This Row],[totalChallan]],TrafficData[[#This Row],[pendingChallan]]&lt;=TrafficData[[#This Row],[totalChallan]])</f>
        <v>1</v>
      </c>
      <c r="O3026" s="8" t="b">
        <f>AND(TrafficData[[#This Row],[pendingAmount]]&lt;=TrafficData[[#This Row],[totalAmount]],TrafficData[[#This Row],[disposedAmount]]&lt;=TrafficData[[#This Row],[totalAmount]])</f>
        <v>1</v>
      </c>
      <c r="P3026" s="8" t="b">
        <f>AND(TrafficData[[#This Row],[pendingCourt]]&lt;=TrafficData[[#This Row],[totalCourt]],TrafficData[[#This Row],[disposedCourt]]&lt;=TrafficData[[#This Row],[totalCourt]])</f>
        <v>1</v>
      </c>
    </row>
    <row r="3027" spans="1:16">
      <c r="A3027" s="1">
        <v>45031</v>
      </c>
      <c r="B3027">
        <v>172995</v>
      </c>
      <c r="C3027">
        <v>72200</v>
      </c>
      <c r="D3027">
        <v>100795</v>
      </c>
      <c r="E3027">
        <v>168859751</v>
      </c>
      <c r="F3027">
        <v>103989909</v>
      </c>
      <c r="G3027">
        <v>272849660</v>
      </c>
      <c r="H3027">
        <v>59451</v>
      </c>
      <c r="I3027">
        <v>13682</v>
      </c>
      <c r="J3027">
        <v>73133</v>
      </c>
      <c r="K3027" t="b">
        <f>TrafficData[[#This Row],[disposedChallan]]+TrafficData[[#This Row],[pendingChallan]]=TrafficData[[#This Row],[totalChallan]]</f>
        <v>1</v>
      </c>
      <c r="L3027" t="b">
        <f>TrafficData[[#This Row],[pendingAmount]]+TrafficData[[#This Row],[disposedAmount]]=TrafficData[[#This Row],[totalAmount]]</f>
        <v>1</v>
      </c>
      <c r="M3027" t="b">
        <f>TrafficData[[#This Row],[pendingCourt]]+TrafficData[[#This Row],[disposedCourt]]=TrafficData[[#This Row],[totalCourt]]</f>
        <v>1</v>
      </c>
      <c r="N3027" s="8" t="b">
        <f>AND(TrafficData[[#This Row],[disposedChallan]]&lt;=TrafficData[[#This Row],[totalChallan]],TrafficData[[#This Row],[pendingChallan]]&lt;=TrafficData[[#This Row],[totalChallan]])</f>
        <v>1</v>
      </c>
      <c r="O3027" s="8" t="b">
        <f>AND(TrafficData[[#This Row],[pendingAmount]]&lt;=TrafficData[[#This Row],[totalAmount]],TrafficData[[#This Row],[disposedAmount]]&lt;=TrafficData[[#This Row],[totalAmount]])</f>
        <v>1</v>
      </c>
      <c r="P3027" s="8" t="b">
        <f>AND(TrafficData[[#This Row],[pendingCourt]]&lt;=TrafficData[[#This Row],[totalCourt]],TrafficData[[#This Row],[disposedCourt]]&lt;=TrafficData[[#This Row],[totalCourt]])</f>
        <v>1</v>
      </c>
    </row>
    <row r="3028" spans="1:16">
      <c r="A3028" s="1">
        <v>45032</v>
      </c>
      <c r="B3028">
        <v>141787</v>
      </c>
      <c r="C3028">
        <v>61618</v>
      </c>
      <c r="D3028">
        <v>80169</v>
      </c>
      <c r="E3028">
        <v>125180246</v>
      </c>
      <c r="F3028">
        <v>77603150</v>
      </c>
      <c r="G3028">
        <v>202783396</v>
      </c>
      <c r="H3028">
        <v>49363</v>
      </c>
      <c r="I3028">
        <v>11027</v>
      </c>
      <c r="J3028">
        <v>60390</v>
      </c>
      <c r="K3028" t="b">
        <f>TrafficData[[#This Row],[disposedChallan]]+TrafficData[[#This Row],[pendingChallan]]=TrafficData[[#This Row],[totalChallan]]</f>
        <v>1</v>
      </c>
      <c r="L3028" t="b">
        <f>TrafficData[[#This Row],[pendingAmount]]+TrafficData[[#This Row],[disposedAmount]]=TrafficData[[#This Row],[totalAmount]]</f>
        <v>1</v>
      </c>
      <c r="M3028" t="b">
        <f>TrafficData[[#This Row],[pendingCourt]]+TrafficData[[#This Row],[disposedCourt]]=TrafficData[[#This Row],[totalCourt]]</f>
        <v>1</v>
      </c>
      <c r="N3028" s="8" t="b">
        <f>AND(TrafficData[[#This Row],[disposedChallan]]&lt;=TrafficData[[#This Row],[totalChallan]],TrafficData[[#This Row],[pendingChallan]]&lt;=TrafficData[[#This Row],[totalChallan]])</f>
        <v>1</v>
      </c>
      <c r="O3028" s="8" t="b">
        <f>AND(TrafficData[[#This Row],[pendingAmount]]&lt;=TrafficData[[#This Row],[totalAmount]],TrafficData[[#This Row],[disposedAmount]]&lt;=TrafficData[[#This Row],[totalAmount]])</f>
        <v>1</v>
      </c>
      <c r="P3028" s="8" t="b">
        <f>AND(TrafficData[[#This Row],[pendingCourt]]&lt;=TrafficData[[#This Row],[totalCourt]],TrafficData[[#This Row],[disposedCourt]]&lt;=TrafficData[[#This Row],[totalCourt]])</f>
        <v>1</v>
      </c>
    </row>
    <row r="3029" spans="1:16">
      <c r="A3029" s="1">
        <v>45033</v>
      </c>
      <c r="B3029">
        <v>178510</v>
      </c>
      <c r="C3029">
        <v>76446</v>
      </c>
      <c r="D3029">
        <v>102064</v>
      </c>
      <c r="E3029">
        <v>173243208</v>
      </c>
      <c r="F3029">
        <v>111716770</v>
      </c>
      <c r="G3029">
        <v>284959978</v>
      </c>
      <c r="H3029">
        <v>60651</v>
      </c>
      <c r="I3029">
        <v>13040</v>
      </c>
      <c r="J3029">
        <v>73691</v>
      </c>
      <c r="K3029" t="b">
        <f>TrafficData[[#This Row],[disposedChallan]]+TrafficData[[#This Row],[pendingChallan]]=TrafficData[[#This Row],[totalChallan]]</f>
        <v>1</v>
      </c>
      <c r="L3029" t="b">
        <f>TrafficData[[#This Row],[pendingAmount]]+TrafficData[[#This Row],[disposedAmount]]=TrafficData[[#This Row],[totalAmount]]</f>
        <v>1</v>
      </c>
      <c r="M3029" t="b">
        <f>TrafficData[[#This Row],[pendingCourt]]+TrafficData[[#This Row],[disposedCourt]]=TrafficData[[#This Row],[totalCourt]]</f>
        <v>1</v>
      </c>
      <c r="N3029" s="8" t="b">
        <f>AND(TrafficData[[#This Row],[disposedChallan]]&lt;=TrafficData[[#This Row],[totalChallan]],TrafficData[[#This Row],[pendingChallan]]&lt;=TrafficData[[#This Row],[totalChallan]])</f>
        <v>1</v>
      </c>
      <c r="O3029" s="8" t="b">
        <f>AND(TrafficData[[#This Row],[pendingAmount]]&lt;=TrafficData[[#This Row],[totalAmount]],TrafficData[[#This Row],[disposedAmount]]&lt;=TrafficData[[#This Row],[totalAmount]])</f>
        <v>1</v>
      </c>
      <c r="P3029" s="8" t="b">
        <f>AND(TrafficData[[#This Row],[pendingCourt]]&lt;=TrafficData[[#This Row],[totalCourt]],TrafficData[[#This Row],[disposedCourt]]&lt;=TrafficData[[#This Row],[totalCourt]])</f>
        <v>1</v>
      </c>
    </row>
    <row r="3030" spans="1:16">
      <c r="A3030" s="1">
        <v>45034</v>
      </c>
      <c r="B3030">
        <v>182154</v>
      </c>
      <c r="C3030">
        <v>76913</v>
      </c>
      <c r="D3030">
        <v>105241</v>
      </c>
      <c r="E3030">
        <v>177613132</v>
      </c>
      <c r="F3030">
        <v>123071280</v>
      </c>
      <c r="G3030">
        <v>300684412</v>
      </c>
      <c r="H3030">
        <v>63400</v>
      </c>
      <c r="I3030">
        <v>13396</v>
      </c>
      <c r="J3030">
        <v>76796</v>
      </c>
      <c r="K3030" t="b">
        <f>TrafficData[[#This Row],[disposedChallan]]+TrafficData[[#This Row],[pendingChallan]]=TrafficData[[#This Row],[totalChallan]]</f>
        <v>1</v>
      </c>
      <c r="L3030" t="b">
        <f>TrafficData[[#This Row],[pendingAmount]]+TrafficData[[#This Row],[disposedAmount]]=TrafficData[[#This Row],[totalAmount]]</f>
        <v>1</v>
      </c>
      <c r="M3030" t="b">
        <f>TrafficData[[#This Row],[pendingCourt]]+TrafficData[[#This Row],[disposedCourt]]=TrafficData[[#This Row],[totalCourt]]</f>
        <v>1</v>
      </c>
      <c r="N3030" s="8" t="b">
        <f>AND(TrafficData[[#This Row],[disposedChallan]]&lt;=TrafficData[[#This Row],[totalChallan]],TrafficData[[#This Row],[pendingChallan]]&lt;=TrafficData[[#This Row],[totalChallan]])</f>
        <v>1</v>
      </c>
      <c r="O3030" s="8" t="b">
        <f>AND(TrafficData[[#This Row],[pendingAmount]]&lt;=TrafficData[[#This Row],[totalAmount]],TrafficData[[#This Row],[disposedAmount]]&lt;=TrafficData[[#This Row],[totalAmount]])</f>
        <v>1</v>
      </c>
      <c r="P3030" s="8" t="b">
        <f>AND(TrafficData[[#This Row],[pendingCourt]]&lt;=TrafficData[[#This Row],[totalCourt]],TrafficData[[#This Row],[disposedCourt]]&lt;=TrafficData[[#This Row],[totalCourt]])</f>
        <v>1</v>
      </c>
    </row>
    <row r="3031" spans="1:16">
      <c r="A3031" s="1">
        <v>45035</v>
      </c>
      <c r="B3031">
        <v>184992</v>
      </c>
      <c r="C3031">
        <v>79011</v>
      </c>
      <c r="D3031">
        <v>105981</v>
      </c>
      <c r="E3031">
        <v>178786053</v>
      </c>
      <c r="F3031">
        <v>125388455</v>
      </c>
      <c r="G3031">
        <v>304174508</v>
      </c>
      <c r="H3031">
        <v>65593</v>
      </c>
      <c r="I3031">
        <v>14221</v>
      </c>
      <c r="J3031">
        <v>79814</v>
      </c>
      <c r="K3031" t="b">
        <f>TrafficData[[#This Row],[disposedChallan]]+TrafficData[[#This Row],[pendingChallan]]=TrafficData[[#This Row],[totalChallan]]</f>
        <v>1</v>
      </c>
      <c r="L3031" t="b">
        <f>TrafficData[[#This Row],[pendingAmount]]+TrafficData[[#This Row],[disposedAmount]]=TrafficData[[#This Row],[totalAmount]]</f>
        <v>1</v>
      </c>
      <c r="M3031" t="b">
        <f>TrafficData[[#This Row],[pendingCourt]]+TrafficData[[#This Row],[disposedCourt]]=TrafficData[[#This Row],[totalCourt]]</f>
        <v>1</v>
      </c>
      <c r="N3031" s="8" t="b">
        <f>AND(TrafficData[[#This Row],[disposedChallan]]&lt;=TrafficData[[#This Row],[totalChallan]],TrafficData[[#This Row],[pendingChallan]]&lt;=TrafficData[[#This Row],[totalChallan]])</f>
        <v>1</v>
      </c>
      <c r="O3031" s="8" t="b">
        <f>AND(TrafficData[[#This Row],[pendingAmount]]&lt;=TrafficData[[#This Row],[totalAmount]],TrafficData[[#This Row],[disposedAmount]]&lt;=TrafficData[[#This Row],[totalAmount]])</f>
        <v>1</v>
      </c>
      <c r="P3031" s="8" t="b">
        <f>AND(TrafficData[[#This Row],[pendingCourt]]&lt;=TrafficData[[#This Row],[totalCourt]],TrafficData[[#This Row],[disposedCourt]]&lt;=TrafficData[[#This Row],[totalCourt]])</f>
        <v>1</v>
      </c>
    </row>
    <row r="3032" spans="1:16">
      <c r="A3032" s="1">
        <v>45036</v>
      </c>
      <c r="B3032">
        <v>181255</v>
      </c>
      <c r="C3032">
        <v>76090</v>
      </c>
      <c r="D3032">
        <v>105165</v>
      </c>
      <c r="E3032">
        <v>176393966</v>
      </c>
      <c r="F3032">
        <v>117046004</v>
      </c>
      <c r="G3032">
        <v>293439970</v>
      </c>
      <c r="H3032">
        <v>63298</v>
      </c>
      <c r="I3032">
        <v>13691</v>
      </c>
      <c r="J3032">
        <v>76989</v>
      </c>
      <c r="K3032" t="b">
        <f>TrafficData[[#This Row],[disposedChallan]]+TrafficData[[#This Row],[pendingChallan]]=TrafficData[[#This Row],[totalChallan]]</f>
        <v>1</v>
      </c>
      <c r="L3032" t="b">
        <f>TrafficData[[#This Row],[pendingAmount]]+TrafficData[[#This Row],[disposedAmount]]=TrafficData[[#This Row],[totalAmount]]</f>
        <v>1</v>
      </c>
      <c r="M3032" t="b">
        <f>TrafficData[[#This Row],[pendingCourt]]+TrafficData[[#This Row],[disposedCourt]]=TrafficData[[#This Row],[totalCourt]]</f>
        <v>1</v>
      </c>
      <c r="N3032" s="8" t="b">
        <f>AND(TrafficData[[#This Row],[disposedChallan]]&lt;=TrafficData[[#This Row],[totalChallan]],TrafficData[[#This Row],[pendingChallan]]&lt;=TrafficData[[#This Row],[totalChallan]])</f>
        <v>1</v>
      </c>
      <c r="O3032" s="8" t="b">
        <f>AND(TrafficData[[#This Row],[pendingAmount]]&lt;=TrafficData[[#This Row],[totalAmount]],TrafficData[[#This Row],[disposedAmount]]&lt;=TrafficData[[#This Row],[totalAmount]])</f>
        <v>1</v>
      </c>
      <c r="P3032" s="8" t="b">
        <f>AND(TrafficData[[#This Row],[pendingCourt]]&lt;=TrafficData[[#This Row],[totalCourt]],TrafficData[[#This Row],[disposedCourt]]&lt;=TrafficData[[#This Row],[totalCourt]])</f>
        <v>1</v>
      </c>
    </row>
    <row r="3033" spans="1:16">
      <c r="A3033" s="1">
        <v>45037</v>
      </c>
      <c r="B3033">
        <v>173154</v>
      </c>
      <c r="C3033">
        <v>72510</v>
      </c>
      <c r="D3033">
        <v>100644</v>
      </c>
      <c r="E3033">
        <v>166270963</v>
      </c>
      <c r="F3033">
        <v>102807576</v>
      </c>
      <c r="G3033">
        <v>269078539</v>
      </c>
      <c r="H3033">
        <v>60263</v>
      </c>
      <c r="I3033">
        <v>12870</v>
      </c>
      <c r="J3033">
        <v>73133</v>
      </c>
      <c r="K3033" t="b">
        <f>TrafficData[[#This Row],[disposedChallan]]+TrafficData[[#This Row],[pendingChallan]]=TrafficData[[#This Row],[totalChallan]]</f>
        <v>1</v>
      </c>
      <c r="L3033" t="b">
        <f>TrafficData[[#This Row],[pendingAmount]]+TrafficData[[#This Row],[disposedAmount]]=TrafficData[[#This Row],[totalAmount]]</f>
        <v>1</v>
      </c>
      <c r="M3033" t="b">
        <f>TrafficData[[#This Row],[pendingCourt]]+TrafficData[[#This Row],[disposedCourt]]=TrafficData[[#This Row],[totalCourt]]</f>
        <v>1</v>
      </c>
      <c r="N3033" s="8" t="b">
        <f>AND(TrafficData[[#This Row],[disposedChallan]]&lt;=TrafficData[[#This Row],[totalChallan]],TrafficData[[#This Row],[pendingChallan]]&lt;=TrafficData[[#This Row],[totalChallan]])</f>
        <v>1</v>
      </c>
      <c r="O3033" s="8" t="b">
        <f>AND(TrafficData[[#This Row],[pendingAmount]]&lt;=TrafficData[[#This Row],[totalAmount]],TrafficData[[#This Row],[disposedAmount]]&lt;=TrafficData[[#This Row],[totalAmount]])</f>
        <v>1</v>
      </c>
      <c r="P3033" s="8" t="b">
        <f>AND(TrafficData[[#This Row],[pendingCourt]]&lt;=TrafficData[[#This Row],[totalCourt]],TrafficData[[#This Row],[disposedCourt]]&lt;=TrafficData[[#This Row],[totalCourt]])</f>
        <v>1</v>
      </c>
    </row>
    <row r="3034" spans="1:16">
      <c r="A3034" s="1">
        <v>45038</v>
      </c>
      <c r="B3034">
        <v>146703</v>
      </c>
      <c r="C3034">
        <v>59073</v>
      </c>
      <c r="D3034">
        <v>87630</v>
      </c>
      <c r="E3034">
        <v>142474987</v>
      </c>
      <c r="F3034">
        <v>75043090</v>
      </c>
      <c r="G3034">
        <v>217518077</v>
      </c>
      <c r="H3034">
        <v>51857</v>
      </c>
      <c r="I3034">
        <v>10848</v>
      </c>
      <c r="J3034">
        <v>62705</v>
      </c>
      <c r="K3034" t="b">
        <f>TrafficData[[#This Row],[disposedChallan]]+TrafficData[[#This Row],[pendingChallan]]=TrafficData[[#This Row],[totalChallan]]</f>
        <v>1</v>
      </c>
      <c r="L3034" t="b">
        <f>TrafficData[[#This Row],[pendingAmount]]+TrafficData[[#This Row],[disposedAmount]]=TrafficData[[#This Row],[totalAmount]]</f>
        <v>1</v>
      </c>
      <c r="M3034" t="b">
        <f>TrafficData[[#This Row],[pendingCourt]]+TrafficData[[#This Row],[disposedCourt]]=TrafficData[[#This Row],[totalCourt]]</f>
        <v>1</v>
      </c>
      <c r="N3034" s="8" t="b">
        <f>AND(TrafficData[[#This Row],[disposedChallan]]&lt;=TrafficData[[#This Row],[totalChallan]],TrafficData[[#This Row],[pendingChallan]]&lt;=TrafficData[[#This Row],[totalChallan]])</f>
        <v>1</v>
      </c>
      <c r="O3034" s="8" t="b">
        <f>AND(TrafficData[[#This Row],[pendingAmount]]&lt;=TrafficData[[#This Row],[totalAmount]],TrafficData[[#This Row],[disposedAmount]]&lt;=TrafficData[[#This Row],[totalAmount]])</f>
        <v>1</v>
      </c>
      <c r="P3034" s="8" t="b">
        <f>AND(TrafficData[[#This Row],[pendingCourt]]&lt;=TrafficData[[#This Row],[totalCourt]],TrafficData[[#This Row],[disposedCourt]]&lt;=TrafficData[[#This Row],[totalCourt]])</f>
        <v>1</v>
      </c>
    </row>
    <row r="3035" spans="1:16">
      <c r="A3035" s="1">
        <v>45039</v>
      </c>
      <c r="B3035">
        <v>151040</v>
      </c>
      <c r="C3035">
        <v>62140</v>
      </c>
      <c r="D3035">
        <v>88900</v>
      </c>
      <c r="E3035">
        <v>144331927</v>
      </c>
      <c r="F3035">
        <v>73124155</v>
      </c>
      <c r="G3035">
        <v>217456082</v>
      </c>
      <c r="H3035">
        <v>54212</v>
      </c>
      <c r="I3035">
        <v>11161</v>
      </c>
      <c r="J3035">
        <v>65373</v>
      </c>
      <c r="K3035" t="b">
        <f>TrafficData[[#This Row],[disposedChallan]]+TrafficData[[#This Row],[pendingChallan]]=TrafficData[[#This Row],[totalChallan]]</f>
        <v>1</v>
      </c>
      <c r="L3035" t="b">
        <f>TrafficData[[#This Row],[pendingAmount]]+TrafficData[[#This Row],[disposedAmount]]=TrafficData[[#This Row],[totalAmount]]</f>
        <v>1</v>
      </c>
      <c r="M3035" t="b">
        <f>TrafficData[[#This Row],[pendingCourt]]+TrafficData[[#This Row],[disposedCourt]]=TrafficData[[#This Row],[totalCourt]]</f>
        <v>1</v>
      </c>
      <c r="N3035" s="8" t="b">
        <f>AND(TrafficData[[#This Row],[disposedChallan]]&lt;=TrafficData[[#This Row],[totalChallan]],TrafficData[[#This Row],[pendingChallan]]&lt;=TrafficData[[#This Row],[totalChallan]])</f>
        <v>1</v>
      </c>
      <c r="O3035" s="8" t="b">
        <f>AND(TrafficData[[#This Row],[pendingAmount]]&lt;=TrafficData[[#This Row],[totalAmount]],TrafficData[[#This Row],[disposedAmount]]&lt;=TrafficData[[#This Row],[totalAmount]])</f>
        <v>1</v>
      </c>
      <c r="P3035" s="8" t="b">
        <f>AND(TrafficData[[#This Row],[pendingCourt]]&lt;=TrafficData[[#This Row],[totalCourt]],TrafficData[[#This Row],[disposedCourt]]&lt;=TrafficData[[#This Row],[totalCourt]])</f>
        <v>1</v>
      </c>
    </row>
    <row r="3036" spans="1:16">
      <c r="A3036" s="1">
        <v>45040</v>
      </c>
      <c r="B3036">
        <v>179095</v>
      </c>
      <c r="C3036">
        <v>74933</v>
      </c>
      <c r="D3036">
        <v>104162</v>
      </c>
      <c r="E3036">
        <v>172657559</v>
      </c>
      <c r="F3036">
        <v>109512299</v>
      </c>
      <c r="G3036">
        <v>282169858</v>
      </c>
      <c r="H3036">
        <v>65332</v>
      </c>
      <c r="I3036">
        <v>13546</v>
      </c>
      <c r="J3036">
        <v>78878</v>
      </c>
      <c r="K3036" t="b">
        <f>TrafficData[[#This Row],[disposedChallan]]+TrafficData[[#This Row],[pendingChallan]]=TrafficData[[#This Row],[totalChallan]]</f>
        <v>1</v>
      </c>
      <c r="L3036" t="b">
        <f>TrafficData[[#This Row],[pendingAmount]]+TrafficData[[#This Row],[disposedAmount]]=TrafficData[[#This Row],[totalAmount]]</f>
        <v>1</v>
      </c>
      <c r="M3036" t="b">
        <f>TrafficData[[#This Row],[pendingCourt]]+TrafficData[[#This Row],[disposedCourt]]=TrafficData[[#This Row],[totalCourt]]</f>
        <v>1</v>
      </c>
      <c r="N3036" s="8" t="b">
        <f>AND(TrafficData[[#This Row],[disposedChallan]]&lt;=TrafficData[[#This Row],[totalChallan]],TrafficData[[#This Row],[pendingChallan]]&lt;=TrafficData[[#This Row],[totalChallan]])</f>
        <v>1</v>
      </c>
      <c r="O3036" s="8" t="b">
        <f>AND(TrafficData[[#This Row],[pendingAmount]]&lt;=TrafficData[[#This Row],[totalAmount]],TrafficData[[#This Row],[disposedAmount]]&lt;=TrafficData[[#This Row],[totalAmount]])</f>
        <v>1</v>
      </c>
      <c r="P3036" s="8" t="b">
        <f>AND(TrafficData[[#This Row],[pendingCourt]]&lt;=TrafficData[[#This Row],[totalCourt]],TrafficData[[#This Row],[disposedCourt]]&lt;=TrafficData[[#This Row],[totalCourt]])</f>
        <v>1</v>
      </c>
    </row>
    <row r="3037" spans="1:16">
      <c r="A3037" s="1">
        <v>45041</v>
      </c>
      <c r="B3037">
        <v>183206</v>
      </c>
      <c r="C3037">
        <v>77271</v>
      </c>
      <c r="D3037">
        <v>105935</v>
      </c>
      <c r="E3037">
        <v>187070736</v>
      </c>
      <c r="F3037">
        <v>128383040</v>
      </c>
      <c r="G3037">
        <v>315453776</v>
      </c>
      <c r="H3037">
        <v>66361</v>
      </c>
      <c r="I3037">
        <v>13287</v>
      </c>
      <c r="J3037">
        <v>79648</v>
      </c>
      <c r="K3037" t="b">
        <f>TrafficData[[#This Row],[disposedChallan]]+TrafficData[[#This Row],[pendingChallan]]=TrafficData[[#This Row],[totalChallan]]</f>
        <v>1</v>
      </c>
      <c r="L3037" t="b">
        <f>TrafficData[[#This Row],[pendingAmount]]+TrafficData[[#This Row],[disposedAmount]]=TrafficData[[#This Row],[totalAmount]]</f>
        <v>1</v>
      </c>
      <c r="M3037" t="b">
        <f>TrafficData[[#This Row],[pendingCourt]]+TrafficData[[#This Row],[disposedCourt]]=TrafficData[[#This Row],[totalCourt]]</f>
        <v>1</v>
      </c>
      <c r="N3037" s="8" t="b">
        <f>AND(TrafficData[[#This Row],[disposedChallan]]&lt;=TrafficData[[#This Row],[totalChallan]],TrafficData[[#This Row],[pendingChallan]]&lt;=TrafficData[[#This Row],[totalChallan]])</f>
        <v>1</v>
      </c>
      <c r="O3037" s="8" t="b">
        <f>AND(TrafficData[[#This Row],[pendingAmount]]&lt;=TrafficData[[#This Row],[totalAmount]],TrafficData[[#This Row],[disposedAmount]]&lt;=TrafficData[[#This Row],[totalAmount]])</f>
        <v>1</v>
      </c>
      <c r="P3037" s="8" t="b">
        <f>AND(TrafficData[[#This Row],[pendingCourt]]&lt;=TrafficData[[#This Row],[totalCourt]],TrafficData[[#This Row],[disposedCourt]]&lt;=TrafficData[[#This Row],[totalCourt]])</f>
        <v>1</v>
      </c>
    </row>
    <row r="3038" spans="1:16">
      <c r="A3038" s="1">
        <v>45042</v>
      </c>
      <c r="B3038">
        <v>177823</v>
      </c>
      <c r="C3038">
        <v>78027</v>
      </c>
      <c r="D3038">
        <v>99796</v>
      </c>
      <c r="E3038">
        <v>169848798</v>
      </c>
      <c r="F3038">
        <v>124318920</v>
      </c>
      <c r="G3038">
        <v>294167718</v>
      </c>
      <c r="H3038">
        <v>61868</v>
      </c>
      <c r="I3038">
        <v>12825</v>
      </c>
      <c r="J3038">
        <v>74693</v>
      </c>
      <c r="K3038" t="b">
        <f>TrafficData[[#This Row],[disposedChallan]]+TrafficData[[#This Row],[pendingChallan]]=TrafficData[[#This Row],[totalChallan]]</f>
        <v>1</v>
      </c>
      <c r="L3038" t="b">
        <f>TrafficData[[#This Row],[pendingAmount]]+TrafficData[[#This Row],[disposedAmount]]=TrafficData[[#This Row],[totalAmount]]</f>
        <v>1</v>
      </c>
      <c r="M3038" t="b">
        <f>TrafficData[[#This Row],[pendingCourt]]+TrafficData[[#This Row],[disposedCourt]]=TrafficData[[#This Row],[totalCourt]]</f>
        <v>1</v>
      </c>
      <c r="N3038" s="8" t="b">
        <f>AND(TrafficData[[#This Row],[disposedChallan]]&lt;=TrafficData[[#This Row],[totalChallan]],TrafficData[[#This Row],[pendingChallan]]&lt;=TrafficData[[#This Row],[totalChallan]])</f>
        <v>1</v>
      </c>
      <c r="O3038" s="8" t="b">
        <f>AND(TrafficData[[#This Row],[pendingAmount]]&lt;=TrafficData[[#This Row],[totalAmount]],TrafficData[[#This Row],[disposedAmount]]&lt;=TrafficData[[#This Row],[totalAmount]])</f>
        <v>1</v>
      </c>
      <c r="P3038" s="8" t="b">
        <f>AND(TrafficData[[#This Row],[pendingCourt]]&lt;=TrafficData[[#This Row],[totalCourt]],TrafficData[[#This Row],[disposedCourt]]&lt;=TrafficData[[#This Row],[totalCourt]])</f>
        <v>1</v>
      </c>
    </row>
    <row r="3039" spans="1:16">
      <c r="A3039" s="1">
        <v>45043</v>
      </c>
      <c r="B3039">
        <v>170136</v>
      </c>
      <c r="C3039">
        <v>73100</v>
      </c>
      <c r="D3039">
        <v>97036</v>
      </c>
      <c r="E3039">
        <v>171672867</v>
      </c>
      <c r="F3039">
        <v>117414564</v>
      </c>
      <c r="G3039">
        <v>289087431</v>
      </c>
      <c r="H3039">
        <v>60947</v>
      </c>
      <c r="I3039">
        <v>12398</v>
      </c>
      <c r="J3039">
        <v>73345</v>
      </c>
      <c r="K3039" t="b">
        <f>TrafficData[[#This Row],[disposedChallan]]+TrafficData[[#This Row],[pendingChallan]]=TrafficData[[#This Row],[totalChallan]]</f>
        <v>1</v>
      </c>
      <c r="L3039" t="b">
        <f>TrafficData[[#This Row],[pendingAmount]]+TrafficData[[#This Row],[disposedAmount]]=TrafficData[[#This Row],[totalAmount]]</f>
        <v>1</v>
      </c>
      <c r="M3039" t="b">
        <f>TrafficData[[#This Row],[pendingCourt]]+TrafficData[[#This Row],[disposedCourt]]=TrafficData[[#This Row],[totalCourt]]</f>
        <v>1</v>
      </c>
      <c r="N3039" s="8" t="b">
        <f>AND(TrafficData[[#This Row],[disposedChallan]]&lt;=TrafficData[[#This Row],[totalChallan]],TrafficData[[#This Row],[pendingChallan]]&lt;=TrafficData[[#This Row],[totalChallan]])</f>
        <v>1</v>
      </c>
      <c r="O3039" s="8" t="b">
        <f>AND(TrafficData[[#This Row],[pendingAmount]]&lt;=TrafficData[[#This Row],[totalAmount]],TrafficData[[#This Row],[disposedAmount]]&lt;=TrafficData[[#This Row],[totalAmount]])</f>
        <v>1</v>
      </c>
      <c r="P3039" s="8" t="b">
        <f>AND(TrafficData[[#This Row],[pendingCourt]]&lt;=TrafficData[[#This Row],[totalCourt]],TrafficData[[#This Row],[disposedCourt]]&lt;=TrafficData[[#This Row],[totalCourt]])</f>
        <v>1</v>
      </c>
    </row>
    <row r="3040" spans="1:16">
      <c r="A3040" s="1">
        <v>45044</v>
      </c>
      <c r="B3040">
        <v>164908</v>
      </c>
      <c r="C3040">
        <v>69797</v>
      </c>
      <c r="D3040">
        <v>95111</v>
      </c>
      <c r="E3040">
        <v>166163385</v>
      </c>
      <c r="F3040">
        <v>105407393</v>
      </c>
      <c r="G3040">
        <v>271570778</v>
      </c>
      <c r="H3040">
        <v>61455</v>
      </c>
      <c r="I3040">
        <v>12766</v>
      </c>
      <c r="J3040">
        <v>74221</v>
      </c>
      <c r="K3040" t="b">
        <f>TrafficData[[#This Row],[disposedChallan]]+TrafficData[[#This Row],[pendingChallan]]=TrafficData[[#This Row],[totalChallan]]</f>
        <v>1</v>
      </c>
      <c r="L3040" t="b">
        <f>TrafficData[[#This Row],[pendingAmount]]+TrafficData[[#This Row],[disposedAmount]]=TrafficData[[#This Row],[totalAmount]]</f>
        <v>1</v>
      </c>
      <c r="M3040" t="b">
        <f>TrafficData[[#This Row],[pendingCourt]]+TrafficData[[#This Row],[disposedCourt]]=TrafficData[[#This Row],[totalCourt]]</f>
        <v>1</v>
      </c>
      <c r="N3040" s="8" t="b">
        <f>AND(TrafficData[[#This Row],[disposedChallan]]&lt;=TrafficData[[#This Row],[totalChallan]],TrafficData[[#This Row],[pendingChallan]]&lt;=TrafficData[[#This Row],[totalChallan]])</f>
        <v>1</v>
      </c>
      <c r="O3040" s="8" t="b">
        <f>AND(TrafficData[[#This Row],[pendingAmount]]&lt;=TrafficData[[#This Row],[totalAmount]],TrafficData[[#This Row],[disposedAmount]]&lt;=TrafficData[[#This Row],[totalAmount]])</f>
        <v>1</v>
      </c>
      <c r="P3040" s="8" t="b">
        <f>AND(TrafficData[[#This Row],[pendingCourt]]&lt;=TrafficData[[#This Row],[totalCourt]],TrafficData[[#This Row],[disposedCourt]]&lt;=TrafficData[[#This Row],[totalCourt]])</f>
        <v>1</v>
      </c>
    </row>
    <row r="3041" spans="1:16">
      <c r="A3041" s="1">
        <v>45045</v>
      </c>
      <c r="B3041">
        <v>165254</v>
      </c>
      <c r="C3041">
        <v>71714</v>
      </c>
      <c r="D3041">
        <v>93540</v>
      </c>
      <c r="E3041">
        <v>163534998</v>
      </c>
      <c r="F3041">
        <v>99373635</v>
      </c>
      <c r="G3041">
        <v>262908633</v>
      </c>
      <c r="H3041">
        <v>59049</v>
      </c>
      <c r="I3041">
        <v>12644</v>
      </c>
      <c r="J3041">
        <v>71693</v>
      </c>
      <c r="K3041" t="b">
        <f>TrafficData[[#This Row],[disposedChallan]]+TrafficData[[#This Row],[pendingChallan]]=TrafficData[[#This Row],[totalChallan]]</f>
        <v>1</v>
      </c>
      <c r="L3041" t="b">
        <f>TrafficData[[#This Row],[pendingAmount]]+TrafficData[[#This Row],[disposedAmount]]=TrafficData[[#This Row],[totalAmount]]</f>
        <v>1</v>
      </c>
      <c r="M3041" t="b">
        <f>TrafficData[[#This Row],[pendingCourt]]+TrafficData[[#This Row],[disposedCourt]]=TrafficData[[#This Row],[totalCourt]]</f>
        <v>1</v>
      </c>
      <c r="N3041" s="8" t="b">
        <f>AND(TrafficData[[#This Row],[disposedChallan]]&lt;=TrafficData[[#This Row],[totalChallan]],TrafficData[[#This Row],[pendingChallan]]&lt;=TrafficData[[#This Row],[totalChallan]])</f>
        <v>1</v>
      </c>
      <c r="O3041" s="8" t="b">
        <f>AND(TrafficData[[#This Row],[pendingAmount]]&lt;=TrafficData[[#This Row],[totalAmount]],TrafficData[[#This Row],[disposedAmount]]&lt;=TrafficData[[#This Row],[totalAmount]])</f>
        <v>1</v>
      </c>
      <c r="P3041" s="8" t="b">
        <f>AND(TrafficData[[#This Row],[pendingCourt]]&lt;=TrafficData[[#This Row],[totalCourt]],TrafficData[[#This Row],[disposedCourt]]&lt;=TrafficData[[#This Row],[totalCourt]])</f>
        <v>1</v>
      </c>
    </row>
    <row r="3042" spans="1:16">
      <c r="A3042" s="1">
        <v>45046</v>
      </c>
      <c r="B3042">
        <v>138743</v>
      </c>
      <c r="C3042">
        <v>58674</v>
      </c>
      <c r="D3042">
        <v>80069</v>
      </c>
      <c r="E3042">
        <v>141142177</v>
      </c>
      <c r="F3042">
        <v>75136139</v>
      </c>
      <c r="G3042">
        <v>216278316</v>
      </c>
      <c r="H3042">
        <v>51996</v>
      </c>
      <c r="I3042">
        <v>11112</v>
      </c>
      <c r="J3042">
        <v>63108</v>
      </c>
      <c r="K3042" t="b">
        <f>TrafficData[[#This Row],[disposedChallan]]+TrafficData[[#This Row],[pendingChallan]]=TrafficData[[#This Row],[totalChallan]]</f>
        <v>1</v>
      </c>
      <c r="L3042" t="b">
        <f>TrafficData[[#This Row],[pendingAmount]]+TrafficData[[#This Row],[disposedAmount]]=TrafficData[[#This Row],[totalAmount]]</f>
        <v>1</v>
      </c>
      <c r="M3042" t="b">
        <f>TrafficData[[#This Row],[pendingCourt]]+TrafficData[[#This Row],[disposedCourt]]=TrafficData[[#This Row],[totalCourt]]</f>
        <v>1</v>
      </c>
      <c r="N3042" s="8" t="b">
        <f>AND(TrafficData[[#This Row],[disposedChallan]]&lt;=TrafficData[[#This Row],[totalChallan]],TrafficData[[#This Row],[pendingChallan]]&lt;=TrafficData[[#This Row],[totalChallan]])</f>
        <v>1</v>
      </c>
      <c r="O3042" s="8" t="b">
        <f>AND(TrafficData[[#This Row],[pendingAmount]]&lt;=TrafficData[[#This Row],[totalAmount]],TrafficData[[#This Row],[disposedAmount]]&lt;=TrafficData[[#This Row],[totalAmount]])</f>
        <v>1</v>
      </c>
      <c r="P3042" s="8" t="b">
        <f>AND(TrafficData[[#This Row],[pendingCourt]]&lt;=TrafficData[[#This Row],[totalCourt]],TrafficData[[#This Row],[disposedCourt]]&lt;=TrafficData[[#This Row],[totalCourt]])</f>
        <v>1</v>
      </c>
    </row>
    <row r="3043" spans="1:16">
      <c r="A3043" s="1">
        <v>45047</v>
      </c>
      <c r="B3043">
        <v>153168</v>
      </c>
      <c r="C3043">
        <v>70947</v>
      </c>
      <c r="D3043">
        <v>82221</v>
      </c>
      <c r="E3043">
        <v>139565465</v>
      </c>
      <c r="F3043">
        <v>91518730</v>
      </c>
      <c r="G3043">
        <v>231084195</v>
      </c>
      <c r="H3043">
        <v>54440</v>
      </c>
      <c r="I3043">
        <v>11243</v>
      </c>
      <c r="J3043">
        <v>65683</v>
      </c>
      <c r="K3043" t="b">
        <f>TrafficData[[#This Row],[disposedChallan]]+TrafficData[[#This Row],[pendingChallan]]=TrafficData[[#This Row],[totalChallan]]</f>
        <v>1</v>
      </c>
      <c r="L3043" t="b">
        <f>TrafficData[[#This Row],[pendingAmount]]+TrafficData[[#This Row],[disposedAmount]]=TrafficData[[#This Row],[totalAmount]]</f>
        <v>1</v>
      </c>
      <c r="M3043" t="b">
        <f>TrafficData[[#This Row],[pendingCourt]]+TrafficData[[#This Row],[disposedCourt]]=TrafficData[[#This Row],[totalCourt]]</f>
        <v>1</v>
      </c>
      <c r="N3043" s="8" t="b">
        <f>AND(TrafficData[[#This Row],[disposedChallan]]&lt;=TrafficData[[#This Row],[totalChallan]],TrafficData[[#This Row],[pendingChallan]]&lt;=TrafficData[[#This Row],[totalChallan]])</f>
        <v>1</v>
      </c>
      <c r="O3043" s="8" t="b">
        <f>AND(TrafficData[[#This Row],[pendingAmount]]&lt;=TrafficData[[#This Row],[totalAmount]],TrafficData[[#This Row],[disposedAmount]]&lt;=TrafficData[[#This Row],[totalAmount]])</f>
        <v>1</v>
      </c>
      <c r="P3043" s="8" t="b">
        <f>AND(TrafficData[[#This Row],[pendingCourt]]&lt;=TrafficData[[#This Row],[totalCourt]],TrafficData[[#This Row],[disposedCourt]]&lt;=TrafficData[[#This Row],[totalCourt]])</f>
        <v>1</v>
      </c>
    </row>
    <row r="3044" spans="1:16">
      <c r="A3044" s="1">
        <v>45048</v>
      </c>
      <c r="B3044">
        <v>167294</v>
      </c>
      <c r="C3044">
        <v>75129</v>
      </c>
      <c r="D3044">
        <v>92165</v>
      </c>
      <c r="E3044">
        <v>167694375</v>
      </c>
      <c r="F3044">
        <v>120837293</v>
      </c>
      <c r="G3044">
        <v>288531668</v>
      </c>
      <c r="H3044">
        <v>58769</v>
      </c>
      <c r="I3044">
        <v>11931</v>
      </c>
      <c r="J3044">
        <v>70700</v>
      </c>
      <c r="K3044" t="b">
        <f>TrafficData[[#This Row],[disposedChallan]]+TrafficData[[#This Row],[pendingChallan]]=TrafficData[[#This Row],[totalChallan]]</f>
        <v>1</v>
      </c>
      <c r="L3044" t="b">
        <f>TrafficData[[#This Row],[pendingAmount]]+TrafficData[[#This Row],[disposedAmount]]=TrafficData[[#This Row],[totalAmount]]</f>
        <v>1</v>
      </c>
      <c r="M3044" t="b">
        <f>TrafficData[[#This Row],[pendingCourt]]+TrafficData[[#This Row],[disposedCourt]]=TrafficData[[#This Row],[totalCourt]]</f>
        <v>1</v>
      </c>
      <c r="N3044" s="8" t="b">
        <f>AND(TrafficData[[#This Row],[disposedChallan]]&lt;=TrafficData[[#This Row],[totalChallan]],TrafficData[[#This Row],[pendingChallan]]&lt;=TrafficData[[#This Row],[totalChallan]])</f>
        <v>1</v>
      </c>
      <c r="O3044" s="8" t="b">
        <f>AND(TrafficData[[#This Row],[pendingAmount]]&lt;=TrafficData[[#This Row],[totalAmount]],TrafficData[[#This Row],[disposedAmount]]&lt;=TrafficData[[#This Row],[totalAmount]])</f>
        <v>1</v>
      </c>
      <c r="P3044" s="8" t="b">
        <f>AND(TrafficData[[#This Row],[pendingCourt]]&lt;=TrafficData[[#This Row],[totalCourt]],TrafficData[[#This Row],[disposedCourt]]&lt;=TrafficData[[#This Row],[totalCourt]])</f>
        <v>1</v>
      </c>
    </row>
    <row r="3045" spans="1:16">
      <c r="A3045" s="1">
        <v>45049</v>
      </c>
      <c r="B3045">
        <v>151353</v>
      </c>
      <c r="C3045">
        <v>71389</v>
      </c>
      <c r="D3045">
        <v>79964</v>
      </c>
      <c r="E3045">
        <v>138822928</v>
      </c>
      <c r="F3045">
        <v>117884467</v>
      </c>
      <c r="G3045">
        <v>256707395</v>
      </c>
      <c r="H3045">
        <v>49328</v>
      </c>
      <c r="I3045">
        <v>10209</v>
      </c>
      <c r="J3045">
        <v>59537</v>
      </c>
      <c r="K3045" t="b">
        <f>TrafficData[[#This Row],[disposedChallan]]+TrafficData[[#This Row],[pendingChallan]]=TrafficData[[#This Row],[totalChallan]]</f>
        <v>1</v>
      </c>
      <c r="L3045" t="b">
        <f>TrafficData[[#This Row],[pendingAmount]]+TrafficData[[#This Row],[disposedAmount]]=TrafficData[[#This Row],[totalAmount]]</f>
        <v>1</v>
      </c>
      <c r="M3045" t="b">
        <f>TrafficData[[#This Row],[pendingCourt]]+TrafficData[[#This Row],[disposedCourt]]=TrafficData[[#This Row],[totalCourt]]</f>
        <v>1</v>
      </c>
      <c r="N3045" s="8" t="b">
        <f>AND(TrafficData[[#This Row],[disposedChallan]]&lt;=TrafficData[[#This Row],[totalChallan]],TrafficData[[#This Row],[pendingChallan]]&lt;=TrafficData[[#This Row],[totalChallan]])</f>
        <v>1</v>
      </c>
      <c r="O3045" s="8" t="b">
        <f>AND(TrafficData[[#This Row],[pendingAmount]]&lt;=TrafficData[[#This Row],[totalAmount]],TrafficData[[#This Row],[disposedAmount]]&lt;=TrafficData[[#This Row],[totalAmount]])</f>
        <v>1</v>
      </c>
      <c r="P3045" s="8" t="b">
        <f>AND(TrafficData[[#This Row],[pendingCourt]]&lt;=TrafficData[[#This Row],[totalCourt]],TrafficData[[#This Row],[disposedCourt]]&lt;=TrafficData[[#This Row],[totalCourt]])</f>
        <v>1</v>
      </c>
    </row>
    <row r="3046" spans="1:16">
      <c r="A3046" s="1">
        <v>45050</v>
      </c>
      <c r="B3046">
        <v>160271</v>
      </c>
      <c r="C3046">
        <v>73926</v>
      </c>
      <c r="D3046">
        <v>86345</v>
      </c>
      <c r="E3046">
        <v>156492737</v>
      </c>
      <c r="F3046">
        <v>123850726</v>
      </c>
      <c r="G3046">
        <v>280343463</v>
      </c>
      <c r="H3046">
        <v>55325</v>
      </c>
      <c r="I3046">
        <v>11431</v>
      </c>
      <c r="J3046">
        <v>66756</v>
      </c>
      <c r="K3046" t="b">
        <f>TrafficData[[#This Row],[disposedChallan]]+TrafficData[[#This Row],[pendingChallan]]=TrafficData[[#This Row],[totalChallan]]</f>
        <v>1</v>
      </c>
      <c r="L3046" t="b">
        <f>TrafficData[[#This Row],[pendingAmount]]+TrafficData[[#This Row],[disposedAmount]]=TrafficData[[#This Row],[totalAmount]]</f>
        <v>1</v>
      </c>
      <c r="M3046" t="b">
        <f>TrafficData[[#This Row],[pendingCourt]]+TrafficData[[#This Row],[disposedCourt]]=TrafficData[[#This Row],[totalCourt]]</f>
        <v>1</v>
      </c>
      <c r="N3046" s="8" t="b">
        <f>AND(TrafficData[[#This Row],[disposedChallan]]&lt;=TrafficData[[#This Row],[totalChallan]],TrafficData[[#This Row],[pendingChallan]]&lt;=TrafficData[[#This Row],[totalChallan]])</f>
        <v>1</v>
      </c>
      <c r="O3046" s="8" t="b">
        <f>AND(TrafficData[[#This Row],[pendingAmount]]&lt;=TrafficData[[#This Row],[totalAmount]],TrafficData[[#This Row],[disposedAmount]]&lt;=TrafficData[[#This Row],[totalAmount]])</f>
        <v>1</v>
      </c>
      <c r="P3046" s="8" t="b">
        <f>AND(TrafficData[[#This Row],[pendingCourt]]&lt;=TrafficData[[#This Row],[totalCourt]],TrafficData[[#This Row],[disposedCourt]]&lt;=TrafficData[[#This Row],[totalCourt]])</f>
        <v>1</v>
      </c>
    </row>
    <row r="3047" spans="1:16">
      <c r="A3047" s="1">
        <v>45051</v>
      </c>
      <c r="B3047">
        <v>164390</v>
      </c>
      <c r="C3047">
        <v>73828</v>
      </c>
      <c r="D3047">
        <v>90562</v>
      </c>
      <c r="E3047">
        <v>158433461</v>
      </c>
      <c r="F3047">
        <v>118592422</v>
      </c>
      <c r="G3047">
        <v>277025883</v>
      </c>
      <c r="H3047">
        <v>60785</v>
      </c>
      <c r="I3047">
        <v>12285</v>
      </c>
      <c r="J3047">
        <v>73070</v>
      </c>
      <c r="K3047" t="b">
        <f>TrafficData[[#This Row],[disposedChallan]]+TrafficData[[#This Row],[pendingChallan]]=TrafficData[[#This Row],[totalChallan]]</f>
        <v>1</v>
      </c>
      <c r="L3047" t="b">
        <f>TrafficData[[#This Row],[pendingAmount]]+TrafficData[[#This Row],[disposedAmount]]=TrafficData[[#This Row],[totalAmount]]</f>
        <v>1</v>
      </c>
      <c r="M3047" t="b">
        <f>TrafficData[[#This Row],[pendingCourt]]+TrafficData[[#This Row],[disposedCourt]]=TrafficData[[#This Row],[totalCourt]]</f>
        <v>1</v>
      </c>
      <c r="N3047" s="8" t="b">
        <f>AND(TrafficData[[#This Row],[disposedChallan]]&lt;=TrafficData[[#This Row],[totalChallan]],TrafficData[[#This Row],[pendingChallan]]&lt;=TrafficData[[#This Row],[totalChallan]])</f>
        <v>1</v>
      </c>
      <c r="O3047" s="8" t="b">
        <f>AND(TrafficData[[#This Row],[pendingAmount]]&lt;=TrafficData[[#This Row],[totalAmount]],TrafficData[[#This Row],[disposedAmount]]&lt;=TrafficData[[#This Row],[totalAmount]])</f>
        <v>1</v>
      </c>
      <c r="P3047" s="8" t="b">
        <f>AND(TrafficData[[#This Row],[pendingCourt]]&lt;=TrafficData[[#This Row],[totalCourt]],TrafficData[[#This Row],[disposedCourt]]&lt;=TrafficData[[#This Row],[totalCourt]])</f>
        <v>1</v>
      </c>
    </row>
    <row r="3048" spans="1:16">
      <c r="A3048" s="1">
        <v>45052</v>
      </c>
      <c r="B3048">
        <v>172256</v>
      </c>
      <c r="C3048">
        <v>77431</v>
      </c>
      <c r="D3048">
        <v>94825</v>
      </c>
      <c r="E3048">
        <v>165878617</v>
      </c>
      <c r="F3048">
        <v>122075457</v>
      </c>
      <c r="G3048">
        <v>287954074</v>
      </c>
      <c r="H3048">
        <v>61824</v>
      </c>
      <c r="I3048">
        <v>13324</v>
      </c>
      <c r="J3048">
        <v>75148</v>
      </c>
      <c r="K3048" t="b">
        <f>TrafficData[[#This Row],[disposedChallan]]+TrafficData[[#This Row],[pendingChallan]]=TrafficData[[#This Row],[totalChallan]]</f>
        <v>1</v>
      </c>
      <c r="L3048" t="b">
        <f>TrafficData[[#This Row],[pendingAmount]]+TrafficData[[#This Row],[disposedAmount]]=TrafficData[[#This Row],[totalAmount]]</f>
        <v>1</v>
      </c>
      <c r="M3048" t="b">
        <f>TrafficData[[#This Row],[pendingCourt]]+TrafficData[[#This Row],[disposedCourt]]=TrafficData[[#This Row],[totalCourt]]</f>
        <v>1</v>
      </c>
      <c r="N3048" s="8" t="b">
        <f>AND(TrafficData[[#This Row],[disposedChallan]]&lt;=TrafficData[[#This Row],[totalChallan]],TrafficData[[#This Row],[pendingChallan]]&lt;=TrafficData[[#This Row],[totalChallan]])</f>
        <v>1</v>
      </c>
      <c r="O3048" s="8" t="b">
        <f>AND(TrafficData[[#This Row],[pendingAmount]]&lt;=TrafficData[[#This Row],[totalAmount]],TrafficData[[#This Row],[disposedAmount]]&lt;=TrafficData[[#This Row],[totalAmount]])</f>
        <v>1</v>
      </c>
      <c r="P3048" s="8" t="b">
        <f>AND(TrafficData[[#This Row],[pendingCourt]]&lt;=TrafficData[[#This Row],[totalCourt]],TrafficData[[#This Row],[disposedCourt]]&lt;=TrafficData[[#This Row],[totalCourt]])</f>
        <v>1</v>
      </c>
    </row>
    <row r="3049" spans="1:16">
      <c r="A3049" s="1">
        <v>45053</v>
      </c>
      <c r="B3049">
        <v>129243</v>
      </c>
      <c r="C3049">
        <v>56355</v>
      </c>
      <c r="D3049">
        <v>72888</v>
      </c>
      <c r="E3049">
        <v>121539629</v>
      </c>
      <c r="F3049">
        <v>77170384</v>
      </c>
      <c r="G3049">
        <v>198710013</v>
      </c>
      <c r="H3049">
        <v>47920</v>
      </c>
      <c r="I3049">
        <v>10375</v>
      </c>
      <c r="J3049">
        <v>58295</v>
      </c>
      <c r="K3049" t="b">
        <f>TrafficData[[#This Row],[disposedChallan]]+TrafficData[[#This Row],[pendingChallan]]=TrafficData[[#This Row],[totalChallan]]</f>
        <v>1</v>
      </c>
      <c r="L3049" t="b">
        <f>TrafficData[[#This Row],[pendingAmount]]+TrafficData[[#This Row],[disposedAmount]]=TrafficData[[#This Row],[totalAmount]]</f>
        <v>1</v>
      </c>
      <c r="M3049" t="b">
        <f>TrafficData[[#This Row],[pendingCourt]]+TrafficData[[#This Row],[disposedCourt]]=TrafficData[[#This Row],[totalCourt]]</f>
        <v>1</v>
      </c>
      <c r="N3049" s="8" t="b">
        <f>AND(TrafficData[[#This Row],[disposedChallan]]&lt;=TrafficData[[#This Row],[totalChallan]],TrafficData[[#This Row],[pendingChallan]]&lt;=TrafficData[[#This Row],[totalChallan]])</f>
        <v>1</v>
      </c>
      <c r="O3049" s="8" t="b">
        <f>AND(TrafficData[[#This Row],[pendingAmount]]&lt;=TrafficData[[#This Row],[totalAmount]],TrafficData[[#This Row],[disposedAmount]]&lt;=TrafficData[[#This Row],[totalAmount]])</f>
        <v>1</v>
      </c>
      <c r="P3049" s="8" t="b">
        <f>AND(TrafficData[[#This Row],[pendingCourt]]&lt;=TrafficData[[#This Row],[totalCourt]],TrafficData[[#This Row],[disposedCourt]]&lt;=TrafficData[[#This Row],[totalCourt]])</f>
        <v>1</v>
      </c>
    </row>
    <row r="3050" spans="1:16">
      <c r="A3050" s="1">
        <v>45054</v>
      </c>
      <c r="B3050">
        <v>176968</v>
      </c>
      <c r="C3050">
        <v>76133</v>
      </c>
      <c r="D3050">
        <v>100835</v>
      </c>
      <c r="E3050">
        <v>170543351</v>
      </c>
      <c r="F3050">
        <v>117694951</v>
      </c>
      <c r="G3050">
        <v>288238302</v>
      </c>
      <c r="H3050">
        <v>63527</v>
      </c>
      <c r="I3050">
        <v>12709</v>
      </c>
      <c r="J3050">
        <v>76236</v>
      </c>
      <c r="K3050" t="b">
        <f>TrafficData[[#This Row],[disposedChallan]]+TrafficData[[#This Row],[pendingChallan]]=TrafficData[[#This Row],[totalChallan]]</f>
        <v>1</v>
      </c>
      <c r="L3050" t="b">
        <f>TrafficData[[#This Row],[pendingAmount]]+TrafficData[[#This Row],[disposedAmount]]=TrafficData[[#This Row],[totalAmount]]</f>
        <v>1</v>
      </c>
      <c r="M3050" t="b">
        <f>TrafficData[[#This Row],[pendingCourt]]+TrafficData[[#This Row],[disposedCourt]]=TrafficData[[#This Row],[totalCourt]]</f>
        <v>1</v>
      </c>
      <c r="N3050" s="8" t="b">
        <f>AND(TrafficData[[#This Row],[disposedChallan]]&lt;=TrafficData[[#This Row],[totalChallan]],TrafficData[[#This Row],[pendingChallan]]&lt;=TrafficData[[#This Row],[totalChallan]])</f>
        <v>1</v>
      </c>
      <c r="O3050" s="8" t="b">
        <f>AND(TrafficData[[#This Row],[pendingAmount]]&lt;=TrafficData[[#This Row],[totalAmount]],TrafficData[[#This Row],[disposedAmount]]&lt;=TrafficData[[#This Row],[totalAmount]])</f>
        <v>1</v>
      </c>
      <c r="P3050" s="8" t="b">
        <f>AND(TrafficData[[#This Row],[pendingCourt]]&lt;=TrafficData[[#This Row],[totalCourt]],TrafficData[[#This Row],[disposedCourt]]&lt;=TrafficData[[#This Row],[totalCourt]])</f>
        <v>1</v>
      </c>
    </row>
    <row r="3051" spans="1:16">
      <c r="A3051" s="1">
        <v>45055</v>
      </c>
      <c r="B3051">
        <v>170073</v>
      </c>
      <c r="C3051">
        <v>75588</v>
      </c>
      <c r="D3051">
        <v>94485</v>
      </c>
      <c r="E3051">
        <v>165416978</v>
      </c>
      <c r="F3051">
        <v>118496279</v>
      </c>
      <c r="G3051">
        <v>283913257</v>
      </c>
      <c r="H3051">
        <v>58782</v>
      </c>
      <c r="I3051">
        <v>12098</v>
      </c>
      <c r="J3051">
        <v>70880</v>
      </c>
      <c r="K3051" t="b">
        <f>TrafficData[[#This Row],[disposedChallan]]+TrafficData[[#This Row],[pendingChallan]]=TrafficData[[#This Row],[totalChallan]]</f>
        <v>1</v>
      </c>
      <c r="L3051" t="b">
        <f>TrafficData[[#This Row],[pendingAmount]]+TrafficData[[#This Row],[disposedAmount]]=TrafficData[[#This Row],[totalAmount]]</f>
        <v>1</v>
      </c>
      <c r="M3051" t="b">
        <f>TrafficData[[#This Row],[pendingCourt]]+TrafficData[[#This Row],[disposedCourt]]=TrafficData[[#This Row],[totalCourt]]</f>
        <v>1</v>
      </c>
      <c r="N3051" s="8" t="b">
        <f>AND(TrafficData[[#This Row],[disposedChallan]]&lt;=TrafficData[[#This Row],[totalChallan]],TrafficData[[#This Row],[pendingChallan]]&lt;=TrafficData[[#This Row],[totalChallan]])</f>
        <v>1</v>
      </c>
      <c r="O3051" s="8" t="b">
        <f>AND(TrafficData[[#This Row],[pendingAmount]]&lt;=TrafficData[[#This Row],[totalAmount]],TrafficData[[#This Row],[disposedAmount]]&lt;=TrafficData[[#This Row],[totalAmount]])</f>
        <v>1</v>
      </c>
      <c r="P3051" s="8" t="b">
        <f>AND(TrafficData[[#This Row],[pendingCourt]]&lt;=TrafficData[[#This Row],[totalCourt]],TrafficData[[#This Row],[disposedCourt]]&lt;=TrafficData[[#This Row],[totalCourt]])</f>
        <v>1</v>
      </c>
    </row>
    <row r="3052" spans="1:16">
      <c r="A3052" s="1">
        <v>45056</v>
      </c>
      <c r="B3052">
        <v>169987</v>
      </c>
      <c r="C3052">
        <v>76079</v>
      </c>
      <c r="D3052">
        <v>93908</v>
      </c>
      <c r="E3052">
        <v>161293534</v>
      </c>
      <c r="F3052">
        <v>120608761</v>
      </c>
      <c r="G3052">
        <v>281902295</v>
      </c>
      <c r="H3052">
        <v>56132</v>
      </c>
      <c r="I3052">
        <v>12141</v>
      </c>
      <c r="J3052">
        <v>68273</v>
      </c>
      <c r="K3052" t="b">
        <f>TrafficData[[#This Row],[disposedChallan]]+TrafficData[[#This Row],[pendingChallan]]=TrafficData[[#This Row],[totalChallan]]</f>
        <v>1</v>
      </c>
      <c r="L3052" t="b">
        <f>TrafficData[[#This Row],[pendingAmount]]+TrafficData[[#This Row],[disposedAmount]]=TrafficData[[#This Row],[totalAmount]]</f>
        <v>1</v>
      </c>
      <c r="M3052" t="b">
        <f>TrafficData[[#This Row],[pendingCourt]]+TrafficData[[#This Row],[disposedCourt]]=TrafficData[[#This Row],[totalCourt]]</f>
        <v>1</v>
      </c>
      <c r="N3052" s="8" t="b">
        <f>AND(TrafficData[[#This Row],[disposedChallan]]&lt;=TrafficData[[#This Row],[totalChallan]],TrafficData[[#This Row],[pendingChallan]]&lt;=TrafficData[[#This Row],[totalChallan]])</f>
        <v>1</v>
      </c>
      <c r="O3052" s="8" t="b">
        <f>AND(TrafficData[[#This Row],[pendingAmount]]&lt;=TrafficData[[#This Row],[totalAmount]],TrafficData[[#This Row],[disposedAmount]]&lt;=TrafficData[[#This Row],[totalAmount]])</f>
        <v>1</v>
      </c>
      <c r="P3052" s="8" t="b">
        <f>AND(TrafficData[[#This Row],[pendingCourt]]&lt;=TrafficData[[#This Row],[totalCourt]],TrafficData[[#This Row],[disposedCourt]]&lt;=TrafficData[[#This Row],[totalCourt]])</f>
        <v>1</v>
      </c>
    </row>
    <row r="3053" spans="1:16">
      <c r="A3053" s="1">
        <v>45057</v>
      </c>
      <c r="B3053">
        <v>164582</v>
      </c>
      <c r="C3053">
        <v>72525</v>
      </c>
      <c r="D3053">
        <v>92057</v>
      </c>
      <c r="E3053">
        <v>151103205</v>
      </c>
      <c r="F3053">
        <v>111627165</v>
      </c>
      <c r="G3053">
        <v>262730370</v>
      </c>
      <c r="H3053">
        <v>55108</v>
      </c>
      <c r="I3053">
        <v>11253</v>
      </c>
      <c r="J3053">
        <v>66361</v>
      </c>
      <c r="K3053" t="b">
        <f>TrafficData[[#This Row],[disposedChallan]]+TrafficData[[#This Row],[pendingChallan]]=TrafficData[[#This Row],[totalChallan]]</f>
        <v>1</v>
      </c>
      <c r="L3053" t="b">
        <f>TrafficData[[#This Row],[pendingAmount]]+TrafficData[[#This Row],[disposedAmount]]=TrafficData[[#This Row],[totalAmount]]</f>
        <v>1</v>
      </c>
      <c r="M3053" t="b">
        <f>TrafficData[[#This Row],[pendingCourt]]+TrafficData[[#This Row],[disposedCourt]]=TrafficData[[#This Row],[totalCourt]]</f>
        <v>1</v>
      </c>
      <c r="N3053" s="8" t="b">
        <f>AND(TrafficData[[#This Row],[disposedChallan]]&lt;=TrafficData[[#This Row],[totalChallan]],TrafficData[[#This Row],[pendingChallan]]&lt;=TrafficData[[#This Row],[totalChallan]])</f>
        <v>1</v>
      </c>
      <c r="O3053" s="8" t="b">
        <f>AND(TrafficData[[#This Row],[pendingAmount]]&lt;=TrafficData[[#This Row],[totalAmount]],TrafficData[[#This Row],[disposedAmount]]&lt;=TrafficData[[#This Row],[totalAmount]])</f>
        <v>1</v>
      </c>
      <c r="P3053" s="8" t="b">
        <f>AND(TrafficData[[#This Row],[pendingCourt]]&lt;=TrafficData[[#This Row],[totalCourt]],TrafficData[[#This Row],[disposedCourt]]&lt;=TrafficData[[#This Row],[totalCourt]])</f>
        <v>1</v>
      </c>
    </row>
    <row r="3054" spans="1:16">
      <c r="A3054" s="1">
        <v>45058</v>
      </c>
      <c r="B3054">
        <v>178770</v>
      </c>
      <c r="C3054">
        <v>76548</v>
      </c>
      <c r="D3054">
        <v>102222</v>
      </c>
      <c r="E3054">
        <v>170229368</v>
      </c>
      <c r="F3054">
        <v>120904206</v>
      </c>
      <c r="G3054">
        <v>291133574</v>
      </c>
      <c r="H3054">
        <v>62400</v>
      </c>
      <c r="I3054">
        <v>12877</v>
      </c>
      <c r="J3054">
        <v>75277</v>
      </c>
      <c r="K3054" t="b">
        <f>TrafficData[[#This Row],[disposedChallan]]+TrafficData[[#This Row],[pendingChallan]]=TrafficData[[#This Row],[totalChallan]]</f>
        <v>1</v>
      </c>
      <c r="L3054" t="b">
        <f>TrafficData[[#This Row],[pendingAmount]]+TrafficData[[#This Row],[disposedAmount]]=TrafficData[[#This Row],[totalAmount]]</f>
        <v>1</v>
      </c>
      <c r="M3054" t="b">
        <f>TrafficData[[#This Row],[pendingCourt]]+TrafficData[[#This Row],[disposedCourt]]=TrafficData[[#This Row],[totalCourt]]</f>
        <v>1</v>
      </c>
      <c r="N3054" s="8" t="b">
        <f>AND(TrafficData[[#This Row],[disposedChallan]]&lt;=TrafficData[[#This Row],[totalChallan]],TrafficData[[#This Row],[pendingChallan]]&lt;=TrafficData[[#This Row],[totalChallan]])</f>
        <v>1</v>
      </c>
      <c r="O3054" s="8" t="b">
        <f>AND(TrafficData[[#This Row],[pendingAmount]]&lt;=TrafficData[[#This Row],[totalAmount]],TrafficData[[#This Row],[disposedAmount]]&lt;=TrafficData[[#This Row],[totalAmount]])</f>
        <v>1</v>
      </c>
      <c r="P3054" s="8" t="b">
        <f>AND(TrafficData[[#This Row],[pendingCourt]]&lt;=TrafficData[[#This Row],[totalCourt]],TrafficData[[#This Row],[disposedCourt]]&lt;=TrafficData[[#This Row],[totalCourt]])</f>
        <v>1</v>
      </c>
    </row>
    <row r="3055" spans="1:16">
      <c r="A3055" s="1">
        <v>45059</v>
      </c>
      <c r="B3055">
        <v>162041</v>
      </c>
      <c r="C3055">
        <v>75869</v>
      </c>
      <c r="D3055">
        <v>86172</v>
      </c>
      <c r="E3055">
        <v>149382199</v>
      </c>
      <c r="F3055">
        <v>115379530</v>
      </c>
      <c r="G3055">
        <v>264761729</v>
      </c>
      <c r="H3055">
        <v>47674</v>
      </c>
      <c r="I3055">
        <v>11535</v>
      </c>
      <c r="J3055">
        <v>59209</v>
      </c>
      <c r="K3055" t="b">
        <f>TrafficData[[#This Row],[disposedChallan]]+TrafficData[[#This Row],[pendingChallan]]=TrafficData[[#This Row],[totalChallan]]</f>
        <v>1</v>
      </c>
      <c r="L3055" t="b">
        <f>TrafficData[[#This Row],[pendingAmount]]+TrafficData[[#This Row],[disposedAmount]]=TrafficData[[#This Row],[totalAmount]]</f>
        <v>1</v>
      </c>
      <c r="M3055" t="b">
        <f>TrafficData[[#This Row],[pendingCourt]]+TrafficData[[#This Row],[disposedCourt]]=TrafficData[[#This Row],[totalCourt]]</f>
        <v>1</v>
      </c>
      <c r="N3055" s="8" t="b">
        <f>AND(TrafficData[[#This Row],[disposedChallan]]&lt;=TrafficData[[#This Row],[totalChallan]],TrafficData[[#This Row],[pendingChallan]]&lt;=TrafficData[[#This Row],[totalChallan]])</f>
        <v>1</v>
      </c>
      <c r="O3055" s="8" t="b">
        <f>AND(TrafficData[[#This Row],[pendingAmount]]&lt;=TrafficData[[#This Row],[totalAmount]],TrafficData[[#This Row],[disposedAmount]]&lt;=TrafficData[[#This Row],[totalAmount]])</f>
        <v>1</v>
      </c>
      <c r="P3055" s="8" t="b">
        <f>AND(TrafficData[[#This Row],[pendingCourt]]&lt;=TrafficData[[#This Row],[totalCourt]],TrafficData[[#This Row],[disposedCourt]]&lt;=TrafficData[[#This Row],[totalCourt]])</f>
        <v>1</v>
      </c>
    </row>
    <row r="3056" spans="1:16">
      <c r="A3056" s="1">
        <v>45060</v>
      </c>
      <c r="B3056">
        <v>152371</v>
      </c>
      <c r="C3056">
        <v>63445</v>
      </c>
      <c r="D3056">
        <v>88926</v>
      </c>
      <c r="E3056">
        <v>142106773</v>
      </c>
      <c r="F3056">
        <v>87118814</v>
      </c>
      <c r="G3056">
        <v>229225587</v>
      </c>
      <c r="H3056">
        <v>54229</v>
      </c>
      <c r="I3056">
        <v>11551</v>
      </c>
      <c r="J3056">
        <v>65780</v>
      </c>
      <c r="K3056" t="b">
        <f>TrafficData[[#This Row],[disposedChallan]]+TrafficData[[#This Row],[pendingChallan]]=TrafficData[[#This Row],[totalChallan]]</f>
        <v>1</v>
      </c>
      <c r="L3056" t="b">
        <f>TrafficData[[#This Row],[pendingAmount]]+TrafficData[[#This Row],[disposedAmount]]=TrafficData[[#This Row],[totalAmount]]</f>
        <v>1</v>
      </c>
      <c r="M3056" t="b">
        <f>TrafficData[[#This Row],[pendingCourt]]+TrafficData[[#This Row],[disposedCourt]]=TrafficData[[#This Row],[totalCourt]]</f>
        <v>1</v>
      </c>
      <c r="N3056" s="8" t="b">
        <f>AND(TrafficData[[#This Row],[disposedChallan]]&lt;=TrafficData[[#This Row],[totalChallan]],TrafficData[[#This Row],[pendingChallan]]&lt;=TrafficData[[#This Row],[totalChallan]])</f>
        <v>1</v>
      </c>
      <c r="O3056" s="8" t="b">
        <f>AND(TrafficData[[#This Row],[pendingAmount]]&lt;=TrafficData[[#This Row],[totalAmount]],TrafficData[[#This Row],[disposedAmount]]&lt;=TrafficData[[#This Row],[totalAmount]])</f>
        <v>1</v>
      </c>
      <c r="P3056" s="8" t="b">
        <f>AND(TrafficData[[#This Row],[pendingCourt]]&lt;=TrafficData[[#This Row],[totalCourt]],TrafficData[[#This Row],[disposedCourt]]&lt;=TrafficData[[#This Row],[totalCourt]])</f>
        <v>1</v>
      </c>
    </row>
    <row r="3057" spans="1:16">
      <c r="A3057" s="1">
        <v>45061</v>
      </c>
      <c r="B3057">
        <v>178158</v>
      </c>
      <c r="C3057">
        <v>75795</v>
      </c>
      <c r="D3057">
        <v>102363</v>
      </c>
      <c r="E3057">
        <v>175724315</v>
      </c>
      <c r="F3057">
        <v>111492830</v>
      </c>
      <c r="G3057">
        <v>287217145</v>
      </c>
      <c r="H3057">
        <v>64568</v>
      </c>
      <c r="I3057">
        <v>13779</v>
      </c>
      <c r="J3057">
        <v>78347</v>
      </c>
      <c r="K3057" t="b">
        <f>TrafficData[[#This Row],[disposedChallan]]+TrafficData[[#This Row],[pendingChallan]]=TrafficData[[#This Row],[totalChallan]]</f>
        <v>1</v>
      </c>
      <c r="L3057" t="b">
        <f>TrafficData[[#This Row],[pendingAmount]]+TrafficData[[#This Row],[disposedAmount]]=TrafficData[[#This Row],[totalAmount]]</f>
        <v>1</v>
      </c>
      <c r="M3057" t="b">
        <f>TrafficData[[#This Row],[pendingCourt]]+TrafficData[[#This Row],[disposedCourt]]=TrafficData[[#This Row],[totalCourt]]</f>
        <v>1</v>
      </c>
      <c r="N3057" s="8" t="b">
        <f>AND(TrafficData[[#This Row],[disposedChallan]]&lt;=TrafficData[[#This Row],[totalChallan]],TrafficData[[#This Row],[pendingChallan]]&lt;=TrafficData[[#This Row],[totalChallan]])</f>
        <v>1</v>
      </c>
      <c r="O3057" s="8" t="b">
        <f>AND(TrafficData[[#This Row],[pendingAmount]]&lt;=TrafficData[[#This Row],[totalAmount]],TrafficData[[#This Row],[disposedAmount]]&lt;=TrafficData[[#This Row],[totalAmount]])</f>
        <v>1</v>
      </c>
      <c r="P3057" s="8" t="b">
        <f>AND(TrafficData[[#This Row],[pendingCourt]]&lt;=TrafficData[[#This Row],[totalCourt]],TrafficData[[#This Row],[disposedCourt]]&lt;=TrafficData[[#This Row],[totalCourt]])</f>
        <v>1</v>
      </c>
    </row>
    <row r="3058" spans="1:16">
      <c r="A3058" s="1">
        <v>45062</v>
      </c>
      <c r="B3058">
        <v>182786</v>
      </c>
      <c r="C3058">
        <v>77428</v>
      </c>
      <c r="D3058">
        <v>105358</v>
      </c>
      <c r="E3058">
        <v>174445622</v>
      </c>
      <c r="F3058">
        <v>123325497</v>
      </c>
      <c r="G3058">
        <v>297771119</v>
      </c>
      <c r="H3058">
        <v>64098</v>
      </c>
      <c r="I3058">
        <v>12860</v>
      </c>
      <c r="J3058">
        <v>76958</v>
      </c>
      <c r="K3058" t="b">
        <f>TrafficData[[#This Row],[disposedChallan]]+TrafficData[[#This Row],[pendingChallan]]=TrafficData[[#This Row],[totalChallan]]</f>
        <v>1</v>
      </c>
      <c r="L3058" t="b">
        <f>TrafficData[[#This Row],[pendingAmount]]+TrafficData[[#This Row],[disposedAmount]]=TrafficData[[#This Row],[totalAmount]]</f>
        <v>1</v>
      </c>
      <c r="M3058" t="b">
        <f>TrafficData[[#This Row],[pendingCourt]]+TrafficData[[#This Row],[disposedCourt]]=TrafficData[[#This Row],[totalCourt]]</f>
        <v>1</v>
      </c>
      <c r="N3058" s="8" t="b">
        <f>AND(TrafficData[[#This Row],[disposedChallan]]&lt;=TrafficData[[#This Row],[totalChallan]],TrafficData[[#This Row],[pendingChallan]]&lt;=TrafficData[[#This Row],[totalChallan]])</f>
        <v>1</v>
      </c>
      <c r="O3058" s="8" t="b">
        <f>AND(TrafficData[[#This Row],[pendingAmount]]&lt;=TrafficData[[#This Row],[totalAmount]],TrafficData[[#This Row],[disposedAmount]]&lt;=TrafficData[[#This Row],[totalAmount]])</f>
        <v>1</v>
      </c>
      <c r="P3058" s="8" t="b">
        <f>AND(TrafficData[[#This Row],[pendingCourt]]&lt;=TrafficData[[#This Row],[totalCourt]],TrafficData[[#This Row],[disposedCourt]]&lt;=TrafficData[[#This Row],[totalCourt]])</f>
        <v>1</v>
      </c>
    </row>
    <row r="3059" spans="1:16">
      <c r="A3059" s="1">
        <v>45063</v>
      </c>
      <c r="B3059">
        <v>187855</v>
      </c>
      <c r="C3059">
        <v>80245</v>
      </c>
      <c r="D3059">
        <v>107610</v>
      </c>
      <c r="E3059">
        <v>181134106</v>
      </c>
      <c r="F3059">
        <v>134614587</v>
      </c>
      <c r="G3059">
        <v>315748693</v>
      </c>
      <c r="H3059">
        <v>65050</v>
      </c>
      <c r="I3059">
        <v>14004</v>
      </c>
      <c r="J3059">
        <v>79054</v>
      </c>
      <c r="K3059" t="b">
        <f>TrafficData[[#This Row],[disposedChallan]]+TrafficData[[#This Row],[pendingChallan]]=TrafficData[[#This Row],[totalChallan]]</f>
        <v>1</v>
      </c>
      <c r="L3059" t="b">
        <f>TrafficData[[#This Row],[pendingAmount]]+TrafficData[[#This Row],[disposedAmount]]=TrafficData[[#This Row],[totalAmount]]</f>
        <v>1</v>
      </c>
      <c r="M3059" t="b">
        <f>TrafficData[[#This Row],[pendingCourt]]+TrafficData[[#This Row],[disposedCourt]]=TrafficData[[#This Row],[totalCourt]]</f>
        <v>1</v>
      </c>
      <c r="N3059" s="8" t="b">
        <f>AND(TrafficData[[#This Row],[disposedChallan]]&lt;=TrafficData[[#This Row],[totalChallan]],TrafficData[[#This Row],[pendingChallan]]&lt;=TrafficData[[#This Row],[totalChallan]])</f>
        <v>1</v>
      </c>
      <c r="O3059" s="8" t="b">
        <f>AND(TrafficData[[#This Row],[pendingAmount]]&lt;=TrafficData[[#This Row],[totalAmount]],TrafficData[[#This Row],[disposedAmount]]&lt;=TrafficData[[#This Row],[totalAmount]])</f>
        <v>1</v>
      </c>
      <c r="P3059" s="8" t="b">
        <f>AND(TrafficData[[#This Row],[pendingCourt]]&lt;=TrafficData[[#This Row],[totalCourt]],TrafficData[[#This Row],[disposedCourt]]&lt;=TrafficData[[#This Row],[totalCourt]])</f>
        <v>1</v>
      </c>
    </row>
    <row r="3060" spans="1:16">
      <c r="A3060" s="1">
        <v>45064</v>
      </c>
      <c r="B3060">
        <v>198645</v>
      </c>
      <c r="C3060">
        <v>82764</v>
      </c>
      <c r="D3060">
        <v>115881</v>
      </c>
      <c r="E3060">
        <v>192025165</v>
      </c>
      <c r="F3060">
        <v>133539273</v>
      </c>
      <c r="G3060">
        <v>325564438</v>
      </c>
      <c r="H3060">
        <v>70732</v>
      </c>
      <c r="I3060">
        <v>15250</v>
      </c>
      <c r="J3060">
        <v>85982</v>
      </c>
      <c r="K3060" t="b">
        <f>TrafficData[[#This Row],[disposedChallan]]+TrafficData[[#This Row],[pendingChallan]]=TrafficData[[#This Row],[totalChallan]]</f>
        <v>1</v>
      </c>
      <c r="L3060" t="b">
        <f>TrafficData[[#This Row],[pendingAmount]]+TrafficData[[#This Row],[disposedAmount]]=TrafficData[[#This Row],[totalAmount]]</f>
        <v>1</v>
      </c>
      <c r="M3060" t="b">
        <f>TrafficData[[#This Row],[pendingCourt]]+TrafficData[[#This Row],[disposedCourt]]=TrafficData[[#This Row],[totalCourt]]</f>
        <v>1</v>
      </c>
      <c r="N3060" s="8" t="b">
        <f>AND(TrafficData[[#This Row],[disposedChallan]]&lt;=TrafficData[[#This Row],[totalChallan]],TrafficData[[#This Row],[pendingChallan]]&lt;=TrafficData[[#This Row],[totalChallan]])</f>
        <v>1</v>
      </c>
      <c r="O3060" s="8" t="b">
        <f>AND(TrafficData[[#This Row],[pendingAmount]]&lt;=TrafficData[[#This Row],[totalAmount]],TrafficData[[#This Row],[disposedAmount]]&lt;=TrafficData[[#This Row],[totalAmount]])</f>
        <v>1</v>
      </c>
      <c r="P3060" s="8" t="b">
        <f>AND(TrafficData[[#This Row],[pendingCourt]]&lt;=TrafficData[[#This Row],[totalCourt]],TrafficData[[#This Row],[disposedCourt]]&lt;=TrafficData[[#This Row],[totalCourt]])</f>
        <v>1</v>
      </c>
    </row>
    <row r="3061" spans="1:16">
      <c r="A3061" s="1">
        <v>45065</v>
      </c>
      <c r="B3061">
        <v>194146</v>
      </c>
      <c r="C3061">
        <v>80360</v>
      </c>
      <c r="D3061">
        <v>113786</v>
      </c>
      <c r="E3061">
        <v>194934351</v>
      </c>
      <c r="F3061">
        <v>129321559</v>
      </c>
      <c r="G3061">
        <v>324255910</v>
      </c>
      <c r="H3061">
        <v>71202</v>
      </c>
      <c r="I3061">
        <v>14360</v>
      </c>
      <c r="J3061">
        <v>85562</v>
      </c>
      <c r="K3061" t="b">
        <f>TrafficData[[#This Row],[disposedChallan]]+TrafficData[[#This Row],[pendingChallan]]=TrafficData[[#This Row],[totalChallan]]</f>
        <v>1</v>
      </c>
      <c r="L3061" t="b">
        <f>TrafficData[[#This Row],[pendingAmount]]+TrafficData[[#This Row],[disposedAmount]]=TrafficData[[#This Row],[totalAmount]]</f>
        <v>1</v>
      </c>
      <c r="M3061" t="b">
        <f>TrafficData[[#This Row],[pendingCourt]]+TrafficData[[#This Row],[disposedCourt]]=TrafficData[[#This Row],[totalCourt]]</f>
        <v>1</v>
      </c>
      <c r="N3061" s="8" t="b">
        <f>AND(TrafficData[[#This Row],[disposedChallan]]&lt;=TrafficData[[#This Row],[totalChallan]],TrafficData[[#This Row],[pendingChallan]]&lt;=TrafficData[[#This Row],[totalChallan]])</f>
        <v>1</v>
      </c>
      <c r="O3061" s="8" t="b">
        <f>AND(TrafficData[[#This Row],[pendingAmount]]&lt;=TrafficData[[#This Row],[totalAmount]],TrafficData[[#This Row],[disposedAmount]]&lt;=TrafficData[[#This Row],[totalAmount]])</f>
        <v>1</v>
      </c>
      <c r="P3061" s="8" t="b">
        <f>AND(TrafficData[[#This Row],[pendingCourt]]&lt;=TrafficData[[#This Row],[totalCourt]],TrafficData[[#This Row],[disposedCourt]]&lt;=TrafficData[[#This Row],[totalCourt]])</f>
        <v>1</v>
      </c>
    </row>
    <row r="3062" spans="1:16">
      <c r="A3062" s="1">
        <v>45066</v>
      </c>
      <c r="B3062">
        <v>188824</v>
      </c>
      <c r="C3062">
        <v>80150</v>
      </c>
      <c r="D3062">
        <v>108674</v>
      </c>
      <c r="E3062">
        <v>178791563</v>
      </c>
      <c r="F3062">
        <v>116464372</v>
      </c>
      <c r="G3062">
        <v>295255935</v>
      </c>
      <c r="H3062">
        <v>68639</v>
      </c>
      <c r="I3062">
        <v>14569</v>
      </c>
      <c r="J3062">
        <v>83208</v>
      </c>
      <c r="K3062" t="b">
        <f>TrafficData[[#This Row],[disposedChallan]]+TrafficData[[#This Row],[pendingChallan]]=TrafficData[[#This Row],[totalChallan]]</f>
        <v>1</v>
      </c>
      <c r="L3062" t="b">
        <f>TrafficData[[#This Row],[pendingAmount]]+TrafficData[[#This Row],[disposedAmount]]=TrafficData[[#This Row],[totalAmount]]</f>
        <v>1</v>
      </c>
      <c r="M3062" t="b">
        <f>TrafficData[[#This Row],[pendingCourt]]+TrafficData[[#This Row],[disposedCourt]]=TrafficData[[#This Row],[totalCourt]]</f>
        <v>1</v>
      </c>
      <c r="N3062" s="8" t="b">
        <f>AND(TrafficData[[#This Row],[disposedChallan]]&lt;=TrafficData[[#This Row],[totalChallan]],TrafficData[[#This Row],[pendingChallan]]&lt;=TrafficData[[#This Row],[totalChallan]])</f>
        <v>1</v>
      </c>
      <c r="O3062" s="8" t="b">
        <f>AND(TrafficData[[#This Row],[pendingAmount]]&lt;=TrafficData[[#This Row],[totalAmount]],TrafficData[[#This Row],[disposedAmount]]&lt;=TrafficData[[#This Row],[totalAmount]])</f>
        <v>1</v>
      </c>
      <c r="P3062" s="8" t="b">
        <f>AND(TrafficData[[#This Row],[pendingCourt]]&lt;=TrafficData[[#This Row],[totalCourt]],TrafficData[[#This Row],[disposedCourt]]&lt;=TrafficData[[#This Row],[totalCourt]])</f>
        <v>1</v>
      </c>
    </row>
    <row r="3063" spans="1:16">
      <c r="A3063" s="1">
        <v>45067</v>
      </c>
      <c r="B3063">
        <v>168373</v>
      </c>
      <c r="C3063">
        <v>67151</v>
      </c>
      <c r="D3063">
        <v>101222</v>
      </c>
      <c r="E3063">
        <v>165123883</v>
      </c>
      <c r="F3063">
        <v>88176641</v>
      </c>
      <c r="G3063">
        <v>253300524</v>
      </c>
      <c r="H3063">
        <v>64707</v>
      </c>
      <c r="I3063">
        <v>13555</v>
      </c>
      <c r="J3063">
        <v>78262</v>
      </c>
      <c r="K3063" t="b">
        <f>TrafficData[[#This Row],[disposedChallan]]+TrafficData[[#This Row],[pendingChallan]]=TrafficData[[#This Row],[totalChallan]]</f>
        <v>1</v>
      </c>
      <c r="L3063" t="b">
        <f>TrafficData[[#This Row],[pendingAmount]]+TrafficData[[#This Row],[disposedAmount]]=TrafficData[[#This Row],[totalAmount]]</f>
        <v>1</v>
      </c>
      <c r="M3063" t="b">
        <f>TrafficData[[#This Row],[pendingCourt]]+TrafficData[[#This Row],[disposedCourt]]=TrafficData[[#This Row],[totalCourt]]</f>
        <v>1</v>
      </c>
      <c r="N3063" s="8" t="b">
        <f>AND(TrafficData[[#This Row],[disposedChallan]]&lt;=TrafficData[[#This Row],[totalChallan]],TrafficData[[#This Row],[pendingChallan]]&lt;=TrafficData[[#This Row],[totalChallan]])</f>
        <v>1</v>
      </c>
      <c r="O3063" s="8" t="b">
        <f>AND(TrafficData[[#This Row],[pendingAmount]]&lt;=TrafficData[[#This Row],[totalAmount]],TrafficData[[#This Row],[disposedAmount]]&lt;=TrafficData[[#This Row],[totalAmount]])</f>
        <v>1</v>
      </c>
      <c r="P3063" s="8" t="b">
        <f>AND(TrafficData[[#This Row],[pendingCourt]]&lt;=TrafficData[[#This Row],[totalCourt]],TrafficData[[#This Row],[disposedCourt]]&lt;=TrafficData[[#This Row],[totalCourt]])</f>
        <v>1</v>
      </c>
    </row>
    <row r="3064" spans="1:16">
      <c r="A3064" s="1">
        <v>45068</v>
      </c>
      <c r="B3064">
        <v>194499</v>
      </c>
      <c r="C3064">
        <v>78435</v>
      </c>
      <c r="D3064">
        <v>116064</v>
      </c>
      <c r="E3064">
        <v>184665279</v>
      </c>
      <c r="F3064">
        <v>107922665</v>
      </c>
      <c r="G3064">
        <v>292587944</v>
      </c>
      <c r="H3064">
        <v>74331</v>
      </c>
      <c r="I3064">
        <v>14711</v>
      </c>
      <c r="J3064">
        <v>89042</v>
      </c>
      <c r="K3064" t="b">
        <f>TrafficData[[#This Row],[disposedChallan]]+TrafficData[[#This Row],[pendingChallan]]=TrafficData[[#This Row],[totalChallan]]</f>
        <v>1</v>
      </c>
      <c r="L3064" t="b">
        <f>TrafficData[[#This Row],[pendingAmount]]+TrafficData[[#This Row],[disposedAmount]]=TrafficData[[#This Row],[totalAmount]]</f>
        <v>1</v>
      </c>
      <c r="M3064" t="b">
        <f>TrafficData[[#This Row],[pendingCourt]]+TrafficData[[#This Row],[disposedCourt]]=TrafficData[[#This Row],[totalCourt]]</f>
        <v>1</v>
      </c>
      <c r="N3064" s="8" t="b">
        <f>AND(TrafficData[[#This Row],[disposedChallan]]&lt;=TrafficData[[#This Row],[totalChallan]],TrafficData[[#This Row],[pendingChallan]]&lt;=TrafficData[[#This Row],[totalChallan]])</f>
        <v>1</v>
      </c>
      <c r="O3064" s="8" t="b">
        <f>AND(TrafficData[[#This Row],[pendingAmount]]&lt;=TrafficData[[#This Row],[totalAmount]],TrafficData[[#This Row],[disposedAmount]]&lt;=TrafficData[[#This Row],[totalAmount]])</f>
        <v>1</v>
      </c>
      <c r="P3064" s="8" t="b">
        <f>AND(TrafficData[[#This Row],[pendingCourt]]&lt;=TrafficData[[#This Row],[totalCourt]],TrafficData[[#This Row],[disposedCourt]]&lt;=TrafficData[[#This Row],[totalCourt]])</f>
        <v>1</v>
      </c>
    </row>
    <row r="3065" spans="1:16">
      <c r="A3065" s="1">
        <v>45069</v>
      </c>
      <c r="B3065">
        <v>191263</v>
      </c>
      <c r="C3065">
        <v>78550</v>
      </c>
      <c r="D3065">
        <v>112713</v>
      </c>
      <c r="E3065">
        <v>197996506</v>
      </c>
      <c r="F3065">
        <v>125872258</v>
      </c>
      <c r="G3065">
        <v>323868764</v>
      </c>
      <c r="H3065">
        <v>73801</v>
      </c>
      <c r="I3065">
        <v>14526</v>
      </c>
      <c r="J3065">
        <v>88327</v>
      </c>
      <c r="K3065" t="b">
        <f>TrafficData[[#This Row],[disposedChallan]]+TrafficData[[#This Row],[pendingChallan]]=TrafficData[[#This Row],[totalChallan]]</f>
        <v>1</v>
      </c>
      <c r="L3065" t="b">
        <f>TrafficData[[#This Row],[pendingAmount]]+TrafficData[[#This Row],[disposedAmount]]=TrafficData[[#This Row],[totalAmount]]</f>
        <v>1</v>
      </c>
      <c r="M3065" t="b">
        <f>TrafficData[[#This Row],[pendingCourt]]+TrafficData[[#This Row],[disposedCourt]]=TrafficData[[#This Row],[totalCourt]]</f>
        <v>1</v>
      </c>
      <c r="N3065" s="8" t="b">
        <f>AND(TrafficData[[#This Row],[disposedChallan]]&lt;=TrafficData[[#This Row],[totalChallan]],TrafficData[[#This Row],[pendingChallan]]&lt;=TrafficData[[#This Row],[totalChallan]])</f>
        <v>1</v>
      </c>
      <c r="O3065" s="8" t="b">
        <f>AND(TrafficData[[#This Row],[pendingAmount]]&lt;=TrafficData[[#This Row],[totalAmount]],TrafficData[[#This Row],[disposedAmount]]&lt;=TrafficData[[#This Row],[totalAmount]])</f>
        <v>1</v>
      </c>
      <c r="P3065" s="8" t="b">
        <f>AND(TrafficData[[#This Row],[pendingCourt]]&lt;=TrafficData[[#This Row],[totalCourt]],TrafficData[[#This Row],[disposedCourt]]&lt;=TrafficData[[#This Row],[totalCourt]])</f>
        <v>1</v>
      </c>
    </row>
    <row r="3066" spans="1:16">
      <c r="A3066" s="1">
        <v>45070</v>
      </c>
      <c r="B3066">
        <v>201687</v>
      </c>
      <c r="C3066">
        <v>83182</v>
      </c>
      <c r="D3066">
        <v>118505</v>
      </c>
      <c r="E3066">
        <v>202653715</v>
      </c>
      <c r="F3066">
        <v>136022240</v>
      </c>
      <c r="G3066">
        <v>338675955</v>
      </c>
      <c r="H3066">
        <v>77696</v>
      </c>
      <c r="I3066">
        <v>15427</v>
      </c>
      <c r="J3066">
        <v>93123</v>
      </c>
      <c r="K3066" t="b">
        <f>TrafficData[[#This Row],[disposedChallan]]+TrafficData[[#This Row],[pendingChallan]]=TrafficData[[#This Row],[totalChallan]]</f>
        <v>1</v>
      </c>
      <c r="L3066" t="b">
        <f>TrafficData[[#This Row],[pendingAmount]]+TrafficData[[#This Row],[disposedAmount]]=TrafficData[[#This Row],[totalAmount]]</f>
        <v>1</v>
      </c>
      <c r="M3066" t="b">
        <f>TrafficData[[#This Row],[pendingCourt]]+TrafficData[[#This Row],[disposedCourt]]=TrafficData[[#This Row],[totalCourt]]</f>
        <v>1</v>
      </c>
      <c r="N3066" s="8" t="b">
        <f>AND(TrafficData[[#This Row],[disposedChallan]]&lt;=TrafficData[[#This Row],[totalChallan]],TrafficData[[#This Row],[pendingChallan]]&lt;=TrafficData[[#This Row],[totalChallan]])</f>
        <v>1</v>
      </c>
      <c r="O3066" s="8" t="b">
        <f>AND(TrafficData[[#This Row],[pendingAmount]]&lt;=TrafficData[[#This Row],[totalAmount]],TrafficData[[#This Row],[disposedAmount]]&lt;=TrafficData[[#This Row],[totalAmount]])</f>
        <v>1</v>
      </c>
      <c r="P3066" s="8" t="b">
        <f>AND(TrafficData[[#This Row],[pendingCourt]]&lt;=TrafficData[[#This Row],[totalCourt]],TrafficData[[#This Row],[disposedCourt]]&lt;=TrafficData[[#This Row],[totalCourt]])</f>
        <v>1</v>
      </c>
    </row>
    <row r="3067" spans="1:16">
      <c r="A3067" s="1">
        <v>45071</v>
      </c>
      <c r="B3067">
        <v>196641</v>
      </c>
      <c r="C3067">
        <v>81383</v>
      </c>
      <c r="D3067">
        <v>115258</v>
      </c>
      <c r="E3067">
        <v>199917710</v>
      </c>
      <c r="F3067">
        <v>125463876</v>
      </c>
      <c r="G3067">
        <v>325381586</v>
      </c>
      <c r="H3067">
        <v>75367</v>
      </c>
      <c r="I3067">
        <v>15138</v>
      </c>
      <c r="J3067">
        <v>90505</v>
      </c>
      <c r="K3067" t="b">
        <f>TrafficData[[#This Row],[disposedChallan]]+TrafficData[[#This Row],[pendingChallan]]=TrafficData[[#This Row],[totalChallan]]</f>
        <v>1</v>
      </c>
      <c r="L3067" t="b">
        <f>TrafficData[[#This Row],[pendingAmount]]+TrafficData[[#This Row],[disposedAmount]]=TrafficData[[#This Row],[totalAmount]]</f>
        <v>1</v>
      </c>
      <c r="M3067" t="b">
        <f>TrafficData[[#This Row],[pendingCourt]]+TrafficData[[#This Row],[disposedCourt]]=TrafficData[[#This Row],[totalCourt]]</f>
        <v>1</v>
      </c>
      <c r="N3067" s="8" t="b">
        <f>AND(TrafficData[[#This Row],[disposedChallan]]&lt;=TrafficData[[#This Row],[totalChallan]],TrafficData[[#This Row],[pendingChallan]]&lt;=TrafficData[[#This Row],[totalChallan]])</f>
        <v>1</v>
      </c>
      <c r="O3067" s="8" t="b">
        <f>AND(TrafficData[[#This Row],[pendingAmount]]&lt;=TrafficData[[#This Row],[totalAmount]],TrafficData[[#This Row],[disposedAmount]]&lt;=TrafficData[[#This Row],[totalAmount]])</f>
        <v>1</v>
      </c>
      <c r="P3067" s="8" t="b">
        <f>AND(TrafficData[[#This Row],[pendingCourt]]&lt;=TrafficData[[#This Row],[totalCourt]],TrafficData[[#This Row],[disposedCourt]]&lt;=TrafficData[[#This Row],[totalCourt]])</f>
        <v>1</v>
      </c>
    </row>
    <row r="3068" spans="1:16">
      <c r="A3068" s="1">
        <v>45072</v>
      </c>
      <c r="B3068">
        <v>198245</v>
      </c>
      <c r="C3068">
        <v>83054</v>
      </c>
      <c r="D3068">
        <v>115191</v>
      </c>
      <c r="E3068">
        <v>202901153</v>
      </c>
      <c r="F3068">
        <v>125478062</v>
      </c>
      <c r="G3068">
        <v>328379215</v>
      </c>
      <c r="H3068">
        <v>75818</v>
      </c>
      <c r="I3068">
        <v>15750</v>
      </c>
      <c r="J3068">
        <v>91568</v>
      </c>
      <c r="K3068" t="b">
        <f>TrafficData[[#This Row],[disposedChallan]]+TrafficData[[#This Row],[pendingChallan]]=TrafficData[[#This Row],[totalChallan]]</f>
        <v>1</v>
      </c>
      <c r="L3068" t="b">
        <f>TrafficData[[#This Row],[pendingAmount]]+TrafficData[[#This Row],[disposedAmount]]=TrafficData[[#This Row],[totalAmount]]</f>
        <v>1</v>
      </c>
      <c r="M3068" t="b">
        <f>TrafficData[[#This Row],[pendingCourt]]+TrafficData[[#This Row],[disposedCourt]]=TrafficData[[#This Row],[totalCourt]]</f>
        <v>1</v>
      </c>
      <c r="N3068" s="8" t="b">
        <f>AND(TrafficData[[#This Row],[disposedChallan]]&lt;=TrafficData[[#This Row],[totalChallan]],TrafficData[[#This Row],[pendingChallan]]&lt;=TrafficData[[#This Row],[totalChallan]])</f>
        <v>1</v>
      </c>
      <c r="O3068" s="8" t="b">
        <f>AND(TrafficData[[#This Row],[pendingAmount]]&lt;=TrafficData[[#This Row],[totalAmount]],TrafficData[[#This Row],[disposedAmount]]&lt;=TrafficData[[#This Row],[totalAmount]])</f>
        <v>1</v>
      </c>
      <c r="P3068" s="8" t="b">
        <f>AND(TrafficData[[#This Row],[pendingCourt]]&lt;=TrafficData[[#This Row],[totalCourt]],TrafficData[[#This Row],[disposedCourt]]&lt;=TrafficData[[#This Row],[totalCourt]])</f>
        <v>1</v>
      </c>
    </row>
    <row r="3069" spans="1:16">
      <c r="A3069" s="1">
        <v>45073</v>
      </c>
      <c r="B3069">
        <v>187116</v>
      </c>
      <c r="C3069">
        <v>79737</v>
      </c>
      <c r="D3069">
        <v>107379</v>
      </c>
      <c r="E3069">
        <v>179788279</v>
      </c>
      <c r="F3069">
        <v>118305880</v>
      </c>
      <c r="G3069">
        <v>298094159</v>
      </c>
      <c r="H3069">
        <v>66629</v>
      </c>
      <c r="I3069">
        <v>14729</v>
      </c>
      <c r="J3069">
        <v>81358</v>
      </c>
      <c r="K3069" t="b">
        <f>TrafficData[[#This Row],[disposedChallan]]+TrafficData[[#This Row],[pendingChallan]]=TrafficData[[#This Row],[totalChallan]]</f>
        <v>1</v>
      </c>
      <c r="L3069" t="b">
        <f>TrafficData[[#This Row],[pendingAmount]]+TrafficData[[#This Row],[disposedAmount]]=TrafficData[[#This Row],[totalAmount]]</f>
        <v>1</v>
      </c>
      <c r="M3069" t="b">
        <f>TrafficData[[#This Row],[pendingCourt]]+TrafficData[[#This Row],[disposedCourt]]=TrafficData[[#This Row],[totalCourt]]</f>
        <v>1</v>
      </c>
      <c r="N3069" s="8" t="b">
        <f>AND(TrafficData[[#This Row],[disposedChallan]]&lt;=TrafficData[[#This Row],[totalChallan]],TrafficData[[#This Row],[pendingChallan]]&lt;=TrafficData[[#This Row],[totalChallan]])</f>
        <v>1</v>
      </c>
      <c r="O3069" s="8" t="b">
        <f>AND(TrafficData[[#This Row],[pendingAmount]]&lt;=TrafficData[[#This Row],[totalAmount]],TrafficData[[#This Row],[disposedAmount]]&lt;=TrafficData[[#This Row],[totalAmount]])</f>
        <v>1</v>
      </c>
      <c r="P3069" s="8" t="b">
        <f>AND(TrafficData[[#This Row],[pendingCourt]]&lt;=TrafficData[[#This Row],[totalCourt]],TrafficData[[#This Row],[disposedCourt]]&lt;=TrafficData[[#This Row],[totalCourt]])</f>
        <v>1</v>
      </c>
    </row>
    <row r="3070" spans="1:16">
      <c r="A3070" s="1">
        <v>45074</v>
      </c>
      <c r="B3070">
        <v>168768</v>
      </c>
      <c r="C3070">
        <v>67492</v>
      </c>
      <c r="D3070">
        <v>101276</v>
      </c>
      <c r="E3070">
        <v>165368609</v>
      </c>
      <c r="F3070">
        <v>82501336</v>
      </c>
      <c r="G3070">
        <v>247869945</v>
      </c>
      <c r="H3070">
        <v>63111</v>
      </c>
      <c r="I3070">
        <v>12988</v>
      </c>
      <c r="J3070">
        <v>76099</v>
      </c>
      <c r="K3070" t="b">
        <f>TrafficData[[#This Row],[disposedChallan]]+TrafficData[[#This Row],[pendingChallan]]=TrafficData[[#This Row],[totalChallan]]</f>
        <v>1</v>
      </c>
      <c r="L3070" t="b">
        <f>TrafficData[[#This Row],[pendingAmount]]+TrafficData[[#This Row],[disposedAmount]]=TrafficData[[#This Row],[totalAmount]]</f>
        <v>1</v>
      </c>
      <c r="M3070" t="b">
        <f>TrafficData[[#This Row],[pendingCourt]]+TrafficData[[#This Row],[disposedCourt]]=TrafficData[[#This Row],[totalCourt]]</f>
        <v>1</v>
      </c>
      <c r="N3070" s="8" t="b">
        <f>AND(TrafficData[[#This Row],[disposedChallan]]&lt;=TrafficData[[#This Row],[totalChallan]],TrafficData[[#This Row],[pendingChallan]]&lt;=TrafficData[[#This Row],[totalChallan]])</f>
        <v>1</v>
      </c>
      <c r="O3070" s="8" t="b">
        <f>AND(TrafficData[[#This Row],[pendingAmount]]&lt;=TrafficData[[#This Row],[totalAmount]],TrafficData[[#This Row],[disposedAmount]]&lt;=TrafficData[[#This Row],[totalAmount]])</f>
        <v>1</v>
      </c>
      <c r="P3070" s="8" t="b">
        <f>AND(TrafficData[[#This Row],[pendingCourt]]&lt;=TrafficData[[#This Row],[totalCourt]],TrafficData[[#This Row],[disposedCourt]]&lt;=TrafficData[[#This Row],[totalCourt]])</f>
        <v>1</v>
      </c>
    </row>
    <row r="3071" spans="1:16">
      <c r="A3071" s="1">
        <v>45075</v>
      </c>
      <c r="B3071">
        <v>191428</v>
      </c>
      <c r="C3071">
        <v>78245</v>
      </c>
      <c r="D3071">
        <v>113183</v>
      </c>
      <c r="E3071">
        <v>189903044</v>
      </c>
      <c r="F3071">
        <v>109393081</v>
      </c>
      <c r="G3071">
        <v>299296125</v>
      </c>
      <c r="H3071">
        <v>71480</v>
      </c>
      <c r="I3071">
        <v>14498</v>
      </c>
      <c r="J3071">
        <v>85978</v>
      </c>
      <c r="K3071" t="b">
        <f>TrafficData[[#This Row],[disposedChallan]]+TrafficData[[#This Row],[pendingChallan]]=TrafficData[[#This Row],[totalChallan]]</f>
        <v>1</v>
      </c>
      <c r="L3071" t="b">
        <f>TrafficData[[#This Row],[pendingAmount]]+TrafficData[[#This Row],[disposedAmount]]=TrafficData[[#This Row],[totalAmount]]</f>
        <v>1</v>
      </c>
      <c r="M3071" t="b">
        <f>TrafficData[[#This Row],[pendingCourt]]+TrafficData[[#This Row],[disposedCourt]]=TrafficData[[#This Row],[totalCourt]]</f>
        <v>1</v>
      </c>
      <c r="N3071" s="8" t="b">
        <f>AND(TrafficData[[#This Row],[disposedChallan]]&lt;=TrafficData[[#This Row],[totalChallan]],TrafficData[[#This Row],[pendingChallan]]&lt;=TrafficData[[#This Row],[totalChallan]])</f>
        <v>1</v>
      </c>
      <c r="O3071" s="8" t="b">
        <f>AND(TrafficData[[#This Row],[pendingAmount]]&lt;=TrafficData[[#This Row],[totalAmount]],TrafficData[[#This Row],[disposedAmount]]&lt;=TrafficData[[#This Row],[totalAmount]])</f>
        <v>1</v>
      </c>
      <c r="P3071" s="8" t="b">
        <f>AND(TrafficData[[#This Row],[pendingCourt]]&lt;=TrafficData[[#This Row],[totalCourt]],TrafficData[[#This Row],[disposedCourt]]&lt;=TrafficData[[#This Row],[totalCourt]])</f>
        <v>1</v>
      </c>
    </row>
    <row r="3072" spans="1:16">
      <c r="A3072" s="1">
        <v>45076</v>
      </c>
      <c r="B3072">
        <v>189145</v>
      </c>
      <c r="C3072">
        <v>77102</v>
      </c>
      <c r="D3072">
        <v>112043</v>
      </c>
      <c r="E3072">
        <v>190906781</v>
      </c>
      <c r="F3072">
        <v>113125971</v>
      </c>
      <c r="G3072">
        <v>304032752</v>
      </c>
      <c r="H3072">
        <v>68908</v>
      </c>
      <c r="I3072">
        <v>14021</v>
      </c>
      <c r="J3072">
        <v>82929</v>
      </c>
      <c r="K3072" t="b">
        <f>TrafficData[[#This Row],[disposedChallan]]+TrafficData[[#This Row],[pendingChallan]]=TrafficData[[#This Row],[totalChallan]]</f>
        <v>1</v>
      </c>
      <c r="L3072" t="b">
        <f>TrafficData[[#This Row],[pendingAmount]]+TrafficData[[#This Row],[disposedAmount]]=TrafficData[[#This Row],[totalAmount]]</f>
        <v>1</v>
      </c>
      <c r="M3072" t="b">
        <f>TrafficData[[#This Row],[pendingCourt]]+TrafficData[[#This Row],[disposedCourt]]=TrafficData[[#This Row],[totalCourt]]</f>
        <v>1</v>
      </c>
      <c r="N3072" s="8" t="b">
        <f>AND(TrafficData[[#This Row],[disposedChallan]]&lt;=TrafficData[[#This Row],[totalChallan]],TrafficData[[#This Row],[pendingChallan]]&lt;=TrafficData[[#This Row],[totalChallan]])</f>
        <v>1</v>
      </c>
      <c r="O3072" s="8" t="b">
        <f>AND(TrafficData[[#This Row],[pendingAmount]]&lt;=TrafficData[[#This Row],[totalAmount]],TrafficData[[#This Row],[disposedAmount]]&lt;=TrafficData[[#This Row],[totalAmount]])</f>
        <v>1</v>
      </c>
      <c r="P3072" s="8" t="b">
        <f>AND(TrafficData[[#This Row],[pendingCourt]]&lt;=TrafficData[[#This Row],[totalCourt]],TrafficData[[#This Row],[disposedCourt]]&lt;=TrafficData[[#This Row],[totalCourt]])</f>
        <v>1</v>
      </c>
    </row>
    <row r="3073" spans="1:16">
      <c r="A3073" s="1">
        <v>45077</v>
      </c>
      <c r="B3073">
        <v>174482</v>
      </c>
      <c r="C3073">
        <v>71701</v>
      </c>
      <c r="D3073">
        <v>102781</v>
      </c>
      <c r="E3073">
        <v>176732919</v>
      </c>
      <c r="F3073">
        <v>156402926</v>
      </c>
      <c r="G3073">
        <v>333135845</v>
      </c>
      <c r="H3073">
        <v>65646</v>
      </c>
      <c r="I3073">
        <v>13096</v>
      </c>
      <c r="J3073">
        <v>78742</v>
      </c>
      <c r="K3073" t="b">
        <f>TrafficData[[#This Row],[disposedChallan]]+TrafficData[[#This Row],[pendingChallan]]=TrafficData[[#This Row],[totalChallan]]</f>
        <v>1</v>
      </c>
      <c r="L3073" t="b">
        <f>TrafficData[[#This Row],[pendingAmount]]+TrafficData[[#This Row],[disposedAmount]]=TrafficData[[#This Row],[totalAmount]]</f>
        <v>1</v>
      </c>
      <c r="M3073" t="b">
        <f>TrafficData[[#This Row],[pendingCourt]]+TrafficData[[#This Row],[disposedCourt]]=TrafficData[[#This Row],[totalCourt]]</f>
        <v>1</v>
      </c>
      <c r="N3073" s="8" t="b">
        <f>AND(TrafficData[[#This Row],[disposedChallan]]&lt;=TrafficData[[#This Row],[totalChallan]],TrafficData[[#This Row],[pendingChallan]]&lt;=TrafficData[[#This Row],[totalChallan]])</f>
        <v>1</v>
      </c>
      <c r="O3073" s="8" t="b">
        <f>AND(TrafficData[[#This Row],[pendingAmount]]&lt;=TrafficData[[#This Row],[totalAmount]],TrafficData[[#This Row],[disposedAmount]]&lt;=TrafficData[[#This Row],[totalAmount]])</f>
        <v>1</v>
      </c>
      <c r="P3073" s="8" t="b">
        <f>AND(TrafficData[[#This Row],[pendingCourt]]&lt;=TrafficData[[#This Row],[totalCourt]],TrafficData[[#This Row],[disposedCourt]]&lt;=TrafficData[[#This Row],[totalCourt]])</f>
        <v>1</v>
      </c>
    </row>
    <row r="3074" spans="1:16">
      <c r="A3074" s="1">
        <v>45078</v>
      </c>
      <c r="B3074">
        <v>190425</v>
      </c>
      <c r="C3074">
        <v>82405</v>
      </c>
      <c r="D3074">
        <v>108020</v>
      </c>
      <c r="E3074">
        <v>175415388</v>
      </c>
      <c r="F3074">
        <v>130745873</v>
      </c>
      <c r="G3074">
        <v>306161261</v>
      </c>
      <c r="H3074">
        <v>69676</v>
      </c>
      <c r="I3074">
        <v>14076</v>
      </c>
      <c r="J3074">
        <v>83752</v>
      </c>
      <c r="K3074" t="b">
        <f>TrafficData[[#This Row],[disposedChallan]]+TrafficData[[#This Row],[pendingChallan]]=TrafficData[[#This Row],[totalChallan]]</f>
        <v>1</v>
      </c>
      <c r="L3074" t="b">
        <f>TrafficData[[#This Row],[pendingAmount]]+TrafficData[[#This Row],[disposedAmount]]=TrafficData[[#This Row],[totalAmount]]</f>
        <v>1</v>
      </c>
      <c r="M3074" t="b">
        <f>TrafficData[[#This Row],[pendingCourt]]+TrafficData[[#This Row],[disposedCourt]]=TrafficData[[#This Row],[totalCourt]]</f>
        <v>1</v>
      </c>
      <c r="N3074" s="8" t="b">
        <f>AND(TrafficData[[#This Row],[disposedChallan]]&lt;=TrafficData[[#This Row],[totalChallan]],TrafficData[[#This Row],[pendingChallan]]&lt;=TrafficData[[#This Row],[totalChallan]])</f>
        <v>1</v>
      </c>
      <c r="O3074" s="8" t="b">
        <f>AND(TrafficData[[#This Row],[pendingAmount]]&lt;=TrafficData[[#This Row],[totalAmount]],TrafficData[[#This Row],[disposedAmount]]&lt;=TrafficData[[#This Row],[totalAmount]])</f>
        <v>1</v>
      </c>
      <c r="P3074" s="8" t="b">
        <f>AND(TrafficData[[#This Row],[pendingCourt]]&lt;=TrafficData[[#This Row],[totalCourt]],TrafficData[[#This Row],[disposedCourt]]&lt;=TrafficData[[#This Row],[totalCourt]])</f>
        <v>1</v>
      </c>
    </row>
    <row r="3075" spans="1:16">
      <c r="A3075" s="1">
        <v>45079</v>
      </c>
      <c r="B3075">
        <v>196321</v>
      </c>
      <c r="C3075">
        <v>84610</v>
      </c>
      <c r="D3075">
        <v>111711</v>
      </c>
      <c r="E3075">
        <v>184467651</v>
      </c>
      <c r="F3075">
        <v>133589502</v>
      </c>
      <c r="G3075">
        <v>318057153</v>
      </c>
      <c r="H3075">
        <v>71784</v>
      </c>
      <c r="I3075">
        <v>14994</v>
      </c>
      <c r="J3075">
        <v>86778</v>
      </c>
      <c r="K3075" t="b">
        <f>TrafficData[[#This Row],[disposedChallan]]+TrafficData[[#This Row],[pendingChallan]]=TrafficData[[#This Row],[totalChallan]]</f>
        <v>1</v>
      </c>
      <c r="L3075" t="b">
        <f>TrafficData[[#This Row],[pendingAmount]]+TrafficData[[#This Row],[disposedAmount]]=TrafficData[[#This Row],[totalAmount]]</f>
        <v>1</v>
      </c>
      <c r="M3075" t="b">
        <f>TrafficData[[#This Row],[pendingCourt]]+TrafficData[[#This Row],[disposedCourt]]=TrafficData[[#This Row],[totalCourt]]</f>
        <v>1</v>
      </c>
      <c r="N3075" s="8" t="b">
        <f>AND(TrafficData[[#This Row],[disposedChallan]]&lt;=TrafficData[[#This Row],[totalChallan]],TrafficData[[#This Row],[pendingChallan]]&lt;=TrafficData[[#This Row],[totalChallan]])</f>
        <v>1</v>
      </c>
      <c r="O3075" s="8" t="b">
        <f>AND(TrafficData[[#This Row],[pendingAmount]]&lt;=TrafficData[[#This Row],[totalAmount]],TrafficData[[#This Row],[disposedAmount]]&lt;=TrafficData[[#This Row],[totalAmount]])</f>
        <v>1</v>
      </c>
      <c r="P3075" s="8" t="b">
        <f>AND(TrafficData[[#This Row],[pendingCourt]]&lt;=TrafficData[[#This Row],[totalCourt]],TrafficData[[#This Row],[disposedCourt]]&lt;=TrafficData[[#This Row],[totalCourt]])</f>
        <v>1</v>
      </c>
    </row>
    <row r="3076" spans="1:16">
      <c r="A3076" s="1">
        <v>45080</v>
      </c>
      <c r="B3076">
        <v>194375</v>
      </c>
      <c r="C3076">
        <v>85826</v>
      </c>
      <c r="D3076">
        <v>108549</v>
      </c>
      <c r="E3076">
        <v>187983986</v>
      </c>
      <c r="F3076">
        <v>129416077</v>
      </c>
      <c r="G3076">
        <v>317400063</v>
      </c>
      <c r="H3076">
        <v>68810</v>
      </c>
      <c r="I3076">
        <v>15556</v>
      </c>
      <c r="J3076">
        <v>84366</v>
      </c>
      <c r="K3076" t="b">
        <f>TrafficData[[#This Row],[disposedChallan]]+TrafficData[[#This Row],[pendingChallan]]=TrafficData[[#This Row],[totalChallan]]</f>
        <v>1</v>
      </c>
      <c r="L3076" t="b">
        <f>TrafficData[[#This Row],[pendingAmount]]+TrafficData[[#This Row],[disposedAmount]]=TrafficData[[#This Row],[totalAmount]]</f>
        <v>1</v>
      </c>
      <c r="M3076" t="b">
        <f>TrafficData[[#This Row],[pendingCourt]]+TrafficData[[#This Row],[disposedCourt]]=TrafficData[[#This Row],[totalCourt]]</f>
        <v>1</v>
      </c>
      <c r="N3076" s="8" t="b">
        <f>AND(TrafficData[[#This Row],[disposedChallan]]&lt;=TrafficData[[#This Row],[totalChallan]],TrafficData[[#This Row],[pendingChallan]]&lt;=TrafficData[[#This Row],[totalChallan]])</f>
        <v>1</v>
      </c>
      <c r="O3076" s="8" t="b">
        <f>AND(TrafficData[[#This Row],[pendingAmount]]&lt;=TrafficData[[#This Row],[totalAmount]],TrafficData[[#This Row],[disposedAmount]]&lt;=TrafficData[[#This Row],[totalAmount]])</f>
        <v>1</v>
      </c>
      <c r="P3076" s="8" t="b">
        <f>AND(TrafficData[[#This Row],[pendingCourt]]&lt;=TrafficData[[#This Row],[totalCourt]],TrafficData[[#This Row],[disposedCourt]]&lt;=TrafficData[[#This Row],[totalCourt]])</f>
        <v>1</v>
      </c>
    </row>
    <row r="3077" spans="1:16">
      <c r="A3077" s="1">
        <v>45081</v>
      </c>
      <c r="B3077">
        <v>158430</v>
      </c>
      <c r="C3077">
        <v>64382</v>
      </c>
      <c r="D3077">
        <v>94048</v>
      </c>
      <c r="E3077">
        <v>149164022</v>
      </c>
      <c r="F3077">
        <v>89336369</v>
      </c>
      <c r="G3077">
        <v>238500391</v>
      </c>
      <c r="H3077">
        <v>60355</v>
      </c>
      <c r="I3077">
        <v>13093</v>
      </c>
      <c r="J3077">
        <v>73448</v>
      </c>
      <c r="K3077" t="b">
        <f>TrafficData[[#This Row],[disposedChallan]]+TrafficData[[#This Row],[pendingChallan]]=TrafficData[[#This Row],[totalChallan]]</f>
        <v>1</v>
      </c>
      <c r="L3077" t="b">
        <f>TrafficData[[#This Row],[pendingAmount]]+TrafficData[[#This Row],[disposedAmount]]=TrafficData[[#This Row],[totalAmount]]</f>
        <v>1</v>
      </c>
      <c r="M3077" t="b">
        <f>TrafficData[[#This Row],[pendingCourt]]+TrafficData[[#This Row],[disposedCourt]]=TrafficData[[#This Row],[totalCourt]]</f>
        <v>1</v>
      </c>
      <c r="N3077" s="8" t="b">
        <f>AND(TrafficData[[#This Row],[disposedChallan]]&lt;=TrafficData[[#This Row],[totalChallan]],TrafficData[[#This Row],[pendingChallan]]&lt;=TrafficData[[#This Row],[totalChallan]])</f>
        <v>1</v>
      </c>
      <c r="O3077" s="8" t="b">
        <f>AND(TrafficData[[#This Row],[pendingAmount]]&lt;=TrafficData[[#This Row],[totalAmount]],TrafficData[[#This Row],[disposedAmount]]&lt;=TrafficData[[#This Row],[totalAmount]])</f>
        <v>1</v>
      </c>
      <c r="P3077" s="8" t="b">
        <f>AND(TrafficData[[#This Row],[pendingCourt]]&lt;=TrafficData[[#This Row],[totalCourt]],TrafficData[[#This Row],[disposedCourt]]&lt;=TrafficData[[#This Row],[totalCourt]])</f>
        <v>1</v>
      </c>
    </row>
    <row r="3078" spans="1:16">
      <c r="A3078" s="1">
        <v>45082</v>
      </c>
      <c r="B3078">
        <v>203998</v>
      </c>
      <c r="C3078">
        <v>86887</v>
      </c>
      <c r="D3078">
        <v>117111</v>
      </c>
      <c r="E3078">
        <v>192226864</v>
      </c>
      <c r="F3078">
        <v>124401840</v>
      </c>
      <c r="G3078">
        <v>316628704</v>
      </c>
      <c r="H3078">
        <v>73349</v>
      </c>
      <c r="I3078">
        <v>14901</v>
      </c>
      <c r="J3078">
        <v>88250</v>
      </c>
      <c r="K3078" t="b">
        <f>TrafficData[[#This Row],[disposedChallan]]+TrafficData[[#This Row],[pendingChallan]]=TrafficData[[#This Row],[totalChallan]]</f>
        <v>1</v>
      </c>
      <c r="L3078" t="b">
        <f>TrafficData[[#This Row],[pendingAmount]]+TrafficData[[#This Row],[disposedAmount]]=TrafficData[[#This Row],[totalAmount]]</f>
        <v>1</v>
      </c>
      <c r="M3078" t="b">
        <f>TrafficData[[#This Row],[pendingCourt]]+TrafficData[[#This Row],[disposedCourt]]=TrafficData[[#This Row],[totalCourt]]</f>
        <v>1</v>
      </c>
      <c r="N3078" s="8" t="b">
        <f>AND(TrafficData[[#This Row],[disposedChallan]]&lt;=TrafficData[[#This Row],[totalChallan]],TrafficData[[#This Row],[pendingChallan]]&lt;=TrafficData[[#This Row],[totalChallan]])</f>
        <v>1</v>
      </c>
      <c r="O3078" s="8" t="b">
        <f>AND(TrafficData[[#This Row],[pendingAmount]]&lt;=TrafficData[[#This Row],[totalAmount]],TrafficData[[#This Row],[disposedAmount]]&lt;=TrafficData[[#This Row],[totalAmount]])</f>
        <v>1</v>
      </c>
      <c r="P3078" s="8" t="b">
        <f>AND(TrafficData[[#This Row],[pendingCourt]]&lt;=TrafficData[[#This Row],[totalCourt]],TrafficData[[#This Row],[disposedCourt]]&lt;=TrafficData[[#This Row],[totalCourt]])</f>
        <v>1</v>
      </c>
    </row>
    <row r="3079" spans="1:16">
      <c r="A3079" s="1">
        <v>45083</v>
      </c>
      <c r="B3079">
        <v>220802</v>
      </c>
      <c r="C3079">
        <v>96404</v>
      </c>
      <c r="D3079">
        <v>124398</v>
      </c>
      <c r="E3079">
        <v>203211323</v>
      </c>
      <c r="F3079">
        <v>144311213</v>
      </c>
      <c r="G3079">
        <v>347522536</v>
      </c>
      <c r="H3079">
        <v>73762</v>
      </c>
      <c r="I3079">
        <v>14915</v>
      </c>
      <c r="J3079">
        <v>88677</v>
      </c>
      <c r="K3079" t="b">
        <f>TrafficData[[#This Row],[disposedChallan]]+TrafficData[[#This Row],[pendingChallan]]=TrafficData[[#This Row],[totalChallan]]</f>
        <v>1</v>
      </c>
      <c r="L3079" t="b">
        <f>TrafficData[[#This Row],[pendingAmount]]+TrafficData[[#This Row],[disposedAmount]]=TrafficData[[#This Row],[totalAmount]]</f>
        <v>1</v>
      </c>
      <c r="M3079" t="b">
        <f>TrafficData[[#This Row],[pendingCourt]]+TrafficData[[#This Row],[disposedCourt]]=TrafficData[[#This Row],[totalCourt]]</f>
        <v>1</v>
      </c>
      <c r="N3079" s="8" t="b">
        <f>AND(TrafficData[[#This Row],[disposedChallan]]&lt;=TrafficData[[#This Row],[totalChallan]],TrafficData[[#This Row],[pendingChallan]]&lt;=TrafficData[[#This Row],[totalChallan]])</f>
        <v>1</v>
      </c>
      <c r="O3079" s="8" t="b">
        <f>AND(TrafficData[[#This Row],[pendingAmount]]&lt;=TrafficData[[#This Row],[totalAmount]],TrafficData[[#This Row],[disposedAmount]]&lt;=TrafficData[[#This Row],[totalAmount]])</f>
        <v>1</v>
      </c>
      <c r="P3079" s="8" t="b">
        <f>AND(TrafficData[[#This Row],[pendingCourt]]&lt;=TrafficData[[#This Row],[totalCourt]],TrafficData[[#This Row],[disposedCourt]]&lt;=TrafficData[[#This Row],[totalCourt]])</f>
        <v>1</v>
      </c>
    </row>
    <row r="3080" spans="1:16">
      <c r="A3080" s="1">
        <v>45084</v>
      </c>
      <c r="B3080">
        <v>209708</v>
      </c>
      <c r="C3080">
        <v>90686</v>
      </c>
      <c r="D3080">
        <v>119022</v>
      </c>
      <c r="E3080">
        <v>197912514</v>
      </c>
      <c r="F3080">
        <v>137267112</v>
      </c>
      <c r="G3080">
        <v>335179626</v>
      </c>
      <c r="H3080">
        <v>72058</v>
      </c>
      <c r="I3080">
        <v>14897</v>
      </c>
      <c r="J3080">
        <v>86955</v>
      </c>
      <c r="K3080" t="b">
        <f>TrafficData[[#This Row],[disposedChallan]]+TrafficData[[#This Row],[pendingChallan]]=TrafficData[[#This Row],[totalChallan]]</f>
        <v>1</v>
      </c>
      <c r="L3080" t="b">
        <f>TrafficData[[#This Row],[pendingAmount]]+TrafficData[[#This Row],[disposedAmount]]=TrafficData[[#This Row],[totalAmount]]</f>
        <v>1</v>
      </c>
      <c r="M3080" t="b">
        <f>TrafficData[[#This Row],[pendingCourt]]+TrafficData[[#This Row],[disposedCourt]]=TrafficData[[#This Row],[totalCourt]]</f>
        <v>1</v>
      </c>
      <c r="N3080" s="8" t="b">
        <f>AND(TrafficData[[#This Row],[disposedChallan]]&lt;=TrafficData[[#This Row],[totalChallan]],TrafficData[[#This Row],[pendingChallan]]&lt;=TrafficData[[#This Row],[totalChallan]])</f>
        <v>1</v>
      </c>
      <c r="O3080" s="8" t="b">
        <f>AND(TrafficData[[#This Row],[pendingAmount]]&lt;=TrafficData[[#This Row],[totalAmount]],TrafficData[[#This Row],[disposedAmount]]&lt;=TrafficData[[#This Row],[totalAmount]])</f>
        <v>1</v>
      </c>
      <c r="P3080" s="8" t="b">
        <f>AND(TrafficData[[#This Row],[pendingCourt]]&lt;=TrafficData[[#This Row],[totalCourt]],TrafficData[[#This Row],[disposedCourt]]&lt;=TrafficData[[#This Row],[totalCourt]])</f>
        <v>1</v>
      </c>
    </row>
    <row r="3081" spans="1:16">
      <c r="A3081" s="1">
        <v>45085</v>
      </c>
      <c r="B3081">
        <v>208818</v>
      </c>
      <c r="C3081">
        <v>92004</v>
      </c>
      <c r="D3081">
        <v>116814</v>
      </c>
      <c r="E3081">
        <v>188914615</v>
      </c>
      <c r="F3081">
        <v>137433429</v>
      </c>
      <c r="G3081">
        <v>326348044</v>
      </c>
      <c r="H3081">
        <v>67558</v>
      </c>
      <c r="I3081">
        <v>14546</v>
      </c>
      <c r="J3081">
        <v>82104</v>
      </c>
      <c r="K3081" t="b">
        <f>TrafficData[[#This Row],[disposedChallan]]+TrafficData[[#This Row],[pendingChallan]]=TrafficData[[#This Row],[totalChallan]]</f>
        <v>1</v>
      </c>
      <c r="L3081" t="b">
        <f>TrafficData[[#This Row],[pendingAmount]]+TrafficData[[#This Row],[disposedAmount]]=TrafficData[[#This Row],[totalAmount]]</f>
        <v>1</v>
      </c>
      <c r="M3081" t="b">
        <f>TrafficData[[#This Row],[pendingCourt]]+TrafficData[[#This Row],[disposedCourt]]=TrafficData[[#This Row],[totalCourt]]</f>
        <v>1</v>
      </c>
      <c r="N3081" s="8" t="b">
        <f>AND(TrafficData[[#This Row],[disposedChallan]]&lt;=TrafficData[[#This Row],[totalChallan]],TrafficData[[#This Row],[pendingChallan]]&lt;=TrafficData[[#This Row],[totalChallan]])</f>
        <v>1</v>
      </c>
      <c r="O3081" s="8" t="b">
        <f>AND(TrafficData[[#This Row],[pendingAmount]]&lt;=TrafficData[[#This Row],[totalAmount]],TrafficData[[#This Row],[disposedAmount]]&lt;=TrafficData[[#This Row],[totalAmount]])</f>
        <v>1</v>
      </c>
      <c r="P3081" s="8" t="b">
        <f>AND(TrafficData[[#This Row],[pendingCourt]]&lt;=TrafficData[[#This Row],[totalCourt]],TrafficData[[#This Row],[disposedCourt]]&lt;=TrafficData[[#This Row],[totalCourt]])</f>
        <v>1</v>
      </c>
    </row>
    <row r="3082" spans="1:16">
      <c r="A3082" s="1">
        <v>45086</v>
      </c>
      <c r="B3082">
        <v>203190</v>
      </c>
      <c r="C3082">
        <v>88817</v>
      </c>
      <c r="D3082">
        <v>114373</v>
      </c>
      <c r="E3082">
        <v>193195804</v>
      </c>
      <c r="F3082">
        <v>139619909</v>
      </c>
      <c r="G3082">
        <v>332815713</v>
      </c>
      <c r="H3082">
        <v>66981</v>
      </c>
      <c r="I3082">
        <v>14177</v>
      </c>
      <c r="J3082">
        <v>81158</v>
      </c>
      <c r="K3082" t="b">
        <f>TrafficData[[#This Row],[disposedChallan]]+TrafficData[[#This Row],[pendingChallan]]=TrafficData[[#This Row],[totalChallan]]</f>
        <v>1</v>
      </c>
      <c r="L3082" t="b">
        <f>TrafficData[[#This Row],[pendingAmount]]+TrafficData[[#This Row],[disposedAmount]]=TrafficData[[#This Row],[totalAmount]]</f>
        <v>1</v>
      </c>
      <c r="M3082" t="b">
        <f>TrafficData[[#This Row],[pendingCourt]]+TrafficData[[#This Row],[disposedCourt]]=TrafficData[[#This Row],[totalCourt]]</f>
        <v>1</v>
      </c>
      <c r="N3082" s="8" t="b">
        <f>AND(TrafficData[[#This Row],[disposedChallan]]&lt;=TrafficData[[#This Row],[totalChallan]],TrafficData[[#This Row],[pendingChallan]]&lt;=TrafficData[[#This Row],[totalChallan]])</f>
        <v>1</v>
      </c>
      <c r="O3082" s="8" t="b">
        <f>AND(TrafficData[[#This Row],[pendingAmount]]&lt;=TrafficData[[#This Row],[totalAmount]],TrafficData[[#This Row],[disposedAmount]]&lt;=TrafficData[[#This Row],[totalAmount]])</f>
        <v>1</v>
      </c>
      <c r="P3082" s="8" t="b">
        <f>AND(TrafficData[[#This Row],[pendingCourt]]&lt;=TrafficData[[#This Row],[totalCourt]],TrafficData[[#This Row],[disposedCourt]]&lt;=TrafficData[[#This Row],[totalCourt]])</f>
        <v>1</v>
      </c>
    </row>
    <row r="3083" spans="1:16">
      <c r="A3083" s="1">
        <v>45087</v>
      </c>
      <c r="B3083">
        <v>198645</v>
      </c>
      <c r="C3083">
        <v>86056</v>
      </c>
      <c r="D3083">
        <v>112589</v>
      </c>
      <c r="E3083">
        <v>174291320</v>
      </c>
      <c r="F3083">
        <v>122865600</v>
      </c>
      <c r="G3083">
        <v>297156920</v>
      </c>
      <c r="H3083">
        <v>63946</v>
      </c>
      <c r="I3083">
        <v>13864</v>
      </c>
      <c r="J3083">
        <v>77810</v>
      </c>
      <c r="K3083" t="b">
        <f>TrafficData[[#This Row],[disposedChallan]]+TrafficData[[#This Row],[pendingChallan]]=TrafficData[[#This Row],[totalChallan]]</f>
        <v>1</v>
      </c>
      <c r="L3083" t="b">
        <f>TrafficData[[#This Row],[pendingAmount]]+TrafficData[[#This Row],[disposedAmount]]=TrafficData[[#This Row],[totalAmount]]</f>
        <v>1</v>
      </c>
      <c r="M3083" t="b">
        <f>TrafficData[[#This Row],[pendingCourt]]+TrafficData[[#This Row],[disposedCourt]]=TrafficData[[#This Row],[totalCourt]]</f>
        <v>1</v>
      </c>
      <c r="N3083" s="8" t="b">
        <f>AND(TrafficData[[#This Row],[disposedChallan]]&lt;=TrafficData[[#This Row],[totalChallan]],TrafficData[[#This Row],[pendingChallan]]&lt;=TrafficData[[#This Row],[totalChallan]])</f>
        <v>1</v>
      </c>
      <c r="O3083" s="8" t="b">
        <f>AND(TrafficData[[#This Row],[pendingAmount]]&lt;=TrafficData[[#This Row],[totalAmount]],TrafficData[[#This Row],[disposedAmount]]&lt;=TrafficData[[#This Row],[totalAmount]])</f>
        <v>1</v>
      </c>
      <c r="P3083" s="8" t="b">
        <f>AND(TrafficData[[#This Row],[pendingCourt]]&lt;=TrafficData[[#This Row],[totalCourt]],TrafficData[[#This Row],[disposedCourt]]&lt;=TrafficData[[#This Row],[totalCourt]])</f>
        <v>1</v>
      </c>
    </row>
    <row r="3084" spans="1:16">
      <c r="A3084" s="1">
        <v>45088</v>
      </c>
      <c r="B3084">
        <v>184869</v>
      </c>
      <c r="C3084">
        <v>76604</v>
      </c>
      <c r="D3084">
        <v>108265</v>
      </c>
      <c r="E3084">
        <v>160966726</v>
      </c>
      <c r="F3084">
        <v>90700764</v>
      </c>
      <c r="G3084">
        <v>251667490</v>
      </c>
      <c r="H3084">
        <v>58480</v>
      </c>
      <c r="I3084">
        <v>12118</v>
      </c>
      <c r="J3084">
        <v>70598</v>
      </c>
      <c r="K3084" t="b">
        <f>TrafficData[[#This Row],[disposedChallan]]+TrafficData[[#This Row],[pendingChallan]]=TrafficData[[#This Row],[totalChallan]]</f>
        <v>1</v>
      </c>
      <c r="L3084" t="b">
        <f>TrafficData[[#This Row],[pendingAmount]]+TrafficData[[#This Row],[disposedAmount]]=TrafficData[[#This Row],[totalAmount]]</f>
        <v>1</v>
      </c>
      <c r="M3084" t="b">
        <f>TrafficData[[#This Row],[pendingCourt]]+TrafficData[[#This Row],[disposedCourt]]=TrafficData[[#This Row],[totalCourt]]</f>
        <v>1</v>
      </c>
      <c r="N3084" s="8" t="b">
        <f>AND(TrafficData[[#This Row],[disposedChallan]]&lt;=TrafficData[[#This Row],[totalChallan]],TrafficData[[#This Row],[pendingChallan]]&lt;=TrafficData[[#This Row],[totalChallan]])</f>
        <v>1</v>
      </c>
      <c r="O3084" s="8" t="b">
        <f>AND(TrafficData[[#This Row],[pendingAmount]]&lt;=TrafficData[[#This Row],[totalAmount]],TrafficData[[#This Row],[disposedAmount]]&lt;=TrafficData[[#This Row],[totalAmount]])</f>
        <v>1</v>
      </c>
      <c r="P3084" s="8" t="b">
        <f>AND(TrafficData[[#This Row],[pendingCourt]]&lt;=TrafficData[[#This Row],[totalCourt]],TrafficData[[#This Row],[disposedCourt]]&lt;=TrafficData[[#This Row],[totalCourt]])</f>
        <v>1</v>
      </c>
    </row>
    <row r="3085" spans="1:16">
      <c r="A3085" s="1">
        <v>45089</v>
      </c>
      <c r="B3085">
        <v>201501</v>
      </c>
      <c r="C3085">
        <v>85164</v>
      </c>
      <c r="D3085">
        <v>116337</v>
      </c>
      <c r="E3085">
        <v>186514576</v>
      </c>
      <c r="F3085">
        <v>116777431</v>
      </c>
      <c r="G3085">
        <v>303292007</v>
      </c>
      <c r="H3085">
        <v>66002</v>
      </c>
      <c r="I3085">
        <v>13684</v>
      </c>
      <c r="J3085">
        <v>79686</v>
      </c>
      <c r="K3085" t="b">
        <f>TrafficData[[#This Row],[disposedChallan]]+TrafficData[[#This Row],[pendingChallan]]=TrafficData[[#This Row],[totalChallan]]</f>
        <v>1</v>
      </c>
      <c r="L3085" t="b">
        <f>TrafficData[[#This Row],[pendingAmount]]+TrafficData[[#This Row],[disposedAmount]]=TrafficData[[#This Row],[totalAmount]]</f>
        <v>1</v>
      </c>
      <c r="M3085" t="b">
        <f>TrafficData[[#This Row],[pendingCourt]]+TrafficData[[#This Row],[disposedCourt]]=TrafficData[[#This Row],[totalCourt]]</f>
        <v>1</v>
      </c>
      <c r="N3085" s="8" t="b">
        <f>AND(TrafficData[[#This Row],[disposedChallan]]&lt;=TrafficData[[#This Row],[totalChallan]],TrafficData[[#This Row],[pendingChallan]]&lt;=TrafficData[[#This Row],[totalChallan]])</f>
        <v>1</v>
      </c>
      <c r="O3085" s="8" t="b">
        <f>AND(TrafficData[[#This Row],[pendingAmount]]&lt;=TrafficData[[#This Row],[totalAmount]],TrafficData[[#This Row],[disposedAmount]]&lt;=TrafficData[[#This Row],[totalAmount]])</f>
        <v>1</v>
      </c>
      <c r="P3085" s="8" t="b">
        <f>AND(TrafficData[[#This Row],[pendingCourt]]&lt;=TrafficData[[#This Row],[totalCourt]],TrafficData[[#This Row],[disposedCourt]]&lt;=TrafficData[[#This Row],[totalCourt]])</f>
        <v>1</v>
      </c>
    </row>
    <row r="3086" spans="1:16">
      <c r="A3086" s="1">
        <v>45090</v>
      </c>
      <c r="B3086">
        <v>208527</v>
      </c>
      <c r="C3086">
        <v>87320</v>
      </c>
      <c r="D3086">
        <v>121207</v>
      </c>
      <c r="E3086">
        <v>192171978</v>
      </c>
      <c r="F3086">
        <v>131748372</v>
      </c>
      <c r="G3086">
        <v>323920350</v>
      </c>
      <c r="H3086">
        <v>66711</v>
      </c>
      <c r="I3086">
        <v>13499</v>
      </c>
      <c r="J3086">
        <v>80210</v>
      </c>
      <c r="K3086" t="b">
        <f>TrafficData[[#This Row],[disposedChallan]]+TrafficData[[#This Row],[pendingChallan]]=TrafficData[[#This Row],[totalChallan]]</f>
        <v>1</v>
      </c>
      <c r="L3086" t="b">
        <f>TrafficData[[#This Row],[pendingAmount]]+TrafficData[[#This Row],[disposedAmount]]=TrafficData[[#This Row],[totalAmount]]</f>
        <v>1</v>
      </c>
      <c r="M3086" t="b">
        <f>TrafficData[[#This Row],[pendingCourt]]+TrafficData[[#This Row],[disposedCourt]]=TrafficData[[#This Row],[totalCourt]]</f>
        <v>1</v>
      </c>
      <c r="N3086" s="8" t="b">
        <f>AND(TrafficData[[#This Row],[disposedChallan]]&lt;=TrafficData[[#This Row],[totalChallan]],TrafficData[[#This Row],[pendingChallan]]&lt;=TrafficData[[#This Row],[totalChallan]])</f>
        <v>1</v>
      </c>
      <c r="O3086" s="8" t="b">
        <f>AND(TrafficData[[#This Row],[pendingAmount]]&lt;=TrafficData[[#This Row],[totalAmount]],TrafficData[[#This Row],[disposedAmount]]&lt;=TrafficData[[#This Row],[totalAmount]])</f>
        <v>1</v>
      </c>
      <c r="P3086" s="8" t="b">
        <f>AND(TrafficData[[#This Row],[pendingCourt]]&lt;=TrafficData[[#This Row],[totalCourt]],TrafficData[[#This Row],[disposedCourt]]&lt;=TrafficData[[#This Row],[totalCourt]])</f>
        <v>1</v>
      </c>
    </row>
    <row r="3087" spans="1:16">
      <c r="A3087" s="1">
        <v>45091</v>
      </c>
      <c r="B3087">
        <v>216744</v>
      </c>
      <c r="C3087">
        <v>90548</v>
      </c>
      <c r="D3087">
        <v>126196</v>
      </c>
      <c r="E3087">
        <v>208808491</v>
      </c>
      <c r="F3087">
        <v>138204847</v>
      </c>
      <c r="G3087">
        <v>347013338</v>
      </c>
      <c r="H3087">
        <v>72425</v>
      </c>
      <c r="I3087">
        <v>14266</v>
      </c>
      <c r="J3087">
        <v>86691</v>
      </c>
      <c r="K3087" t="b">
        <f>TrafficData[[#This Row],[disposedChallan]]+TrafficData[[#This Row],[pendingChallan]]=TrafficData[[#This Row],[totalChallan]]</f>
        <v>1</v>
      </c>
      <c r="L3087" t="b">
        <f>TrafficData[[#This Row],[pendingAmount]]+TrafficData[[#This Row],[disposedAmount]]=TrafficData[[#This Row],[totalAmount]]</f>
        <v>1</v>
      </c>
      <c r="M3087" t="b">
        <f>TrafficData[[#This Row],[pendingCourt]]+TrafficData[[#This Row],[disposedCourt]]=TrafficData[[#This Row],[totalCourt]]</f>
        <v>1</v>
      </c>
      <c r="N3087" s="8" t="b">
        <f>AND(TrafficData[[#This Row],[disposedChallan]]&lt;=TrafficData[[#This Row],[totalChallan]],TrafficData[[#This Row],[pendingChallan]]&lt;=TrafficData[[#This Row],[totalChallan]])</f>
        <v>1</v>
      </c>
      <c r="O3087" s="8" t="b">
        <f>AND(TrafficData[[#This Row],[pendingAmount]]&lt;=TrafficData[[#This Row],[totalAmount]],TrafficData[[#This Row],[disposedAmount]]&lt;=TrafficData[[#This Row],[totalAmount]])</f>
        <v>1</v>
      </c>
      <c r="P3087" s="8" t="b">
        <f>AND(TrafficData[[#This Row],[pendingCourt]]&lt;=TrafficData[[#This Row],[totalCourt]],TrafficData[[#This Row],[disposedCourt]]&lt;=TrafficData[[#This Row],[totalCourt]])</f>
        <v>1</v>
      </c>
    </row>
    <row r="3088" spans="1:16">
      <c r="A3088" s="1">
        <v>45092</v>
      </c>
      <c r="B3088">
        <v>225412</v>
      </c>
      <c r="C3088">
        <v>94244</v>
      </c>
      <c r="D3088">
        <v>131168</v>
      </c>
      <c r="E3088">
        <v>208877005</v>
      </c>
      <c r="F3088">
        <v>134284572</v>
      </c>
      <c r="G3088">
        <v>343161577</v>
      </c>
      <c r="H3088">
        <v>74310</v>
      </c>
      <c r="I3088">
        <v>15264</v>
      </c>
      <c r="J3088">
        <v>89574</v>
      </c>
      <c r="K3088" t="b">
        <f>TrafficData[[#This Row],[disposedChallan]]+TrafficData[[#This Row],[pendingChallan]]=TrafficData[[#This Row],[totalChallan]]</f>
        <v>1</v>
      </c>
      <c r="L3088" t="b">
        <f>TrafficData[[#This Row],[pendingAmount]]+TrafficData[[#This Row],[disposedAmount]]=TrafficData[[#This Row],[totalAmount]]</f>
        <v>1</v>
      </c>
      <c r="M3088" t="b">
        <f>TrafficData[[#This Row],[pendingCourt]]+TrafficData[[#This Row],[disposedCourt]]=TrafficData[[#This Row],[totalCourt]]</f>
        <v>1</v>
      </c>
      <c r="N3088" s="8" t="b">
        <f>AND(TrafficData[[#This Row],[disposedChallan]]&lt;=TrafficData[[#This Row],[totalChallan]],TrafficData[[#This Row],[pendingChallan]]&lt;=TrafficData[[#This Row],[totalChallan]])</f>
        <v>1</v>
      </c>
      <c r="O3088" s="8" t="b">
        <f>AND(TrafficData[[#This Row],[pendingAmount]]&lt;=TrafficData[[#This Row],[totalAmount]],TrafficData[[#This Row],[disposedAmount]]&lt;=TrafficData[[#This Row],[totalAmount]])</f>
        <v>1</v>
      </c>
      <c r="P3088" s="8" t="b">
        <f>AND(TrafficData[[#This Row],[pendingCourt]]&lt;=TrafficData[[#This Row],[totalCourt]],TrafficData[[#This Row],[disposedCourt]]&lt;=TrafficData[[#This Row],[totalCourt]])</f>
        <v>1</v>
      </c>
    </row>
    <row r="3089" spans="1:16">
      <c r="A3089" s="1">
        <v>45093</v>
      </c>
      <c r="B3089">
        <v>227177</v>
      </c>
      <c r="C3089">
        <v>93361</v>
      </c>
      <c r="D3089">
        <v>133816</v>
      </c>
      <c r="E3089">
        <v>217046007</v>
      </c>
      <c r="F3089">
        <v>133078110</v>
      </c>
      <c r="G3089">
        <v>350124117</v>
      </c>
      <c r="H3089">
        <v>74778</v>
      </c>
      <c r="I3089">
        <v>15127</v>
      </c>
      <c r="J3089">
        <v>89905</v>
      </c>
      <c r="K3089" t="b">
        <f>TrafficData[[#This Row],[disposedChallan]]+TrafficData[[#This Row],[pendingChallan]]=TrafficData[[#This Row],[totalChallan]]</f>
        <v>1</v>
      </c>
      <c r="L3089" t="b">
        <f>TrafficData[[#This Row],[pendingAmount]]+TrafficData[[#This Row],[disposedAmount]]=TrafficData[[#This Row],[totalAmount]]</f>
        <v>1</v>
      </c>
      <c r="M3089" t="b">
        <f>TrafficData[[#This Row],[pendingCourt]]+TrafficData[[#This Row],[disposedCourt]]=TrafficData[[#This Row],[totalCourt]]</f>
        <v>1</v>
      </c>
      <c r="N3089" s="8" t="b">
        <f>AND(TrafficData[[#This Row],[disposedChallan]]&lt;=TrafficData[[#This Row],[totalChallan]],TrafficData[[#This Row],[pendingChallan]]&lt;=TrafficData[[#This Row],[totalChallan]])</f>
        <v>1</v>
      </c>
      <c r="O3089" s="8" t="b">
        <f>AND(TrafficData[[#This Row],[pendingAmount]]&lt;=TrafficData[[#This Row],[totalAmount]],TrafficData[[#This Row],[disposedAmount]]&lt;=TrafficData[[#This Row],[totalAmount]])</f>
        <v>1</v>
      </c>
      <c r="P3089" s="8" t="b">
        <f>AND(TrafficData[[#This Row],[pendingCourt]]&lt;=TrafficData[[#This Row],[totalCourt]],TrafficData[[#This Row],[disposedCourt]]&lt;=TrafficData[[#This Row],[totalCourt]])</f>
        <v>1</v>
      </c>
    </row>
    <row r="3090" spans="1:16">
      <c r="A3090" s="1">
        <v>45094</v>
      </c>
      <c r="B3090">
        <v>229877</v>
      </c>
      <c r="C3090">
        <v>96645</v>
      </c>
      <c r="D3090">
        <v>133232</v>
      </c>
      <c r="E3090">
        <v>212634473</v>
      </c>
      <c r="F3090">
        <v>128075086</v>
      </c>
      <c r="G3090">
        <v>340709559</v>
      </c>
      <c r="H3090">
        <v>74662</v>
      </c>
      <c r="I3090">
        <v>15859</v>
      </c>
      <c r="J3090">
        <v>90521</v>
      </c>
      <c r="K3090" t="b">
        <f>TrafficData[[#This Row],[disposedChallan]]+TrafficData[[#This Row],[pendingChallan]]=TrafficData[[#This Row],[totalChallan]]</f>
        <v>1</v>
      </c>
      <c r="L3090" t="b">
        <f>TrafficData[[#This Row],[pendingAmount]]+TrafficData[[#This Row],[disposedAmount]]=TrafficData[[#This Row],[totalAmount]]</f>
        <v>1</v>
      </c>
      <c r="M3090" t="b">
        <f>TrafficData[[#This Row],[pendingCourt]]+TrafficData[[#This Row],[disposedCourt]]=TrafficData[[#This Row],[totalCourt]]</f>
        <v>1</v>
      </c>
      <c r="N3090" s="8" t="b">
        <f>AND(TrafficData[[#This Row],[disposedChallan]]&lt;=TrafficData[[#This Row],[totalChallan]],TrafficData[[#This Row],[pendingChallan]]&lt;=TrafficData[[#This Row],[totalChallan]])</f>
        <v>1</v>
      </c>
      <c r="O3090" s="8" t="b">
        <f>AND(TrafficData[[#This Row],[pendingAmount]]&lt;=TrafficData[[#This Row],[totalAmount]],TrafficData[[#This Row],[disposedAmount]]&lt;=TrafficData[[#This Row],[totalAmount]])</f>
        <v>1</v>
      </c>
      <c r="P3090" s="8" t="b">
        <f>AND(TrafficData[[#This Row],[pendingCourt]]&lt;=TrafficData[[#This Row],[totalCourt]],TrafficData[[#This Row],[disposedCourt]]&lt;=TrafficData[[#This Row],[totalCourt]])</f>
        <v>1</v>
      </c>
    </row>
    <row r="3091" spans="1:16">
      <c r="A3091" s="1">
        <v>45095</v>
      </c>
      <c r="B3091">
        <v>201864</v>
      </c>
      <c r="C3091">
        <v>80915</v>
      </c>
      <c r="D3091">
        <v>120949</v>
      </c>
      <c r="E3091">
        <v>187199260</v>
      </c>
      <c r="F3091">
        <v>91013986</v>
      </c>
      <c r="G3091">
        <v>278213246</v>
      </c>
      <c r="H3091">
        <v>68735</v>
      </c>
      <c r="I3091">
        <v>13887</v>
      </c>
      <c r="J3091">
        <v>82622</v>
      </c>
      <c r="K3091" t="b">
        <f>TrafficData[[#This Row],[disposedChallan]]+TrafficData[[#This Row],[pendingChallan]]=TrafficData[[#This Row],[totalChallan]]</f>
        <v>1</v>
      </c>
      <c r="L3091" t="b">
        <f>TrafficData[[#This Row],[pendingAmount]]+TrafficData[[#This Row],[disposedAmount]]=TrafficData[[#This Row],[totalAmount]]</f>
        <v>1</v>
      </c>
      <c r="M3091" t="b">
        <f>TrafficData[[#This Row],[pendingCourt]]+TrafficData[[#This Row],[disposedCourt]]=TrafficData[[#This Row],[totalCourt]]</f>
        <v>1</v>
      </c>
      <c r="N3091" s="8" t="b">
        <f>AND(TrafficData[[#This Row],[disposedChallan]]&lt;=TrafficData[[#This Row],[totalChallan]],TrafficData[[#This Row],[pendingChallan]]&lt;=TrafficData[[#This Row],[totalChallan]])</f>
        <v>1</v>
      </c>
      <c r="O3091" s="8" t="b">
        <f>AND(TrafficData[[#This Row],[pendingAmount]]&lt;=TrafficData[[#This Row],[totalAmount]],TrafficData[[#This Row],[disposedAmount]]&lt;=TrafficData[[#This Row],[totalAmount]])</f>
        <v>1</v>
      </c>
      <c r="P3091" s="8" t="b">
        <f>AND(TrafficData[[#This Row],[pendingCourt]]&lt;=TrafficData[[#This Row],[totalCourt]],TrafficData[[#This Row],[disposedCourt]]&lt;=TrafficData[[#This Row],[totalCourt]])</f>
        <v>1</v>
      </c>
    </row>
    <row r="3092" spans="1:16">
      <c r="A3092" s="1">
        <v>45096</v>
      </c>
      <c r="B3092">
        <v>214759</v>
      </c>
      <c r="C3092">
        <v>87727</v>
      </c>
      <c r="D3092">
        <v>127032</v>
      </c>
      <c r="E3092">
        <v>204505471</v>
      </c>
      <c r="F3092">
        <v>111369821</v>
      </c>
      <c r="G3092">
        <v>315875292</v>
      </c>
      <c r="H3092">
        <v>76970</v>
      </c>
      <c r="I3092">
        <v>15263</v>
      </c>
      <c r="J3092">
        <v>92233</v>
      </c>
      <c r="K3092" t="b">
        <f>TrafficData[[#This Row],[disposedChallan]]+TrafficData[[#This Row],[pendingChallan]]=TrafficData[[#This Row],[totalChallan]]</f>
        <v>1</v>
      </c>
      <c r="L3092" t="b">
        <f>TrafficData[[#This Row],[pendingAmount]]+TrafficData[[#This Row],[disposedAmount]]=TrafficData[[#This Row],[totalAmount]]</f>
        <v>1</v>
      </c>
      <c r="M3092" t="b">
        <f>TrafficData[[#This Row],[pendingCourt]]+TrafficData[[#This Row],[disposedCourt]]=TrafficData[[#This Row],[totalCourt]]</f>
        <v>1</v>
      </c>
      <c r="N3092" s="8" t="b">
        <f>AND(TrafficData[[#This Row],[disposedChallan]]&lt;=TrafficData[[#This Row],[totalChallan]],TrafficData[[#This Row],[pendingChallan]]&lt;=TrafficData[[#This Row],[totalChallan]])</f>
        <v>1</v>
      </c>
      <c r="O3092" s="8" t="b">
        <f>AND(TrafficData[[#This Row],[pendingAmount]]&lt;=TrafficData[[#This Row],[totalAmount]],TrafficData[[#This Row],[disposedAmount]]&lt;=TrafficData[[#This Row],[totalAmount]])</f>
        <v>1</v>
      </c>
      <c r="P3092" s="8" t="b">
        <f>AND(TrafficData[[#This Row],[pendingCourt]]&lt;=TrafficData[[#This Row],[totalCourt]],TrafficData[[#This Row],[disposedCourt]]&lt;=TrafficData[[#This Row],[totalCourt]])</f>
        <v>1</v>
      </c>
    </row>
    <row r="3093" spans="1:16">
      <c r="A3093" s="1">
        <v>45097</v>
      </c>
      <c r="B3093">
        <v>210870</v>
      </c>
      <c r="C3093">
        <v>86323</v>
      </c>
      <c r="D3093">
        <v>124547</v>
      </c>
      <c r="E3093">
        <v>200001892</v>
      </c>
      <c r="F3093">
        <v>114960314</v>
      </c>
      <c r="G3093">
        <v>314962206</v>
      </c>
      <c r="H3093">
        <v>70489</v>
      </c>
      <c r="I3093">
        <v>14518</v>
      </c>
      <c r="J3093">
        <v>85007</v>
      </c>
      <c r="K3093" t="b">
        <f>TrafficData[[#This Row],[disposedChallan]]+TrafficData[[#This Row],[pendingChallan]]=TrafficData[[#This Row],[totalChallan]]</f>
        <v>1</v>
      </c>
      <c r="L3093" t="b">
        <f>TrafficData[[#This Row],[pendingAmount]]+TrafficData[[#This Row],[disposedAmount]]=TrafficData[[#This Row],[totalAmount]]</f>
        <v>1</v>
      </c>
      <c r="M3093" t="b">
        <f>TrafficData[[#This Row],[pendingCourt]]+TrafficData[[#This Row],[disposedCourt]]=TrafficData[[#This Row],[totalCourt]]</f>
        <v>1</v>
      </c>
      <c r="N3093" s="8" t="b">
        <f>AND(TrafficData[[#This Row],[disposedChallan]]&lt;=TrafficData[[#This Row],[totalChallan]],TrafficData[[#This Row],[pendingChallan]]&lt;=TrafficData[[#This Row],[totalChallan]])</f>
        <v>1</v>
      </c>
      <c r="O3093" s="8" t="b">
        <f>AND(TrafficData[[#This Row],[pendingAmount]]&lt;=TrafficData[[#This Row],[totalAmount]],TrafficData[[#This Row],[disposedAmount]]&lt;=TrafficData[[#This Row],[totalAmount]])</f>
        <v>1</v>
      </c>
      <c r="P3093" s="8" t="b">
        <f>AND(TrafficData[[#This Row],[pendingCourt]]&lt;=TrafficData[[#This Row],[totalCourt]],TrafficData[[#This Row],[disposedCourt]]&lt;=TrafficData[[#This Row],[totalCourt]])</f>
        <v>1</v>
      </c>
    </row>
    <row r="3094" spans="1:16">
      <c r="A3094" s="1">
        <v>45098</v>
      </c>
      <c r="B3094">
        <v>228997</v>
      </c>
      <c r="C3094">
        <v>93927</v>
      </c>
      <c r="D3094">
        <v>135070</v>
      </c>
      <c r="E3094">
        <v>219752767</v>
      </c>
      <c r="F3094">
        <v>122643545</v>
      </c>
      <c r="G3094">
        <v>342396312</v>
      </c>
      <c r="H3094">
        <v>78433</v>
      </c>
      <c r="I3094">
        <v>15910</v>
      </c>
      <c r="J3094">
        <v>94343</v>
      </c>
      <c r="K3094" t="b">
        <f>TrafficData[[#This Row],[disposedChallan]]+TrafficData[[#This Row],[pendingChallan]]=TrafficData[[#This Row],[totalChallan]]</f>
        <v>1</v>
      </c>
      <c r="L3094" t="b">
        <f>TrafficData[[#This Row],[pendingAmount]]+TrafficData[[#This Row],[disposedAmount]]=TrafficData[[#This Row],[totalAmount]]</f>
        <v>1</v>
      </c>
      <c r="M3094" t="b">
        <f>TrafficData[[#This Row],[pendingCourt]]+TrafficData[[#This Row],[disposedCourt]]=TrafficData[[#This Row],[totalCourt]]</f>
        <v>1</v>
      </c>
      <c r="N3094" s="8" t="b">
        <f>AND(TrafficData[[#This Row],[disposedChallan]]&lt;=TrafficData[[#This Row],[totalChallan]],TrafficData[[#This Row],[pendingChallan]]&lt;=TrafficData[[#This Row],[totalChallan]])</f>
        <v>1</v>
      </c>
      <c r="O3094" s="8" t="b">
        <f>AND(TrafficData[[#This Row],[pendingAmount]]&lt;=TrafficData[[#This Row],[totalAmount]],TrafficData[[#This Row],[disposedAmount]]&lt;=TrafficData[[#This Row],[totalAmount]])</f>
        <v>1</v>
      </c>
      <c r="P3094" s="8" t="b">
        <f>AND(TrafficData[[#This Row],[pendingCourt]]&lt;=TrafficData[[#This Row],[totalCourt]],TrafficData[[#This Row],[disposedCourt]]&lt;=TrafficData[[#This Row],[totalCourt]])</f>
        <v>1</v>
      </c>
    </row>
    <row r="3095" spans="1:16">
      <c r="A3095" s="1">
        <v>45099</v>
      </c>
      <c r="B3095">
        <v>230114</v>
      </c>
      <c r="C3095">
        <v>93964</v>
      </c>
      <c r="D3095">
        <v>136150</v>
      </c>
      <c r="E3095">
        <v>231595924</v>
      </c>
      <c r="F3095">
        <v>123987795</v>
      </c>
      <c r="G3095">
        <v>355583719</v>
      </c>
      <c r="H3095">
        <v>77511</v>
      </c>
      <c r="I3095">
        <v>15207</v>
      </c>
      <c r="J3095">
        <v>92718</v>
      </c>
      <c r="K3095" t="b">
        <f>TrafficData[[#This Row],[disposedChallan]]+TrafficData[[#This Row],[pendingChallan]]=TrafficData[[#This Row],[totalChallan]]</f>
        <v>1</v>
      </c>
      <c r="L3095" t="b">
        <f>TrafficData[[#This Row],[pendingAmount]]+TrafficData[[#This Row],[disposedAmount]]=TrafficData[[#This Row],[totalAmount]]</f>
        <v>1</v>
      </c>
      <c r="M3095" t="b">
        <f>TrafficData[[#This Row],[pendingCourt]]+TrafficData[[#This Row],[disposedCourt]]=TrafficData[[#This Row],[totalCourt]]</f>
        <v>1</v>
      </c>
      <c r="N3095" s="8" t="b">
        <f>AND(TrafficData[[#This Row],[disposedChallan]]&lt;=TrafficData[[#This Row],[totalChallan]],TrafficData[[#This Row],[pendingChallan]]&lt;=TrafficData[[#This Row],[totalChallan]])</f>
        <v>1</v>
      </c>
      <c r="O3095" s="8" t="b">
        <f>AND(TrafficData[[#This Row],[pendingAmount]]&lt;=TrafficData[[#This Row],[totalAmount]],TrafficData[[#This Row],[disposedAmount]]&lt;=TrafficData[[#This Row],[totalAmount]])</f>
        <v>1</v>
      </c>
      <c r="P3095" s="8" t="b">
        <f>AND(TrafficData[[#This Row],[pendingCourt]]&lt;=TrafficData[[#This Row],[totalCourt]],TrafficData[[#This Row],[disposedCourt]]&lt;=TrafficData[[#This Row],[totalCourt]])</f>
        <v>1</v>
      </c>
    </row>
    <row r="3096" spans="1:16">
      <c r="A3096" s="1">
        <v>45100</v>
      </c>
      <c r="B3096">
        <v>218061</v>
      </c>
      <c r="C3096">
        <v>89872</v>
      </c>
      <c r="D3096">
        <v>128189</v>
      </c>
      <c r="E3096">
        <v>214252430</v>
      </c>
      <c r="F3096">
        <v>121447002</v>
      </c>
      <c r="G3096">
        <v>335699432</v>
      </c>
      <c r="H3096">
        <v>71847</v>
      </c>
      <c r="I3096">
        <v>14609</v>
      </c>
      <c r="J3096">
        <v>86456</v>
      </c>
      <c r="K3096" t="b">
        <f>TrafficData[[#This Row],[disposedChallan]]+TrafficData[[#This Row],[pendingChallan]]=TrafficData[[#This Row],[totalChallan]]</f>
        <v>1</v>
      </c>
      <c r="L3096" t="b">
        <f>TrafficData[[#This Row],[pendingAmount]]+TrafficData[[#This Row],[disposedAmount]]=TrafficData[[#This Row],[totalAmount]]</f>
        <v>1</v>
      </c>
      <c r="M3096" t="b">
        <f>TrafficData[[#This Row],[pendingCourt]]+TrafficData[[#This Row],[disposedCourt]]=TrafficData[[#This Row],[totalCourt]]</f>
        <v>1</v>
      </c>
      <c r="N3096" s="8" t="b">
        <f>AND(TrafficData[[#This Row],[disposedChallan]]&lt;=TrafficData[[#This Row],[totalChallan]],TrafficData[[#This Row],[pendingChallan]]&lt;=TrafficData[[#This Row],[totalChallan]])</f>
        <v>1</v>
      </c>
      <c r="O3096" s="8" t="b">
        <f>AND(TrafficData[[#This Row],[pendingAmount]]&lt;=TrafficData[[#This Row],[totalAmount]],TrafficData[[#This Row],[disposedAmount]]&lt;=TrafficData[[#This Row],[totalAmount]])</f>
        <v>1</v>
      </c>
      <c r="P3096" s="8" t="b">
        <f>AND(TrafficData[[#This Row],[pendingCourt]]&lt;=TrafficData[[#This Row],[totalCourt]],TrafficData[[#This Row],[disposedCourt]]&lt;=TrafficData[[#This Row],[totalCourt]])</f>
        <v>1</v>
      </c>
    </row>
    <row r="3097" spans="1:16">
      <c r="A3097" s="1">
        <v>45101</v>
      </c>
      <c r="B3097">
        <v>233889</v>
      </c>
      <c r="C3097">
        <v>96010</v>
      </c>
      <c r="D3097">
        <v>137879</v>
      </c>
      <c r="E3097">
        <v>224719156</v>
      </c>
      <c r="F3097">
        <v>119213306</v>
      </c>
      <c r="G3097">
        <v>343932462</v>
      </c>
      <c r="H3097">
        <v>76453</v>
      </c>
      <c r="I3097">
        <v>15678</v>
      </c>
      <c r="J3097">
        <v>92131</v>
      </c>
      <c r="K3097" t="b">
        <f>TrafficData[[#This Row],[disposedChallan]]+TrafficData[[#This Row],[pendingChallan]]=TrafficData[[#This Row],[totalChallan]]</f>
        <v>1</v>
      </c>
      <c r="L3097" t="b">
        <f>TrafficData[[#This Row],[pendingAmount]]+TrafficData[[#This Row],[disposedAmount]]=TrafficData[[#This Row],[totalAmount]]</f>
        <v>1</v>
      </c>
      <c r="M3097" t="b">
        <f>TrafficData[[#This Row],[pendingCourt]]+TrafficData[[#This Row],[disposedCourt]]=TrafficData[[#This Row],[totalCourt]]</f>
        <v>1</v>
      </c>
      <c r="N3097" s="8" t="b">
        <f>AND(TrafficData[[#This Row],[disposedChallan]]&lt;=TrafficData[[#This Row],[totalChallan]],TrafficData[[#This Row],[pendingChallan]]&lt;=TrafficData[[#This Row],[totalChallan]])</f>
        <v>1</v>
      </c>
      <c r="O3097" s="8" t="b">
        <f>AND(TrafficData[[#This Row],[pendingAmount]]&lt;=TrafficData[[#This Row],[totalAmount]],TrafficData[[#This Row],[disposedAmount]]&lt;=TrafficData[[#This Row],[totalAmount]])</f>
        <v>1</v>
      </c>
      <c r="P3097" s="8" t="b">
        <f>AND(TrafficData[[#This Row],[pendingCourt]]&lt;=TrafficData[[#This Row],[totalCourt]],TrafficData[[#This Row],[disposedCourt]]&lt;=TrafficData[[#This Row],[totalCourt]])</f>
        <v>1</v>
      </c>
    </row>
    <row r="3098" spans="1:16">
      <c r="A3098" s="1">
        <v>45102</v>
      </c>
      <c r="B3098">
        <v>188909</v>
      </c>
      <c r="C3098">
        <v>76283</v>
      </c>
      <c r="D3098">
        <v>112626</v>
      </c>
      <c r="E3098">
        <v>164537674</v>
      </c>
      <c r="F3098">
        <v>81469633</v>
      </c>
      <c r="G3098">
        <v>246007307</v>
      </c>
      <c r="H3098">
        <v>56440</v>
      </c>
      <c r="I3098">
        <v>11426</v>
      </c>
      <c r="J3098">
        <v>67866</v>
      </c>
      <c r="K3098" t="b">
        <f>TrafficData[[#This Row],[disposedChallan]]+TrafficData[[#This Row],[pendingChallan]]=TrafficData[[#This Row],[totalChallan]]</f>
        <v>1</v>
      </c>
      <c r="L3098" t="b">
        <f>TrafficData[[#This Row],[pendingAmount]]+TrafficData[[#This Row],[disposedAmount]]=TrafficData[[#This Row],[totalAmount]]</f>
        <v>1</v>
      </c>
      <c r="M3098" t="b">
        <f>TrafficData[[#This Row],[pendingCourt]]+TrafficData[[#This Row],[disposedCourt]]=TrafficData[[#This Row],[totalCourt]]</f>
        <v>1</v>
      </c>
      <c r="N3098" s="8" t="b">
        <f>AND(TrafficData[[#This Row],[disposedChallan]]&lt;=TrafficData[[#This Row],[totalChallan]],TrafficData[[#This Row],[pendingChallan]]&lt;=TrafficData[[#This Row],[totalChallan]])</f>
        <v>1</v>
      </c>
      <c r="O3098" s="8" t="b">
        <f>AND(TrafficData[[#This Row],[pendingAmount]]&lt;=TrafficData[[#This Row],[totalAmount]],TrafficData[[#This Row],[disposedAmount]]&lt;=TrafficData[[#This Row],[totalAmount]])</f>
        <v>1</v>
      </c>
      <c r="P3098" s="8" t="b">
        <f>AND(TrafficData[[#This Row],[pendingCourt]]&lt;=TrafficData[[#This Row],[totalCourt]],TrafficData[[#This Row],[disposedCourt]]&lt;=TrafficData[[#This Row],[totalCourt]])</f>
        <v>1</v>
      </c>
    </row>
    <row r="3099" spans="1:16">
      <c r="A3099" s="1">
        <v>45103</v>
      </c>
      <c r="B3099">
        <v>215137</v>
      </c>
      <c r="C3099">
        <v>88013</v>
      </c>
      <c r="D3099">
        <v>127124</v>
      </c>
      <c r="E3099">
        <v>195601714</v>
      </c>
      <c r="F3099">
        <v>106277850</v>
      </c>
      <c r="G3099">
        <v>301879564</v>
      </c>
      <c r="H3099">
        <v>71245</v>
      </c>
      <c r="I3099">
        <v>14335</v>
      </c>
      <c r="J3099">
        <v>85580</v>
      </c>
      <c r="K3099" t="b">
        <f>TrafficData[[#This Row],[disposedChallan]]+TrafficData[[#This Row],[pendingChallan]]=TrafficData[[#This Row],[totalChallan]]</f>
        <v>1</v>
      </c>
      <c r="L3099" t="b">
        <f>TrafficData[[#This Row],[pendingAmount]]+TrafficData[[#This Row],[disposedAmount]]=TrafficData[[#This Row],[totalAmount]]</f>
        <v>1</v>
      </c>
      <c r="M3099" t="b">
        <f>TrafficData[[#This Row],[pendingCourt]]+TrafficData[[#This Row],[disposedCourt]]=TrafficData[[#This Row],[totalCourt]]</f>
        <v>1</v>
      </c>
      <c r="N3099" s="8" t="b">
        <f>AND(TrafficData[[#This Row],[disposedChallan]]&lt;=TrafficData[[#This Row],[totalChallan]],TrafficData[[#This Row],[pendingChallan]]&lt;=TrafficData[[#This Row],[totalChallan]])</f>
        <v>1</v>
      </c>
      <c r="O3099" s="8" t="b">
        <f>AND(TrafficData[[#This Row],[pendingAmount]]&lt;=TrafficData[[#This Row],[totalAmount]],TrafficData[[#This Row],[disposedAmount]]&lt;=TrafficData[[#This Row],[totalAmount]])</f>
        <v>1</v>
      </c>
      <c r="P3099" s="8" t="b">
        <f>AND(TrafficData[[#This Row],[pendingCourt]]&lt;=TrafficData[[#This Row],[totalCourt]],TrafficData[[#This Row],[disposedCourt]]&lt;=TrafficData[[#This Row],[totalCourt]])</f>
        <v>1</v>
      </c>
    </row>
    <row r="3100" spans="1:16">
      <c r="A3100" s="1">
        <v>45104</v>
      </c>
      <c r="B3100">
        <v>212205</v>
      </c>
      <c r="C3100">
        <v>85385</v>
      </c>
      <c r="D3100">
        <v>126820</v>
      </c>
      <c r="E3100">
        <v>201874144</v>
      </c>
      <c r="F3100">
        <v>114158536</v>
      </c>
      <c r="G3100">
        <v>316032680</v>
      </c>
      <c r="H3100">
        <v>69801</v>
      </c>
      <c r="I3100">
        <v>14340</v>
      </c>
      <c r="J3100">
        <v>84141</v>
      </c>
      <c r="K3100" t="b">
        <f>TrafficData[[#This Row],[disposedChallan]]+TrafficData[[#This Row],[pendingChallan]]=TrafficData[[#This Row],[totalChallan]]</f>
        <v>1</v>
      </c>
      <c r="L3100" t="b">
        <f>TrafficData[[#This Row],[pendingAmount]]+TrafficData[[#This Row],[disposedAmount]]=TrafficData[[#This Row],[totalAmount]]</f>
        <v>1</v>
      </c>
      <c r="M3100" t="b">
        <f>TrafficData[[#This Row],[pendingCourt]]+TrafficData[[#This Row],[disposedCourt]]=TrafficData[[#This Row],[totalCourt]]</f>
        <v>1</v>
      </c>
      <c r="N3100" s="8" t="b">
        <f>AND(TrafficData[[#This Row],[disposedChallan]]&lt;=TrafficData[[#This Row],[totalChallan]],TrafficData[[#This Row],[pendingChallan]]&lt;=TrafficData[[#This Row],[totalChallan]])</f>
        <v>1</v>
      </c>
      <c r="O3100" s="8" t="b">
        <f>AND(TrafficData[[#This Row],[pendingAmount]]&lt;=TrafficData[[#This Row],[totalAmount]],TrafficData[[#This Row],[disposedAmount]]&lt;=TrafficData[[#This Row],[totalAmount]])</f>
        <v>1</v>
      </c>
      <c r="P3100" s="8" t="b">
        <f>AND(TrafficData[[#This Row],[pendingCourt]]&lt;=TrafficData[[#This Row],[totalCourt]],TrafficData[[#This Row],[disposedCourt]]&lt;=TrafficData[[#This Row],[totalCourt]])</f>
        <v>1</v>
      </c>
    </row>
    <row r="3101" spans="1:16">
      <c r="A3101" s="1">
        <v>45105</v>
      </c>
      <c r="B3101">
        <v>221638</v>
      </c>
      <c r="C3101">
        <v>88498</v>
      </c>
      <c r="D3101">
        <v>133140</v>
      </c>
      <c r="E3101">
        <v>213380463</v>
      </c>
      <c r="F3101">
        <v>108740425</v>
      </c>
      <c r="G3101">
        <v>322120888</v>
      </c>
      <c r="H3101">
        <v>73131</v>
      </c>
      <c r="I3101">
        <v>14935</v>
      </c>
      <c r="J3101">
        <v>88066</v>
      </c>
      <c r="K3101" t="b">
        <f>TrafficData[[#This Row],[disposedChallan]]+TrafficData[[#This Row],[pendingChallan]]=TrafficData[[#This Row],[totalChallan]]</f>
        <v>1</v>
      </c>
      <c r="L3101" t="b">
        <f>TrafficData[[#This Row],[pendingAmount]]+TrafficData[[#This Row],[disposedAmount]]=TrafficData[[#This Row],[totalAmount]]</f>
        <v>1</v>
      </c>
      <c r="M3101" t="b">
        <f>TrafficData[[#This Row],[pendingCourt]]+TrafficData[[#This Row],[disposedCourt]]=TrafficData[[#This Row],[totalCourt]]</f>
        <v>1</v>
      </c>
      <c r="N3101" s="8" t="b">
        <f>AND(TrafficData[[#This Row],[disposedChallan]]&lt;=TrafficData[[#This Row],[totalChallan]],TrafficData[[#This Row],[pendingChallan]]&lt;=TrafficData[[#This Row],[totalChallan]])</f>
        <v>1</v>
      </c>
      <c r="O3101" s="8" t="b">
        <f>AND(TrafficData[[#This Row],[pendingAmount]]&lt;=TrafficData[[#This Row],[totalAmount]],TrafficData[[#This Row],[disposedAmount]]&lt;=TrafficData[[#This Row],[totalAmount]])</f>
        <v>1</v>
      </c>
      <c r="P3101" s="8" t="b">
        <f>AND(TrafficData[[#This Row],[pendingCourt]]&lt;=TrafficData[[#This Row],[totalCourt]],TrafficData[[#This Row],[disposedCourt]]&lt;=TrafficData[[#This Row],[totalCourt]])</f>
        <v>1</v>
      </c>
    </row>
    <row r="3102" spans="1:16">
      <c r="A3102" s="1">
        <v>45106</v>
      </c>
      <c r="B3102">
        <v>197541</v>
      </c>
      <c r="C3102">
        <v>75854</v>
      </c>
      <c r="D3102">
        <v>121687</v>
      </c>
      <c r="E3102">
        <v>180788550</v>
      </c>
      <c r="F3102">
        <v>82949528</v>
      </c>
      <c r="G3102">
        <v>263738078</v>
      </c>
      <c r="H3102">
        <v>60591</v>
      </c>
      <c r="I3102">
        <v>11605</v>
      </c>
      <c r="J3102">
        <v>72196</v>
      </c>
      <c r="K3102" t="b">
        <f>TrafficData[[#This Row],[disposedChallan]]+TrafficData[[#This Row],[pendingChallan]]=TrafficData[[#This Row],[totalChallan]]</f>
        <v>1</v>
      </c>
      <c r="L3102" t="b">
        <f>TrafficData[[#This Row],[pendingAmount]]+TrafficData[[#This Row],[disposedAmount]]=TrafficData[[#This Row],[totalAmount]]</f>
        <v>1</v>
      </c>
      <c r="M3102" t="b">
        <f>TrafficData[[#This Row],[pendingCourt]]+TrafficData[[#This Row],[disposedCourt]]=TrafficData[[#This Row],[totalCourt]]</f>
        <v>1</v>
      </c>
      <c r="N3102" s="8" t="b">
        <f>AND(TrafficData[[#This Row],[disposedChallan]]&lt;=TrafficData[[#This Row],[totalChallan]],TrafficData[[#This Row],[pendingChallan]]&lt;=TrafficData[[#This Row],[totalChallan]])</f>
        <v>1</v>
      </c>
      <c r="O3102" s="8" t="b">
        <f>AND(TrafficData[[#This Row],[pendingAmount]]&lt;=TrafficData[[#This Row],[totalAmount]],TrafficData[[#This Row],[disposedAmount]]&lt;=TrafficData[[#This Row],[totalAmount]])</f>
        <v>1</v>
      </c>
      <c r="P3102" s="8" t="b">
        <f>AND(TrafficData[[#This Row],[pendingCourt]]&lt;=TrafficData[[#This Row],[totalCourt]],TrafficData[[#This Row],[disposedCourt]]&lt;=TrafficData[[#This Row],[totalCourt]])</f>
        <v>1</v>
      </c>
    </row>
    <row r="3103" spans="1:16">
      <c r="A3103" s="1">
        <v>45107</v>
      </c>
      <c r="B3103">
        <v>217958</v>
      </c>
      <c r="C3103">
        <v>84316</v>
      </c>
      <c r="D3103">
        <v>133642</v>
      </c>
      <c r="E3103">
        <v>205834536</v>
      </c>
      <c r="F3103">
        <v>91050354</v>
      </c>
      <c r="G3103">
        <v>296884890</v>
      </c>
      <c r="H3103">
        <v>71983</v>
      </c>
      <c r="I3103">
        <v>13816</v>
      </c>
      <c r="J3103">
        <v>85799</v>
      </c>
      <c r="K3103" t="b">
        <f>TrafficData[[#This Row],[disposedChallan]]+TrafficData[[#This Row],[pendingChallan]]=TrafficData[[#This Row],[totalChallan]]</f>
        <v>1</v>
      </c>
      <c r="L3103" t="b">
        <f>TrafficData[[#This Row],[pendingAmount]]+TrafficData[[#This Row],[disposedAmount]]=TrafficData[[#This Row],[totalAmount]]</f>
        <v>1</v>
      </c>
      <c r="M3103" t="b">
        <f>TrafficData[[#This Row],[pendingCourt]]+TrafficData[[#This Row],[disposedCourt]]=TrafficData[[#This Row],[totalCourt]]</f>
        <v>1</v>
      </c>
      <c r="N3103" s="8" t="b">
        <f>AND(TrafficData[[#This Row],[disposedChallan]]&lt;=TrafficData[[#This Row],[totalChallan]],TrafficData[[#This Row],[pendingChallan]]&lt;=TrafficData[[#This Row],[totalChallan]])</f>
        <v>1</v>
      </c>
      <c r="O3103" s="8" t="b">
        <f>AND(TrafficData[[#This Row],[pendingAmount]]&lt;=TrafficData[[#This Row],[totalAmount]],TrafficData[[#This Row],[disposedAmount]]&lt;=TrafficData[[#This Row],[totalAmount]])</f>
        <v>1</v>
      </c>
      <c r="P3103" s="8" t="b">
        <f>AND(TrafficData[[#This Row],[pendingCourt]]&lt;=TrafficData[[#This Row],[totalCourt]],TrafficData[[#This Row],[disposedCourt]]&lt;=TrafficData[[#This Row],[totalCourt]])</f>
        <v>1</v>
      </c>
    </row>
    <row r="3104" spans="1:16">
      <c r="A3104" s="1">
        <v>45108</v>
      </c>
      <c r="B3104">
        <v>226065</v>
      </c>
      <c r="C3104">
        <v>93511</v>
      </c>
      <c r="D3104">
        <v>132554</v>
      </c>
      <c r="E3104">
        <v>194145142</v>
      </c>
      <c r="F3104">
        <v>111296127</v>
      </c>
      <c r="G3104">
        <v>305441269</v>
      </c>
      <c r="H3104">
        <v>68438</v>
      </c>
      <c r="I3104">
        <v>14062</v>
      </c>
      <c r="J3104">
        <v>82500</v>
      </c>
      <c r="K3104" t="b">
        <f>TrafficData[[#This Row],[disposedChallan]]+TrafficData[[#This Row],[pendingChallan]]=TrafficData[[#This Row],[totalChallan]]</f>
        <v>1</v>
      </c>
      <c r="L3104" t="b">
        <f>TrafficData[[#This Row],[pendingAmount]]+TrafficData[[#This Row],[disposedAmount]]=TrafficData[[#This Row],[totalAmount]]</f>
        <v>1</v>
      </c>
      <c r="M3104" t="b">
        <f>TrafficData[[#This Row],[pendingCourt]]+TrafficData[[#This Row],[disposedCourt]]=TrafficData[[#This Row],[totalCourt]]</f>
        <v>1</v>
      </c>
      <c r="N3104" s="8" t="b">
        <f>AND(TrafficData[[#This Row],[disposedChallan]]&lt;=TrafficData[[#This Row],[totalChallan]],TrafficData[[#This Row],[pendingChallan]]&lt;=TrafficData[[#This Row],[totalChallan]])</f>
        <v>1</v>
      </c>
      <c r="O3104" s="8" t="b">
        <f>AND(TrafficData[[#This Row],[pendingAmount]]&lt;=TrafficData[[#This Row],[totalAmount]],TrafficData[[#This Row],[disposedAmount]]&lt;=TrafficData[[#This Row],[totalAmount]])</f>
        <v>1</v>
      </c>
      <c r="P3104" s="8" t="b">
        <f>AND(TrafficData[[#This Row],[pendingCourt]]&lt;=TrafficData[[#This Row],[totalCourt]],TrafficData[[#This Row],[disposedCourt]]&lt;=TrafficData[[#This Row],[totalCourt]])</f>
        <v>1</v>
      </c>
    </row>
    <row r="3105" spans="1:16">
      <c r="A3105" s="1">
        <v>45109</v>
      </c>
      <c r="B3105">
        <v>214099</v>
      </c>
      <c r="C3105">
        <v>86756</v>
      </c>
      <c r="D3105">
        <v>127343</v>
      </c>
      <c r="E3105">
        <v>181282013</v>
      </c>
      <c r="F3105">
        <v>98724767</v>
      </c>
      <c r="G3105">
        <v>280006780</v>
      </c>
      <c r="H3105">
        <v>65097</v>
      </c>
      <c r="I3105">
        <v>12974</v>
      </c>
      <c r="J3105">
        <v>78071</v>
      </c>
      <c r="K3105" t="b">
        <f>TrafficData[[#This Row],[disposedChallan]]+TrafficData[[#This Row],[pendingChallan]]=TrafficData[[#This Row],[totalChallan]]</f>
        <v>1</v>
      </c>
      <c r="L3105" t="b">
        <f>TrafficData[[#This Row],[pendingAmount]]+TrafficData[[#This Row],[disposedAmount]]=TrafficData[[#This Row],[totalAmount]]</f>
        <v>1</v>
      </c>
      <c r="M3105" t="b">
        <f>TrafficData[[#This Row],[pendingCourt]]+TrafficData[[#This Row],[disposedCourt]]=TrafficData[[#This Row],[totalCourt]]</f>
        <v>1</v>
      </c>
      <c r="N3105" s="8" t="b">
        <f>AND(TrafficData[[#This Row],[disposedChallan]]&lt;=TrafficData[[#This Row],[totalChallan]],TrafficData[[#This Row],[pendingChallan]]&lt;=TrafficData[[#This Row],[totalChallan]])</f>
        <v>1</v>
      </c>
      <c r="O3105" s="8" t="b">
        <f>AND(TrafficData[[#This Row],[pendingAmount]]&lt;=TrafficData[[#This Row],[totalAmount]],TrafficData[[#This Row],[disposedAmount]]&lt;=TrafficData[[#This Row],[totalAmount]])</f>
        <v>1</v>
      </c>
      <c r="P3105" s="8" t="b">
        <f>AND(TrafficData[[#This Row],[pendingCourt]]&lt;=TrafficData[[#This Row],[totalCourt]],TrafficData[[#This Row],[disposedCourt]]&lt;=TrafficData[[#This Row],[totalCourt]])</f>
        <v>1</v>
      </c>
    </row>
    <row r="3106" spans="1:16">
      <c r="A3106" s="1">
        <v>45110</v>
      </c>
      <c r="B3106">
        <v>212541</v>
      </c>
      <c r="C3106">
        <v>86624</v>
      </c>
      <c r="D3106">
        <v>125917</v>
      </c>
      <c r="E3106">
        <v>197526777</v>
      </c>
      <c r="F3106">
        <v>117042580</v>
      </c>
      <c r="G3106">
        <v>314569357</v>
      </c>
      <c r="H3106">
        <v>68007</v>
      </c>
      <c r="I3106">
        <v>13558</v>
      </c>
      <c r="J3106">
        <v>81565</v>
      </c>
      <c r="K3106" t="b">
        <f>TrafficData[[#This Row],[disposedChallan]]+TrafficData[[#This Row],[pendingChallan]]=TrafficData[[#This Row],[totalChallan]]</f>
        <v>1</v>
      </c>
      <c r="L3106" t="b">
        <f>TrafficData[[#This Row],[pendingAmount]]+TrafficData[[#This Row],[disposedAmount]]=TrafficData[[#This Row],[totalAmount]]</f>
        <v>1</v>
      </c>
      <c r="M3106" t="b">
        <f>TrafficData[[#This Row],[pendingCourt]]+TrafficData[[#This Row],[disposedCourt]]=TrafficData[[#This Row],[totalCourt]]</f>
        <v>1</v>
      </c>
      <c r="N3106" s="8" t="b">
        <f>AND(TrafficData[[#This Row],[disposedChallan]]&lt;=TrafficData[[#This Row],[totalChallan]],TrafficData[[#This Row],[pendingChallan]]&lt;=TrafficData[[#This Row],[totalChallan]])</f>
        <v>1</v>
      </c>
      <c r="O3106" s="8" t="b">
        <f>AND(TrafficData[[#This Row],[pendingAmount]]&lt;=TrafficData[[#This Row],[totalAmount]],TrafficData[[#This Row],[disposedAmount]]&lt;=TrafficData[[#This Row],[totalAmount]])</f>
        <v>1</v>
      </c>
      <c r="P3106" s="8" t="b">
        <f>AND(TrafficData[[#This Row],[pendingCourt]]&lt;=TrafficData[[#This Row],[totalCourt]],TrafficData[[#This Row],[disposedCourt]]&lt;=TrafficData[[#This Row],[totalCourt]])</f>
        <v>1</v>
      </c>
    </row>
    <row r="3107" spans="1:16">
      <c r="A3107" s="1">
        <v>45111</v>
      </c>
      <c r="B3107">
        <v>200159</v>
      </c>
      <c r="C3107">
        <v>79854</v>
      </c>
      <c r="D3107">
        <v>120305</v>
      </c>
      <c r="E3107">
        <v>199721452</v>
      </c>
      <c r="F3107">
        <v>126350917</v>
      </c>
      <c r="G3107">
        <v>326072369</v>
      </c>
      <c r="H3107">
        <v>65457</v>
      </c>
      <c r="I3107">
        <v>13319</v>
      </c>
      <c r="J3107">
        <v>78776</v>
      </c>
      <c r="K3107" t="b">
        <f>TrafficData[[#This Row],[disposedChallan]]+TrafficData[[#This Row],[pendingChallan]]=TrafficData[[#This Row],[totalChallan]]</f>
        <v>1</v>
      </c>
      <c r="L3107" t="b">
        <f>TrafficData[[#This Row],[pendingAmount]]+TrafficData[[#This Row],[disposedAmount]]=TrafficData[[#This Row],[totalAmount]]</f>
        <v>1</v>
      </c>
      <c r="M3107" t="b">
        <f>TrafficData[[#This Row],[pendingCourt]]+TrafficData[[#This Row],[disposedCourt]]=TrafficData[[#This Row],[totalCourt]]</f>
        <v>1</v>
      </c>
      <c r="N3107" s="8" t="b">
        <f>AND(TrafficData[[#This Row],[disposedChallan]]&lt;=TrafficData[[#This Row],[totalChallan]],TrafficData[[#This Row],[pendingChallan]]&lt;=TrafficData[[#This Row],[totalChallan]])</f>
        <v>1</v>
      </c>
      <c r="O3107" s="8" t="b">
        <f>AND(TrafficData[[#This Row],[pendingAmount]]&lt;=TrafficData[[#This Row],[totalAmount]],TrafficData[[#This Row],[disposedAmount]]&lt;=TrafficData[[#This Row],[totalAmount]])</f>
        <v>1</v>
      </c>
      <c r="P3107" s="8" t="b">
        <f>AND(TrafficData[[#This Row],[pendingCourt]]&lt;=TrafficData[[#This Row],[totalCourt]],TrafficData[[#This Row],[disposedCourt]]&lt;=TrafficData[[#This Row],[totalCourt]])</f>
        <v>1</v>
      </c>
    </row>
    <row r="3108" spans="1:16">
      <c r="A3108" s="1">
        <v>45112</v>
      </c>
      <c r="B3108">
        <v>198487</v>
      </c>
      <c r="C3108">
        <v>78999</v>
      </c>
      <c r="D3108">
        <v>119488</v>
      </c>
      <c r="E3108">
        <v>203501253</v>
      </c>
      <c r="F3108">
        <v>127406482</v>
      </c>
      <c r="G3108">
        <v>330907735</v>
      </c>
      <c r="H3108">
        <v>66994</v>
      </c>
      <c r="I3108">
        <v>13359</v>
      </c>
      <c r="J3108">
        <v>80353</v>
      </c>
      <c r="K3108" t="b">
        <f>TrafficData[[#This Row],[disposedChallan]]+TrafficData[[#This Row],[pendingChallan]]=TrafficData[[#This Row],[totalChallan]]</f>
        <v>1</v>
      </c>
      <c r="L3108" t="b">
        <f>TrafficData[[#This Row],[pendingAmount]]+TrafficData[[#This Row],[disposedAmount]]=TrafficData[[#This Row],[totalAmount]]</f>
        <v>1</v>
      </c>
      <c r="M3108" t="b">
        <f>TrafficData[[#This Row],[pendingCourt]]+TrafficData[[#This Row],[disposedCourt]]=TrafficData[[#This Row],[totalCourt]]</f>
        <v>1</v>
      </c>
      <c r="N3108" s="8" t="b">
        <f>AND(TrafficData[[#This Row],[disposedChallan]]&lt;=TrafficData[[#This Row],[totalChallan]],TrafficData[[#This Row],[pendingChallan]]&lt;=TrafficData[[#This Row],[totalChallan]])</f>
        <v>1</v>
      </c>
      <c r="O3108" s="8" t="b">
        <f>AND(TrafficData[[#This Row],[pendingAmount]]&lt;=TrafficData[[#This Row],[totalAmount]],TrafficData[[#This Row],[disposedAmount]]&lt;=TrafficData[[#This Row],[totalAmount]])</f>
        <v>1</v>
      </c>
      <c r="P3108" s="8" t="b">
        <f>AND(TrafficData[[#This Row],[pendingCourt]]&lt;=TrafficData[[#This Row],[totalCourt]],TrafficData[[#This Row],[disposedCourt]]&lt;=TrafficData[[#This Row],[totalCourt]])</f>
        <v>1</v>
      </c>
    </row>
    <row r="3109" spans="1:16">
      <c r="A3109" s="1">
        <v>45113</v>
      </c>
      <c r="B3109">
        <v>203636</v>
      </c>
      <c r="C3109">
        <v>82388</v>
      </c>
      <c r="D3109">
        <v>121248</v>
      </c>
      <c r="E3109">
        <v>193361728</v>
      </c>
      <c r="F3109">
        <v>124099603</v>
      </c>
      <c r="G3109">
        <v>317461331</v>
      </c>
      <c r="H3109">
        <v>64581</v>
      </c>
      <c r="I3109">
        <v>12806</v>
      </c>
      <c r="J3109">
        <v>77387</v>
      </c>
      <c r="K3109" t="b">
        <f>TrafficData[[#This Row],[disposedChallan]]+TrafficData[[#This Row],[pendingChallan]]=TrafficData[[#This Row],[totalChallan]]</f>
        <v>1</v>
      </c>
      <c r="L3109" t="b">
        <f>TrafficData[[#This Row],[pendingAmount]]+TrafficData[[#This Row],[disposedAmount]]=TrafficData[[#This Row],[totalAmount]]</f>
        <v>1</v>
      </c>
      <c r="M3109" t="b">
        <f>TrafficData[[#This Row],[pendingCourt]]+TrafficData[[#This Row],[disposedCourt]]=TrafficData[[#This Row],[totalCourt]]</f>
        <v>1</v>
      </c>
      <c r="N3109" s="8" t="b">
        <f>AND(TrafficData[[#This Row],[disposedChallan]]&lt;=TrafficData[[#This Row],[totalChallan]],TrafficData[[#This Row],[pendingChallan]]&lt;=TrafficData[[#This Row],[totalChallan]])</f>
        <v>1</v>
      </c>
      <c r="O3109" s="8" t="b">
        <f>AND(TrafficData[[#This Row],[pendingAmount]]&lt;=TrafficData[[#This Row],[totalAmount]],TrafficData[[#This Row],[disposedAmount]]&lt;=TrafficData[[#This Row],[totalAmount]])</f>
        <v>1</v>
      </c>
      <c r="P3109" s="8" t="b">
        <f>AND(TrafficData[[#This Row],[pendingCourt]]&lt;=TrafficData[[#This Row],[totalCourt]],TrafficData[[#This Row],[disposedCourt]]&lt;=TrafficData[[#This Row],[totalCourt]])</f>
        <v>1</v>
      </c>
    </row>
    <row r="3110" spans="1:16">
      <c r="A3110" s="1">
        <v>45114</v>
      </c>
      <c r="B3110">
        <v>204212</v>
      </c>
      <c r="C3110">
        <v>82995</v>
      </c>
      <c r="D3110">
        <v>121217</v>
      </c>
      <c r="E3110">
        <v>191038553</v>
      </c>
      <c r="F3110">
        <v>122332048</v>
      </c>
      <c r="G3110">
        <v>313370601</v>
      </c>
      <c r="H3110">
        <v>65687</v>
      </c>
      <c r="I3110">
        <v>13146</v>
      </c>
      <c r="J3110">
        <v>78833</v>
      </c>
      <c r="K3110" t="b">
        <f>TrafficData[[#This Row],[disposedChallan]]+TrafficData[[#This Row],[pendingChallan]]=TrafficData[[#This Row],[totalChallan]]</f>
        <v>1</v>
      </c>
      <c r="L3110" t="b">
        <f>TrafficData[[#This Row],[pendingAmount]]+TrafficData[[#This Row],[disposedAmount]]=TrafficData[[#This Row],[totalAmount]]</f>
        <v>1</v>
      </c>
      <c r="M3110" t="b">
        <f>TrafficData[[#This Row],[pendingCourt]]+TrafficData[[#This Row],[disposedCourt]]=TrafficData[[#This Row],[totalCourt]]</f>
        <v>1</v>
      </c>
      <c r="N3110" s="8" t="b">
        <f>AND(TrafficData[[#This Row],[disposedChallan]]&lt;=TrafficData[[#This Row],[totalChallan]],TrafficData[[#This Row],[pendingChallan]]&lt;=TrafficData[[#This Row],[totalChallan]])</f>
        <v>1</v>
      </c>
      <c r="O3110" s="8" t="b">
        <f>AND(TrafficData[[#This Row],[pendingAmount]]&lt;=TrafficData[[#This Row],[totalAmount]],TrafficData[[#This Row],[disposedAmount]]&lt;=TrafficData[[#This Row],[totalAmount]])</f>
        <v>1</v>
      </c>
      <c r="P3110" s="8" t="b">
        <f>AND(TrafficData[[#This Row],[pendingCourt]]&lt;=TrafficData[[#This Row],[totalCourt]],TrafficData[[#This Row],[disposedCourt]]&lt;=TrafficData[[#This Row],[totalCourt]])</f>
        <v>1</v>
      </c>
    </row>
    <row r="3111" spans="1:16">
      <c r="A3111" s="1">
        <v>45115</v>
      </c>
      <c r="B3111">
        <v>177058</v>
      </c>
      <c r="C3111">
        <v>75665</v>
      </c>
      <c r="D3111">
        <v>101393</v>
      </c>
      <c r="E3111">
        <v>145936606</v>
      </c>
      <c r="F3111">
        <v>98250662</v>
      </c>
      <c r="G3111">
        <v>244187268</v>
      </c>
      <c r="H3111">
        <v>45131</v>
      </c>
      <c r="I3111">
        <v>9477</v>
      </c>
      <c r="J3111">
        <v>54608</v>
      </c>
      <c r="K3111" t="b">
        <f>TrafficData[[#This Row],[disposedChallan]]+TrafficData[[#This Row],[pendingChallan]]=TrafficData[[#This Row],[totalChallan]]</f>
        <v>1</v>
      </c>
      <c r="L3111" t="b">
        <f>TrafficData[[#This Row],[pendingAmount]]+TrafficData[[#This Row],[disposedAmount]]=TrafficData[[#This Row],[totalAmount]]</f>
        <v>1</v>
      </c>
      <c r="M3111" t="b">
        <f>TrafficData[[#This Row],[pendingCourt]]+TrafficData[[#This Row],[disposedCourt]]=TrafficData[[#This Row],[totalCourt]]</f>
        <v>1</v>
      </c>
      <c r="N3111" s="8" t="b">
        <f>AND(TrafficData[[#This Row],[disposedChallan]]&lt;=TrafficData[[#This Row],[totalChallan]],TrafficData[[#This Row],[pendingChallan]]&lt;=TrafficData[[#This Row],[totalChallan]])</f>
        <v>1</v>
      </c>
      <c r="O3111" s="8" t="b">
        <f>AND(TrafficData[[#This Row],[pendingAmount]]&lt;=TrafficData[[#This Row],[totalAmount]],TrafficData[[#This Row],[disposedAmount]]&lt;=TrafficData[[#This Row],[totalAmount]])</f>
        <v>1</v>
      </c>
      <c r="P3111" s="8" t="b">
        <f>AND(TrafficData[[#This Row],[pendingCourt]]&lt;=TrafficData[[#This Row],[totalCourt]],TrafficData[[#This Row],[disposedCourt]]&lt;=TrafficData[[#This Row],[totalCourt]])</f>
        <v>1</v>
      </c>
    </row>
    <row r="3112" spans="1:16">
      <c r="A3112" s="1">
        <v>45116</v>
      </c>
      <c r="B3112">
        <v>163389</v>
      </c>
      <c r="C3112">
        <v>69208</v>
      </c>
      <c r="D3112">
        <v>94181</v>
      </c>
      <c r="E3112">
        <v>121529076</v>
      </c>
      <c r="F3112">
        <v>75852985</v>
      </c>
      <c r="G3112">
        <v>197382061</v>
      </c>
      <c r="H3112">
        <v>41396</v>
      </c>
      <c r="I3112">
        <v>8340</v>
      </c>
      <c r="J3112">
        <v>49736</v>
      </c>
      <c r="K3112" t="b">
        <f>TrafficData[[#This Row],[disposedChallan]]+TrafficData[[#This Row],[pendingChallan]]=TrafficData[[#This Row],[totalChallan]]</f>
        <v>1</v>
      </c>
      <c r="L3112" t="b">
        <f>TrafficData[[#This Row],[pendingAmount]]+TrafficData[[#This Row],[disposedAmount]]=TrafficData[[#This Row],[totalAmount]]</f>
        <v>1</v>
      </c>
      <c r="M3112" t="b">
        <f>TrafficData[[#This Row],[pendingCourt]]+TrafficData[[#This Row],[disposedCourt]]=TrafficData[[#This Row],[totalCourt]]</f>
        <v>1</v>
      </c>
      <c r="N3112" s="8" t="b">
        <f>AND(TrafficData[[#This Row],[disposedChallan]]&lt;=TrafficData[[#This Row],[totalChallan]],TrafficData[[#This Row],[pendingChallan]]&lt;=TrafficData[[#This Row],[totalChallan]])</f>
        <v>1</v>
      </c>
      <c r="O3112" s="8" t="b">
        <f>AND(TrafficData[[#This Row],[pendingAmount]]&lt;=TrafficData[[#This Row],[totalAmount]],TrafficData[[#This Row],[disposedAmount]]&lt;=TrafficData[[#This Row],[totalAmount]])</f>
        <v>1</v>
      </c>
      <c r="P3112" s="8" t="b">
        <f>AND(TrafficData[[#This Row],[pendingCourt]]&lt;=TrafficData[[#This Row],[totalCourt]],TrafficData[[#This Row],[disposedCourt]]&lt;=TrafficData[[#This Row],[totalCourt]])</f>
        <v>1</v>
      </c>
    </row>
    <row r="3113" spans="1:16">
      <c r="A3113" s="1">
        <v>45117</v>
      </c>
      <c r="B3113">
        <v>197351</v>
      </c>
      <c r="C3113">
        <v>80490</v>
      </c>
      <c r="D3113">
        <v>116861</v>
      </c>
      <c r="E3113">
        <v>177777010</v>
      </c>
      <c r="F3113">
        <v>107630902</v>
      </c>
      <c r="G3113">
        <v>285407912</v>
      </c>
      <c r="H3113">
        <v>57302</v>
      </c>
      <c r="I3113">
        <v>10884</v>
      </c>
      <c r="J3113">
        <v>68186</v>
      </c>
      <c r="K3113" t="b">
        <f>TrafficData[[#This Row],[disposedChallan]]+TrafficData[[#This Row],[pendingChallan]]=TrafficData[[#This Row],[totalChallan]]</f>
        <v>1</v>
      </c>
      <c r="L3113" t="b">
        <f>TrafficData[[#This Row],[pendingAmount]]+TrafficData[[#This Row],[disposedAmount]]=TrafficData[[#This Row],[totalAmount]]</f>
        <v>1</v>
      </c>
      <c r="M3113" t="b">
        <f>TrafficData[[#This Row],[pendingCourt]]+TrafficData[[#This Row],[disposedCourt]]=TrafficData[[#This Row],[totalCourt]]</f>
        <v>1</v>
      </c>
      <c r="N3113" s="8" t="b">
        <f>AND(TrafficData[[#This Row],[disposedChallan]]&lt;=TrafficData[[#This Row],[totalChallan]],TrafficData[[#This Row],[pendingChallan]]&lt;=TrafficData[[#This Row],[totalChallan]])</f>
        <v>1</v>
      </c>
      <c r="O3113" s="8" t="b">
        <f>AND(TrafficData[[#This Row],[pendingAmount]]&lt;=TrafficData[[#This Row],[totalAmount]],TrafficData[[#This Row],[disposedAmount]]&lt;=TrafficData[[#This Row],[totalAmount]])</f>
        <v>1</v>
      </c>
      <c r="P3113" s="8" t="b">
        <f>AND(TrafficData[[#This Row],[pendingCourt]]&lt;=TrafficData[[#This Row],[totalCourt]],TrafficData[[#This Row],[disposedCourt]]&lt;=TrafficData[[#This Row],[totalCourt]])</f>
        <v>1</v>
      </c>
    </row>
    <row r="3114" spans="1:16">
      <c r="A3114" s="1">
        <v>45118</v>
      </c>
      <c r="B3114">
        <v>198858</v>
      </c>
      <c r="C3114">
        <v>80222</v>
      </c>
      <c r="D3114">
        <v>118636</v>
      </c>
      <c r="E3114">
        <v>190341778</v>
      </c>
      <c r="F3114">
        <v>119847275</v>
      </c>
      <c r="G3114">
        <v>310189053</v>
      </c>
      <c r="H3114">
        <v>58693</v>
      </c>
      <c r="I3114">
        <v>11055</v>
      </c>
      <c r="J3114">
        <v>69748</v>
      </c>
      <c r="K3114" t="b">
        <f>TrafficData[[#This Row],[disposedChallan]]+TrafficData[[#This Row],[pendingChallan]]=TrafficData[[#This Row],[totalChallan]]</f>
        <v>1</v>
      </c>
      <c r="L3114" t="b">
        <f>TrafficData[[#This Row],[pendingAmount]]+TrafficData[[#This Row],[disposedAmount]]=TrafficData[[#This Row],[totalAmount]]</f>
        <v>1</v>
      </c>
      <c r="M3114" t="b">
        <f>TrafficData[[#This Row],[pendingCourt]]+TrafficData[[#This Row],[disposedCourt]]=TrafficData[[#This Row],[totalCourt]]</f>
        <v>1</v>
      </c>
      <c r="N3114" s="8" t="b">
        <f>AND(TrafficData[[#This Row],[disposedChallan]]&lt;=TrafficData[[#This Row],[totalChallan]],TrafficData[[#This Row],[pendingChallan]]&lt;=TrafficData[[#This Row],[totalChallan]])</f>
        <v>1</v>
      </c>
      <c r="O3114" s="8" t="b">
        <f>AND(TrafficData[[#This Row],[pendingAmount]]&lt;=TrafficData[[#This Row],[totalAmount]],TrafficData[[#This Row],[disposedAmount]]&lt;=TrafficData[[#This Row],[totalAmount]])</f>
        <v>1</v>
      </c>
      <c r="P3114" s="8" t="b">
        <f>AND(TrafficData[[#This Row],[pendingCourt]]&lt;=TrafficData[[#This Row],[totalCourt]],TrafficData[[#This Row],[disposedCourt]]&lt;=TrafficData[[#This Row],[totalCourt]])</f>
        <v>1</v>
      </c>
    </row>
    <row r="3115" spans="1:16">
      <c r="A3115" s="1">
        <v>45119</v>
      </c>
      <c r="B3115">
        <v>206372</v>
      </c>
      <c r="C3115">
        <v>84918</v>
      </c>
      <c r="D3115">
        <v>121454</v>
      </c>
      <c r="E3115">
        <v>189224413</v>
      </c>
      <c r="F3115">
        <v>125670292</v>
      </c>
      <c r="G3115">
        <v>314894705</v>
      </c>
      <c r="H3115">
        <v>61208</v>
      </c>
      <c r="I3115">
        <v>11677</v>
      </c>
      <c r="J3115">
        <v>72885</v>
      </c>
      <c r="K3115" t="b">
        <f>TrafficData[[#This Row],[disposedChallan]]+TrafficData[[#This Row],[pendingChallan]]=TrafficData[[#This Row],[totalChallan]]</f>
        <v>1</v>
      </c>
      <c r="L3115" t="b">
        <f>TrafficData[[#This Row],[pendingAmount]]+TrafficData[[#This Row],[disposedAmount]]=TrafficData[[#This Row],[totalAmount]]</f>
        <v>1</v>
      </c>
      <c r="M3115" t="b">
        <f>TrafficData[[#This Row],[pendingCourt]]+TrafficData[[#This Row],[disposedCourt]]=TrafficData[[#This Row],[totalCourt]]</f>
        <v>1</v>
      </c>
      <c r="N3115" s="8" t="b">
        <f>AND(TrafficData[[#This Row],[disposedChallan]]&lt;=TrafficData[[#This Row],[totalChallan]],TrafficData[[#This Row],[pendingChallan]]&lt;=TrafficData[[#This Row],[totalChallan]])</f>
        <v>1</v>
      </c>
      <c r="O3115" s="8" t="b">
        <f>AND(TrafficData[[#This Row],[pendingAmount]]&lt;=TrafficData[[#This Row],[totalAmount]],TrafficData[[#This Row],[disposedAmount]]&lt;=TrafficData[[#This Row],[totalAmount]])</f>
        <v>1</v>
      </c>
      <c r="P3115" s="8" t="b">
        <f>AND(TrafficData[[#This Row],[pendingCourt]]&lt;=TrafficData[[#This Row],[totalCourt]],TrafficData[[#This Row],[disposedCourt]]&lt;=TrafficData[[#This Row],[totalCourt]])</f>
        <v>1</v>
      </c>
    </row>
    <row r="3116" spans="1:16">
      <c r="A3116" s="1">
        <v>45120</v>
      </c>
      <c r="B3116">
        <v>206148</v>
      </c>
      <c r="C3116">
        <v>84972</v>
      </c>
      <c r="D3116">
        <v>121176</v>
      </c>
      <c r="E3116">
        <v>177536870</v>
      </c>
      <c r="F3116">
        <v>123151429</v>
      </c>
      <c r="G3116">
        <v>300688299</v>
      </c>
      <c r="H3116">
        <v>57736</v>
      </c>
      <c r="I3116">
        <v>10964</v>
      </c>
      <c r="J3116">
        <v>68700</v>
      </c>
      <c r="K3116" t="b">
        <f>TrafficData[[#This Row],[disposedChallan]]+TrafficData[[#This Row],[pendingChallan]]=TrafficData[[#This Row],[totalChallan]]</f>
        <v>1</v>
      </c>
      <c r="L3116" t="b">
        <f>TrafficData[[#This Row],[pendingAmount]]+TrafficData[[#This Row],[disposedAmount]]=TrafficData[[#This Row],[totalAmount]]</f>
        <v>1</v>
      </c>
      <c r="M3116" t="b">
        <f>TrafficData[[#This Row],[pendingCourt]]+TrafficData[[#This Row],[disposedCourt]]=TrafficData[[#This Row],[totalCourt]]</f>
        <v>1</v>
      </c>
      <c r="N3116" s="8" t="b">
        <f>AND(TrafficData[[#This Row],[disposedChallan]]&lt;=TrafficData[[#This Row],[totalChallan]],TrafficData[[#This Row],[pendingChallan]]&lt;=TrafficData[[#This Row],[totalChallan]])</f>
        <v>1</v>
      </c>
      <c r="O3116" s="8" t="b">
        <f>AND(TrafficData[[#This Row],[pendingAmount]]&lt;=TrafficData[[#This Row],[totalAmount]],TrafficData[[#This Row],[disposedAmount]]&lt;=TrafficData[[#This Row],[totalAmount]])</f>
        <v>1</v>
      </c>
      <c r="P3116" s="8" t="b">
        <f>AND(TrafficData[[#This Row],[pendingCourt]]&lt;=TrafficData[[#This Row],[totalCourt]],TrafficData[[#This Row],[disposedCourt]]&lt;=TrafficData[[#This Row],[totalCourt]])</f>
        <v>1</v>
      </c>
    </row>
    <row r="3117" spans="1:16">
      <c r="A3117" s="1">
        <v>45121</v>
      </c>
      <c r="B3117">
        <v>201191</v>
      </c>
      <c r="C3117">
        <v>83853</v>
      </c>
      <c r="D3117">
        <v>117338</v>
      </c>
      <c r="E3117">
        <v>171351527</v>
      </c>
      <c r="F3117">
        <v>115279697</v>
      </c>
      <c r="G3117">
        <v>286631224</v>
      </c>
      <c r="H3117">
        <v>58127</v>
      </c>
      <c r="I3117">
        <v>11358</v>
      </c>
      <c r="J3117">
        <v>69485</v>
      </c>
      <c r="K3117" t="b">
        <f>TrafficData[[#This Row],[disposedChallan]]+TrafficData[[#This Row],[pendingChallan]]=TrafficData[[#This Row],[totalChallan]]</f>
        <v>1</v>
      </c>
      <c r="L3117" t="b">
        <f>TrafficData[[#This Row],[pendingAmount]]+TrafficData[[#This Row],[disposedAmount]]=TrafficData[[#This Row],[totalAmount]]</f>
        <v>1</v>
      </c>
      <c r="M3117" t="b">
        <f>TrafficData[[#This Row],[pendingCourt]]+TrafficData[[#This Row],[disposedCourt]]=TrafficData[[#This Row],[totalCourt]]</f>
        <v>1</v>
      </c>
      <c r="N3117" s="8" t="b">
        <f>AND(TrafficData[[#This Row],[disposedChallan]]&lt;=TrafficData[[#This Row],[totalChallan]],TrafficData[[#This Row],[pendingChallan]]&lt;=TrafficData[[#This Row],[totalChallan]])</f>
        <v>1</v>
      </c>
      <c r="O3117" s="8" t="b">
        <f>AND(TrafficData[[#This Row],[pendingAmount]]&lt;=TrafficData[[#This Row],[totalAmount]],TrafficData[[#This Row],[disposedAmount]]&lt;=TrafficData[[#This Row],[totalAmount]])</f>
        <v>1</v>
      </c>
      <c r="P3117" s="8" t="b">
        <f>AND(TrafficData[[#This Row],[pendingCourt]]&lt;=TrafficData[[#This Row],[totalCourt]],TrafficData[[#This Row],[disposedCourt]]&lt;=TrafficData[[#This Row],[totalCourt]])</f>
        <v>1</v>
      </c>
    </row>
    <row r="3118" spans="1:16">
      <c r="A3118" s="1">
        <v>45122</v>
      </c>
      <c r="B3118">
        <v>191755</v>
      </c>
      <c r="C3118">
        <v>81748</v>
      </c>
      <c r="D3118">
        <v>110007</v>
      </c>
      <c r="E3118">
        <v>162454162</v>
      </c>
      <c r="F3118">
        <v>106601283</v>
      </c>
      <c r="G3118">
        <v>269055445</v>
      </c>
      <c r="H3118">
        <v>52455</v>
      </c>
      <c r="I3118">
        <v>10605</v>
      </c>
      <c r="J3118">
        <v>63060</v>
      </c>
      <c r="K3118" t="b">
        <f>TrafficData[[#This Row],[disposedChallan]]+TrafficData[[#This Row],[pendingChallan]]=TrafficData[[#This Row],[totalChallan]]</f>
        <v>1</v>
      </c>
      <c r="L3118" t="b">
        <f>TrafficData[[#This Row],[pendingAmount]]+TrafficData[[#This Row],[disposedAmount]]=TrafficData[[#This Row],[totalAmount]]</f>
        <v>1</v>
      </c>
      <c r="M3118" t="b">
        <f>TrafficData[[#This Row],[pendingCourt]]+TrafficData[[#This Row],[disposedCourt]]=TrafficData[[#This Row],[totalCourt]]</f>
        <v>1</v>
      </c>
      <c r="N3118" s="8" t="b">
        <f>AND(TrafficData[[#This Row],[disposedChallan]]&lt;=TrafficData[[#This Row],[totalChallan]],TrafficData[[#This Row],[pendingChallan]]&lt;=TrafficData[[#This Row],[totalChallan]])</f>
        <v>1</v>
      </c>
      <c r="O3118" s="8" t="b">
        <f>AND(TrafficData[[#This Row],[pendingAmount]]&lt;=TrafficData[[#This Row],[totalAmount]],TrafficData[[#This Row],[disposedAmount]]&lt;=TrafficData[[#This Row],[totalAmount]])</f>
        <v>1</v>
      </c>
      <c r="P3118" s="8" t="b">
        <f>AND(TrafficData[[#This Row],[pendingCourt]]&lt;=TrafficData[[#This Row],[totalCourt]],TrafficData[[#This Row],[disposedCourt]]&lt;=TrafficData[[#This Row],[totalCourt]])</f>
        <v>1</v>
      </c>
    </row>
    <row r="3119" spans="1:16">
      <c r="A3119" s="1">
        <v>45123</v>
      </c>
      <c r="B3119">
        <v>184222</v>
      </c>
      <c r="C3119">
        <v>75843</v>
      </c>
      <c r="D3119">
        <v>108379</v>
      </c>
      <c r="E3119">
        <v>148786176</v>
      </c>
      <c r="F3119">
        <v>84637321</v>
      </c>
      <c r="G3119">
        <v>233423497</v>
      </c>
      <c r="H3119">
        <v>52041</v>
      </c>
      <c r="I3119">
        <v>10412</v>
      </c>
      <c r="J3119">
        <v>62453</v>
      </c>
      <c r="K3119" t="b">
        <f>TrafficData[[#This Row],[disposedChallan]]+TrafficData[[#This Row],[pendingChallan]]=TrafficData[[#This Row],[totalChallan]]</f>
        <v>1</v>
      </c>
      <c r="L3119" t="b">
        <f>TrafficData[[#This Row],[pendingAmount]]+TrafficData[[#This Row],[disposedAmount]]=TrafficData[[#This Row],[totalAmount]]</f>
        <v>1</v>
      </c>
      <c r="M3119" t="b">
        <f>TrafficData[[#This Row],[pendingCourt]]+TrafficData[[#This Row],[disposedCourt]]=TrafficData[[#This Row],[totalCourt]]</f>
        <v>1</v>
      </c>
      <c r="N3119" s="8" t="b">
        <f>AND(TrafficData[[#This Row],[disposedChallan]]&lt;=TrafficData[[#This Row],[totalChallan]],TrafficData[[#This Row],[pendingChallan]]&lt;=TrafficData[[#This Row],[totalChallan]])</f>
        <v>1</v>
      </c>
      <c r="O3119" s="8" t="b">
        <f>AND(TrafficData[[#This Row],[pendingAmount]]&lt;=TrafficData[[#This Row],[totalAmount]],TrafficData[[#This Row],[disposedAmount]]&lt;=TrafficData[[#This Row],[totalAmount]])</f>
        <v>1</v>
      </c>
      <c r="P3119" s="8" t="b">
        <f>AND(TrafficData[[#This Row],[pendingCourt]]&lt;=TrafficData[[#This Row],[totalCourt]],TrafficData[[#This Row],[disposedCourt]]&lt;=TrafficData[[#This Row],[totalCourt]])</f>
        <v>1</v>
      </c>
    </row>
    <row r="3120" spans="1:16">
      <c r="A3120" s="1">
        <v>45124</v>
      </c>
      <c r="B3120">
        <v>205244</v>
      </c>
      <c r="C3120">
        <v>83037</v>
      </c>
      <c r="D3120">
        <v>122207</v>
      </c>
      <c r="E3120">
        <v>184329066</v>
      </c>
      <c r="F3120">
        <v>106250552</v>
      </c>
      <c r="G3120">
        <v>290579618</v>
      </c>
      <c r="H3120">
        <v>63682</v>
      </c>
      <c r="I3120">
        <v>12495</v>
      </c>
      <c r="J3120">
        <v>76177</v>
      </c>
      <c r="K3120" t="b">
        <f>TrafficData[[#This Row],[disposedChallan]]+TrafficData[[#This Row],[pendingChallan]]=TrafficData[[#This Row],[totalChallan]]</f>
        <v>1</v>
      </c>
      <c r="L3120" t="b">
        <f>TrafficData[[#This Row],[pendingAmount]]+TrafficData[[#This Row],[disposedAmount]]=TrafficData[[#This Row],[totalAmount]]</f>
        <v>1</v>
      </c>
      <c r="M3120" t="b">
        <f>TrafficData[[#This Row],[pendingCourt]]+TrafficData[[#This Row],[disposedCourt]]=TrafficData[[#This Row],[totalCourt]]</f>
        <v>1</v>
      </c>
      <c r="N3120" s="8" t="b">
        <f>AND(TrafficData[[#This Row],[disposedChallan]]&lt;=TrafficData[[#This Row],[totalChallan]],TrafficData[[#This Row],[pendingChallan]]&lt;=TrafficData[[#This Row],[totalChallan]])</f>
        <v>1</v>
      </c>
      <c r="O3120" s="8" t="b">
        <f>AND(TrafficData[[#This Row],[pendingAmount]]&lt;=TrafficData[[#This Row],[totalAmount]],TrafficData[[#This Row],[disposedAmount]]&lt;=TrafficData[[#This Row],[totalAmount]])</f>
        <v>1</v>
      </c>
      <c r="P3120" s="8" t="b">
        <f>AND(TrafficData[[#This Row],[pendingCourt]]&lt;=TrafficData[[#This Row],[totalCourt]],TrafficData[[#This Row],[disposedCourt]]&lt;=TrafficData[[#This Row],[totalCourt]])</f>
        <v>1</v>
      </c>
    </row>
    <row r="3121" spans="1:16">
      <c r="A3121" s="1">
        <v>45125</v>
      </c>
      <c r="B3121">
        <v>199442</v>
      </c>
      <c r="C3121">
        <v>79633</v>
      </c>
      <c r="D3121">
        <v>119809</v>
      </c>
      <c r="E3121">
        <v>187510565</v>
      </c>
      <c r="F3121">
        <v>115745525</v>
      </c>
      <c r="G3121">
        <v>303256090</v>
      </c>
      <c r="H3121">
        <v>64966</v>
      </c>
      <c r="I3121">
        <v>12444</v>
      </c>
      <c r="J3121">
        <v>77410</v>
      </c>
      <c r="K3121" t="b">
        <f>TrafficData[[#This Row],[disposedChallan]]+TrafficData[[#This Row],[pendingChallan]]=TrafficData[[#This Row],[totalChallan]]</f>
        <v>1</v>
      </c>
      <c r="L3121" t="b">
        <f>TrafficData[[#This Row],[pendingAmount]]+TrafficData[[#This Row],[disposedAmount]]=TrafficData[[#This Row],[totalAmount]]</f>
        <v>1</v>
      </c>
      <c r="M3121" t="b">
        <f>TrafficData[[#This Row],[pendingCourt]]+TrafficData[[#This Row],[disposedCourt]]=TrafficData[[#This Row],[totalCourt]]</f>
        <v>1</v>
      </c>
      <c r="N3121" s="8" t="b">
        <f>AND(TrafficData[[#This Row],[disposedChallan]]&lt;=TrafficData[[#This Row],[totalChallan]],TrafficData[[#This Row],[pendingChallan]]&lt;=TrafficData[[#This Row],[totalChallan]])</f>
        <v>1</v>
      </c>
      <c r="O3121" s="8" t="b">
        <f>AND(TrafficData[[#This Row],[pendingAmount]]&lt;=TrafficData[[#This Row],[totalAmount]],TrafficData[[#This Row],[disposedAmount]]&lt;=TrafficData[[#This Row],[totalAmount]])</f>
        <v>1</v>
      </c>
      <c r="P3121" s="8" t="b">
        <f>AND(TrafficData[[#This Row],[pendingCourt]]&lt;=TrafficData[[#This Row],[totalCourt]],TrafficData[[#This Row],[disposedCourt]]&lt;=TrafficData[[#This Row],[totalCourt]])</f>
        <v>1</v>
      </c>
    </row>
    <row r="3122" spans="1:16">
      <c r="A3122" s="1">
        <v>45126</v>
      </c>
      <c r="B3122">
        <v>224761</v>
      </c>
      <c r="C3122">
        <v>87206</v>
      </c>
      <c r="D3122">
        <v>137555</v>
      </c>
      <c r="E3122">
        <v>220326602</v>
      </c>
      <c r="F3122">
        <v>127977050</v>
      </c>
      <c r="G3122">
        <v>348303652</v>
      </c>
      <c r="H3122">
        <v>77136</v>
      </c>
      <c r="I3122">
        <v>14618</v>
      </c>
      <c r="J3122">
        <v>91754</v>
      </c>
      <c r="K3122" t="b">
        <f>TrafficData[[#This Row],[disposedChallan]]+TrafficData[[#This Row],[pendingChallan]]=TrafficData[[#This Row],[totalChallan]]</f>
        <v>1</v>
      </c>
      <c r="L3122" t="b">
        <f>TrafficData[[#This Row],[pendingAmount]]+TrafficData[[#This Row],[disposedAmount]]=TrafficData[[#This Row],[totalAmount]]</f>
        <v>1</v>
      </c>
      <c r="M3122" t="b">
        <f>TrafficData[[#This Row],[pendingCourt]]+TrafficData[[#This Row],[disposedCourt]]=TrafficData[[#This Row],[totalCourt]]</f>
        <v>1</v>
      </c>
      <c r="N3122" s="8" t="b">
        <f>AND(TrafficData[[#This Row],[disposedChallan]]&lt;=TrafficData[[#This Row],[totalChallan]],TrafficData[[#This Row],[pendingChallan]]&lt;=TrafficData[[#This Row],[totalChallan]])</f>
        <v>1</v>
      </c>
      <c r="O3122" s="8" t="b">
        <f>AND(TrafficData[[#This Row],[pendingAmount]]&lt;=TrafficData[[#This Row],[totalAmount]],TrafficData[[#This Row],[disposedAmount]]&lt;=TrafficData[[#This Row],[totalAmount]])</f>
        <v>1</v>
      </c>
      <c r="P3122" s="8" t="b">
        <f>AND(TrafficData[[#This Row],[pendingCourt]]&lt;=TrafficData[[#This Row],[totalCourt]],TrafficData[[#This Row],[disposedCourt]]&lt;=TrafficData[[#This Row],[totalCourt]])</f>
        <v>1</v>
      </c>
    </row>
    <row r="3123" spans="1:16">
      <c r="A3123" s="1">
        <v>45127</v>
      </c>
      <c r="B3123">
        <v>227717</v>
      </c>
      <c r="C3123">
        <v>88920</v>
      </c>
      <c r="D3123">
        <v>138797</v>
      </c>
      <c r="E3123">
        <v>215131666</v>
      </c>
      <c r="F3123">
        <v>137588319</v>
      </c>
      <c r="G3123">
        <v>352719985</v>
      </c>
      <c r="H3123">
        <v>74596</v>
      </c>
      <c r="I3123">
        <v>14268</v>
      </c>
      <c r="J3123">
        <v>88864</v>
      </c>
      <c r="K3123" t="b">
        <f>TrafficData[[#This Row],[disposedChallan]]+TrafficData[[#This Row],[pendingChallan]]=TrafficData[[#This Row],[totalChallan]]</f>
        <v>1</v>
      </c>
      <c r="L3123" t="b">
        <f>TrafficData[[#This Row],[pendingAmount]]+TrafficData[[#This Row],[disposedAmount]]=TrafficData[[#This Row],[totalAmount]]</f>
        <v>1</v>
      </c>
      <c r="M3123" t="b">
        <f>TrafficData[[#This Row],[pendingCourt]]+TrafficData[[#This Row],[disposedCourt]]=TrafficData[[#This Row],[totalCourt]]</f>
        <v>1</v>
      </c>
      <c r="N3123" s="8" t="b">
        <f>AND(TrafficData[[#This Row],[disposedChallan]]&lt;=TrafficData[[#This Row],[totalChallan]],TrafficData[[#This Row],[pendingChallan]]&lt;=TrafficData[[#This Row],[totalChallan]])</f>
        <v>1</v>
      </c>
      <c r="O3123" s="8" t="b">
        <f>AND(TrafficData[[#This Row],[pendingAmount]]&lt;=TrafficData[[#This Row],[totalAmount]],TrafficData[[#This Row],[disposedAmount]]&lt;=TrafficData[[#This Row],[totalAmount]])</f>
        <v>1</v>
      </c>
      <c r="P3123" s="8" t="b">
        <f>AND(TrafficData[[#This Row],[pendingCourt]]&lt;=TrafficData[[#This Row],[totalCourt]],TrafficData[[#This Row],[disposedCourt]]&lt;=TrafficData[[#This Row],[totalCourt]])</f>
        <v>1</v>
      </c>
    </row>
    <row r="3124" spans="1:16">
      <c r="A3124" s="1">
        <v>45128</v>
      </c>
      <c r="B3124">
        <v>219343</v>
      </c>
      <c r="C3124">
        <v>86649</v>
      </c>
      <c r="D3124">
        <v>132694</v>
      </c>
      <c r="E3124">
        <v>208547912</v>
      </c>
      <c r="F3124">
        <v>131500438</v>
      </c>
      <c r="G3124">
        <v>340048350</v>
      </c>
      <c r="H3124">
        <v>74362</v>
      </c>
      <c r="I3124">
        <v>14234</v>
      </c>
      <c r="J3124">
        <v>88596</v>
      </c>
      <c r="K3124" t="b">
        <f>TrafficData[[#This Row],[disposedChallan]]+TrafficData[[#This Row],[pendingChallan]]=TrafficData[[#This Row],[totalChallan]]</f>
        <v>1</v>
      </c>
      <c r="L3124" t="b">
        <f>TrafficData[[#This Row],[pendingAmount]]+TrafficData[[#This Row],[disposedAmount]]=TrafficData[[#This Row],[totalAmount]]</f>
        <v>1</v>
      </c>
      <c r="M3124" t="b">
        <f>TrafficData[[#This Row],[pendingCourt]]+TrafficData[[#This Row],[disposedCourt]]=TrafficData[[#This Row],[totalCourt]]</f>
        <v>1</v>
      </c>
      <c r="N3124" s="8" t="b">
        <f>AND(TrafficData[[#This Row],[disposedChallan]]&lt;=TrafficData[[#This Row],[totalChallan]],TrafficData[[#This Row],[pendingChallan]]&lt;=TrafficData[[#This Row],[totalChallan]])</f>
        <v>1</v>
      </c>
      <c r="O3124" s="8" t="b">
        <f>AND(TrafficData[[#This Row],[pendingAmount]]&lt;=TrafficData[[#This Row],[totalAmount]],TrafficData[[#This Row],[disposedAmount]]&lt;=TrafficData[[#This Row],[totalAmount]])</f>
        <v>1</v>
      </c>
      <c r="P3124" s="8" t="b">
        <f>AND(TrafficData[[#This Row],[pendingCourt]]&lt;=TrafficData[[#This Row],[totalCourt]],TrafficData[[#This Row],[disposedCourt]]&lt;=TrafficData[[#This Row],[totalCourt]])</f>
        <v>1</v>
      </c>
    </row>
    <row r="3125" spans="1:16">
      <c r="A3125" s="1">
        <v>45129</v>
      </c>
      <c r="B3125">
        <v>217462</v>
      </c>
      <c r="C3125">
        <v>85105</v>
      </c>
      <c r="D3125">
        <v>132357</v>
      </c>
      <c r="E3125">
        <v>202246016</v>
      </c>
      <c r="F3125">
        <v>110045497</v>
      </c>
      <c r="G3125">
        <v>312291513</v>
      </c>
      <c r="H3125">
        <v>73178</v>
      </c>
      <c r="I3125">
        <v>14466</v>
      </c>
      <c r="J3125">
        <v>87644</v>
      </c>
      <c r="K3125" t="b">
        <f>TrafficData[[#This Row],[disposedChallan]]+TrafficData[[#This Row],[pendingChallan]]=TrafficData[[#This Row],[totalChallan]]</f>
        <v>1</v>
      </c>
      <c r="L3125" t="b">
        <f>TrafficData[[#This Row],[pendingAmount]]+TrafficData[[#This Row],[disposedAmount]]=TrafficData[[#This Row],[totalAmount]]</f>
        <v>1</v>
      </c>
      <c r="M3125" t="b">
        <f>TrafficData[[#This Row],[pendingCourt]]+TrafficData[[#This Row],[disposedCourt]]=TrafficData[[#This Row],[totalCourt]]</f>
        <v>1</v>
      </c>
      <c r="N3125" s="8" t="b">
        <f>AND(TrafficData[[#This Row],[disposedChallan]]&lt;=TrafficData[[#This Row],[totalChallan]],TrafficData[[#This Row],[pendingChallan]]&lt;=TrafficData[[#This Row],[totalChallan]])</f>
        <v>1</v>
      </c>
      <c r="O3125" s="8" t="b">
        <f>AND(TrafficData[[#This Row],[pendingAmount]]&lt;=TrafficData[[#This Row],[totalAmount]],TrafficData[[#This Row],[disposedAmount]]&lt;=TrafficData[[#This Row],[totalAmount]])</f>
        <v>1</v>
      </c>
      <c r="P3125" s="8" t="b">
        <f>AND(TrafficData[[#This Row],[pendingCourt]]&lt;=TrafficData[[#This Row],[totalCourt]],TrafficData[[#This Row],[disposedCourt]]&lt;=TrafficData[[#This Row],[totalCourt]])</f>
        <v>1</v>
      </c>
    </row>
    <row r="3126" spans="1:16">
      <c r="A3126" s="1">
        <v>45130</v>
      </c>
      <c r="B3126">
        <v>188643</v>
      </c>
      <c r="C3126">
        <v>72179</v>
      </c>
      <c r="D3126">
        <v>116464</v>
      </c>
      <c r="E3126">
        <v>175365147</v>
      </c>
      <c r="F3126">
        <v>86860836</v>
      </c>
      <c r="G3126">
        <v>262225983</v>
      </c>
      <c r="H3126">
        <v>65699</v>
      </c>
      <c r="I3126">
        <v>13013</v>
      </c>
      <c r="J3126">
        <v>78712</v>
      </c>
      <c r="K3126" t="b">
        <f>TrafficData[[#This Row],[disposedChallan]]+TrafficData[[#This Row],[pendingChallan]]=TrafficData[[#This Row],[totalChallan]]</f>
        <v>1</v>
      </c>
      <c r="L3126" t="b">
        <f>TrafficData[[#This Row],[pendingAmount]]+TrafficData[[#This Row],[disposedAmount]]=TrafficData[[#This Row],[totalAmount]]</f>
        <v>1</v>
      </c>
      <c r="M3126" t="b">
        <f>TrafficData[[#This Row],[pendingCourt]]+TrafficData[[#This Row],[disposedCourt]]=TrafficData[[#This Row],[totalCourt]]</f>
        <v>1</v>
      </c>
      <c r="N3126" s="8" t="b">
        <f>AND(TrafficData[[#This Row],[disposedChallan]]&lt;=TrafficData[[#This Row],[totalChallan]],TrafficData[[#This Row],[pendingChallan]]&lt;=TrafficData[[#This Row],[totalChallan]])</f>
        <v>1</v>
      </c>
      <c r="O3126" s="8" t="b">
        <f>AND(TrafficData[[#This Row],[pendingAmount]]&lt;=TrafficData[[#This Row],[totalAmount]],TrafficData[[#This Row],[disposedAmount]]&lt;=TrafficData[[#This Row],[totalAmount]])</f>
        <v>1</v>
      </c>
      <c r="P3126" s="8" t="b">
        <f>AND(TrafficData[[#This Row],[pendingCourt]]&lt;=TrafficData[[#This Row],[totalCourt]],TrafficData[[#This Row],[disposedCourt]]&lt;=TrafficData[[#This Row],[totalCourt]])</f>
        <v>1</v>
      </c>
    </row>
    <row r="3127" spans="1:16">
      <c r="A3127" s="1">
        <v>45131</v>
      </c>
      <c r="B3127">
        <v>200582</v>
      </c>
      <c r="C3127">
        <v>77775</v>
      </c>
      <c r="D3127">
        <v>122807</v>
      </c>
      <c r="E3127">
        <v>197651563</v>
      </c>
      <c r="F3127">
        <v>108361613</v>
      </c>
      <c r="G3127">
        <v>306013176</v>
      </c>
      <c r="H3127">
        <v>70908</v>
      </c>
      <c r="I3127">
        <v>14052</v>
      </c>
      <c r="J3127">
        <v>84960</v>
      </c>
      <c r="K3127" t="b">
        <f>TrafficData[[#This Row],[disposedChallan]]+TrafficData[[#This Row],[pendingChallan]]=TrafficData[[#This Row],[totalChallan]]</f>
        <v>1</v>
      </c>
      <c r="L3127" t="b">
        <f>TrafficData[[#This Row],[pendingAmount]]+TrafficData[[#This Row],[disposedAmount]]=TrafficData[[#This Row],[totalAmount]]</f>
        <v>1</v>
      </c>
      <c r="M3127" t="b">
        <f>TrafficData[[#This Row],[pendingCourt]]+TrafficData[[#This Row],[disposedCourt]]=TrafficData[[#This Row],[totalCourt]]</f>
        <v>1</v>
      </c>
      <c r="N3127" s="8" t="b">
        <f>AND(TrafficData[[#This Row],[disposedChallan]]&lt;=TrafficData[[#This Row],[totalChallan]],TrafficData[[#This Row],[pendingChallan]]&lt;=TrafficData[[#This Row],[totalChallan]])</f>
        <v>1</v>
      </c>
      <c r="O3127" s="8" t="b">
        <f>AND(TrafficData[[#This Row],[pendingAmount]]&lt;=TrafficData[[#This Row],[totalAmount]],TrafficData[[#This Row],[disposedAmount]]&lt;=TrafficData[[#This Row],[totalAmount]])</f>
        <v>1</v>
      </c>
      <c r="P3127" s="8" t="b">
        <f>AND(TrafficData[[#This Row],[pendingCourt]]&lt;=TrafficData[[#This Row],[totalCourt]],TrafficData[[#This Row],[disposedCourt]]&lt;=TrafficData[[#This Row],[totalCourt]])</f>
        <v>1</v>
      </c>
    </row>
    <row r="3128" spans="1:16">
      <c r="A3128" s="1">
        <v>45132</v>
      </c>
      <c r="B3128">
        <v>199535</v>
      </c>
      <c r="C3128">
        <v>77926</v>
      </c>
      <c r="D3128">
        <v>121609</v>
      </c>
      <c r="E3128">
        <v>202357879</v>
      </c>
      <c r="F3128">
        <v>124750549</v>
      </c>
      <c r="G3128">
        <v>327108428</v>
      </c>
      <c r="H3128">
        <v>71342</v>
      </c>
      <c r="I3128">
        <v>13923</v>
      </c>
      <c r="J3128">
        <v>85265</v>
      </c>
      <c r="K3128" t="b">
        <f>TrafficData[[#This Row],[disposedChallan]]+TrafficData[[#This Row],[pendingChallan]]=TrafficData[[#This Row],[totalChallan]]</f>
        <v>1</v>
      </c>
      <c r="L3128" t="b">
        <f>TrafficData[[#This Row],[pendingAmount]]+TrafficData[[#This Row],[disposedAmount]]=TrafficData[[#This Row],[totalAmount]]</f>
        <v>1</v>
      </c>
      <c r="M3128" t="b">
        <f>TrafficData[[#This Row],[pendingCourt]]+TrafficData[[#This Row],[disposedCourt]]=TrafficData[[#This Row],[totalCourt]]</f>
        <v>1</v>
      </c>
      <c r="N3128" s="8" t="b">
        <f>AND(TrafficData[[#This Row],[disposedChallan]]&lt;=TrafficData[[#This Row],[totalChallan]],TrafficData[[#This Row],[pendingChallan]]&lt;=TrafficData[[#This Row],[totalChallan]])</f>
        <v>1</v>
      </c>
      <c r="O3128" s="8" t="b">
        <f>AND(TrafficData[[#This Row],[pendingAmount]]&lt;=TrafficData[[#This Row],[totalAmount]],TrafficData[[#This Row],[disposedAmount]]&lt;=TrafficData[[#This Row],[totalAmount]])</f>
        <v>1</v>
      </c>
      <c r="P3128" s="8" t="b">
        <f>AND(TrafficData[[#This Row],[pendingCourt]]&lt;=TrafficData[[#This Row],[totalCourt]],TrafficData[[#This Row],[disposedCourt]]&lt;=TrafficData[[#This Row],[totalCourt]])</f>
        <v>1</v>
      </c>
    </row>
    <row r="3129" spans="1:16">
      <c r="A3129" s="1">
        <v>45133</v>
      </c>
      <c r="B3129">
        <v>196459</v>
      </c>
      <c r="C3129">
        <v>80439</v>
      </c>
      <c r="D3129">
        <v>116020</v>
      </c>
      <c r="E3129">
        <v>189820948</v>
      </c>
      <c r="F3129">
        <v>121131457</v>
      </c>
      <c r="G3129">
        <v>310952405</v>
      </c>
      <c r="H3129">
        <v>63320</v>
      </c>
      <c r="I3129">
        <v>12966</v>
      </c>
      <c r="J3129">
        <v>76286</v>
      </c>
      <c r="K3129" t="b">
        <f>TrafficData[[#This Row],[disposedChallan]]+TrafficData[[#This Row],[pendingChallan]]=TrafficData[[#This Row],[totalChallan]]</f>
        <v>1</v>
      </c>
      <c r="L3129" t="b">
        <f>TrafficData[[#This Row],[pendingAmount]]+TrafficData[[#This Row],[disposedAmount]]=TrafficData[[#This Row],[totalAmount]]</f>
        <v>1</v>
      </c>
      <c r="M3129" t="b">
        <f>TrafficData[[#This Row],[pendingCourt]]+TrafficData[[#This Row],[disposedCourt]]=TrafficData[[#This Row],[totalCourt]]</f>
        <v>1</v>
      </c>
      <c r="N3129" s="8" t="b">
        <f>AND(TrafficData[[#This Row],[disposedChallan]]&lt;=TrafficData[[#This Row],[totalChallan]],TrafficData[[#This Row],[pendingChallan]]&lt;=TrafficData[[#This Row],[totalChallan]])</f>
        <v>1</v>
      </c>
      <c r="O3129" s="8" t="b">
        <f>AND(TrafficData[[#This Row],[pendingAmount]]&lt;=TrafficData[[#This Row],[totalAmount]],TrafficData[[#This Row],[disposedAmount]]&lt;=TrafficData[[#This Row],[totalAmount]])</f>
        <v>1</v>
      </c>
      <c r="P3129" s="8" t="b">
        <f>AND(TrafficData[[#This Row],[pendingCourt]]&lt;=TrafficData[[#This Row],[totalCourt]],TrafficData[[#This Row],[disposedCourt]]&lt;=TrafficData[[#This Row],[totalCourt]])</f>
        <v>1</v>
      </c>
    </row>
    <row r="3130" spans="1:16">
      <c r="A3130" s="1">
        <v>45134</v>
      </c>
      <c r="B3130">
        <v>203421</v>
      </c>
      <c r="C3130">
        <v>82264</v>
      </c>
      <c r="D3130">
        <v>121157</v>
      </c>
      <c r="E3130">
        <v>197919769</v>
      </c>
      <c r="F3130">
        <v>120423754</v>
      </c>
      <c r="G3130">
        <v>318343523</v>
      </c>
      <c r="H3130">
        <v>68551</v>
      </c>
      <c r="I3130">
        <v>13248</v>
      </c>
      <c r="J3130">
        <v>81799</v>
      </c>
      <c r="K3130" t="b">
        <f>TrafficData[[#This Row],[disposedChallan]]+TrafficData[[#This Row],[pendingChallan]]=TrafficData[[#This Row],[totalChallan]]</f>
        <v>1</v>
      </c>
      <c r="L3130" t="b">
        <f>TrafficData[[#This Row],[pendingAmount]]+TrafficData[[#This Row],[disposedAmount]]=TrafficData[[#This Row],[totalAmount]]</f>
        <v>1</v>
      </c>
      <c r="M3130" t="b">
        <f>TrafficData[[#This Row],[pendingCourt]]+TrafficData[[#This Row],[disposedCourt]]=TrafficData[[#This Row],[totalCourt]]</f>
        <v>1</v>
      </c>
      <c r="N3130" s="8" t="b">
        <f>AND(TrafficData[[#This Row],[disposedChallan]]&lt;=TrafficData[[#This Row],[totalChallan]],TrafficData[[#This Row],[pendingChallan]]&lt;=TrafficData[[#This Row],[totalChallan]])</f>
        <v>1</v>
      </c>
      <c r="O3130" s="8" t="b">
        <f>AND(TrafficData[[#This Row],[pendingAmount]]&lt;=TrafficData[[#This Row],[totalAmount]],TrafficData[[#This Row],[disposedAmount]]&lt;=TrafficData[[#This Row],[totalAmount]])</f>
        <v>1</v>
      </c>
      <c r="P3130" s="8" t="b">
        <f>AND(TrafficData[[#This Row],[pendingCourt]]&lt;=TrafficData[[#This Row],[totalCourt]],TrafficData[[#This Row],[disposedCourt]]&lt;=TrafficData[[#This Row],[totalCourt]])</f>
        <v>1</v>
      </c>
    </row>
    <row r="3131" spans="1:16">
      <c r="A3131" s="1">
        <v>45135</v>
      </c>
      <c r="B3131">
        <v>195338</v>
      </c>
      <c r="C3131">
        <v>77283</v>
      </c>
      <c r="D3131">
        <v>118055</v>
      </c>
      <c r="E3131">
        <v>175641117</v>
      </c>
      <c r="F3131">
        <v>107158059</v>
      </c>
      <c r="G3131">
        <v>282799176</v>
      </c>
      <c r="H3131">
        <v>64951</v>
      </c>
      <c r="I3131">
        <v>12523</v>
      </c>
      <c r="J3131">
        <v>77474</v>
      </c>
      <c r="K3131" t="b">
        <f>TrafficData[[#This Row],[disposedChallan]]+TrafficData[[#This Row],[pendingChallan]]=TrafficData[[#This Row],[totalChallan]]</f>
        <v>1</v>
      </c>
      <c r="L3131" t="b">
        <f>TrafficData[[#This Row],[pendingAmount]]+TrafficData[[#This Row],[disposedAmount]]=TrafficData[[#This Row],[totalAmount]]</f>
        <v>1</v>
      </c>
      <c r="M3131" t="b">
        <f>TrafficData[[#This Row],[pendingCourt]]+TrafficData[[#This Row],[disposedCourt]]=TrafficData[[#This Row],[totalCourt]]</f>
        <v>1</v>
      </c>
      <c r="N3131" s="8" t="b">
        <f>AND(TrafficData[[#This Row],[disposedChallan]]&lt;=TrafficData[[#This Row],[totalChallan]],TrafficData[[#This Row],[pendingChallan]]&lt;=TrafficData[[#This Row],[totalChallan]])</f>
        <v>1</v>
      </c>
      <c r="O3131" s="8" t="b">
        <f>AND(TrafficData[[#This Row],[pendingAmount]]&lt;=TrafficData[[#This Row],[totalAmount]],TrafficData[[#This Row],[disposedAmount]]&lt;=TrafficData[[#This Row],[totalAmount]])</f>
        <v>1</v>
      </c>
      <c r="P3131" s="8" t="b">
        <f>AND(TrafficData[[#This Row],[pendingCourt]]&lt;=TrafficData[[#This Row],[totalCourt]],TrafficData[[#This Row],[disposedCourt]]&lt;=TrafficData[[#This Row],[totalCourt]])</f>
        <v>1</v>
      </c>
    </row>
    <row r="3132" spans="1:16">
      <c r="A3132" s="1">
        <v>45136</v>
      </c>
      <c r="B3132">
        <v>190051</v>
      </c>
      <c r="C3132">
        <v>76299</v>
      </c>
      <c r="D3132">
        <v>113752</v>
      </c>
      <c r="E3132">
        <v>164633516</v>
      </c>
      <c r="F3132">
        <v>91637412</v>
      </c>
      <c r="G3132">
        <v>256270928</v>
      </c>
      <c r="H3132">
        <v>60161</v>
      </c>
      <c r="I3132">
        <v>12090</v>
      </c>
      <c r="J3132">
        <v>72251</v>
      </c>
      <c r="K3132" t="b">
        <f>TrafficData[[#This Row],[disposedChallan]]+TrafficData[[#This Row],[pendingChallan]]=TrafficData[[#This Row],[totalChallan]]</f>
        <v>1</v>
      </c>
      <c r="L3132" t="b">
        <f>TrafficData[[#This Row],[pendingAmount]]+TrafficData[[#This Row],[disposedAmount]]=TrafficData[[#This Row],[totalAmount]]</f>
        <v>1</v>
      </c>
      <c r="M3132" t="b">
        <f>TrafficData[[#This Row],[pendingCourt]]+TrafficData[[#This Row],[disposedCourt]]=TrafficData[[#This Row],[totalCourt]]</f>
        <v>1</v>
      </c>
      <c r="N3132" s="8" t="b">
        <f>AND(TrafficData[[#This Row],[disposedChallan]]&lt;=TrafficData[[#This Row],[totalChallan]],TrafficData[[#This Row],[pendingChallan]]&lt;=TrafficData[[#This Row],[totalChallan]])</f>
        <v>1</v>
      </c>
      <c r="O3132" s="8" t="b">
        <f>AND(TrafficData[[#This Row],[pendingAmount]]&lt;=TrafficData[[#This Row],[totalAmount]],TrafficData[[#This Row],[disposedAmount]]&lt;=TrafficData[[#This Row],[totalAmount]])</f>
        <v>1</v>
      </c>
      <c r="P3132" s="8" t="b">
        <f>AND(TrafficData[[#This Row],[pendingCourt]]&lt;=TrafficData[[#This Row],[totalCourt]],TrafficData[[#This Row],[disposedCourt]]&lt;=TrafficData[[#This Row],[totalCourt]])</f>
        <v>1</v>
      </c>
    </row>
    <row r="3133" spans="1:16">
      <c r="A3133" s="1">
        <v>45137</v>
      </c>
      <c r="B3133">
        <v>189896</v>
      </c>
      <c r="C3133">
        <v>73544</v>
      </c>
      <c r="D3133">
        <v>116352</v>
      </c>
      <c r="E3133">
        <v>162136730</v>
      </c>
      <c r="F3133">
        <v>81211265</v>
      </c>
      <c r="G3133">
        <v>243347995</v>
      </c>
      <c r="H3133">
        <v>62048</v>
      </c>
      <c r="I3133">
        <v>11827</v>
      </c>
      <c r="J3133">
        <v>73875</v>
      </c>
      <c r="K3133" t="b">
        <f>TrafficData[[#This Row],[disposedChallan]]+TrafficData[[#This Row],[pendingChallan]]=TrafficData[[#This Row],[totalChallan]]</f>
        <v>1</v>
      </c>
      <c r="L3133" t="b">
        <f>TrafficData[[#This Row],[pendingAmount]]+TrafficData[[#This Row],[disposedAmount]]=TrafficData[[#This Row],[totalAmount]]</f>
        <v>1</v>
      </c>
      <c r="M3133" t="b">
        <f>TrafficData[[#This Row],[pendingCourt]]+TrafficData[[#This Row],[disposedCourt]]=TrafficData[[#This Row],[totalCourt]]</f>
        <v>1</v>
      </c>
      <c r="N3133" s="8" t="b">
        <f>AND(TrafficData[[#This Row],[disposedChallan]]&lt;=TrafficData[[#This Row],[totalChallan]],TrafficData[[#This Row],[pendingChallan]]&lt;=TrafficData[[#This Row],[totalChallan]])</f>
        <v>1</v>
      </c>
      <c r="O3133" s="8" t="b">
        <f>AND(TrafficData[[#This Row],[pendingAmount]]&lt;=TrafficData[[#This Row],[totalAmount]],TrafficData[[#This Row],[disposedAmount]]&lt;=TrafficData[[#This Row],[totalAmount]])</f>
        <v>1</v>
      </c>
      <c r="P3133" s="8" t="b">
        <f>AND(TrafficData[[#This Row],[pendingCourt]]&lt;=TrafficData[[#This Row],[totalCourt]],TrafficData[[#This Row],[disposedCourt]]&lt;=TrafficData[[#This Row],[totalCourt]])</f>
        <v>1</v>
      </c>
    </row>
    <row r="3134" spans="1:16">
      <c r="A3134" s="1">
        <v>45138</v>
      </c>
      <c r="B3134">
        <v>210622</v>
      </c>
      <c r="C3134">
        <v>80740</v>
      </c>
      <c r="D3134">
        <v>129882</v>
      </c>
      <c r="E3134">
        <v>186616519</v>
      </c>
      <c r="F3134">
        <v>95852766</v>
      </c>
      <c r="G3134">
        <v>282469285</v>
      </c>
      <c r="H3134">
        <v>71394</v>
      </c>
      <c r="I3134">
        <v>13820</v>
      </c>
      <c r="J3134">
        <v>85214</v>
      </c>
      <c r="K3134" t="b">
        <f>TrafficData[[#This Row],[disposedChallan]]+TrafficData[[#This Row],[pendingChallan]]=TrafficData[[#This Row],[totalChallan]]</f>
        <v>1</v>
      </c>
      <c r="L3134" t="b">
        <f>TrafficData[[#This Row],[pendingAmount]]+TrafficData[[#This Row],[disposedAmount]]=TrafficData[[#This Row],[totalAmount]]</f>
        <v>1</v>
      </c>
      <c r="M3134" t="b">
        <f>TrafficData[[#This Row],[pendingCourt]]+TrafficData[[#This Row],[disposedCourt]]=TrafficData[[#This Row],[totalCourt]]</f>
        <v>1</v>
      </c>
      <c r="N3134" s="8" t="b">
        <f>AND(TrafficData[[#This Row],[disposedChallan]]&lt;=TrafficData[[#This Row],[totalChallan]],TrafficData[[#This Row],[pendingChallan]]&lt;=TrafficData[[#This Row],[totalChallan]])</f>
        <v>1</v>
      </c>
      <c r="O3134" s="8" t="b">
        <f>AND(TrafficData[[#This Row],[pendingAmount]]&lt;=TrafficData[[#This Row],[totalAmount]],TrafficData[[#This Row],[disposedAmount]]&lt;=TrafficData[[#This Row],[totalAmount]])</f>
        <v>1</v>
      </c>
      <c r="P3134" s="8" t="b">
        <f>AND(TrafficData[[#This Row],[pendingCourt]]&lt;=TrafficData[[#This Row],[totalCourt]],TrafficData[[#This Row],[disposedCourt]]&lt;=TrafficData[[#This Row],[totalCourt]])</f>
        <v>1</v>
      </c>
    </row>
    <row r="3135" spans="1:16">
      <c r="A3135" s="1">
        <v>45139</v>
      </c>
      <c r="B3135">
        <v>215150</v>
      </c>
      <c r="C3135">
        <v>87902</v>
      </c>
      <c r="D3135">
        <v>127248</v>
      </c>
      <c r="E3135">
        <v>193510981</v>
      </c>
      <c r="F3135">
        <v>132143026</v>
      </c>
      <c r="G3135">
        <v>325654007</v>
      </c>
      <c r="H3135">
        <v>71025</v>
      </c>
      <c r="I3135">
        <v>13954</v>
      </c>
      <c r="J3135">
        <v>84979</v>
      </c>
      <c r="K3135" t="b">
        <f>TrafficData[[#This Row],[disposedChallan]]+TrafficData[[#This Row],[pendingChallan]]=TrafficData[[#This Row],[totalChallan]]</f>
        <v>1</v>
      </c>
      <c r="L3135" t="b">
        <f>TrafficData[[#This Row],[pendingAmount]]+TrafficData[[#This Row],[disposedAmount]]=TrafficData[[#This Row],[totalAmount]]</f>
        <v>1</v>
      </c>
      <c r="M3135" t="b">
        <f>TrafficData[[#This Row],[pendingCourt]]+TrafficData[[#This Row],[disposedCourt]]=TrafficData[[#This Row],[totalCourt]]</f>
        <v>1</v>
      </c>
      <c r="N3135" s="8" t="b">
        <f>AND(TrafficData[[#This Row],[disposedChallan]]&lt;=TrafficData[[#This Row],[totalChallan]],TrafficData[[#This Row],[pendingChallan]]&lt;=TrafficData[[#This Row],[totalChallan]])</f>
        <v>1</v>
      </c>
      <c r="O3135" s="8" t="b">
        <f>AND(TrafficData[[#This Row],[pendingAmount]]&lt;=TrafficData[[#This Row],[totalAmount]],TrafficData[[#This Row],[disposedAmount]]&lt;=TrafficData[[#This Row],[totalAmount]])</f>
        <v>1</v>
      </c>
      <c r="P3135" s="8" t="b">
        <f>AND(TrafficData[[#This Row],[pendingCourt]]&lt;=TrafficData[[#This Row],[totalCourt]],TrafficData[[#This Row],[disposedCourt]]&lt;=TrafficData[[#This Row],[totalCourt]])</f>
        <v>1</v>
      </c>
    </row>
    <row r="3136" spans="1:16">
      <c r="A3136" s="1">
        <v>45140</v>
      </c>
      <c r="B3136">
        <v>205182</v>
      </c>
      <c r="C3136">
        <v>84382</v>
      </c>
      <c r="D3136">
        <v>120800</v>
      </c>
      <c r="E3136">
        <v>180265507</v>
      </c>
      <c r="F3136">
        <v>128977143</v>
      </c>
      <c r="G3136">
        <v>309242650</v>
      </c>
      <c r="H3136">
        <v>61264</v>
      </c>
      <c r="I3136">
        <v>12515</v>
      </c>
      <c r="J3136">
        <v>73779</v>
      </c>
      <c r="K3136" t="b">
        <f>TrafficData[[#This Row],[disposedChallan]]+TrafficData[[#This Row],[pendingChallan]]=TrafficData[[#This Row],[totalChallan]]</f>
        <v>1</v>
      </c>
      <c r="L3136" t="b">
        <f>TrafficData[[#This Row],[pendingAmount]]+TrafficData[[#This Row],[disposedAmount]]=TrafficData[[#This Row],[totalAmount]]</f>
        <v>1</v>
      </c>
      <c r="M3136" t="b">
        <f>TrafficData[[#This Row],[pendingCourt]]+TrafficData[[#This Row],[disposedCourt]]=TrafficData[[#This Row],[totalCourt]]</f>
        <v>1</v>
      </c>
      <c r="N3136" s="8" t="b">
        <f>AND(TrafficData[[#This Row],[disposedChallan]]&lt;=TrafficData[[#This Row],[totalChallan]],TrafficData[[#This Row],[pendingChallan]]&lt;=TrafficData[[#This Row],[totalChallan]])</f>
        <v>1</v>
      </c>
      <c r="O3136" s="8" t="b">
        <f>AND(TrafficData[[#This Row],[pendingAmount]]&lt;=TrafficData[[#This Row],[totalAmount]],TrafficData[[#This Row],[disposedAmount]]&lt;=TrafficData[[#This Row],[totalAmount]])</f>
        <v>1</v>
      </c>
      <c r="P3136" s="8" t="b">
        <f>AND(TrafficData[[#This Row],[pendingCourt]]&lt;=TrafficData[[#This Row],[totalCourt]],TrafficData[[#This Row],[disposedCourt]]&lt;=TrafficData[[#This Row],[totalCourt]])</f>
        <v>1</v>
      </c>
    </row>
    <row r="3137" spans="1:16">
      <c r="A3137" s="1">
        <v>45141</v>
      </c>
      <c r="B3137">
        <v>213583</v>
      </c>
      <c r="C3137">
        <v>86879</v>
      </c>
      <c r="D3137">
        <v>126704</v>
      </c>
      <c r="E3137">
        <v>196902190</v>
      </c>
      <c r="F3137">
        <v>249797966</v>
      </c>
      <c r="G3137">
        <v>446700156</v>
      </c>
      <c r="H3137">
        <v>67453</v>
      </c>
      <c r="I3137">
        <v>13366</v>
      </c>
      <c r="J3137">
        <v>80819</v>
      </c>
      <c r="K3137" t="b">
        <f>TrafficData[[#This Row],[disposedChallan]]+TrafficData[[#This Row],[pendingChallan]]=TrafficData[[#This Row],[totalChallan]]</f>
        <v>1</v>
      </c>
      <c r="L3137" t="b">
        <f>TrafficData[[#This Row],[pendingAmount]]+TrafficData[[#This Row],[disposedAmount]]=TrafficData[[#This Row],[totalAmount]]</f>
        <v>1</v>
      </c>
      <c r="M3137" t="b">
        <f>TrafficData[[#This Row],[pendingCourt]]+TrafficData[[#This Row],[disposedCourt]]=TrafficData[[#This Row],[totalCourt]]</f>
        <v>1</v>
      </c>
      <c r="N3137" s="8" t="b">
        <f>AND(TrafficData[[#This Row],[disposedChallan]]&lt;=TrafficData[[#This Row],[totalChallan]],TrafficData[[#This Row],[pendingChallan]]&lt;=TrafficData[[#This Row],[totalChallan]])</f>
        <v>1</v>
      </c>
      <c r="O3137" s="8" t="b">
        <f>AND(TrafficData[[#This Row],[pendingAmount]]&lt;=TrafficData[[#This Row],[totalAmount]],TrafficData[[#This Row],[disposedAmount]]&lt;=TrafficData[[#This Row],[totalAmount]])</f>
        <v>1</v>
      </c>
      <c r="P3137" s="8" t="b">
        <f>AND(TrafficData[[#This Row],[pendingCourt]]&lt;=TrafficData[[#This Row],[totalCourt]],TrafficData[[#This Row],[disposedCourt]]&lt;=TrafficData[[#This Row],[totalCourt]])</f>
        <v>1</v>
      </c>
    </row>
    <row r="3138" spans="1:16">
      <c r="A3138" s="1">
        <v>45142</v>
      </c>
      <c r="B3138">
        <v>218959</v>
      </c>
      <c r="C3138">
        <v>87931</v>
      </c>
      <c r="D3138">
        <v>131028</v>
      </c>
      <c r="E3138">
        <v>200739400</v>
      </c>
      <c r="F3138">
        <v>136962824</v>
      </c>
      <c r="G3138">
        <v>337702224</v>
      </c>
      <c r="H3138">
        <v>69940</v>
      </c>
      <c r="I3138">
        <v>13863</v>
      </c>
      <c r="J3138">
        <v>83803</v>
      </c>
      <c r="K3138" t="b">
        <f>TrafficData[[#This Row],[disposedChallan]]+TrafficData[[#This Row],[pendingChallan]]=TrafficData[[#This Row],[totalChallan]]</f>
        <v>1</v>
      </c>
      <c r="L3138" t="b">
        <f>TrafficData[[#This Row],[pendingAmount]]+TrafficData[[#This Row],[disposedAmount]]=TrafficData[[#This Row],[totalAmount]]</f>
        <v>1</v>
      </c>
      <c r="M3138" t="b">
        <f>TrafficData[[#This Row],[pendingCourt]]+TrafficData[[#This Row],[disposedCourt]]=TrafficData[[#This Row],[totalCourt]]</f>
        <v>1</v>
      </c>
      <c r="N3138" s="8" t="b">
        <f>AND(TrafficData[[#This Row],[disposedChallan]]&lt;=TrafficData[[#This Row],[totalChallan]],TrafficData[[#This Row],[pendingChallan]]&lt;=TrafficData[[#This Row],[totalChallan]])</f>
        <v>1</v>
      </c>
      <c r="O3138" s="8" t="b">
        <f>AND(TrafficData[[#This Row],[pendingAmount]]&lt;=TrafficData[[#This Row],[totalAmount]],TrafficData[[#This Row],[disposedAmount]]&lt;=TrafficData[[#This Row],[totalAmount]])</f>
        <v>1</v>
      </c>
      <c r="P3138" s="8" t="b">
        <f>AND(TrafficData[[#This Row],[pendingCourt]]&lt;=TrafficData[[#This Row],[totalCourt]],TrafficData[[#This Row],[disposedCourt]]&lt;=TrafficData[[#This Row],[totalCourt]])</f>
        <v>1</v>
      </c>
    </row>
    <row r="3139" spans="1:16">
      <c r="A3139" s="1">
        <v>45143</v>
      </c>
      <c r="B3139">
        <v>213342</v>
      </c>
      <c r="C3139">
        <v>89049</v>
      </c>
      <c r="D3139">
        <v>124293</v>
      </c>
      <c r="E3139">
        <v>187210712</v>
      </c>
      <c r="F3139">
        <v>125340092</v>
      </c>
      <c r="G3139">
        <v>312550804</v>
      </c>
      <c r="H3139">
        <v>65085</v>
      </c>
      <c r="I3139">
        <v>14058</v>
      </c>
      <c r="J3139">
        <v>79143</v>
      </c>
      <c r="K3139" t="b">
        <f>TrafficData[[#This Row],[disposedChallan]]+TrafficData[[#This Row],[pendingChallan]]=TrafficData[[#This Row],[totalChallan]]</f>
        <v>1</v>
      </c>
      <c r="L3139" t="b">
        <f>TrafficData[[#This Row],[pendingAmount]]+TrafficData[[#This Row],[disposedAmount]]=TrafficData[[#This Row],[totalAmount]]</f>
        <v>1</v>
      </c>
      <c r="M3139" t="b">
        <f>TrafficData[[#This Row],[pendingCourt]]+TrafficData[[#This Row],[disposedCourt]]=TrafficData[[#This Row],[totalCourt]]</f>
        <v>1</v>
      </c>
      <c r="N3139" s="8" t="b">
        <f>AND(TrafficData[[#This Row],[disposedChallan]]&lt;=TrafficData[[#This Row],[totalChallan]],TrafficData[[#This Row],[pendingChallan]]&lt;=TrafficData[[#This Row],[totalChallan]])</f>
        <v>1</v>
      </c>
      <c r="O3139" s="8" t="b">
        <f>AND(TrafficData[[#This Row],[pendingAmount]]&lt;=TrafficData[[#This Row],[totalAmount]],TrafficData[[#This Row],[disposedAmount]]&lt;=TrafficData[[#This Row],[totalAmount]])</f>
        <v>1</v>
      </c>
      <c r="P3139" s="8" t="b">
        <f>AND(TrafficData[[#This Row],[pendingCourt]]&lt;=TrafficData[[#This Row],[totalCourt]],TrafficData[[#This Row],[disposedCourt]]&lt;=TrafficData[[#This Row],[totalCourt]])</f>
        <v>1</v>
      </c>
    </row>
    <row r="3140" spans="1:16">
      <c r="A3140" s="1">
        <v>45144</v>
      </c>
      <c r="B3140">
        <v>176698</v>
      </c>
      <c r="C3140">
        <v>73335</v>
      </c>
      <c r="D3140">
        <v>103363</v>
      </c>
      <c r="E3140">
        <v>145927865</v>
      </c>
      <c r="F3140">
        <v>93745319</v>
      </c>
      <c r="G3140">
        <v>239673184</v>
      </c>
      <c r="H3140">
        <v>51087</v>
      </c>
      <c r="I3140">
        <v>10639</v>
      </c>
      <c r="J3140">
        <v>61726</v>
      </c>
      <c r="K3140" t="b">
        <f>TrafficData[[#This Row],[disposedChallan]]+TrafficData[[#This Row],[pendingChallan]]=TrafficData[[#This Row],[totalChallan]]</f>
        <v>1</v>
      </c>
      <c r="L3140" t="b">
        <f>TrafficData[[#This Row],[pendingAmount]]+TrafficData[[#This Row],[disposedAmount]]=TrafficData[[#This Row],[totalAmount]]</f>
        <v>1</v>
      </c>
      <c r="M3140" t="b">
        <f>TrafficData[[#This Row],[pendingCourt]]+TrafficData[[#This Row],[disposedCourt]]=TrafficData[[#This Row],[totalCourt]]</f>
        <v>1</v>
      </c>
      <c r="N3140" s="8" t="b">
        <f>AND(TrafficData[[#This Row],[disposedChallan]]&lt;=TrafficData[[#This Row],[totalChallan]],TrafficData[[#This Row],[pendingChallan]]&lt;=TrafficData[[#This Row],[totalChallan]])</f>
        <v>1</v>
      </c>
      <c r="O3140" s="8" t="b">
        <f>AND(TrafficData[[#This Row],[pendingAmount]]&lt;=TrafficData[[#This Row],[totalAmount]],TrafficData[[#This Row],[disposedAmount]]&lt;=TrafficData[[#This Row],[totalAmount]])</f>
        <v>1</v>
      </c>
      <c r="P3140" s="8" t="b">
        <f>AND(TrafficData[[#This Row],[pendingCourt]]&lt;=TrafficData[[#This Row],[totalCourt]],TrafficData[[#This Row],[disposedCourt]]&lt;=TrafficData[[#This Row],[totalCourt]])</f>
        <v>1</v>
      </c>
    </row>
    <row r="3141" spans="1:16">
      <c r="A3141" s="1">
        <v>45145</v>
      </c>
      <c r="B3141">
        <v>200061</v>
      </c>
      <c r="C3141">
        <v>81964</v>
      </c>
      <c r="D3141">
        <v>118097</v>
      </c>
      <c r="E3141">
        <v>177999774</v>
      </c>
      <c r="F3141">
        <v>114572752</v>
      </c>
      <c r="G3141">
        <v>292572526</v>
      </c>
      <c r="H3141">
        <v>62997</v>
      </c>
      <c r="I3141">
        <v>12487</v>
      </c>
      <c r="J3141">
        <v>75484</v>
      </c>
      <c r="K3141" t="b">
        <f>TrafficData[[#This Row],[disposedChallan]]+TrafficData[[#This Row],[pendingChallan]]=TrafficData[[#This Row],[totalChallan]]</f>
        <v>1</v>
      </c>
      <c r="L3141" t="b">
        <f>TrafficData[[#This Row],[pendingAmount]]+TrafficData[[#This Row],[disposedAmount]]=TrafficData[[#This Row],[totalAmount]]</f>
        <v>1</v>
      </c>
      <c r="M3141" t="b">
        <f>TrafficData[[#This Row],[pendingCourt]]+TrafficData[[#This Row],[disposedCourt]]=TrafficData[[#This Row],[totalCourt]]</f>
        <v>1</v>
      </c>
      <c r="N3141" s="8" t="b">
        <f>AND(TrafficData[[#This Row],[disposedChallan]]&lt;=TrafficData[[#This Row],[totalChallan]],TrafficData[[#This Row],[pendingChallan]]&lt;=TrafficData[[#This Row],[totalChallan]])</f>
        <v>1</v>
      </c>
      <c r="O3141" s="8" t="b">
        <f>AND(TrafficData[[#This Row],[pendingAmount]]&lt;=TrafficData[[#This Row],[totalAmount]],TrafficData[[#This Row],[disposedAmount]]&lt;=TrafficData[[#This Row],[totalAmount]])</f>
        <v>1</v>
      </c>
      <c r="P3141" s="8" t="b">
        <f>AND(TrafficData[[#This Row],[pendingCourt]]&lt;=TrafficData[[#This Row],[totalCourt]],TrafficData[[#This Row],[disposedCourt]]&lt;=TrafficData[[#This Row],[totalCourt]])</f>
        <v>1</v>
      </c>
    </row>
    <row r="3142" spans="1:16">
      <c r="A3142" s="1">
        <v>45146</v>
      </c>
      <c r="B3142">
        <v>209228</v>
      </c>
      <c r="C3142">
        <v>84789</v>
      </c>
      <c r="D3142">
        <v>124439</v>
      </c>
      <c r="E3142">
        <v>201151919</v>
      </c>
      <c r="F3142">
        <v>133220524</v>
      </c>
      <c r="G3142">
        <v>334372443</v>
      </c>
      <c r="H3142">
        <v>68856</v>
      </c>
      <c r="I3142">
        <v>13455</v>
      </c>
      <c r="J3142">
        <v>82311</v>
      </c>
      <c r="K3142" t="b">
        <f>TrafficData[[#This Row],[disposedChallan]]+TrafficData[[#This Row],[pendingChallan]]=TrafficData[[#This Row],[totalChallan]]</f>
        <v>1</v>
      </c>
      <c r="L3142" t="b">
        <f>TrafficData[[#This Row],[pendingAmount]]+TrafficData[[#This Row],[disposedAmount]]=TrafficData[[#This Row],[totalAmount]]</f>
        <v>1</v>
      </c>
      <c r="M3142" t="b">
        <f>TrafficData[[#This Row],[pendingCourt]]+TrafficData[[#This Row],[disposedCourt]]=TrafficData[[#This Row],[totalCourt]]</f>
        <v>1</v>
      </c>
      <c r="N3142" s="8" t="b">
        <f>AND(TrafficData[[#This Row],[disposedChallan]]&lt;=TrafficData[[#This Row],[totalChallan]],TrafficData[[#This Row],[pendingChallan]]&lt;=TrafficData[[#This Row],[totalChallan]])</f>
        <v>1</v>
      </c>
      <c r="O3142" s="8" t="b">
        <f>AND(TrafficData[[#This Row],[pendingAmount]]&lt;=TrafficData[[#This Row],[totalAmount]],TrafficData[[#This Row],[disposedAmount]]&lt;=TrafficData[[#This Row],[totalAmount]])</f>
        <v>1</v>
      </c>
      <c r="P3142" s="8" t="b">
        <f>AND(TrafficData[[#This Row],[pendingCourt]]&lt;=TrafficData[[#This Row],[totalCourt]],TrafficData[[#This Row],[disposedCourt]]&lt;=TrafficData[[#This Row],[totalCourt]])</f>
        <v>1</v>
      </c>
    </row>
    <row r="3143" spans="1:16">
      <c r="A3143" s="1">
        <v>45147</v>
      </c>
      <c r="B3143">
        <v>203319</v>
      </c>
      <c r="C3143">
        <v>83272</v>
      </c>
      <c r="D3143">
        <v>120047</v>
      </c>
      <c r="E3143">
        <v>191251477</v>
      </c>
      <c r="F3143">
        <v>136548705</v>
      </c>
      <c r="G3143">
        <v>327800182</v>
      </c>
      <c r="H3143">
        <v>66517</v>
      </c>
      <c r="I3143">
        <v>13476</v>
      </c>
      <c r="J3143">
        <v>79993</v>
      </c>
      <c r="K3143" t="b">
        <f>TrafficData[[#This Row],[disposedChallan]]+TrafficData[[#This Row],[pendingChallan]]=TrafficData[[#This Row],[totalChallan]]</f>
        <v>1</v>
      </c>
      <c r="L3143" t="b">
        <f>TrafficData[[#This Row],[pendingAmount]]+TrafficData[[#This Row],[disposedAmount]]=TrafficData[[#This Row],[totalAmount]]</f>
        <v>1</v>
      </c>
      <c r="M3143" t="b">
        <f>TrafficData[[#This Row],[pendingCourt]]+TrafficData[[#This Row],[disposedCourt]]=TrafficData[[#This Row],[totalCourt]]</f>
        <v>1</v>
      </c>
      <c r="N3143" s="8" t="b">
        <f>AND(TrafficData[[#This Row],[disposedChallan]]&lt;=TrafficData[[#This Row],[totalChallan]],TrafficData[[#This Row],[pendingChallan]]&lt;=TrafficData[[#This Row],[totalChallan]])</f>
        <v>1</v>
      </c>
      <c r="O3143" s="8" t="b">
        <f>AND(TrafficData[[#This Row],[pendingAmount]]&lt;=TrafficData[[#This Row],[totalAmount]],TrafficData[[#This Row],[disposedAmount]]&lt;=TrafficData[[#This Row],[totalAmount]])</f>
        <v>1</v>
      </c>
      <c r="P3143" s="8" t="b">
        <f>AND(TrafficData[[#This Row],[pendingCourt]]&lt;=TrafficData[[#This Row],[totalCourt]],TrafficData[[#This Row],[disposedCourt]]&lt;=TrafficData[[#This Row],[totalCourt]])</f>
        <v>1</v>
      </c>
    </row>
    <row r="3144" spans="1:16">
      <c r="A3144" s="1">
        <v>45148</v>
      </c>
      <c r="B3144">
        <v>203793</v>
      </c>
      <c r="C3144">
        <v>82479</v>
      </c>
      <c r="D3144">
        <v>121314</v>
      </c>
      <c r="E3144">
        <v>190714376</v>
      </c>
      <c r="F3144">
        <v>132012503</v>
      </c>
      <c r="G3144">
        <v>322726879</v>
      </c>
      <c r="H3144">
        <v>66923</v>
      </c>
      <c r="I3144">
        <v>13373</v>
      </c>
      <c r="J3144">
        <v>80296</v>
      </c>
      <c r="K3144" t="b">
        <f>TrafficData[[#This Row],[disposedChallan]]+TrafficData[[#This Row],[pendingChallan]]=TrafficData[[#This Row],[totalChallan]]</f>
        <v>1</v>
      </c>
      <c r="L3144" t="b">
        <f>TrafficData[[#This Row],[pendingAmount]]+TrafficData[[#This Row],[disposedAmount]]=TrafficData[[#This Row],[totalAmount]]</f>
        <v>1</v>
      </c>
      <c r="M3144" t="b">
        <f>TrafficData[[#This Row],[pendingCourt]]+TrafficData[[#This Row],[disposedCourt]]=TrafficData[[#This Row],[totalCourt]]</f>
        <v>1</v>
      </c>
      <c r="N3144" s="8" t="b">
        <f>AND(TrafficData[[#This Row],[disposedChallan]]&lt;=TrafficData[[#This Row],[totalChallan]],TrafficData[[#This Row],[pendingChallan]]&lt;=TrafficData[[#This Row],[totalChallan]])</f>
        <v>1</v>
      </c>
      <c r="O3144" s="8" t="b">
        <f>AND(TrafficData[[#This Row],[pendingAmount]]&lt;=TrafficData[[#This Row],[totalAmount]],TrafficData[[#This Row],[disposedAmount]]&lt;=TrafficData[[#This Row],[totalAmount]])</f>
        <v>1</v>
      </c>
      <c r="P3144" s="8" t="b">
        <f>AND(TrafficData[[#This Row],[pendingCourt]]&lt;=TrafficData[[#This Row],[totalCourt]],TrafficData[[#This Row],[disposedCourt]]&lt;=TrafficData[[#This Row],[totalCourt]])</f>
        <v>1</v>
      </c>
    </row>
    <row r="3145" spans="1:16">
      <c r="A3145" s="1">
        <v>45149</v>
      </c>
      <c r="B3145">
        <v>200888</v>
      </c>
      <c r="C3145">
        <v>84424</v>
      </c>
      <c r="D3145">
        <v>116464</v>
      </c>
      <c r="E3145">
        <v>184905441</v>
      </c>
      <c r="F3145">
        <v>131372638</v>
      </c>
      <c r="G3145">
        <v>316278079</v>
      </c>
      <c r="H3145">
        <v>64184</v>
      </c>
      <c r="I3145">
        <v>13157</v>
      </c>
      <c r="J3145">
        <v>77341</v>
      </c>
      <c r="K3145" t="b">
        <f>TrafficData[[#This Row],[disposedChallan]]+TrafficData[[#This Row],[pendingChallan]]=TrafficData[[#This Row],[totalChallan]]</f>
        <v>1</v>
      </c>
      <c r="L3145" t="b">
        <f>TrafficData[[#This Row],[pendingAmount]]+TrafficData[[#This Row],[disposedAmount]]=TrafficData[[#This Row],[totalAmount]]</f>
        <v>1</v>
      </c>
      <c r="M3145" t="b">
        <f>TrafficData[[#This Row],[pendingCourt]]+TrafficData[[#This Row],[disposedCourt]]=TrafficData[[#This Row],[totalCourt]]</f>
        <v>1</v>
      </c>
      <c r="N3145" s="8" t="b">
        <f>AND(TrafficData[[#This Row],[disposedChallan]]&lt;=TrafficData[[#This Row],[totalChallan]],TrafficData[[#This Row],[pendingChallan]]&lt;=TrafficData[[#This Row],[totalChallan]])</f>
        <v>1</v>
      </c>
      <c r="O3145" s="8" t="b">
        <f>AND(TrafficData[[#This Row],[pendingAmount]]&lt;=TrafficData[[#This Row],[totalAmount]],TrafficData[[#This Row],[disposedAmount]]&lt;=TrafficData[[#This Row],[totalAmount]])</f>
        <v>1</v>
      </c>
      <c r="P3145" s="8" t="b">
        <f>AND(TrafficData[[#This Row],[pendingCourt]]&lt;=TrafficData[[#This Row],[totalCourt]],TrafficData[[#This Row],[disposedCourt]]&lt;=TrafficData[[#This Row],[totalCourt]])</f>
        <v>1</v>
      </c>
    </row>
    <row r="3146" spans="1:16">
      <c r="A3146" s="1">
        <v>45150</v>
      </c>
      <c r="B3146">
        <v>201564</v>
      </c>
      <c r="C3146">
        <v>82088</v>
      </c>
      <c r="D3146">
        <v>119476</v>
      </c>
      <c r="E3146">
        <v>186483980</v>
      </c>
      <c r="F3146">
        <v>114908457</v>
      </c>
      <c r="G3146">
        <v>301392437</v>
      </c>
      <c r="H3146">
        <v>64395</v>
      </c>
      <c r="I3146">
        <v>14095</v>
      </c>
      <c r="J3146">
        <v>78490</v>
      </c>
      <c r="K3146" t="b">
        <f>TrafficData[[#This Row],[disposedChallan]]+TrafficData[[#This Row],[pendingChallan]]=TrafficData[[#This Row],[totalChallan]]</f>
        <v>1</v>
      </c>
      <c r="L3146" t="b">
        <f>TrafficData[[#This Row],[pendingAmount]]+TrafficData[[#This Row],[disposedAmount]]=TrafficData[[#This Row],[totalAmount]]</f>
        <v>1</v>
      </c>
      <c r="M3146" t="b">
        <f>TrafficData[[#This Row],[pendingCourt]]+TrafficData[[#This Row],[disposedCourt]]=TrafficData[[#This Row],[totalCourt]]</f>
        <v>1</v>
      </c>
      <c r="N3146" s="8" t="b">
        <f>AND(TrafficData[[#This Row],[disposedChallan]]&lt;=TrafficData[[#This Row],[totalChallan]],TrafficData[[#This Row],[pendingChallan]]&lt;=TrafficData[[#This Row],[totalChallan]])</f>
        <v>1</v>
      </c>
      <c r="O3146" s="8" t="b">
        <f>AND(TrafficData[[#This Row],[pendingAmount]]&lt;=TrafficData[[#This Row],[totalAmount]],TrafficData[[#This Row],[disposedAmount]]&lt;=TrafficData[[#This Row],[totalAmount]])</f>
        <v>1</v>
      </c>
      <c r="P3146" s="8" t="b">
        <f>AND(TrafficData[[#This Row],[pendingCourt]]&lt;=TrafficData[[#This Row],[totalCourt]],TrafficData[[#This Row],[disposedCourt]]&lt;=TrafficData[[#This Row],[totalCourt]])</f>
        <v>1</v>
      </c>
    </row>
    <row r="3147" spans="1:16">
      <c r="A3147" s="1">
        <v>45151</v>
      </c>
      <c r="B3147">
        <v>164301</v>
      </c>
      <c r="C3147">
        <v>65753</v>
      </c>
      <c r="D3147">
        <v>98548</v>
      </c>
      <c r="E3147">
        <v>137993828</v>
      </c>
      <c r="F3147">
        <v>86001105</v>
      </c>
      <c r="G3147">
        <v>223994933</v>
      </c>
      <c r="H3147">
        <v>50145</v>
      </c>
      <c r="I3147">
        <v>10361</v>
      </c>
      <c r="J3147">
        <v>60506</v>
      </c>
      <c r="K3147" t="b">
        <f>TrafficData[[#This Row],[disposedChallan]]+TrafficData[[#This Row],[pendingChallan]]=TrafficData[[#This Row],[totalChallan]]</f>
        <v>1</v>
      </c>
      <c r="L3147" t="b">
        <f>TrafficData[[#This Row],[pendingAmount]]+TrafficData[[#This Row],[disposedAmount]]=TrafficData[[#This Row],[totalAmount]]</f>
        <v>1</v>
      </c>
      <c r="M3147" t="b">
        <f>TrafficData[[#This Row],[pendingCourt]]+TrafficData[[#This Row],[disposedCourt]]=TrafficData[[#This Row],[totalCourt]]</f>
        <v>1</v>
      </c>
      <c r="N3147" s="8" t="b">
        <f>AND(TrafficData[[#This Row],[disposedChallan]]&lt;=TrafficData[[#This Row],[totalChallan]],TrafficData[[#This Row],[pendingChallan]]&lt;=TrafficData[[#This Row],[totalChallan]])</f>
        <v>1</v>
      </c>
      <c r="O3147" s="8" t="b">
        <f>AND(TrafficData[[#This Row],[pendingAmount]]&lt;=TrafficData[[#This Row],[totalAmount]],TrafficData[[#This Row],[disposedAmount]]&lt;=TrafficData[[#This Row],[totalAmount]])</f>
        <v>1</v>
      </c>
      <c r="P3147" s="8" t="b">
        <f>AND(TrafficData[[#This Row],[pendingCourt]]&lt;=TrafficData[[#This Row],[totalCourt]],TrafficData[[#This Row],[disposedCourt]]&lt;=TrafficData[[#This Row],[totalCourt]])</f>
        <v>1</v>
      </c>
    </row>
    <row r="3148" spans="1:16">
      <c r="A3148" s="1">
        <v>45152</v>
      </c>
      <c r="B3148">
        <v>199877</v>
      </c>
      <c r="C3148">
        <v>78102</v>
      </c>
      <c r="D3148">
        <v>121775</v>
      </c>
      <c r="E3148">
        <v>187911206</v>
      </c>
      <c r="F3148">
        <v>109493874</v>
      </c>
      <c r="G3148">
        <v>297405080</v>
      </c>
      <c r="H3148">
        <v>63983</v>
      </c>
      <c r="I3148">
        <v>12812</v>
      </c>
      <c r="J3148">
        <v>76795</v>
      </c>
      <c r="K3148" t="b">
        <f>TrafficData[[#This Row],[disposedChallan]]+TrafficData[[#This Row],[pendingChallan]]=TrafficData[[#This Row],[totalChallan]]</f>
        <v>1</v>
      </c>
      <c r="L3148" t="b">
        <f>TrafficData[[#This Row],[pendingAmount]]+TrafficData[[#This Row],[disposedAmount]]=TrafficData[[#This Row],[totalAmount]]</f>
        <v>1</v>
      </c>
      <c r="M3148" t="b">
        <f>TrafficData[[#This Row],[pendingCourt]]+TrafficData[[#This Row],[disposedCourt]]=TrafficData[[#This Row],[totalCourt]]</f>
        <v>1</v>
      </c>
      <c r="N3148" s="8" t="b">
        <f>AND(TrafficData[[#This Row],[disposedChallan]]&lt;=TrafficData[[#This Row],[totalChallan]],TrafficData[[#This Row],[pendingChallan]]&lt;=TrafficData[[#This Row],[totalChallan]])</f>
        <v>1</v>
      </c>
      <c r="O3148" s="8" t="b">
        <f>AND(TrafficData[[#This Row],[pendingAmount]]&lt;=TrafficData[[#This Row],[totalAmount]],TrafficData[[#This Row],[disposedAmount]]&lt;=TrafficData[[#This Row],[totalAmount]])</f>
        <v>1</v>
      </c>
      <c r="P3148" s="8" t="b">
        <f>AND(TrafficData[[#This Row],[pendingCourt]]&lt;=TrafficData[[#This Row],[totalCourt]],TrafficData[[#This Row],[disposedCourt]]&lt;=TrafficData[[#This Row],[totalCourt]])</f>
        <v>1</v>
      </c>
    </row>
    <row r="3149" spans="1:16">
      <c r="A3149" s="1">
        <v>45153</v>
      </c>
      <c r="B3149">
        <v>135055</v>
      </c>
      <c r="C3149">
        <v>51465</v>
      </c>
      <c r="D3149">
        <v>83590</v>
      </c>
      <c r="E3149">
        <v>105380669</v>
      </c>
      <c r="F3149">
        <v>55014844</v>
      </c>
      <c r="G3149">
        <v>160395513</v>
      </c>
      <c r="H3149">
        <v>40723</v>
      </c>
      <c r="I3149">
        <v>7578</v>
      </c>
      <c r="J3149">
        <v>48301</v>
      </c>
      <c r="K3149" t="b">
        <f>TrafficData[[#This Row],[disposedChallan]]+TrafficData[[#This Row],[pendingChallan]]=TrafficData[[#This Row],[totalChallan]]</f>
        <v>1</v>
      </c>
      <c r="L3149" t="b">
        <f>TrafficData[[#This Row],[pendingAmount]]+TrafficData[[#This Row],[disposedAmount]]=TrafficData[[#This Row],[totalAmount]]</f>
        <v>1</v>
      </c>
      <c r="M3149" t="b">
        <f>TrafficData[[#This Row],[pendingCourt]]+TrafficData[[#This Row],[disposedCourt]]=TrafficData[[#This Row],[totalCourt]]</f>
        <v>1</v>
      </c>
      <c r="N3149" s="8" t="b">
        <f>AND(TrafficData[[#This Row],[disposedChallan]]&lt;=TrafficData[[#This Row],[totalChallan]],TrafficData[[#This Row],[pendingChallan]]&lt;=TrafficData[[#This Row],[totalChallan]])</f>
        <v>1</v>
      </c>
      <c r="O3149" s="8" t="b">
        <f>AND(TrafficData[[#This Row],[pendingAmount]]&lt;=TrafficData[[#This Row],[totalAmount]],TrafficData[[#This Row],[disposedAmount]]&lt;=TrafficData[[#This Row],[totalAmount]])</f>
        <v>1</v>
      </c>
      <c r="P3149" s="8" t="b">
        <f>AND(TrafficData[[#This Row],[pendingCourt]]&lt;=TrafficData[[#This Row],[totalCourt]],TrafficData[[#This Row],[disposedCourt]]&lt;=TrafficData[[#This Row],[totalCourt]])</f>
        <v>1</v>
      </c>
    </row>
    <row r="3150" spans="1:16">
      <c r="A3150" s="1">
        <v>45154</v>
      </c>
      <c r="B3150">
        <v>202521</v>
      </c>
      <c r="C3150">
        <v>81963</v>
      </c>
      <c r="D3150">
        <v>120558</v>
      </c>
      <c r="E3150">
        <v>192187848</v>
      </c>
      <c r="F3150">
        <v>112447121</v>
      </c>
      <c r="G3150">
        <v>304634969</v>
      </c>
      <c r="H3150">
        <v>65853</v>
      </c>
      <c r="I3150">
        <v>12789</v>
      </c>
      <c r="J3150">
        <v>78642</v>
      </c>
      <c r="K3150" t="b">
        <f>TrafficData[[#This Row],[disposedChallan]]+TrafficData[[#This Row],[pendingChallan]]=TrafficData[[#This Row],[totalChallan]]</f>
        <v>1</v>
      </c>
      <c r="L3150" t="b">
        <f>TrafficData[[#This Row],[pendingAmount]]+TrafficData[[#This Row],[disposedAmount]]=TrafficData[[#This Row],[totalAmount]]</f>
        <v>1</v>
      </c>
      <c r="M3150" t="b">
        <f>TrafficData[[#This Row],[pendingCourt]]+TrafficData[[#This Row],[disposedCourt]]=TrafficData[[#This Row],[totalCourt]]</f>
        <v>1</v>
      </c>
      <c r="N3150" s="8" t="b">
        <f>AND(TrafficData[[#This Row],[disposedChallan]]&lt;=TrafficData[[#This Row],[totalChallan]],TrafficData[[#This Row],[pendingChallan]]&lt;=TrafficData[[#This Row],[totalChallan]])</f>
        <v>1</v>
      </c>
      <c r="O3150" s="8" t="b">
        <f>AND(TrafficData[[#This Row],[pendingAmount]]&lt;=TrafficData[[#This Row],[totalAmount]],TrafficData[[#This Row],[disposedAmount]]&lt;=TrafficData[[#This Row],[totalAmount]])</f>
        <v>1</v>
      </c>
      <c r="P3150" s="8" t="b">
        <f>AND(TrafficData[[#This Row],[pendingCourt]]&lt;=TrafficData[[#This Row],[totalCourt]],TrafficData[[#This Row],[disposedCourt]]&lt;=TrafficData[[#This Row],[totalCourt]])</f>
        <v>1</v>
      </c>
    </row>
    <row r="3151" spans="1:16">
      <c r="A3151" s="1">
        <v>45155</v>
      </c>
      <c r="B3151">
        <v>198447</v>
      </c>
      <c r="C3151">
        <v>79834</v>
      </c>
      <c r="D3151">
        <v>118613</v>
      </c>
      <c r="E3151">
        <v>183452593</v>
      </c>
      <c r="F3151">
        <v>123176008</v>
      </c>
      <c r="G3151">
        <v>306628601</v>
      </c>
      <c r="H3151">
        <v>62554</v>
      </c>
      <c r="I3151">
        <v>12370</v>
      </c>
      <c r="J3151">
        <v>74924</v>
      </c>
      <c r="K3151" t="b">
        <f>TrafficData[[#This Row],[disposedChallan]]+TrafficData[[#This Row],[pendingChallan]]=TrafficData[[#This Row],[totalChallan]]</f>
        <v>1</v>
      </c>
      <c r="L3151" t="b">
        <f>TrafficData[[#This Row],[pendingAmount]]+TrafficData[[#This Row],[disposedAmount]]=TrafficData[[#This Row],[totalAmount]]</f>
        <v>1</v>
      </c>
      <c r="M3151" t="b">
        <f>TrafficData[[#This Row],[pendingCourt]]+TrafficData[[#This Row],[disposedCourt]]=TrafficData[[#This Row],[totalCourt]]</f>
        <v>1</v>
      </c>
      <c r="N3151" s="8" t="b">
        <f>AND(TrafficData[[#This Row],[disposedChallan]]&lt;=TrafficData[[#This Row],[totalChallan]],TrafficData[[#This Row],[pendingChallan]]&lt;=TrafficData[[#This Row],[totalChallan]])</f>
        <v>1</v>
      </c>
      <c r="O3151" s="8" t="b">
        <f>AND(TrafficData[[#This Row],[pendingAmount]]&lt;=TrafficData[[#This Row],[totalAmount]],TrafficData[[#This Row],[disposedAmount]]&lt;=TrafficData[[#This Row],[totalAmount]])</f>
        <v>1</v>
      </c>
      <c r="P3151" s="8" t="b">
        <f>AND(TrafficData[[#This Row],[pendingCourt]]&lt;=TrafficData[[#This Row],[totalCourt]],TrafficData[[#This Row],[disposedCourt]]&lt;=TrafficData[[#This Row],[totalCourt]])</f>
        <v>1</v>
      </c>
    </row>
    <row r="3152" spans="1:16">
      <c r="A3152" s="1">
        <v>45156</v>
      </c>
      <c r="B3152">
        <v>202200</v>
      </c>
      <c r="C3152">
        <v>80642</v>
      </c>
      <c r="D3152">
        <v>121558</v>
      </c>
      <c r="E3152">
        <v>189803256</v>
      </c>
      <c r="F3152">
        <v>123191984</v>
      </c>
      <c r="G3152">
        <v>312995240</v>
      </c>
      <c r="H3152">
        <v>63648</v>
      </c>
      <c r="I3152">
        <v>12810</v>
      </c>
      <c r="J3152">
        <v>76458</v>
      </c>
      <c r="K3152" t="b">
        <f>TrafficData[[#This Row],[disposedChallan]]+TrafficData[[#This Row],[pendingChallan]]=TrafficData[[#This Row],[totalChallan]]</f>
        <v>1</v>
      </c>
      <c r="L3152" t="b">
        <f>TrafficData[[#This Row],[pendingAmount]]+TrafficData[[#This Row],[disposedAmount]]=TrafficData[[#This Row],[totalAmount]]</f>
        <v>1</v>
      </c>
      <c r="M3152" t="b">
        <f>TrafficData[[#This Row],[pendingCourt]]+TrafficData[[#This Row],[disposedCourt]]=TrafficData[[#This Row],[totalCourt]]</f>
        <v>1</v>
      </c>
      <c r="N3152" s="8" t="b">
        <f>AND(TrafficData[[#This Row],[disposedChallan]]&lt;=TrafficData[[#This Row],[totalChallan]],TrafficData[[#This Row],[pendingChallan]]&lt;=TrafficData[[#This Row],[totalChallan]])</f>
        <v>1</v>
      </c>
      <c r="O3152" s="8" t="b">
        <f>AND(TrafficData[[#This Row],[pendingAmount]]&lt;=TrafficData[[#This Row],[totalAmount]],TrafficData[[#This Row],[disposedAmount]]&lt;=TrafficData[[#This Row],[totalAmount]])</f>
        <v>1</v>
      </c>
      <c r="P3152" s="8" t="b">
        <f>AND(TrafficData[[#This Row],[pendingCourt]]&lt;=TrafficData[[#This Row],[totalCourt]],TrafficData[[#This Row],[disposedCourt]]&lt;=TrafficData[[#This Row],[totalCourt]])</f>
        <v>1</v>
      </c>
    </row>
    <row r="3153" spans="1:16">
      <c r="A3153" s="1">
        <v>45157</v>
      </c>
      <c r="B3153">
        <v>198611</v>
      </c>
      <c r="C3153">
        <v>80549</v>
      </c>
      <c r="D3153">
        <v>118062</v>
      </c>
      <c r="E3153">
        <v>177112020</v>
      </c>
      <c r="F3153">
        <v>112849788</v>
      </c>
      <c r="G3153">
        <v>289961808</v>
      </c>
      <c r="H3153">
        <v>60908</v>
      </c>
      <c r="I3153">
        <v>12603</v>
      </c>
      <c r="J3153">
        <v>73511</v>
      </c>
      <c r="K3153" t="b">
        <f>TrafficData[[#This Row],[disposedChallan]]+TrafficData[[#This Row],[pendingChallan]]=TrafficData[[#This Row],[totalChallan]]</f>
        <v>1</v>
      </c>
      <c r="L3153" t="b">
        <f>TrafficData[[#This Row],[pendingAmount]]+TrafficData[[#This Row],[disposedAmount]]=TrafficData[[#This Row],[totalAmount]]</f>
        <v>1</v>
      </c>
      <c r="M3153" t="b">
        <f>TrafficData[[#This Row],[pendingCourt]]+TrafficData[[#This Row],[disposedCourt]]=TrafficData[[#This Row],[totalCourt]]</f>
        <v>1</v>
      </c>
      <c r="N3153" s="8" t="b">
        <f>AND(TrafficData[[#This Row],[disposedChallan]]&lt;=TrafficData[[#This Row],[totalChallan]],TrafficData[[#This Row],[pendingChallan]]&lt;=TrafficData[[#This Row],[totalChallan]])</f>
        <v>1</v>
      </c>
      <c r="O3153" s="8" t="b">
        <f>AND(TrafficData[[#This Row],[pendingAmount]]&lt;=TrafficData[[#This Row],[totalAmount]],TrafficData[[#This Row],[disposedAmount]]&lt;=TrafficData[[#This Row],[totalAmount]])</f>
        <v>1</v>
      </c>
      <c r="P3153" s="8" t="b">
        <f>AND(TrafficData[[#This Row],[pendingCourt]]&lt;=TrafficData[[#This Row],[totalCourt]],TrafficData[[#This Row],[disposedCourt]]&lt;=TrafficData[[#This Row],[totalCourt]])</f>
        <v>1</v>
      </c>
    </row>
    <row r="3154" spans="1:16">
      <c r="A3154" s="1">
        <v>45158</v>
      </c>
      <c r="B3154">
        <v>165239</v>
      </c>
      <c r="C3154">
        <v>66352</v>
      </c>
      <c r="D3154">
        <v>98887</v>
      </c>
      <c r="E3154">
        <v>133720046</v>
      </c>
      <c r="F3154">
        <v>78117890</v>
      </c>
      <c r="G3154">
        <v>211837936</v>
      </c>
      <c r="H3154">
        <v>51090</v>
      </c>
      <c r="I3154">
        <v>10035</v>
      </c>
      <c r="J3154">
        <v>61125</v>
      </c>
      <c r="K3154" t="b">
        <f>TrafficData[[#This Row],[disposedChallan]]+TrafficData[[#This Row],[pendingChallan]]=TrafficData[[#This Row],[totalChallan]]</f>
        <v>1</v>
      </c>
      <c r="L3154" t="b">
        <f>TrafficData[[#This Row],[pendingAmount]]+TrafficData[[#This Row],[disposedAmount]]=TrafficData[[#This Row],[totalAmount]]</f>
        <v>1</v>
      </c>
      <c r="M3154" t="b">
        <f>TrafficData[[#This Row],[pendingCourt]]+TrafficData[[#This Row],[disposedCourt]]=TrafficData[[#This Row],[totalCourt]]</f>
        <v>1</v>
      </c>
      <c r="N3154" s="8" t="b">
        <f>AND(TrafficData[[#This Row],[disposedChallan]]&lt;=TrafficData[[#This Row],[totalChallan]],TrafficData[[#This Row],[pendingChallan]]&lt;=TrafficData[[#This Row],[totalChallan]])</f>
        <v>1</v>
      </c>
      <c r="O3154" s="8" t="b">
        <f>AND(TrafficData[[#This Row],[pendingAmount]]&lt;=TrafficData[[#This Row],[totalAmount]],TrafficData[[#This Row],[disposedAmount]]&lt;=TrafficData[[#This Row],[totalAmount]])</f>
        <v>1</v>
      </c>
      <c r="P3154" s="8" t="b">
        <f>AND(TrafficData[[#This Row],[pendingCourt]]&lt;=TrafficData[[#This Row],[totalCourt]],TrafficData[[#This Row],[disposedCourt]]&lt;=TrafficData[[#This Row],[totalCourt]])</f>
        <v>1</v>
      </c>
    </row>
    <row r="3155" spans="1:16">
      <c r="A3155" s="1">
        <v>45159</v>
      </c>
      <c r="B3155">
        <v>193015</v>
      </c>
      <c r="C3155">
        <v>77246</v>
      </c>
      <c r="D3155">
        <v>115769</v>
      </c>
      <c r="E3155">
        <v>177879912</v>
      </c>
      <c r="F3155">
        <v>105663116</v>
      </c>
      <c r="G3155">
        <v>283543028</v>
      </c>
      <c r="H3155">
        <v>58731</v>
      </c>
      <c r="I3155">
        <v>12295</v>
      </c>
      <c r="J3155">
        <v>71026</v>
      </c>
      <c r="K3155" t="b">
        <f>TrafficData[[#This Row],[disposedChallan]]+TrafficData[[#This Row],[pendingChallan]]=TrafficData[[#This Row],[totalChallan]]</f>
        <v>1</v>
      </c>
      <c r="L3155" t="b">
        <f>TrafficData[[#This Row],[pendingAmount]]+TrafficData[[#This Row],[disposedAmount]]=TrafficData[[#This Row],[totalAmount]]</f>
        <v>1</v>
      </c>
      <c r="M3155" t="b">
        <f>TrafficData[[#This Row],[pendingCourt]]+TrafficData[[#This Row],[disposedCourt]]=TrafficData[[#This Row],[totalCourt]]</f>
        <v>1</v>
      </c>
      <c r="N3155" s="8" t="b">
        <f>AND(TrafficData[[#This Row],[disposedChallan]]&lt;=TrafficData[[#This Row],[totalChallan]],TrafficData[[#This Row],[pendingChallan]]&lt;=TrafficData[[#This Row],[totalChallan]])</f>
        <v>1</v>
      </c>
      <c r="O3155" s="8" t="b">
        <f>AND(TrafficData[[#This Row],[pendingAmount]]&lt;=TrafficData[[#This Row],[totalAmount]],TrafficData[[#This Row],[disposedAmount]]&lt;=TrafficData[[#This Row],[totalAmount]])</f>
        <v>1</v>
      </c>
      <c r="P3155" s="8" t="b">
        <f>AND(TrafficData[[#This Row],[pendingCourt]]&lt;=TrafficData[[#This Row],[totalCourt]],TrafficData[[#This Row],[disposedCourt]]&lt;=TrafficData[[#This Row],[totalCourt]])</f>
        <v>1</v>
      </c>
    </row>
    <row r="3156" spans="1:16">
      <c r="A3156" s="1">
        <v>45160</v>
      </c>
      <c r="B3156">
        <v>202397</v>
      </c>
      <c r="C3156">
        <v>79041</v>
      </c>
      <c r="D3156">
        <v>123356</v>
      </c>
      <c r="E3156">
        <v>206622183</v>
      </c>
      <c r="F3156">
        <v>122726133</v>
      </c>
      <c r="G3156">
        <v>329348316</v>
      </c>
      <c r="H3156">
        <v>60974</v>
      </c>
      <c r="I3156">
        <v>11674</v>
      </c>
      <c r="J3156">
        <v>72648</v>
      </c>
      <c r="K3156" t="b">
        <f>TrafficData[[#This Row],[disposedChallan]]+TrafficData[[#This Row],[pendingChallan]]=TrafficData[[#This Row],[totalChallan]]</f>
        <v>1</v>
      </c>
      <c r="L3156" t="b">
        <f>TrafficData[[#This Row],[pendingAmount]]+TrafficData[[#This Row],[disposedAmount]]=TrafficData[[#This Row],[totalAmount]]</f>
        <v>1</v>
      </c>
      <c r="M3156" t="b">
        <f>TrafficData[[#This Row],[pendingCourt]]+TrafficData[[#This Row],[disposedCourt]]=TrafficData[[#This Row],[totalCourt]]</f>
        <v>1</v>
      </c>
      <c r="N3156" s="8" t="b">
        <f>AND(TrafficData[[#This Row],[disposedChallan]]&lt;=TrafficData[[#This Row],[totalChallan]],TrafficData[[#This Row],[pendingChallan]]&lt;=TrafficData[[#This Row],[totalChallan]])</f>
        <v>1</v>
      </c>
      <c r="O3156" s="8" t="b">
        <f>AND(TrafficData[[#This Row],[pendingAmount]]&lt;=TrafficData[[#This Row],[totalAmount]],TrafficData[[#This Row],[disposedAmount]]&lt;=TrafficData[[#This Row],[totalAmount]])</f>
        <v>1</v>
      </c>
      <c r="P3156" s="8" t="b">
        <f>AND(TrafficData[[#This Row],[pendingCourt]]&lt;=TrafficData[[#This Row],[totalCourt]],TrafficData[[#This Row],[disposedCourt]]&lt;=TrafficData[[#This Row],[totalCourt]])</f>
        <v>1</v>
      </c>
    </row>
    <row r="3157" spans="1:16">
      <c r="A3157" s="1">
        <v>45161</v>
      </c>
      <c r="B3157">
        <v>185758</v>
      </c>
      <c r="C3157">
        <v>76597</v>
      </c>
      <c r="D3157">
        <v>109161</v>
      </c>
      <c r="E3157">
        <v>177509689</v>
      </c>
      <c r="F3157">
        <v>115776019</v>
      </c>
      <c r="G3157">
        <v>293285708</v>
      </c>
      <c r="H3157">
        <v>51547</v>
      </c>
      <c r="I3157">
        <v>10996</v>
      </c>
      <c r="J3157">
        <v>62543</v>
      </c>
      <c r="K3157" t="b">
        <f>TrafficData[[#This Row],[disposedChallan]]+TrafficData[[#This Row],[pendingChallan]]=TrafficData[[#This Row],[totalChallan]]</f>
        <v>1</v>
      </c>
      <c r="L3157" t="b">
        <f>TrafficData[[#This Row],[pendingAmount]]+TrafficData[[#This Row],[disposedAmount]]=TrafficData[[#This Row],[totalAmount]]</f>
        <v>1</v>
      </c>
      <c r="M3157" t="b">
        <f>TrafficData[[#This Row],[pendingCourt]]+TrafficData[[#This Row],[disposedCourt]]=TrafficData[[#This Row],[totalCourt]]</f>
        <v>1</v>
      </c>
      <c r="N3157" s="8" t="b">
        <f>AND(TrafficData[[#This Row],[disposedChallan]]&lt;=TrafficData[[#This Row],[totalChallan]],TrafficData[[#This Row],[pendingChallan]]&lt;=TrafficData[[#This Row],[totalChallan]])</f>
        <v>1</v>
      </c>
      <c r="O3157" s="8" t="b">
        <f>AND(TrafficData[[#This Row],[pendingAmount]]&lt;=TrafficData[[#This Row],[totalAmount]],TrafficData[[#This Row],[disposedAmount]]&lt;=TrafficData[[#This Row],[totalAmount]])</f>
        <v>1</v>
      </c>
      <c r="P3157" s="8" t="b">
        <f>AND(TrafficData[[#This Row],[pendingCourt]]&lt;=TrafficData[[#This Row],[totalCourt]],TrafficData[[#This Row],[disposedCourt]]&lt;=TrafficData[[#This Row],[totalCourt]])</f>
        <v>1</v>
      </c>
    </row>
    <row r="3158" spans="1:16">
      <c r="A3158" s="1">
        <v>45162</v>
      </c>
      <c r="B3158">
        <v>211119</v>
      </c>
      <c r="C3158">
        <v>83301</v>
      </c>
      <c r="D3158">
        <v>127818</v>
      </c>
      <c r="E3158">
        <v>207301200</v>
      </c>
      <c r="F3158">
        <v>123192463</v>
      </c>
      <c r="G3158">
        <v>330493663</v>
      </c>
      <c r="H3158">
        <v>70940</v>
      </c>
      <c r="I3158">
        <v>14151</v>
      </c>
      <c r="J3158">
        <v>85091</v>
      </c>
      <c r="K3158" t="b">
        <f>TrafficData[[#This Row],[disposedChallan]]+TrafficData[[#This Row],[pendingChallan]]=TrafficData[[#This Row],[totalChallan]]</f>
        <v>1</v>
      </c>
      <c r="L3158" t="b">
        <f>TrafficData[[#This Row],[pendingAmount]]+TrafficData[[#This Row],[disposedAmount]]=TrafficData[[#This Row],[totalAmount]]</f>
        <v>1</v>
      </c>
      <c r="M3158" t="b">
        <f>TrafficData[[#This Row],[pendingCourt]]+TrafficData[[#This Row],[disposedCourt]]=TrafficData[[#This Row],[totalCourt]]</f>
        <v>1</v>
      </c>
      <c r="N3158" s="8" t="b">
        <f>AND(TrafficData[[#This Row],[disposedChallan]]&lt;=TrafficData[[#This Row],[totalChallan]],TrafficData[[#This Row],[pendingChallan]]&lt;=TrafficData[[#This Row],[totalChallan]])</f>
        <v>1</v>
      </c>
      <c r="O3158" s="8" t="b">
        <f>AND(TrafficData[[#This Row],[pendingAmount]]&lt;=TrafficData[[#This Row],[totalAmount]],TrafficData[[#This Row],[disposedAmount]]&lt;=TrafficData[[#This Row],[totalAmount]])</f>
        <v>1</v>
      </c>
      <c r="P3158" s="8" t="b">
        <f>AND(TrafficData[[#This Row],[pendingCourt]]&lt;=TrafficData[[#This Row],[totalCourt]],TrafficData[[#This Row],[disposedCourt]]&lt;=TrafficData[[#This Row],[totalCourt]])</f>
        <v>1</v>
      </c>
    </row>
    <row r="3159" spans="1:16">
      <c r="A3159" s="1">
        <v>45163</v>
      </c>
      <c r="B3159">
        <v>199293</v>
      </c>
      <c r="C3159">
        <v>81534</v>
      </c>
      <c r="D3159">
        <v>117759</v>
      </c>
      <c r="E3159">
        <v>191478495</v>
      </c>
      <c r="F3159">
        <v>118491524</v>
      </c>
      <c r="G3159">
        <v>309970019</v>
      </c>
      <c r="H3159">
        <v>65566</v>
      </c>
      <c r="I3159">
        <v>13692</v>
      </c>
      <c r="J3159">
        <v>79258</v>
      </c>
      <c r="K3159" t="b">
        <f>TrafficData[[#This Row],[disposedChallan]]+TrafficData[[#This Row],[pendingChallan]]=TrafficData[[#This Row],[totalChallan]]</f>
        <v>1</v>
      </c>
      <c r="L3159" t="b">
        <f>TrafficData[[#This Row],[pendingAmount]]+TrafficData[[#This Row],[disposedAmount]]=TrafficData[[#This Row],[totalAmount]]</f>
        <v>1</v>
      </c>
      <c r="M3159" t="b">
        <f>TrafficData[[#This Row],[pendingCourt]]+TrafficData[[#This Row],[disposedCourt]]=TrafficData[[#This Row],[totalCourt]]</f>
        <v>1</v>
      </c>
      <c r="N3159" s="8" t="b">
        <f>AND(TrafficData[[#This Row],[disposedChallan]]&lt;=TrafficData[[#This Row],[totalChallan]],TrafficData[[#This Row],[pendingChallan]]&lt;=TrafficData[[#This Row],[totalChallan]])</f>
        <v>1</v>
      </c>
      <c r="O3159" s="8" t="b">
        <f>AND(TrafficData[[#This Row],[pendingAmount]]&lt;=TrafficData[[#This Row],[totalAmount]],TrafficData[[#This Row],[disposedAmount]]&lt;=TrafficData[[#This Row],[totalAmount]])</f>
        <v>1</v>
      </c>
      <c r="P3159" s="8" t="b">
        <f>AND(TrafficData[[#This Row],[pendingCourt]]&lt;=TrafficData[[#This Row],[totalCourt]],TrafficData[[#This Row],[disposedCourt]]&lt;=TrafficData[[#This Row],[totalCourt]])</f>
        <v>1</v>
      </c>
    </row>
    <row r="3160" spans="1:16">
      <c r="A3160" s="1">
        <v>45164</v>
      </c>
      <c r="B3160">
        <v>189378</v>
      </c>
      <c r="C3160">
        <v>79514</v>
      </c>
      <c r="D3160">
        <v>109864</v>
      </c>
      <c r="E3160">
        <v>171902640</v>
      </c>
      <c r="F3160">
        <v>104001143</v>
      </c>
      <c r="G3160">
        <v>275903783</v>
      </c>
      <c r="H3160">
        <v>59888</v>
      </c>
      <c r="I3160">
        <v>12575</v>
      </c>
      <c r="J3160">
        <v>72463</v>
      </c>
      <c r="K3160" t="b">
        <f>TrafficData[[#This Row],[disposedChallan]]+TrafficData[[#This Row],[pendingChallan]]=TrafficData[[#This Row],[totalChallan]]</f>
        <v>1</v>
      </c>
      <c r="L3160" t="b">
        <f>TrafficData[[#This Row],[pendingAmount]]+TrafficData[[#This Row],[disposedAmount]]=TrafficData[[#This Row],[totalAmount]]</f>
        <v>1</v>
      </c>
      <c r="M3160" t="b">
        <f>TrafficData[[#This Row],[pendingCourt]]+TrafficData[[#This Row],[disposedCourt]]=TrafficData[[#This Row],[totalCourt]]</f>
        <v>1</v>
      </c>
      <c r="N3160" s="8" t="b">
        <f>AND(TrafficData[[#This Row],[disposedChallan]]&lt;=TrafficData[[#This Row],[totalChallan]],TrafficData[[#This Row],[pendingChallan]]&lt;=TrafficData[[#This Row],[totalChallan]])</f>
        <v>1</v>
      </c>
      <c r="O3160" s="8" t="b">
        <f>AND(TrafficData[[#This Row],[pendingAmount]]&lt;=TrafficData[[#This Row],[totalAmount]],TrafficData[[#This Row],[disposedAmount]]&lt;=TrafficData[[#This Row],[totalAmount]])</f>
        <v>1</v>
      </c>
      <c r="P3160" s="8" t="b">
        <f>AND(TrafficData[[#This Row],[pendingCourt]]&lt;=TrafficData[[#This Row],[totalCourt]],TrafficData[[#This Row],[disposedCourt]]&lt;=TrafficData[[#This Row],[totalCourt]])</f>
        <v>1</v>
      </c>
    </row>
    <row r="3161" spans="1:16">
      <c r="A3161" s="1">
        <v>45165</v>
      </c>
      <c r="B3161">
        <v>181892</v>
      </c>
      <c r="C3161">
        <v>71899</v>
      </c>
      <c r="D3161">
        <v>109993</v>
      </c>
      <c r="E3161">
        <v>151055091</v>
      </c>
      <c r="F3161">
        <v>83493736</v>
      </c>
      <c r="G3161">
        <v>234548827</v>
      </c>
      <c r="H3161">
        <v>52395</v>
      </c>
      <c r="I3161">
        <v>11037</v>
      </c>
      <c r="J3161">
        <v>63432</v>
      </c>
      <c r="K3161" t="b">
        <f>TrafficData[[#This Row],[disposedChallan]]+TrafficData[[#This Row],[pendingChallan]]=TrafficData[[#This Row],[totalChallan]]</f>
        <v>1</v>
      </c>
      <c r="L3161" t="b">
        <f>TrafficData[[#This Row],[pendingAmount]]+TrafficData[[#This Row],[disposedAmount]]=TrafficData[[#This Row],[totalAmount]]</f>
        <v>1</v>
      </c>
      <c r="M3161" t="b">
        <f>TrafficData[[#This Row],[pendingCourt]]+TrafficData[[#This Row],[disposedCourt]]=TrafficData[[#This Row],[totalCourt]]</f>
        <v>1</v>
      </c>
      <c r="N3161" s="8" t="b">
        <f>AND(TrafficData[[#This Row],[disposedChallan]]&lt;=TrafficData[[#This Row],[totalChallan]],TrafficData[[#This Row],[pendingChallan]]&lt;=TrafficData[[#This Row],[totalChallan]])</f>
        <v>1</v>
      </c>
      <c r="O3161" s="8" t="b">
        <f>AND(TrafficData[[#This Row],[pendingAmount]]&lt;=TrafficData[[#This Row],[totalAmount]],TrafficData[[#This Row],[disposedAmount]]&lt;=TrafficData[[#This Row],[totalAmount]])</f>
        <v>1</v>
      </c>
      <c r="P3161" s="8" t="b">
        <f>AND(TrafficData[[#This Row],[pendingCourt]]&lt;=TrafficData[[#This Row],[totalCourt]],TrafficData[[#This Row],[disposedCourt]]&lt;=TrafficData[[#This Row],[totalCourt]])</f>
        <v>1</v>
      </c>
    </row>
    <row r="3162" spans="1:16">
      <c r="A3162" s="1">
        <v>45166</v>
      </c>
      <c r="B3162">
        <v>203294</v>
      </c>
      <c r="C3162">
        <v>77435</v>
      </c>
      <c r="D3162">
        <v>125859</v>
      </c>
      <c r="E3162">
        <v>186121451</v>
      </c>
      <c r="F3162">
        <v>100351122</v>
      </c>
      <c r="G3162">
        <v>286472573</v>
      </c>
      <c r="H3162">
        <v>59104</v>
      </c>
      <c r="I3162">
        <v>11816</v>
      </c>
      <c r="J3162">
        <v>70920</v>
      </c>
      <c r="K3162" t="b">
        <f>TrafficData[[#This Row],[disposedChallan]]+TrafficData[[#This Row],[pendingChallan]]=TrafficData[[#This Row],[totalChallan]]</f>
        <v>1</v>
      </c>
      <c r="L3162" t="b">
        <f>TrafficData[[#This Row],[pendingAmount]]+TrafficData[[#This Row],[disposedAmount]]=TrafficData[[#This Row],[totalAmount]]</f>
        <v>1</v>
      </c>
      <c r="M3162" t="b">
        <f>TrafficData[[#This Row],[pendingCourt]]+TrafficData[[#This Row],[disposedCourt]]=TrafficData[[#This Row],[totalCourt]]</f>
        <v>1</v>
      </c>
      <c r="N3162" s="8" t="b">
        <f>AND(TrafficData[[#This Row],[disposedChallan]]&lt;=TrafficData[[#This Row],[totalChallan]],TrafficData[[#This Row],[pendingChallan]]&lt;=TrafficData[[#This Row],[totalChallan]])</f>
        <v>1</v>
      </c>
      <c r="O3162" s="8" t="b">
        <f>AND(TrafficData[[#This Row],[pendingAmount]]&lt;=TrafficData[[#This Row],[totalAmount]],TrafficData[[#This Row],[disposedAmount]]&lt;=TrafficData[[#This Row],[totalAmount]])</f>
        <v>1</v>
      </c>
      <c r="P3162" s="8" t="b">
        <f>AND(TrafficData[[#This Row],[pendingCourt]]&lt;=TrafficData[[#This Row],[totalCourt]],TrafficData[[#This Row],[disposedCourt]]&lt;=TrafficData[[#This Row],[totalCourt]])</f>
        <v>1</v>
      </c>
    </row>
    <row r="3163" spans="1:16">
      <c r="A3163" s="1">
        <v>45167</v>
      </c>
      <c r="B3163">
        <v>202234</v>
      </c>
      <c r="C3163">
        <v>76123</v>
      </c>
      <c r="D3163">
        <v>126111</v>
      </c>
      <c r="E3163">
        <v>199871585</v>
      </c>
      <c r="F3163">
        <v>106326510</v>
      </c>
      <c r="G3163">
        <v>306198095</v>
      </c>
      <c r="H3163">
        <v>63511</v>
      </c>
      <c r="I3163">
        <v>12782</v>
      </c>
      <c r="J3163">
        <v>76293</v>
      </c>
      <c r="K3163" t="b">
        <f>TrafficData[[#This Row],[disposedChallan]]+TrafficData[[#This Row],[pendingChallan]]=TrafficData[[#This Row],[totalChallan]]</f>
        <v>1</v>
      </c>
      <c r="L3163" t="b">
        <f>TrafficData[[#This Row],[pendingAmount]]+TrafficData[[#This Row],[disposedAmount]]=TrafficData[[#This Row],[totalAmount]]</f>
        <v>1</v>
      </c>
      <c r="M3163" t="b">
        <f>TrafficData[[#This Row],[pendingCourt]]+TrafficData[[#This Row],[disposedCourt]]=TrafficData[[#This Row],[totalCourt]]</f>
        <v>1</v>
      </c>
      <c r="N3163" s="8" t="b">
        <f>AND(TrafficData[[#This Row],[disposedChallan]]&lt;=TrafficData[[#This Row],[totalChallan]],TrafficData[[#This Row],[pendingChallan]]&lt;=TrafficData[[#This Row],[totalChallan]])</f>
        <v>1</v>
      </c>
      <c r="O3163" s="8" t="b">
        <f>AND(TrafficData[[#This Row],[pendingAmount]]&lt;=TrafficData[[#This Row],[totalAmount]],TrafficData[[#This Row],[disposedAmount]]&lt;=TrafficData[[#This Row],[totalAmount]])</f>
        <v>1</v>
      </c>
      <c r="P3163" s="8" t="b">
        <f>AND(TrafficData[[#This Row],[pendingCourt]]&lt;=TrafficData[[#This Row],[totalCourt]],TrafficData[[#This Row],[disposedCourt]]&lt;=TrafficData[[#This Row],[totalCourt]])</f>
        <v>1</v>
      </c>
    </row>
    <row r="3164" spans="1:16">
      <c r="A3164" s="1">
        <v>45168</v>
      </c>
      <c r="B3164">
        <v>182331</v>
      </c>
      <c r="C3164">
        <v>69416</v>
      </c>
      <c r="D3164">
        <v>112915</v>
      </c>
      <c r="E3164">
        <v>170586965</v>
      </c>
      <c r="F3164">
        <v>81540530</v>
      </c>
      <c r="G3164">
        <v>252127495</v>
      </c>
      <c r="H3164">
        <v>55766</v>
      </c>
      <c r="I3164">
        <v>11676</v>
      </c>
      <c r="J3164">
        <v>67442</v>
      </c>
      <c r="K3164" t="b">
        <f>TrafficData[[#This Row],[disposedChallan]]+TrafficData[[#This Row],[pendingChallan]]=TrafficData[[#This Row],[totalChallan]]</f>
        <v>1</v>
      </c>
      <c r="L3164" t="b">
        <f>TrafficData[[#This Row],[pendingAmount]]+TrafficData[[#This Row],[disposedAmount]]=TrafficData[[#This Row],[totalAmount]]</f>
        <v>1</v>
      </c>
      <c r="M3164" t="b">
        <f>TrafficData[[#This Row],[pendingCourt]]+TrafficData[[#This Row],[disposedCourt]]=TrafficData[[#This Row],[totalCourt]]</f>
        <v>1</v>
      </c>
      <c r="N3164" s="8" t="b">
        <f>AND(TrafficData[[#This Row],[disposedChallan]]&lt;=TrafficData[[#This Row],[totalChallan]],TrafficData[[#This Row],[pendingChallan]]&lt;=TrafficData[[#This Row],[totalChallan]])</f>
        <v>1</v>
      </c>
      <c r="O3164" s="8" t="b">
        <f>AND(TrafficData[[#This Row],[pendingAmount]]&lt;=TrafficData[[#This Row],[totalAmount]],TrafficData[[#This Row],[disposedAmount]]&lt;=TrafficData[[#This Row],[totalAmount]])</f>
        <v>1</v>
      </c>
      <c r="P3164" s="8" t="b">
        <f>AND(TrafficData[[#This Row],[pendingCourt]]&lt;=TrafficData[[#This Row],[totalCourt]],TrafficData[[#This Row],[disposedCourt]]&lt;=TrafficData[[#This Row],[totalCourt]])</f>
        <v>1</v>
      </c>
    </row>
    <row r="3165" spans="1:16">
      <c r="A3165" s="1">
        <v>45169</v>
      </c>
      <c r="B3165">
        <v>169061</v>
      </c>
      <c r="C3165">
        <v>66673</v>
      </c>
      <c r="D3165">
        <v>102388</v>
      </c>
      <c r="E3165">
        <v>141200210</v>
      </c>
      <c r="F3165">
        <v>78758996</v>
      </c>
      <c r="G3165">
        <v>219959206</v>
      </c>
      <c r="H3165">
        <v>46245</v>
      </c>
      <c r="I3165">
        <v>9380</v>
      </c>
      <c r="J3165">
        <v>55625</v>
      </c>
      <c r="K3165" t="b">
        <f>TrafficData[[#This Row],[disposedChallan]]+TrafficData[[#This Row],[pendingChallan]]=TrafficData[[#This Row],[totalChallan]]</f>
        <v>1</v>
      </c>
      <c r="L3165" t="b">
        <f>TrafficData[[#This Row],[pendingAmount]]+TrafficData[[#This Row],[disposedAmount]]=TrafficData[[#This Row],[totalAmount]]</f>
        <v>1</v>
      </c>
      <c r="M3165" t="b">
        <f>TrafficData[[#This Row],[pendingCourt]]+TrafficData[[#This Row],[disposedCourt]]=TrafficData[[#This Row],[totalCourt]]</f>
        <v>1</v>
      </c>
      <c r="N3165" s="8" t="b">
        <f>AND(TrafficData[[#This Row],[disposedChallan]]&lt;=TrafficData[[#This Row],[totalChallan]],TrafficData[[#This Row],[pendingChallan]]&lt;=TrafficData[[#This Row],[totalChallan]])</f>
        <v>1</v>
      </c>
      <c r="O3165" s="8" t="b">
        <f>AND(TrafficData[[#This Row],[pendingAmount]]&lt;=TrafficData[[#This Row],[totalAmount]],TrafficData[[#This Row],[disposedAmount]]&lt;=TrafficData[[#This Row],[totalAmount]])</f>
        <v>1</v>
      </c>
      <c r="P3165" s="8" t="b">
        <f>AND(TrafficData[[#This Row],[pendingCourt]]&lt;=TrafficData[[#This Row],[totalCourt]],TrafficData[[#This Row],[disposedCourt]]&lt;=TrafficData[[#This Row],[totalCourt]])</f>
        <v>1</v>
      </c>
    </row>
    <row r="3166" spans="1:16">
      <c r="A3166" s="1">
        <v>45170</v>
      </c>
      <c r="B3166">
        <v>189140</v>
      </c>
      <c r="C3166">
        <v>77882</v>
      </c>
      <c r="D3166">
        <v>111258</v>
      </c>
      <c r="E3166">
        <v>162901812</v>
      </c>
      <c r="F3166">
        <v>109194172</v>
      </c>
      <c r="G3166">
        <v>272095984</v>
      </c>
      <c r="H3166">
        <v>55189</v>
      </c>
      <c r="I3166">
        <v>10518</v>
      </c>
      <c r="J3166">
        <v>65707</v>
      </c>
      <c r="K3166" t="b">
        <f>TrafficData[[#This Row],[disposedChallan]]+TrafficData[[#This Row],[pendingChallan]]=TrafficData[[#This Row],[totalChallan]]</f>
        <v>1</v>
      </c>
      <c r="L3166" t="b">
        <f>TrafficData[[#This Row],[pendingAmount]]+TrafficData[[#This Row],[disposedAmount]]=TrafficData[[#This Row],[totalAmount]]</f>
        <v>1</v>
      </c>
      <c r="M3166" t="b">
        <f>TrafficData[[#This Row],[pendingCourt]]+TrafficData[[#This Row],[disposedCourt]]=TrafficData[[#This Row],[totalCourt]]</f>
        <v>1</v>
      </c>
      <c r="N3166" s="8" t="b">
        <f>AND(TrafficData[[#This Row],[disposedChallan]]&lt;=TrafficData[[#This Row],[totalChallan]],TrafficData[[#This Row],[pendingChallan]]&lt;=TrafficData[[#This Row],[totalChallan]])</f>
        <v>1</v>
      </c>
      <c r="O3166" s="8" t="b">
        <f>AND(TrafficData[[#This Row],[pendingAmount]]&lt;=TrafficData[[#This Row],[totalAmount]],TrafficData[[#This Row],[disposedAmount]]&lt;=TrafficData[[#This Row],[totalAmount]])</f>
        <v>1</v>
      </c>
      <c r="P3166" s="8" t="b">
        <f>AND(TrafficData[[#This Row],[pendingCourt]]&lt;=TrafficData[[#This Row],[totalCourt]],TrafficData[[#This Row],[disposedCourt]]&lt;=TrafficData[[#This Row],[totalCourt]])</f>
        <v>1</v>
      </c>
    </row>
    <row r="3167" spans="1:16">
      <c r="A3167" s="1">
        <v>45171</v>
      </c>
      <c r="B3167">
        <v>187008</v>
      </c>
      <c r="C3167">
        <v>78579</v>
      </c>
      <c r="D3167">
        <v>108429</v>
      </c>
      <c r="E3167">
        <v>160788573</v>
      </c>
      <c r="F3167">
        <v>109522218</v>
      </c>
      <c r="G3167">
        <v>270310791</v>
      </c>
      <c r="H3167">
        <v>53281</v>
      </c>
      <c r="I3167">
        <v>10875</v>
      </c>
      <c r="J3167">
        <v>64156</v>
      </c>
      <c r="K3167" t="b">
        <f>TrafficData[[#This Row],[disposedChallan]]+TrafficData[[#This Row],[pendingChallan]]=TrafficData[[#This Row],[totalChallan]]</f>
        <v>1</v>
      </c>
      <c r="L3167" t="b">
        <f>TrafficData[[#This Row],[pendingAmount]]+TrafficData[[#This Row],[disposedAmount]]=TrafficData[[#This Row],[totalAmount]]</f>
        <v>1</v>
      </c>
      <c r="M3167" t="b">
        <f>TrafficData[[#This Row],[pendingCourt]]+TrafficData[[#This Row],[disposedCourt]]=TrafficData[[#This Row],[totalCourt]]</f>
        <v>1</v>
      </c>
      <c r="N3167" s="8" t="b">
        <f>AND(TrafficData[[#This Row],[disposedChallan]]&lt;=TrafficData[[#This Row],[totalChallan]],TrafficData[[#This Row],[pendingChallan]]&lt;=TrafficData[[#This Row],[totalChallan]])</f>
        <v>1</v>
      </c>
      <c r="O3167" s="8" t="b">
        <f>AND(TrafficData[[#This Row],[pendingAmount]]&lt;=TrafficData[[#This Row],[totalAmount]],TrafficData[[#This Row],[disposedAmount]]&lt;=TrafficData[[#This Row],[totalAmount]])</f>
        <v>1</v>
      </c>
      <c r="P3167" s="8" t="b">
        <f>AND(TrafficData[[#This Row],[pendingCourt]]&lt;=TrafficData[[#This Row],[totalCourt]],TrafficData[[#This Row],[disposedCourt]]&lt;=TrafficData[[#This Row],[totalCourt]])</f>
        <v>1</v>
      </c>
    </row>
    <row r="3168" spans="1:16">
      <c r="A3168" s="1">
        <v>45172</v>
      </c>
      <c r="B3168">
        <v>178980</v>
      </c>
      <c r="C3168">
        <v>72075</v>
      </c>
      <c r="D3168">
        <v>106905</v>
      </c>
      <c r="E3168">
        <v>141312663</v>
      </c>
      <c r="F3168">
        <v>89423090</v>
      </c>
      <c r="G3168">
        <v>230735753</v>
      </c>
      <c r="H3168">
        <v>52236</v>
      </c>
      <c r="I3168">
        <v>9983</v>
      </c>
      <c r="J3168">
        <v>62219</v>
      </c>
      <c r="K3168" t="b">
        <f>TrafficData[[#This Row],[disposedChallan]]+TrafficData[[#This Row],[pendingChallan]]=TrafficData[[#This Row],[totalChallan]]</f>
        <v>1</v>
      </c>
      <c r="L3168" t="b">
        <f>TrafficData[[#This Row],[pendingAmount]]+TrafficData[[#This Row],[disposedAmount]]=TrafficData[[#This Row],[totalAmount]]</f>
        <v>1</v>
      </c>
      <c r="M3168" t="b">
        <f>TrafficData[[#This Row],[pendingCourt]]+TrafficData[[#This Row],[disposedCourt]]=TrafficData[[#This Row],[totalCourt]]</f>
        <v>1</v>
      </c>
      <c r="N3168" s="8" t="b">
        <f>AND(TrafficData[[#This Row],[disposedChallan]]&lt;=TrafficData[[#This Row],[totalChallan]],TrafficData[[#This Row],[pendingChallan]]&lt;=TrafficData[[#This Row],[totalChallan]])</f>
        <v>1</v>
      </c>
      <c r="O3168" s="8" t="b">
        <f>AND(TrafficData[[#This Row],[pendingAmount]]&lt;=TrafficData[[#This Row],[totalAmount]],TrafficData[[#This Row],[disposedAmount]]&lt;=TrafficData[[#This Row],[totalAmount]])</f>
        <v>1</v>
      </c>
      <c r="P3168" s="8" t="b">
        <f>AND(TrafficData[[#This Row],[pendingCourt]]&lt;=TrafficData[[#This Row],[totalCourt]],TrafficData[[#This Row],[disposedCourt]]&lt;=TrafficData[[#This Row],[totalCourt]])</f>
        <v>1</v>
      </c>
    </row>
    <row r="3169" spans="1:16">
      <c r="A3169" s="1">
        <v>45173</v>
      </c>
      <c r="B3169">
        <v>193690</v>
      </c>
      <c r="C3169">
        <v>78863</v>
      </c>
      <c r="D3169">
        <v>114827</v>
      </c>
      <c r="E3169">
        <v>177144128</v>
      </c>
      <c r="F3169">
        <v>112977777</v>
      </c>
      <c r="G3169">
        <v>290121905</v>
      </c>
      <c r="H3169">
        <v>60121</v>
      </c>
      <c r="I3169">
        <v>11324</v>
      </c>
      <c r="J3169">
        <v>71445</v>
      </c>
      <c r="K3169" t="b">
        <f>TrafficData[[#This Row],[disposedChallan]]+TrafficData[[#This Row],[pendingChallan]]=TrafficData[[#This Row],[totalChallan]]</f>
        <v>1</v>
      </c>
      <c r="L3169" t="b">
        <f>TrafficData[[#This Row],[pendingAmount]]+TrafficData[[#This Row],[disposedAmount]]=TrafficData[[#This Row],[totalAmount]]</f>
        <v>1</v>
      </c>
      <c r="M3169" t="b">
        <f>TrafficData[[#This Row],[pendingCourt]]+TrafficData[[#This Row],[disposedCourt]]=TrafficData[[#This Row],[totalCourt]]</f>
        <v>1</v>
      </c>
      <c r="N3169" s="8" t="b">
        <f>AND(TrafficData[[#This Row],[disposedChallan]]&lt;=TrafficData[[#This Row],[totalChallan]],TrafficData[[#This Row],[pendingChallan]]&lt;=TrafficData[[#This Row],[totalChallan]])</f>
        <v>1</v>
      </c>
      <c r="O3169" s="8" t="b">
        <f>AND(TrafficData[[#This Row],[pendingAmount]]&lt;=TrafficData[[#This Row],[totalAmount]],TrafficData[[#This Row],[disposedAmount]]&lt;=TrafficData[[#This Row],[totalAmount]])</f>
        <v>1</v>
      </c>
      <c r="P3169" s="8" t="b">
        <f>AND(TrafficData[[#This Row],[pendingCourt]]&lt;=TrafficData[[#This Row],[totalCourt]],TrafficData[[#This Row],[disposedCourt]]&lt;=TrafficData[[#This Row],[totalCourt]])</f>
        <v>1</v>
      </c>
    </row>
    <row r="3170" spans="1:16">
      <c r="A3170" s="1">
        <v>45174</v>
      </c>
      <c r="B3170">
        <v>194783</v>
      </c>
      <c r="C3170">
        <v>78125</v>
      </c>
      <c r="D3170">
        <v>116658</v>
      </c>
      <c r="E3170">
        <v>175966977</v>
      </c>
      <c r="F3170">
        <v>131185493</v>
      </c>
      <c r="G3170">
        <v>307152470</v>
      </c>
      <c r="H3170">
        <v>59752</v>
      </c>
      <c r="I3170">
        <v>11338</v>
      </c>
      <c r="J3170">
        <v>71090</v>
      </c>
      <c r="K3170" t="b">
        <f>TrafficData[[#This Row],[disposedChallan]]+TrafficData[[#This Row],[pendingChallan]]=TrafficData[[#This Row],[totalChallan]]</f>
        <v>1</v>
      </c>
      <c r="L3170" t="b">
        <f>TrafficData[[#This Row],[pendingAmount]]+TrafficData[[#This Row],[disposedAmount]]=TrafficData[[#This Row],[totalAmount]]</f>
        <v>1</v>
      </c>
      <c r="M3170" t="b">
        <f>TrafficData[[#This Row],[pendingCourt]]+TrafficData[[#This Row],[disposedCourt]]=TrafficData[[#This Row],[totalCourt]]</f>
        <v>1</v>
      </c>
      <c r="N3170" s="8" t="b">
        <f>AND(TrafficData[[#This Row],[disposedChallan]]&lt;=TrafficData[[#This Row],[totalChallan]],TrafficData[[#This Row],[pendingChallan]]&lt;=TrafficData[[#This Row],[totalChallan]])</f>
        <v>1</v>
      </c>
      <c r="O3170" s="8" t="b">
        <f>AND(TrafficData[[#This Row],[pendingAmount]]&lt;=TrafficData[[#This Row],[totalAmount]],TrafficData[[#This Row],[disposedAmount]]&lt;=TrafficData[[#This Row],[totalAmount]])</f>
        <v>1</v>
      </c>
      <c r="P3170" s="8" t="b">
        <f>AND(TrafficData[[#This Row],[pendingCourt]]&lt;=TrafficData[[#This Row],[totalCourt]],TrafficData[[#This Row],[disposedCourt]]&lt;=TrafficData[[#This Row],[totalCourt]])</f>
        <v>1</v>
      </c>
    </row>
    <row r="3171" spans="1:16">
      <c r="A3171" s="1">
        <v>45175</v>
      </c>
      <c r="B3171">
        <v>187872</v>
      </c>
      <c r="C3171">
        <v>73265</v>
      </c>
      <c r="D3171">
        <v>114607</v>
      </c>
      <c r="E3171">
        <v>173906951</v>
      </c>
      <c r="F3171">
        <v>118070407</v>
      </c>
      <c r="G3171">
        <v>291977358</v>
      </c>
      <c r="H3171">
        <v>57982</v>
      </c>
      <c r="I3171">
        <v>11028</v>
      </c>
      <c r="J3171">
        <v>69010</v>
      </c>
      <c r="K3171" t="b">
        <f>TrafficData[[#This Row],[disposedChallan]]+TrafficData[[#This Row],[pendingChallan]]=TrafficData[[#This Row],[totalChallan]]</f>
        <v>1</v>
      </c>
      <c r="L3171" t="b">
        <f>TrafficData[[#This Row],[pendingAmount]]+TrafficData[[#This Row],[disposedAmount]]=TrafficData[[#This Row],[totalAmount]]</f>
        <v>1</v>
      </c>
      <c r="M3171" t="b">
        <f>TrafficData[[#This Row],[pendingCourt]]+TrafficData[[#This Row],[disposedCourt]]=TrafficData[[#This Row],[totalCourt]]</f>
        <v>1</v>
      </c>
      <c r="N3171" s="8" t="b">
        <f>AND(TrafficData[[#This Row],[disposedChallan]]&lt;=TrafficData[[#This Row],[totalChallan]],TrafficData[[#This Row],[pendingChallan]]&lt;=TrafficData[[#This Row],[totalChallan]])</f>
        <v>1</v>
      </c>
      <c r="O3171" s="8" t="b">
        <f>AND(TrafficData[[#This Row],[pendingAmount]]&lt;=TrafficData[[#This Row],[totalAmount]],TrafficData[[#This Row],[disposedAmount]]&lt;=TrafficData[[#This Row],[totalAmount]])</f>
        <v>1</v>
      </c>
      <c r="P3171" s="8" t="b">
        <f>AND(TrafficData[[#This Row],[pendingCourt]]&lt;=TrafficData[[#This Row],[totalCourt]],TrafficData[[#This Row],[disposedCourt]]&lt;=TrafficData[[#This Row],[totalCourt]])</f>
        <v>1</v>
      </c>
    </row>
    <row r="3172" spans="1:16">
      <c r="A3172" s="1">
        <v>45176</v>
      </c>
      <c r="B3172">
        <v>169208</v>
      </c>
      <c r="C3172">
        <v>66413</v>
      </c>
      <c r="D3172">
        <v>102795</v>
      </c>
      <c r="E3172">
        <v>149365155</v>
      </c>
      <c r="F3172">
        <v>95391441</v>
      </c>
      <c r="G3172">
        <v>244756596</v>
      </c>
      <c r="H3172">
        <v>48704</v>
      </c>
      <c r="I3172">
        <v>8666</v>
      </c>
      <c r="J3172">
        <v>57370</v>
      </c>
      <c r="K3172" t="b">
        <f>TrafficData[[#This Row],[disposedChallan]]+TrafficData[[#This Row],[pendingChallan]]=TrafficData[[#This Row],[totalChallan]]</f>
        <v>1</v>
      </c>
      <c r="L3172" t="b">
        <f>TrafficData[[#This Row],[pendingAmount]]+TrafficData[[#This Row],[disposedAmount]]=TrafficData[[#This Row],[totalAmount]]</f>
        <v>1</v>
      </c>
      <c r="M3172" t="b">
        <f>TrafficData[[#This Row],[pendingCourt]]+TrafficData[[#This Row],[disposedCourt]]=TrafficData[[#This Row],[totalCourt]]</f>
        <v>1</v>
      </c>
      <c r="N3172" s="8" t="b">
        <f>AND(TrafficData[[#This Row],[disposedChallan]]&lt;=TrafficData[[#This Row],[totalChallan]],TrafficData[[#This Row],[pendingChallan]]&lt;=TrafficData[[#This Row],[totalChallan]])</f>
        <v>1</v>
      </c>
      <c r="O3172" s="8" t="b">
        <f>AND(TrafficData[[#This Row],[pendingAmount]]&lt;=TrafficData[[#This Row],[totalAmount]],TrafficData[[#This Row],[disposedAmount]]&lt;=TrafficData[[#This Row],[totalAmount]])</f>
        <v>1</v>
      </c>
      <c r="P3172" s="8" t="b">
        <f>AND(TrafficData[[#This Row],[pendingCourt]]&lt;=TrafficData[[#This Row],[totalCourt]],TrafficData[[#This Row],[disposedCourt]]&lt;=TrafficData[[#This Row],[totalCourt]])</f>
        <v>1</v>
      </c>
    </row>
    <row r="3173" spans="1:16">
      <c r="A3173" s="1">
        <v>45177</v>
      </c>
      <c r="B3173">
        <v>180699</v>
      </c>
      <c r="C3173">
        <v>71984</v>
      </c>
      <c r="D3173">
        <v>108715</v>
      </c>
      <c r="E3173">
        <v>160767686</v>
      </c>
      <c r="F3173">
        <v>109318650</v>
      </c>
      <c r="G3173">
        <v>270086336</v>
      </c>
      <c r="H3173">
        <v>54757</v>
      </c>
      <c r="I3173">
        <v>10103</v>
      </c>
      <c r="J3173">
        <v>64860</v>
      </c>
      <c r="K3173" t="b">
        <f>TrafficData[[#This Row],[disposedChallan]]+TrafficData[[#This Row],[pendingChallan]]=TrafficData[[#This Row],[totalChallan]]</f>
        <v>1</v>
      </c>
      <c r="L3173" t="b">
        <f>TrafficData[[#This Row],[pendingAmount]]+TrafficData[[#This Row],[disposedAmount]]=TrafficData[[#This Row],[totalAmount]]</f>
        <v>1</v>
      </c>
      <c r="M3173" t="b">
        <f>TrafficData[[#This Row],[pendingCourt]]+TrafficData[[#This Row],[disposedCourt]]=TrafficData[[#This Row],[totalCourt]]</f>
        <v>1</v>
      </c>
      <c r="N3173" s="8" t="b">
        <f>AND(TrafficData[[#This Row],[disposedChallan]]&lt;=TrafficData[[#This Row],[totalChallan]],TrafficData[[#This Row],[pendingChallan]]&lt;=TrafficData[[#This Row],[totalChallan]])</f>
        <v>1</v>
      </c>
      <c r="O3173" s="8" t="b">
        <f>AND(TrafficData[[#This Row],[pendingAmount]]&lt;=TrafficData[[#This Row],[totalAmount]],TrafficData[[#This Row],[disposedAmount]]&lt;=TrafficData[[#This Row],[totalAmount]])</f>
        <v>1</v>
      </c>
      <c r="P3173" s="8" t="b">
        <f>AND(TrafficData[[#This Row],[pendingCourt]]&lt;=TrafficData[[#This Row],[totalCourt]],TrafficData[[#This Row],[disposedCourt]]&lt;=TrafficData[[#This Row],[totalCourt]])</f>
        <v>1</v>
      </c>
    </row>
    <row r="3174" spans="1:16">
      <c r="A3174" s="1">
        <v>45178</v>
      </c>
      <c r="B3174">
        <v>165847</v>
      </c>
      <c r="C3174">
        <v>70057</v>
      </c>
      <c r="D3174">
        <v>95790</v>
      </c>
      <c r="E3174">
        <v>126548496</v>
      </c>
      <c r="F3174">
        <v>96326600</v>
      </c>
      <c r="G3174">
        <v>222875096</v>
      </c>
      <c r="H3174">
        <v>42167</v>
      </c>
      <c r="I3174">
        <v>8694</v>
      </c>
      <c r="J3174">
        <v>50861</v>
      </c>
      <c r="K3174" t="b">
        <f>TrafficData[[#This Row],[disposedChallan]]+TrafficData[[#This Row],[pendingChallan]]=TrafficData[[#This Row],[totalChallan]]</f>
        <v>1</v>
      </c>
      <c r="L3174" t="b">
        <f>TrafficData[[#This Row],[pendingAmount]]+TrafficData[[#This Row],[disposedAmount]]=TrafficData[[#This Row],[totalAmount]]</f>
        <v>1</v>
      </c>
      <c r="M3174" t="b">
        <f>TrafficData[[#This Row],[pendingCourt]]+TrafficData[[#This Row],[disposedCourt]]=TrafficData[[#This Row],[totalCourt]]</f>
        <v>1</v>
      </c>
      <c r="N3174" s="8" t="b">
        <f>AND(TrafficData[[#This Row],[disposedChallan]]&lt;=TrafficData[[#This Row],[totalChallan]],TrafficData[[#This Row],[pendingChallan]]&lt;=TrafficData[[#This Row],[totalChallan]])</f>
        <v>1</v>
      </c>
      <c r="O3174" s="8" t="b">
        <f>AND(TrafficData[[#This Row],[pendingAmount]]&lt;=TrafficData[[#This Row],[totalAmount]],TrafficData[[#This Row],[disposedAmount]]&lt;=TrafficData[[#This Row],[totalAmount]])</f>
        <v>1</v>
      </c>
      <c r="P3174" s="8" t="b">
        <f>AND(TrafficData[[#This Row],[pendingCourt]]&lt;=TrafficData[[#This Row],[totalCourt]],TrafficData[[#This Row],[disposedCourt]]&lt;=TrafficData[[#This Row],[totalCourt]])</f>
        <v>1</v>
      </c>
    </row>
    <row r="3175" spans="1:16">
      <c r="A3175" s="1">
        <v>45179</v>
      </c>
      <c r="B3175">
        <v>147529</v>
      </c>
      <c r="C3175">
        <v>61218</v>
      </c>
      <c r="D3175">
        <v>86311</v>
      </c>
      <c r="E3175">
        <v>106299321</v>
      </c>
      <c r="F3175">
        <v>71322559</v>
      </c>
      <c r="G3175">
        <v>177621880</v>
      </c>
      <c r="H3175">
        <v>37896</v>
      </c>
      <c r="I3175">
        <v>7252</v>
      </c>
      <c r="J3175">
        <v>45148</v>
      </c>
      <c r="K3175" t="b">
        <f>TrafficData[[#This Row],[disposedChallan]]+TrafficData[[#This Row],[pendingChallan]]=TrafficData[[#This Row],[totalChallan]]</f>
        <v>1</v>
      </c>
      <c r="L3175" t="b">
        <f>TrafficData[[#This Row],[pendingAmount]]+TrafficData[[#This Row],[disposedAmount]]=TrafficData[[#This Row],[totalAmount]]</f>
        <v>1</v>
      </c>
      <c r="M3175" t="b">
        <f>TrafficData[[#This Row],[pendingCourt]]+TrafficData[[#This Row],[disposedCourt]]=TrafficData[[#This Row],[totalCourt]]</f>
        <v>1</v>
      </c>
      <c r="N3175" s="8" t="b">
        <f>AND(TrafficData[[#This Row],[disposedChallan]]&lt;=TrafficData[[#This Row],[totalChallan]],TrafficData[[#This Row],[pendingChallan]]&lt;=TrafficData[[#This Row],[totalChallan]])</f>
        <v>1</v>
      </c>
      <c r="O3175" s="8" t="b">
        <f>AND(TrafficData[[#This Row],[pendingAmount]]&lt;=TrafficData[[#This Row],[totalAmount]],TrafficData[[#This Row],[disposedAmount]]&lt;=TrafficData[[#This Row],[totalAmount]])</f>
        <v>1</v>
      </c>
      <c r="P3175" s="8" t="b">
        <f>AND(TrafficData[[#This Row],[pendingCourt]]&lt;=TrafficData[[#This Row],[totalCourt]],TrafficData[[#This Row],[disposedCourt]]&lt;=TrafficData[[#This Row],[totalCourt]])</f>
        <v>1</v>
      </c>
    </row>
    <row r="3176" spans="1:16">
      <c r="A3176" s="1">
        <v>45180</v>
      </c>
      <c r="B3176">
        <v>179529</v>
      </c>
      <c r="C3176">
        <v>73293</v>
      </c>
      <c r="D3176">
        <v>106236</v>
      </c>
      <c r="E3176">
        <v>159643450</v>
      </c>
      <c r="F3176">
        <v>106683196</v>
      </c>
      <c r="G3176">
        <v>266326646</v>
      </c>
      <c r="H3176">
        <v>58124</v>
      </c>
      <c r="I3176">
        <v>11050</v>
      </c>
      <c r="J3176">
        <v>69174</v>
      </c>
      <c r="K3176" t="b">
        <f>TrafficData[[#This Row],[disposedChallan]]+TrafficData[[#This Row],[pendingChallan]]=TrafficData[[#This Row],[totalChallan]]</f>
        <v>1</v>
      </c>
      <c r="L3176" t="b">
        <f>TrafficData[[#This Row],[pendingAmount]]+TrafficData[[#This Row],[disposedAmount]]=TrafficData[[#This Row],[totalAmount]]</f>
        <v>1</v>
      </c>
      <c r="M3176" t="b">
        <f>TrafficData[[#This Row],[pendingCourt]]+TrafficData[[#This Row],[disposedCourt]]=TrafficData[[#This Row],[totalCourt]]</f>
        <v>1</v>
      </c>
      <c r="N3176" s="8" t="b">
        <f>AND(TrafficData[[#This Row],[disposedChallan]]&lt;=TrafficData[[#This Row],[totalChallan]],TrafficData[[#This Row],[pendingChallan]]&lt;=TrafficData[[#This Row],[totalChallan]])</f>
        <v>1</v>
      </c>
      <c r="O3176" s="8" t="b">
        <f>AND(TrafficData[[#This Row],[pendingAmount]]&lt;=TrafficData[[#This Row],[totalAmount]],TrafficData[[#This Row],[disposedAmount]]&lt;=TrafficData[[#This Row],[totalAmount]])</f>
        <v>1</v>
      </c>
      <c r="P3176" s="8" t="b">
        <f>AND(TrafficData[[#This Row],[pendingCourt]]&lt;=TrafficData[[#This Row],[totalCourt]],TrafficData[[#This Row],[disposedCourt]]&lt;=TrafficData[[#This Row],[totalCourt]])</f>
        <v>1</v>
      </c>
    </row>
    <row r="3177" spans="1:16">
      <c r="A3177" s="1">
        <v>45181</v>
      </c>
      <c r="B3177">
        <v>202841</v>
      </c>
      <c r="C3177">
        <v>78953</v>
      </c>
      <c r="D3177">
        <v>123888</v>
      </c>
      <c r="E3177">
        <v>192900903</v>
      </c>
      <c r="F3177">
        <v>127676774</v>
      </c>
      <c r="G3177">
        <v>320577677</v>
      </c>
      <c r="H3177">
        <v>65700</v>
      </c>
      <c r="I3177">
        <v>12158</v>
      </c>
      <c r="J3177">
        <v>77858</v>
      </c>
      <c r="K3177" t="b">
        <f>TrafficData[[#This Row],[disposedChallan]]+TrafficData[[#This Row],[pendingChallan]]=TrafficData[[#This Row],[totalChallan]]</f>
        <v>1</v>
      </c>
      <c r="L3177" t="b">
        <f>TrafficData[[#This Row],[pendingAmount]]+TrafficData[[#This Row],[disposedAmount]]=TrafficData[[#This Row],[totalAmount]]</f>
        <v>1</v>
      </c>
      <c r="M3177" t="b">
        <f>TrafficData[[#This Row],[pendingCourt]]+TrafficData[[#This Row],[disposedCourt]]=TrafficData[[#This Row],[totalCourt]]</f>
        <v>1</v>
      </c>
      <c r="N3177" s="8" t="b">
        <f>AND(TrafficData[[#This Row],[disposedChallan]]&lt;=TrafficData[[#This Row],[totalChallan]],TrafficData[[#This Row],[pendingChallan]]&lt;=TrafficData[[#This Row],[totalChallan]])</f>
        <v>1</v>
      </c>
      <c r="O3177" s="8" t="b">
        <f>AND(TrafficData[[#This Row],[pendingAmount]]&lt;=TrafficData[[#This Row],[totalAmount]],TrafficData[[#This Row],[disposedAmount]]&lt;=TrafficData[[#This Row],[totalAmount]])</f>
        <v>1</v>
      </c>
      <c r="P3177" s="8" t="b">
        <f>AND(TrafficData[[#This Row],[pendingCourt]]&lt;=TrafficData[[#This Row],[totalCourt]],TrafficData[[#This Row],[disposedCourt]]&lt;=TrafficData[[#This Row],[totalCourt]])</f>
        <v>1</v>
      </c>
    </row>
    <row r="3178" spans="1:16">
      <c r="A3178" s="1">
        <v>45182</v>
      </c>
      <c r="B3178">
        <v>202367</v>
      </c>
      <c r="C3178">
        <v>78403</v>
      </c>
      <c r="D3178">
        <v>123964</v>
      </c>
      <c r="E3178">
        <v>200700691</v>
      </c>
      <c r="F3178">
        <v>128095758</v>
      </c>
      <c r="G3178">
        <v>328796449</v>
      </c>
      <c r="H3178">
        <v>65820</v>
      </c>
      <c r="I3178">
        <v>12421</v>
      </c>
      <c r="J3178">
        <v>78241</v>
      </c>
      <c r="K3178" t="b">
        <f>TrafficData[[#This Row],[disposedChallan]]+TrafficData[[#This Row],[pendingChallan]]=TrafficData[[#This Row],[totalChallan]]</f>
        <v>1</v>
      </c>
      <c r="L3178" t="b">
        <f>TrafficData[[#This Row],[pendingAmount]]+TrafficData[[#This Row],[disposedAmount]]=TrafficData[[#This Row],[totalAmount]]</f>
        <v>1</v>
      </c>
      <c r="M3178" t="b">
        <f>TrafficData[[#This Row],[pendingCourt]]+TrafficData[[#This Row],[disposedCourt]]=TrafficData[[#This Row],[totalCourt]]</f>
        <v>1</v>
      </c>
      <c r="N3178" s="8" t="b">
        <f>AND(TrafficData[[#This Row],[disposedChallan]]&lt;=TrafficData[[#This Row],[totalChallan]],TrafficData[[#This Row],[pendingChallan]]&lt;=TrafficData[[#This Row],[totalChallan]])</f>
        <v>1</v>
      </c>
      <c r="O3178" s="8" t="b">
        <f>AND(TrafficData[[#This Row],[pendingAmount]]&lt;=TrafficData[[#This Row],[totalAmount]],TrafficData[[#This Row],[disposedAmount]]&lt;=TrafficData[[#This Row],[totalAmount]])</f>
        <v>1</v>
      </c>
      <c r="P3178" s="8" t="b">
        <f>AND(TrafficData[[#This Row],[pendingCourt]]&lt;=TrafficData[[#This Row],[totalCourt]],TrafficData[[#This Row],[disposedCourt]]&lt;=TrafficData[[#This Row],[totalCourt]])</f>
        <v>1</v>
      </c>
    </row>
    <row r="3179" spans="1:16">
      <c r="A3179" s="1">
        <v>45183</v>
      </c>
      <c r="B3179">
        <v>197739</v>
      </c>
      <c r="C3179">
        <v>76157</v>
      </c>
      <c r="D3179">
        <v>121582</v>
      </c>
      <c r="E3179">
        <v>197581618</v>
      </c>
      <c r="F3179">
        <v>126197259</v>
      </c>
      <c r="G3179">
        <v>323778877</v>
      </c>
      <c r="H3179">
        <v>70812</v>
      </c>
      <c r="I3179">
        <v>12740</v>
      </c>
      <c r="J3179">
        <v>83552</v>
      </c>
      <c r="K3179" t="b">
        <f>TrafficData[[#This Row],[disposedChallan]]+TrafficData[[#This Row],[pendingChallan]]=TrafficData[[#This Row],[totalChallan]]</f>
        <v>1</v>
      </c>
      <c r="L3179" t="b">
        <f>TrafficData[[#This Row],[pendingAmount]]+TrafficData[[#This Row],[disposedAmount]]=TrafficData[[#This Row],[totalAmount]]</f>
        <v>1</v>
      </c>
      <c r="M3179" t="b">
        <f>TrafficData[[#This Row],[pendingCourt]]+TrafficData[[#This Row],[disposedCourt]]=TrafficData[[#This Row],[totalCourt]]</f>
        <v>1</v>
      </c>
      <c r="N3179" s="8" t="b">
        <f>AND(TrafficData[[#This Row],[disposedChallan]]&lt;=TrafficData[[#This Row],[totalChallan]],TrafficData[[#This Row],[pendingChallan]]&lt;=TrafficData[[#This Row],[totalChallan]])</f>
        <v>1</v>
      </c>
      <c r="O3179" s="8" t="b">
        <f>AND(TrafficData[[#This Row],[pendingAmount]]&lt;=TrafficData[[#This Row],[totalAmount]],TrafficData[[#This Row],[disposedAmount]]&lt;=TrafficData[[#This Row],[totalAmount]])</f>
        <v>1</v>
      </c>
      <c r="P3179" s="8" t="b">
        <f>AND(TrafficData[[#This Row],[pendingCourt]]&lt;=TrafficData[[#This Row],[totalCourt]],TrafficData[[#This Row],[disposedCourt]]&lt;=TrafficData[[#This Row],[totalCourt]])</f>
        <v>1</v>
      </c>
    </row>
    <row r="3180" spans="1:16">
      <c r="A3180" s="1">
        <v>45184</v>
      </c>
      <c r="B3180">
        <v>199603</v>
      </c>
      <c r="C3180">
        <v>77100</v>
      </c>
      <c r="D3180">
        <v>122503</v>
      </c>
      <c r="E3180">
        <v>199229778</v>
      </c>
      <c r="F3180">
        <v>124888223</v>
      </c>
      <c r="G3180">
        <v>324118001</v>
      </c>
      <c r="H3180">
        <v>70200</v>
      </c>
      <c r="I3180">
        <v>12779</v>
      </c>
      <c r="J3180">
        <v>82979</v>
      </c>
      <c r="K3180" t="b">
        <f>TrafficData[[#This Row],[disposedChallan]]+TrafficData[[#This Row],[pendingChallan]]=TrafficData[[#This Row],[totalChallan]]</f>
        <v>1</v>
      </c>
      <c r="L3180" t="b">
        <f>TrafficData[[#This Row],[pendingAmount]]+TrafficData[[#This Row],[disposedAmount]]=TrafficData[[#This Row],[totalAmount]]</f>
        <v>1</v>
      </c>
      <c r="M3180" t="b">
        <f>TrafficData[[#This Row],[pendingCourt]]+TrafficData[[#This Row],[disposedCourt]]=TrafficData[[#This Row],[totalCourt]]</f>
        <v>1</v>
      </c>
      <c r="N3180" s="8" t="b">
        <f>AND(TrafficData[[#This Row],[disposedChallan]]&lt;=TrafficData[[#This Row],[totalChallan]],TrafficData[[#This Row],[pendingChallan]]&lt;=TrafficData[[#This Row],[totalChallan]])</f>
        <v>1</v>
      </c>
      <c r="O3180" s="8" t="b">
        <f>AND(TrafficData[[#This Row],[pendingAmount]]&lt;=TrafficData[[#This Row],[totalAmount]],TrafficData[[#This Row],[disposedAmount]]&lt;=TrafficData[[#This Row],[totalAmount]])</f>
        <v>1</v>
      </c>
      <c r="P3180" s="8" t="b">
        <f>AND(TrafficData[[#This Row],[pendingCourt]]&lt;=TrafficData[[#This Row],[totalCourt]],TrafficData[[#This Row],[disposedCourt]]&lt;=TrafficData[[#This Row],[totalCourt]])</f>
        <v>1</v>
      </c>
    </row>
    <row r="3181" spans="1:16">
      <c r="A3181" s="1">
        <v>45185</v>
      </c>
      <c r="B3181">
        <v>187713</v>
      </c>
      <c r="C3181">
        <v>74238</v>
      </c>
      <c r="D3181">
        <v>113475</v>
      </c>
      <c r="E3181">
        <v>171663718</v>
      </c>
      <c r="F3181">
        <v>105109488</v>
      </c>
      <c r="G3181">
        <v>276773206</v>
      </c>
      <c r="H3181">
        <v>63848</v>
      </c>
      <c r="I3181">
        <v>12022</v>
      </c>
      <c r="J3181">
        <v>75870</v>
      </c>
      <c r="K3181" t="b">
        <f>TrafficData[[#This Row],[disposedChallan]]+TrafficData[[#This Row],[pendingChallan]]=TrafficData[[#This Row],[totalChallan]]</f>
        <v>1</v>
      </c>
      <c r="L3181" t="b">
        <f>TrafficData[[#This Row],[pendingAmount]]+TrafficData[[#This Row],[disposedAmount]]=TrafficData[[#This Row],[totalAmount]]</f>
        <v>1</v>
      </c>
      <c r="M3181" t="b">
        <f>TrafficData[[#This Row],[pendingCourt]]+TrafficData[[#This Row],[disposedCourt]]=TrafficData[[#This Row],[totalCourt]]</f>
        <v>1</v>
      </c>
      <c r="N3181" s="8" t="b">
        <f>AND(TrafficData[[#This Row],[disposedChallan]]&lt;=TrafficData[[#This Row],[totalChallan]],TrafficData[[#This Row],[pendingChallan]]&lt;=TrafficData[[#This Row],[totalChallan]])</f>
        <v>1</v>
      </c>
      <c r="O3181" s="8" t="b">
        <f>AND(TrafficData[[#This Row],[pendingAmount]]&lt;=TrafficData[[#This Row],[totalAmount]],TrafficData[[#This Row],[disposedAmount]]&lt;=TrafficData[[#This Row],[totalAmount]])</f>
        <v>1</v>
      </c>
      <c r="P3181" s="8" t="b">
        <f>AND(TrafficData[[#This Row],[pendingCourt]]&lt;=TrafficData[[#This Row],[totalCourt]],TrafficData[[#This Row],[disposedCourt]]&lt;=TrafficData[[#This Row],[totalCourt]])</f>
        <v>1</v>
      </c>
    </row>
    <row r="3182" spans="1:16">
      <c r="A3182" s="1">
        <v>45186</v>
      </c>
      <c r="B3182">
        <v>172157</v>
      </c>
      <c r="C3182">
        <v>62852</v>
      </c>
      <c r="D3182">
        <v>109305</v>
      </c>
      <c r="E3182">
        <v>148847546</v>
      </c>
      <c r="F3182">
        <v>75389038</v>
      </c>
      <c r="G3182">
        <v>224236584</v>
      </c>
      <c r="H3182">
        <v>63184</v>
      </c>
      <c r="I3182">
        <v>10791</v>
      </c>
      <c r="J3182">
        <v>73975</v>
      </c>
      <c r="K3182" t="b">
        <f>TrafficData[[#This Row],[disposedChallan]]+TrafficData[[#This Row],[pendingChallan]]=TrafficData[[#This Row],[totalChallan]]</f>
        <v>1</v>
      </c>
      <c r="L3182" t="b">
        <f>TrafficData[[#This Row],[pendingAmount]]+TrafficData[[#This Row],[disposedAmount]]=TrafficData[[#This Row],[totalAmount]]</f>
        <v>1</v>
      </c>
      <c r="M3182" t="b">
        <f>TrafficData[[#This Row],[pendingCourt]]+TrafficData[[#This Row],[disposedCourt]]=TrafficData[[#This Row],[totalCourt]]</f>
        <v>1</v>
      </c>
      <c r="N3182" s="8" t="b">
        <f>AND(TrafficData[[#This Row],[disposedChallan]]&lt;=TrafficData[[#This Row],[totalChallan]],TrafficData[[#This Row],[pendingChallan]]&lt;=TrafficData[[#This Row],[totalChallan]])</f>
        <v>1</v>
      </c>
      <c r="O3182" s="8" t="b">
        <f>AND(TrafficData[[#This Row],[pendingAmount]]&lt;=TrafficData[[#This Row],[totalAmount]],TrafficData[[#This Row],[disposedAmount]]&lt;=TrafficData[[#This Row],[totalAmount]])</f>
        <v>1</v>
      </c>
      <c r="P3182" s="8" t="b">
        <f>AND(TrafficData[[#This Row],[pendingCourt]]&lt;=TrafficData[[#This Row],[totalCourt]],TrafficData[[#This Row],[disposedCourt]]&lt;=TrafficData[[#This Row],[totalCourt]])</f>
        <v>1</v>
      </c>
    </row>
    <row r="3183" spans="1:16">
      <c r="A3183" s="1">
        <v>45187</v>
      </c>
      <c r="B3183">
        <v>177911</v>
      </c>
      <c r="C3183">
        <v>67499</v>
      </c>
      <c r="D3183">
        <v>110412</v>
      </c>
      <c r="E3183">
        <v>172810864</v>
      </c>
      <c r="F3183">
        <v>92257479</v>
      </c>
      <c r="G3183">
        <v>265068343</v>
      </c>
      <c r="H3183">
        <v>70614</v>
      </c>
      <c r="I3183">
        <v>12730</v>
      </c>
      <c r="J3183">
        <v>83344</v>
      </c>
      <c r="K3183" t="b">
        <f>TrafficData[[#This Row],[disposedChallan]]+TrafficData[[#This Row],[pendingChallan]]=TrafficData[[#This Row],[totalChallan]]</f>
        <v>1</v>
      </c>
      <c r="L3183" t="b">
        <f>TrafficData[[#This Row],[pendingAmount]]+TrafficData[[#This Row],[disposedAmount]]=TrafficData[[#This Row],[totalAmount]]</f>
        <v>1</v>
      </c>
      <c r="M3183" t="b">
        <f>TrafficData[[#This Row],[pendingCourt]]+TrafficData[[#This Row],[disposedCourt]]=TrafficData[[#This Row],[totalCourt]]</f>
        <v>1</v>
      </c>
      <c r="N3183" s="8" t="b">
        <f>AND(TrafficData[[#This Row],[disposedChallan]]&lt;=TrafficData[[#This Row],[totalChallan]],TrafficData[[#This Row],[pendingChallan]]&lt;=TrafficData[[#This Row],[totalChallan]])</f>
        <v>1</v>
      </c>
      <c r="O3183" s="8" t="b">
        <f>AND(TrafficData[[#This Row],[pendingAmount]]&lt;=TrafficData[[#This Row],[totalAmount]],TrafficData[[#This Row],[disposedAmount]]&lt;=TrafficData[[#This Row],[totalAmount]])</f>
        <v>1</v>
      </c>
      <c r="P3183" s="8" t="b">
        <f>AND(TrafficData[[#This Row],[pendingCourt]]&lt;=TrafficData[[#This Row],[totalCourt]],TrafficData[[#This Row],[disposedCourt]]&lt;=TrafficData[[#This Row],[totalCourt]])</f>
        <v>1</v>
      </c>
    </row>
    <row r="3184" spans="1:16">
      <c r="A3184" s="1">
        <v>45188</v>
      </c>
      <c r="B3184">
        <v>186299</v>
      </c>
      <c r="C3184">
        <v>71647</v>
      </c>
      <c r="D3184">
        <v>114652</v>
      </c>
      <c r="E3184">
        <v>176010202</v>
      </c>
      <c r="F3184">
        <v>101432904</v>
      </c>
      <c r="G3184">
        <v>277443106</v>
      </c>
      <c r="H3184">
        <v>66851</v>
      </c>
      <c r="I3184">
        <v>12034</v>
      </c>
      <c r="J3184">
        <v>78885</v>
      </c>
      <c r="K3184" t="b">
        <f>TrafficData[[#This Row],[disposedChallan]]+TrafficData[[#This Row],[pendingChallan]]=TrafficData[[#This Row],[totalChallan]]</f>
        <v>1</v>
      </c>
      <c r="L3184" t="b">
        <f>TrafficData[[#This Row],[pendingAmount]]+TrafficData[[#This Row],[disposedAmount]]=TrafficData[[#This Row],[totalAmount]]</f>
        <v>1</v>
      </c>
      <c r="M3184" t="b">
        <f>TrafficData[[#This Row],[pendingCourt]]+TrafficData[[#This Row],[disposedCourt]]=TrafficData[[#This Row],[totalCourt]]</f>
        <v>1</v>
      </c>
      <c r="N3184" s="8" t="b">
        <f>AND(TrafficData[[#This Row],[disposedChallan]]&lt;=TrafficData[[#This Row],[totalChallan]],TrafficData[[#This Row],[pendingChallan]]&lt;=TrafficData[[#This Row],[totalChallan]])</f>
        <v>1</v>
      </c>
      <c r="O3184" s="8" t="b">
        <f>AND(TrafficData[[#This Row],[pendingAmount]]&lt;=TrafficData[[#This Row],[totalAmount]],TrafficData[[#This Row],[disposedAmount]]&lt;=TrafficData[[#This Row],[totalAmount]])</f>
        <v>1</v>
      </c>
      <c r="P3184" s="8" t="b">
        <f>AND(TrafficData[[#This Row],[pendingCourt]]&lt;=TrafficData[[#This Row],[totalCourt]],TrafficData[[#This Row],[disposedCourt]]&lt;=TrafficData[[#This Row],[totalCourt]])</f>
        <v>1</v>
      </c>
    </row>
    <row r="3185" spans="1:16">
      <c r="A3185" s="1">
        <v>45189</v>
      </c>
      <c r="B3185">
        <v>182986</v>
      </c>
      <c r="C3185">
        <v>73011</v>
      </c>
      <c r="D3185">
        <v>109975</v>
      </c>
      <c r="E3185">
        <v>181876987</v>
      </c>
      <c r="F3185">
        <v>111190770</v>
      </c>
      <c r="G3185">
        <v>293067757</v>
      </c>
      <c r="H3185">
        <v>64662</v>
      </c>
      <c r="I3185">
        <v>11596</v>
      </c>
      <c r="J3185">
        <v>76258</v>
      </c>
      <c r="K3185" t="b">
        <f>TrafficData[[#This Row],[disposedChallan]]+TrafficData[[#This Row],[pendingChallan]]=TrafficData[[#This Row],[totalChallan]]</f>
        <v>1</v>
      </c>
      <c r="L3185" t="b">
        <f>TrafficData[[#This Row],[pendingAmount]]+TrafficData[[#This Row],[disposedAmount]]=TrafficData[[#This Row],[totalAmount]]</f>
        <v>1</v>
      </c>
      <c r="M3185" t="b">
        <f>TrafficData[[#This Row],[pendingCourt]]+TrafficData[[#This Row],[disposedCourt]]=TrafficData[[#This Row],[totalCourt]]</f>
        <v>1</v>
      </c>
      <c r="N3185" s="8" t="b">
        <f>AND(TrafficData[[#This Row],[disposedChallan]]&lt;=TrafficData[[#This Row],[totalChallan]],TrafficData[[#This Row],[pendingChallan]]&lt;=TrafficData[[#This Row],[totalChallan]])</f>
        <v>1</v>
      </c>
      <c r="O3185" s="8" t="b">
        <f>AND(TrafficData[[#This Row],[pendingAmount]]&lt;=TrafficData[[#This Row],[totalAmount]],TrafficData[[#This Row],[disposedAmount]]&lt;=TrafficData[[#This Row],[totalAmount]])</f>
        <v>1</v>
      </c>
      <c r="P3185" s="8" t="b">
        <f>AND(TrafficData[[#This Row],[pendingCourt]]&lt;=TrafficData[[#This Row],[totalCourt]],TrafficData[[#This Row],[disposedCourt]]&lt;=TrafficData[[#This Row],[totalCourt]])</f>
        <v>1</v>
      </c>
    </row>
    <row r="3186" spans="1:16">
      <c r="A3186" s="1">
        <v>45190</v>
      </c>
      <c r="B3186">
        <v>190498</v>
      </c>
      <c r="C3186">
        <v>73574</v>
      </c>
      <c r="D3186">
        <v>116924</v>
      </c>
      <c r="E3186">
        <v>183979100</v>
      </c>
      <c r="F3186">
        <v>112277245</v>
      </c>
      <c r="G3186">
        <v>296256345</v>
      </c>
      <c r="H3186">
        <v>63642</v>
      </c>
      <c r="I3186">
        <v>10890</v>
      </c>
      <c r="J3186">
        <v>74532</v>
      </c>
      <c r="K3186" t="b">
        <f>TrafficData[[#This Row],[disposedChallan]]+TrafficData[[#This Row],[pendingChallan]]=TrafficData[[#This Row],[totalChallan]]</f>
        <v>1</v>
      </c>
      <c r="L3186" t="b">
        <f>TrafficData[[#This Row],[pendingAmount]]+TrafficData[[#This Row],[disposedAmount]]=TrafficData[[#This Row],[totalAmount]]</f>
        <v>1</v>
      </c>
      <c r="M3186" t="b">
        <f>TrafficData[[#This Row],[pendingCourt]]+TrafficData[[#This Row],[disposedCourt]]=TrafficData[[#This Row],[totalCourt]]</f>
        <v>1</v>
      </c>
      <c r="N3186" s="8" t="b">
        <f>AND(TrafficData[[#This Row],[disposedChallan]]&lt;=TrafficData[[#This Row],[totalChallan]],TrafficData[[#This Row],[pendingChallan]]&lt;=TrafficData[[#This Row],[totalChallan]])</f>
        <v>1</v>
      </c>
      <c r="O3186" s="8" t="b">
        <f>AND(TrafficData[[#This Row],[pendingAmount]]&lt;=TrafficData[[#This Row],[totalAmount]],TrafficData[[#This Row],[disposedAmount]]&lt;=TrafficData[[#This Row],[totalAmount]])</f>
        <v>1</v>
      </c>
      <c r="P3186" s="8" t="b">
        <f>AND(TrafficData[[#This Row],[pendingCourt]]&lt;=TrafficData[[#This Row],[totalCourt]],TrafficData[[#This Row],[disposedCourt]]&lt;=TrafficData[[#This Row],[totalCourt]])</f>
        <v>1</v>
      </c>
    </row>
    <row r="3187" spans="1:16">
      <c r="A3187" s="1">
        <v>45191</v>
      </c>
      <c r="B3187">
        <v>182880</v>
      </c>
      <c r="C3187">
        <v>72924</v>
      </c>
      <c r="D3187">
        <v>109956</v>
      </c>
      <c r="E3187">
        <v>178575594</v>
      </c>
      <c r="F3187">
        <v>109953178</v>
      </c>
      <c r="G3187">
        <v>288528772</v>
      </c>
      <c r="H3187">
        <v>58445</v>
      </c>
      <c r="I3187">
        <v>11430</v>
      </c>
      <c r="J3187">
        <v>69875</v>
      </c>
      <c r="K3187" t="b">
        <f>TrafficData[[#This Row],[disposedChallan]]+TrafficData[[#This Row],[pendingChallan]]=TrafficData[[#This Row],[totalChallan]]</f>
        <v>1</v>
      </c>
      <c r="L3187" t="b">
        <f>TrafficData[[#This Row],[pendingAmount]]+TrafficData[[#This Row],[disposedAmount]]=TrafficData[[#This Row],[totalAmount]]</f>
        <v>1</v>
      </c>
      <c r="M3187" t="b">
        <f>TrafficData[[#This Row],[pendingCourt]]+TrafficData[[#This Row],[disposedCourt]]=TrafficData[[#This Row],[totalCourt]]</f>
        <v>1</v>
      </c>
      <c r="N3187" s="8" t="b">
        <f>AND(TrafficData[[#This Row],[disposedChallan]]&lt;=TrafficData[[#This Row],[totalChallan]],TrafficData[[#This Row],[pendingChallan]]&lt;=TrafficData[[#This Row],[totalChallan]])</f>
        <v>1</v>
      </c>
      <c r="O3187" s="8" t="b">
        <f>AND(TrafficData[[#This Row],[pendingAmount]]&lt;=TrafficData[[#This Row],[totalAmount]],TrafficData[[#This Row],[disposedAmount]]&lt;=TrafficData[[#This Row],[totalAmount]])</f>
        <v>1</v>
      </c>
      <c r="P3187" s="8" t="b">
        <f>AND(TrafficData[[#This Row],[pendingCourt]]&lt;=TrafficData[[#This Row],[totalCourt]],TrafficData[[#This Row],[disposedCourt]]&lt;=TrafficData[[#This Row],[totalCourt]])</f>
        <v>1</v>
      </c>
    </row>
    <row r="3188" spans="1:16">
      <c r="A3188" s="1">
        <v>45192</v>
      </c>
      <c r="B3188">
        <v>179456</v>
      </c>
      <c r="C3188">
        <v>73656</v>
      </c>
      <c r="D3188">
        <v>105800</v>
      </c>
      <c r="E3188">
        <v>173045564</v>
      </c>
      <c r="F3188">
        <v>105849591</v>
      </c>
      <c r="G3188">
        <v>278895155</v>
      </c>
      <c r="H3188">
        <v>51897</v>
      </c>
      <c r="I3188">
        <v>10564</v>
      </c>
      <c r="J3188">
        <v>62461</v>
      </c>
      <c r="K3188" t="b">
        <f>TrafficData[[#This Row],[disposedChallan]]+TrafficData[[#This Row],[pendingChallan]]=TrafficData[[#This Row],[totalChallan]]</f>
        <v>1</v>
      </c>
      <c r="L3188" t="b">
        <f>TrafficData[[#This Row],[pendingAmount]]+TrafficData[[#This Row],[disposedAmount]]=TrafficData[[#This Row],[totalAmount]]</f>
        <v>1</v>
      </c>
      <c r="M3188" t="b">
        <f>TrafficData[[#This Row],[pendingCourt]]+TrafficData[[#This Row],[disposedCourt]]=TrafficData[[#This Row],[totalCourt]]</f>
        <v>1</v>
      </c>
      <c r="N3188" s="8" t="b">
        <f>AND(TrafficData[[#This Row],[disposedChallan]]&lt;=TrafficData[[#This Row],[totalChallan]],TrafficData[[#This Row],[pendingChallan]]&lt;=TrafficData[[#This Row],[totalChallan]])</f>
        <v>1</v>
      </c>
      <c r="O3188" s="8" t="b">
        <f>AND(TrafficData[[#This Row],[pendingAmount]]&lt;=TrafficData[[#This Row],[totalAmount]],TrafficData[[#This Row],[disposedAmount]]&lt;=TrafficData[[#This Row],[totalAmount]])</f>
        <v>1</v>
      </c>
      <c r="P3188" s="8" t="b">
        <f>AND(TrafficData[[#This Row],[pendingCourt]]&lt;=TrafficData[[#This Row],[totalCourt]],TrafficData[[#This Row],[disposedCourt]]&lt;=TrafficData[[#This Row],[totalCourt]])</f>
        <v>1</v>
      </c>
    </row>
    <row r="3189" spans="1:16">
      <c r="A3189" s="1">
        <v>45193</v>
      </c>
      <c r="B3189">
        <v>165678</v>
      </c>
      <c r="C3189">
        <v>64124</v>
      </c>
      <c r="D3189">
        <v>101554</v>
      </c>
      <c r="E3189">
        <v>152515397</v>
      </c>
      <c r="F3189">
        <v>81070888</v>
      </c>
      <c r="G3189">
        <v>233586285</v>
      </c>
      <c r="H3189">
        <v>56261</v>
      </c>
      <c r="I3189">
        <v>10154</v>
      </c>
      <c r="J3189">
        <v>66415</v>
      </c>
      <c r="K3189" t="b">
        <f>TrafficData[[#This Row],[disposedChallan]]+TrafficData[[#This Row],[pendingChallan]]=TrafficData[[#This Row],[totalChallan]]</f>
        <v>1</v>
      </c>
      <c r="L3189" t="b">
        <f>TrafficData[[#This Row],[pendingAmount]]+TrafficData[[#This Row],[disposedAmount]]=TrafficData[[#This Row],[totalAmount]]</f>
        <v>1</v>
      </c>
      <c r="M3189" t="b">
        <f>TrafficData[[#This Row],[pendingCourt]]+TrafficData[[#This Row],[disposedCourt]]=TrafficData[[#This Row],[totalCourt]]</f>
        <v>1</v>
      </c>
      <c r="N3189" s="8" t="b">
        <f>AND(TrafficData[[#This Row],[disposedChallan]]&lt;=TrafficData[[#This Row],[totalChallan]],TrafficData[[#This Row],[pendingChallan]]&lt;=TrafficData[[#This Row],[totalChallan]])</f>
        <v>1</v>
      </c>
      <c r="O3189" s="8" t="b">
        <f>AND(TrafficData[[#This Row],[pendingAmount]]&lt;=TrafficData[[#This Row],[totalAmount]],TrafficData[[#This Row],[disposedAmount]]&lt;=TrafficData[[#This Row],[totalAmount]])</f>
        <v>1</v>
      </c>
      <c r="P3189" s="8" t="b">
        <f>AND(TrafficData[[#This Row],[pendingCourt]]&lt;=TrafficData[[#This Row],[totalCourt]],TrafficData[[#This Row],[disposedCourt]]&lt;=TrafficData[[#This Row],[totalCourt]])</f>
        <v>1</v>
      </c>
    </row>
    <row r="3190" spans="1:16">
      <c r="A3190" s="1">
        <v>45194</v>
      </c>
      <c r="B3190">
        <v>197722</v>
      </c>
      <c r="C3190">
        <v>76454</v>
      </c>
      <c r="D3190">
        <v>121268</v>
      </c>
      <c r="E3190">
        <v>180930641</v>
      </c>
      <c r="F3190">
        <v>102961948</v>
      </c>
      <c r="G3190">
        <v>283892589</v>
      </c>
      <c r="H3190">
        <v>65686</v>
      </c>
      <c r="I3190">
        <v>12167</v>
      </c>
      <c r="J3190">
        <v>77853</v>
      </c>
      <c r="K3190" t="b">
        <f>TrafficData[[#This Row],[disposedChallan]]+TrafficData[[#This Row],[pendingChallan]]=TrafficData[[#This Row],[totalChallan]]</f>
        <v>1</v>
      </c>
      <c r="L3190" t="b">
        <f>TrafficData[[#This Row],[pendingAmount]]+TrafficData[[#This Row],[disposedAmount]]=TrafficData[[#This Row],[totalAmount]]</f>
        <v>1</v>
      </c>
      <c r="M3190" t="b">
        <f>TrafficData[[#This Row],[pendingCourt]]+TrafficData[[#This Row],[disposedCourt]]=TrafficData[[#This Row],[totalCourt]]</f>
        <v>1</v>
      </c>
      <c r="N3190" s="8" t="b">
        <f>AND(TrafficData[[#This Row],[disposedChallan]]&lt;=TrafficData[[#This Row],[totalChallan]],TrafficData[[#This Row],[pendingChallan]]&lt;=TrafficData[[#This Row],[totalChallan]])</f>
        <v>1</v>
      </c>
      <c r="O3190" s="8" t="b">
        <f>AND(TrafficData[[#This Row],[pendingAmount]]&lt;=TrafficData[[#This Row],[totalAmount]],TrafficData[[#This Row],[disposedAmount]]&lt;=TrafficData[[#This Row],[totalAmount]])</f>
        <v>1</v>
      </c>
      <c r="P3190" s="8" t="b">
        <f>AND(TrafficData[[#This Row],[pendingCourt]]&lt;=TrafficData[[#This Row],[totalCourt]],TrafficData[[#This Row],[disposedCourt]]&lt;=TrafficData[[#This Row],[totalCourt]])</f>
        <v>1</v>
      </c>
    </row>
    <row r="3191" spans="1:16">
      <c r="A3191" s="1">
        <v>45195</v>
      </c>
      <c r="B3191">
        <v>206248</v>
      </c>
      <c r="C3191">
        <v>79514</v>
      </c>
      <c r="D3191">
        <v>126734</v>
      </c>
      <c r="E3191">
        <v>209171035</v>
      </c>
      <c r="F3191">
        <v>119483582</v>
      </c>
      <c r="G3191">
        <v>328654617</v>
      </c>
      <c r="H3191">
        <v>69513</v>
      </c>
      <c r="I3191">
        <v>12443</v>
      </c>
      <c r="J3191">
        <v>81956</v>
      </c>
      <c r="K3191" t="b">
        <f>TrafficData[[#This Row],[disposedChallan]]+TrafficData[[#This Row],[pendingChallan]]=TrafficData[[#This Row],[totalChallan]]</f>
        <v>1</v>
      </c>
      <c r="L3191" t="b">
        <f>TrafficData[[#This Row],[pendingAmount]]+TrafficData[[#This Row],[disposedAmount]]=TrafficData[[#This Row],[totalAmount]]</f>
        <v>1</v>
      </c>
      <c r="M3191" t="b">
        <f>TrafficData[[#This Row],[pendingCourt]]+TrafficData[[#This Row],[disposedCourt]]=TrafficData[[#This Row],[totalCourt]]</f>
        <v>1</v>
      </c>
      <c r="N3191" s="8" t="b">
        <f>AND(TrafficData[[#This Row],[disposedChallan]]&lt;=TrafficData[[#This Row],[totalChallan]],TrafficData[[#This Row],[pendingChallan]]&lt;=TrafficData[[#This Row],[totalChallan]])</f>
        <v>1</v>
      </c>
      <c r="O3191" s="8" t="b">
        <f>AND(TrafficData[[#This Row],[pendingAmount]]&lt;=TrafficData[[#This Row],[totalAmount]],TrafficData[[#This Row],[disposedAmount]]&lt;=TrafficData[[#This Row],[totalAmount]])</f>
        <v>1</v>
      </c>
      <c r="P3191" s="8" t="b">
        <f>AND(TrafficData[[#This Row],[pendingCourt]]&lt;=TrafficData[[#This Row],[totalCourt]],TrafficData[[#This Row],[disposedCourt]]&lt;=TrafficData[[#This Row],[totalCourt]])</f>
        <v>1</v>
      </c>
    </row>
    <row r="3192" spans="1:16">
      <c r="A3192" s="1">
        <v>45196</v>
      </c>
      <c r="B3192">
        <v>195173</v>
      </c>
      <c r="C3192">
        <v>77188</v>
      </c>
      <c r="D3192">
        <v>117985</v>
      </c>
      <c r="E3192">
        <v>195666722</v>
      </c>
      <c r="F3192">
        <v>115616830</v>
      </c>
      <c r="G3192">
        <v>311283552</v>
      </c>
      <c r="H3192">
        <v>64729</v>
      </c>
      <c r="I3192">
        <v>11995</v>
      </c>
      <c r="J3192">
        <v>76724</v>
      </c>
      <c r="K3192" t="b">
        <f>TrafficData[[#This Row],[disposedChallan]]+TrafficData[[#This Row],[pendingChallan]]=TrafficData[[#This Row],[totalChallan]]</f>
        <v>1</v>
      </c>
      <c r="L3192" t="b">
        <f>TrafficData[[#This Row],[pendingAmount]]+TrafficData[[#This Row],[disposedAmount]]=TrafficData[[#This Row],[totalAmount]]</f>
        <v>1</v>
      </c>
      <c r="M3192" t="b">
        <f>TrafficData[[#This Row],[pendingCourt]]+TrafficData[[#This Row],[disposedCourt]]=TrafficData[[#This Row],[totalCourt]]</f>
        <v>1</v>
      </c>
      <c r="N3192" s="8" t="b">
        <f>AND(TrafficData[[#This Row],[disposedChallan]]&lt;=TrafficData[[#This Row],[totalChallan]],TrafficData[[#This Row],[pendingChallan]]&lt;=TrafficData[[#This Row],[totalChallan]])</f>
        <v>1</v>
      </c>
      <c r="O3192" s="8" t="b">
        <f>AND(TrafficData[[#This Row],[pendingAmount]]&lt;=TrafficData[[#This Row],[totalAmount]],TrafficData[[#This Row],[disposedAmount]]&lt;=TrafficData[[#This Row],[totalAmount]])</f>
        <v>1</v>
      </c>
      <c r="P3192" s="8" t="b">
        <f>AND(TrafficData[[#This Row],[pendingCourt]]&lt;=TrafficData[[#This Row],[totalCourt]],TrafficData[[#This Row],[disposedCourt]]&lt;=TrafficData[[#This Row],[totalCourt]])</f>
        <v>1</v>
      </c>
    </row>
    <row r="3193" spans="1:16">
      <c r="A3193" s="1">
        <v>45197</v>
      </c>
      <c r="B3193">
        <v>173136</v>
      </c>
      <c r="C3193">
        <v>65040</v>
      </c>
      <c r="D3193">
        <v>108096</v>
      </c>
      <c r="E3193">
        <v>166334575</v>
      </c>
      <c r="F3193">
        <v>90268139</v>
      </c>
      <c r="G3193">
        <v>256602714</v>
      </c>
      <c r="H3193">
        <v>56666</v>
      </c>
      <c r="I3193">
        <v>10682</v>
      </c>
      <c r="J3193">
        <v>67348</v>
      </c>
      <c r="K3193" t="b">
        <f>TrafficData[[#This Row],[disposedChallan]]+TrafficData[[#This Row],[pendingChallan]]=TrafficData[[#This Row],[totalChallan]]</f>
        <v>1</v>
      </c>
      <c r="L3193" t="b">
        <f>TrafficData[[#This Row],[pendingAmount]]+TrafficData[[#This Row],[disposedAmount]]=TrafficData[[#This Row],[totalAmount]]</f>
        <v>1</v>
      </c>
      <c r="M3193" t="b">
        <f>TrafficData[[#This Row],[pendingCourt]]+TrafficData[[#This Row],[disposedCourt]]=TrafficData[[#This Row],[totalCourt]]</f>
        <v>1</v>
      </c>
      <c r="N3193" s="8" t="b">
        <f>AND(TrafficData[[#This Row],[disposedChallan]]&lt;=TrafficData[[#This Row],[totalChallan]],TrafficData[[#This Row],[pendingChallan]]&lt;=TrafficData[[#This Row],[totalChallan]])</f>
        <v>1</v>
      </c>
      <c r="O3193" s="8" t="b">
        <f>AND(TrafficData[[#This Row],[pendingAmount]]&lt;=TrafficData[[#This Row],[totalAmount]],TrafficData[[#This Row],[disposedAmount]]&lt;=TrafficData[[#This Row],[totalAmount]])</f>
        <v>1</v>
      </c>
      <c r="P3193" s="8" t="b">
        <f>AND(TrafficData[[#This Row],[pendingCourt]]&lt;=TrafficData[[#This Row],[totalCourt]],TrafficData[[#This Row],[disposedCourt]]&lt;=TrafficData[[#This Row],[totalCourt]])</f>
        <v>1</v>
      </c>
    </row>
    <row r="3194" spans="1:16">
      <c r="A3194" s="1">
        <v>45198</v>
      </c>
      <c r="B3194">
        <v>171741</v>
      </c>
      <c r="C3194">
        <v>67962</v>
      </c>
      <c r="D3194">
        <v>103779</v>
      </c>
      <c r="E3194">
        <v>176982056</v>
      </c>
      <c r="F3194">
        <v>101165995</v>
      </c>
      <c r="G3194">
        <v>278148051</v>
      </c>
      <c r="H3194">
        <v>55279</v>
      </c>
      <c r="I3194">
        <v>11306</v>
      </c>
      <c r="J3194">
        <v>66585</v>
      </c>
      <c r="K3194" t="b">
        <f>TrafficData[[#This Row],[disposedChallan]]+TrafficData[[#This Row],[pendingChallan]]=TrafficData[[#This Row],[totalChallan]]</f>
        <v>1</v>
      </c>
      <c r="L3194" t="b">
        <f>TrafficData[[#This Row],[pendingAmount]]+TrafficData[[#This Row],[disposedAmount]]=TrafficData[[#This Row],[totalAmount]]</f>
        <v>1</v>
      </c>
      <c r="M3194" t="b">
        <f>TrafficData[[#This Row],[pendingCourt]]+TrafficData[[#This Row],[disposedCourt]]=TrafficData[[#This Row],[totalCourt]]</f>
        <v>1</v>
      </c>
      <c r="N3194" s="8" t="b">
        <f>AND(TrafficData[[#This Row],[disposedChallan]]&lt;=TrafficData[[#This Row],[totalChallan]],TrafficData[[#This Row],[pendingChallan]]&lt;=TrafficData[[#This Row],[totalChallan]])</f>
        <v>1</v>
      </c>
      <c r="O3194" s="8" t="b">
        <f>AND(TrafficData[[#This Row],[pendingAmount]]&lt;=TrafficData[[#This Row],[totalAmount]],TrafficData[[#This Row],[disposedAmount]]&lt;=TrafficData[[#This Row],[totalAmount]])</f>
        <v>1</v>
      </c>
      <c r="P3194" s="8" t="b">
        <f>AND(TrafficData[[#This Row],[pendingCourt]]&lt;=TrafficData[[#This Row],[totalCourt]],TrafficData[[#This Row],[disposedCourt]]&lt;=TrafficData[[#This Row],[totalCourt]])</f>
        <v>1</v>
      </c>
    </row>
    <row r="3195" spans="1:16">
      <c r="A3195" s="1">
        <v>45199</v>
      </c>
      <c r="B3195">
        <v>182414</v>
      </c>
      <c r="C3195">
        <v>69503</v>
      </c>
      <c r="D3195">
        <v>112911</v>
      </c>
      <c r="E3195">
        <v>178645088</v>
      </c>
      <c r="F3195">
        <v>94279696</v>
      </c>
      <c r="G3195">
        <v>272924784</v>
      </c>
      <c r="H3195">
        <v>64033</v>
      </c>
      <c r="I3195">
        <v>12239</v>
      </c>
      <c r="J3195">
        <v>76272</v>
      </c>
      <c r="K3195" t="b">
        <f>TrafficData[[#This Row],[disposedChallan]]+TrafficData[[#This Row],[pendingChallan]]=TrafficData[[#This Row],[totalChallan]]</f>
        <v>1</v>
      </c>
      <c r="L3195" t="b">
        <f>TrafficData[[#This Row],[pendingAmount]]+TrafficData[[#This Row],[disposedAmount]]=TrafficData[[#This Row],[totalAmount]]</f>
        <v>1</v>
      </c>
      <c r="M3195" t="b">
        <f>TrafficData[[#This Row],[pendingCourt]]+TrafficData[[#This Row],[disposedCourt]]=TrafficData[[#This Row],[totalCourt]]</f>
        <v>1</v>
      </c>
      <c r="N3195" s="8" t="b">
        <f>AND(TrafficData[[#This Row],[disposedChallan]]&lt;=TrafficData[[#This Row],[totalChallan]],TrafficData[[#This Row],[pendingChallan]]&lt;=TrafficData[[#This Row],[totalChallan]])</f>
        <v>1</v>
      </c>
      <c r="O3195" s="8" t="b">
        <f>AND(TrafficData[[#This Row],[pendingAmount]]&lt;=TrafficData[[#This Row],[totalAmount]],TrafficData[[#This Row],[disposedAmount]]&lt;=TrafficData[[#This Row],[totalAmount]])</f>
        <v>1</v>
      </c>
      <c r="P3195" s="8" t="b">
        <f>AND(TrafficData[[#This Row],[pendingCourt]]&lt;=TrafficData[[#This Row],[totalCourt]],TrafficData[[#This Row],[disposedCourt]]&lt;=TrafficData[[#This Row],[totalCourt]])</f>
        <v>1</v>
      </c>
    </row>
    <row r="3196" spans="1:16">
      <c r="A3196" s="1">
        <v>45200</v>
      </c>
      <c r="B3196">
        <v>173232</v>
      </c>
      <c r="C3196">
        <v>67305</v>
      </c>
      <c r="D3196">
        <v>105927</v>
      </c>
      <c r="E3196">
        <v>150224413</v>
      </c>
      <c r="F3196">
        <v>85368526</v>
      </c>
      <c r="G3196">
        <v>235592939</v>
      </c>
      <c r="H3196">
        <v>55443</v>
      </c>
      <c r="I3196">
        <v>10499</v>
      </c>
      <c r="J3196">
        <v>65942</v>
      </c>
      <c r="K3196" t="b">
        <f>TrafficData[[#This Row],[disposedChallan]]+TrafficData[[#This Row],[pendingChallan]]=TrafficData[[#This Row],[totalChallan]]</f>
        <v>1</v>
      </c>
      <c r="L3196" t="b">
        <f>TrafficData[[#This Row],[pendingAmount]]+TrafficData[[#This Row],[disposedAmount]]=TrafficData[[#This Row],[totalAmount]]</f>
        <v>1</v>
      </c>
      <c r="M3196" t="b">
        <f>TrafficData[[#This Row],[pendingCourt]]+TrafficData[[#This Row],[disposedCourt]]=TrafficData[[#This Row],[totalCourt]]</f>
        <v>1</v>
      </c>
      <c r="N3196" s="8" t="b">
        <f>AND(TrafficData[[#This Row],[disposedChallan]]&lt;=TrafficData[[#This Row],[totalChallan]],TrafficData[[#This Row],[pendingChallan]]&lt;=TrafficData[[#This Row],[totalChallan]])</f>
        <v>1</v>
      </c>
      <c r="O3196" s="8" t="b">
        <f>AND(TrafficData[[#This Row],[pendingAmount]]&lt;=TrafficData[[#This Row],[totalAmount]],TrafficData[[#This Row],[disposedAmount]]&lt;=TrafficData[[#This Row],[totalAmount]])</f>
        <v>1</v>
      </c>
      <c r="P3196" s="8" t="b">
        <f>AND(TrafficData[[#This Row],[pendingCourt]]&lt;=TrafficData[[#This Row],[totalCourt]],TrafficData[[#This Row],[disposedCourt]]&lt;=TrafficData[[#This Row],[totalCourt]])</f>
        <v>1</v>
      </c>
    </row>
    <row r="3197" spans="1:16">
      <c r="A3197" s="1">
        <v>45201</v>
      </c>
      <c r="B3197">
        <v>187464</v>
      </c>
      <c r="C3197">
        <v>77255</v>
      </c>
      <c r="D3197">
        <v>110209</v>
      </c>
      <c r="E3197">
        <v>154776240</v>
      </c>
      <c r="F3197">
        <v>90872334</v>
      </c>
      <c r="G3197">
        <v>245648574</v>
      </c>
      <c r="H3197">
        <v>56877</v>
      </c>
      <c r="I3197">
        <v>11112</v>
      </c>
      <c r="J3197">
        <v>67989</v>
      </c>
      <c r="K3197" t="b">
        <f>TrafficData[[#This Row],[disposedChallan]]+TrafficData[[#This Row],[pendingChallan]]=TrafficData[[#This Row],[totalChallan]]</f>
        <v>1</v>
      </c>
      <c r="L3197" t="b">
        <f>TrafficData[[#This Row],[pendingAmount]]+TrafficData[[#This Row],[disposedAmount]]=TrafficData[[#This Row],[totalAmount]]</f>
        <v>1</v>
      </c>
      <c r="M3197" t="b">
        <f>TrafficData[[#This Row],[pendingCourt]]+TrafficData[[#This Row],[disposedCourt]]=TrafficData[[#This Row],[totalCourt]]</f>
        <v>1</v>
      </c>
      <c r="N3197" s="8" t="b">
        <f>AND(TrafficData[[#This Row],[disposedChallan]]&lt;=TrafficData[[#This Row],[totalChallan]],TrafficData[[#This Row],[pendingChallan]]&lt;=TrafficData[[#This Row],[totalChallan]])</f>
        <v>1</v>
      </c>
      <c r="O3197" s="8" t="b">
        <f>AND(TrafficData[[#This Row],[pendingAmount]]&lt;=TrafficData[[#This Row],[totalAmount]],TrafficData[[#This Row],[disposedAmount]]&lt;=TrafficData[[#This Row],[totalAmount]])</f>
        <v>1</v>
      </c>
      <c r="P3197" s="8" t="b">
        <f>AND(TrafficData[[#This Row],[pendingCourt]]&lt;=TrafficData[[#This Row],[totalCourt]],TrafficData[[#This Row],[disposedCourt]]&lt;=TrafficData[[#This Row],[totalCourt]])</f>
        <v>1</v>
      </c>
    </row>
    <row r="3198" spans="1:16">
      <c r="A3198" s="1">
        <v>45202</v>
      </c>
      <c r="B3198">
        <v>198354</v>
      </c>
      <c r="C3198">
        <v>78126</v>
      </c>
      <c r="D3198">
        <v>120228</v>
      </c>
      <c r="E3198">
        <v>183528455</v>
      </c>
      <c r="F3198">
        <v>114621975</v>
      </c>
      <c r="G3198">
        <v>298150430</v>
      </c>
      <c r="H3198">
        <v>63107</v>
      </c>
      <c r="I3198">
        <v>12088</v>
      </c>
      <c r="J3198">
        <v>75195</v>
      </c>
      <c r="K3198" t="b">
        <f>TrafficData[[#This Row],[disposedChallan]]+TrafficData[[#This Row],[pendingChallan]]=TrafficData[[#This Row],[totalChallan]]</f>
        <v>1</v>
      </c>
      <c r="L3198" t="b">
        <f>TrafficData[[#This Row],[pendingAmount]]+TrafficData[[#This Row],[disposedAmount]]=TrafficData[[#This Row],[totalAmount]]</f>
        <v>1</v>
      </c>
      <c r="M3198" t="b">
        <f>TrafficData[[#This Row],[pendingCourt]]+TrafficData[[#This Row],[disposedCourt]]=TrafficData[[#This Row],[totalCourt]]</f>
        <v>1</v>
      </c>
      <c r="N3198" s="8" t="b">
        <f>AND(TrafficData[[#This Row],[disposedChallan]]&lt;=TrafficData[[#This Row],[totalChallan]],TrafficData[[#This Row],[pendingChallan]]&lt;=TrafficData[[#This Row],[totalChallan]])</f>
        <v>1</v>
      </c>
      <c r="O3198" s="8" t="b">
        <f>AND(TrafficData[[#This Row],[pendingAmount]]&lt;=TrafficData[[#This Row],[totalAmount]],TrafficData[[#This Row],[disposedAmount]]&lt;=TrafficData[[#This Row],[totalAmount]])</f>
        <v>1</v>
      </c>
      <c r="P3198" s="8" t="b">
        <f>AND(TrafficData[[#This Row],[pendingCourt]]&lt;=TrafficData[[#This Row],[totalCourt]],TrafficData[[#This Row],[disposedCourt]]&lt;=TrafficData[[#This Row],[totalCourt]])</f>
        <v>1</v>
      </c>
    </row>
    <row r="3199" spans="1:16">
      <c r="A3199" s="1">
        <v>45203</v>
      </c>
      <c r="B3199">
        <v>203901</v>
      </c>
      <c r="C3199">
        <v>80489</v>
      </c>
      <c r="D3199">
        <v>123412</v>
      </c>
      <c r="E3199">
        <v>202492380</v>
      </c>
      <c r="F3199">
        <v>130483107</v>
      </c>
      <c r="G3199">
        <v>332975487</v>
      </c>
      <c r="H3199">
        <v>63040</v>
      </c>
      <c r="I3199">
        <v>12061</v>
      </c>
      <c r="J3199">
        <v>75101</v>
      </c>
      <c r="K3199" t="b">
        <f>TrafficData[[#This Row],[disposedChallan]]+TrafficData[[#This Row],[pendingChallan]]=TrafficData[[#This Row],[totalChallan]]</f>
        <v>1</v>
      </c>
      <c r="L3199" t="b">
        <f>TrafficData[[#This Row],[pendingAmount]]+TrafficData[[#This Row],[disposedAmount]]=TrafficData[[#This Row],[totalAmount]]</f>
        <v>1</v>
      </c>
      <c r="M3199" t="b">
        <f>TrafficData[[#This Row],[pendingCourt]]+TrafficData[[#This Row],[disposedCourt]]=TrafficData[[#This Row],[totalCourt]]</f>
        <v>1</v>
      </c>
      <c r="N3199" s="8" t="b">
        <f>AND(TrafficData[[#This Row],[disposedChallan]]&lt;=TrafficData[[#This Row],[totalChallan]],TrafficData[[#This Row],[pendingChallan]]&lt;=TrafficData[[#This Row],[totalChallan]])</f>
        <v>1</v>
      </c>
      <c r="O3199" s="8" t="b">
        <f>AND(TrafficData[[#This Row],[pendingAmount]]&lt;=TrafficData[[#This Row],[totalAmount]],TrafficData[[#This Row],[disposedAmount]]&lt;=TrafficData[[#This Row],[totalAmount]])</f>
        <v>1</v>
      </c>
      <c r="P3199" s="8" t="b">
        <f>AND(TrafficData[[#This Row],[pendingCourt]]&lt;=TrafficData[[#This Row],[totalCourt]],TrafficData[[#This Row],[disposedCourt]]&lt;=TrafficData[[#This Row],[totalCourt]])</f>
        <v>1</v>
      </c>
    </row>
    <row r="3200" spans="1:16">
      <c r="A3200" s="1">
        <v>45204</v>
      </c>
      <c r="B3200">
        <v>205013</v>
      </c>
      <c r="C3200">
        <v>80437</v>
      </c>
      <c r="D3200">
        <v>124576</v>
      </c>
      <c r="E3200">
        <v>207463979</v>
      </c>
      <c r="F3200">
        <v>133962413</v>
      </c>
      <c r="G3200">
        <v>341426392</v>
      </c>
      <c r="H3200">
        <v>61914</v>
      </c>
      <c r="I3200">
        <v>11959</v>
      </c>
      <c r="J3200">
        <v>73873</v>
      </c>
      <c r="K3200" t="b">
        <f>TrafficData[[#This Row],[disposedChallan]]+TrafficData[[#This Row],[pendingChallan]]=TrafficData[[#This Row],[totalChallan]]</f>
        <v>1</v>
      </c>
      <c r="L3200" t="b">
        <f>TrafficData[[#This Row],[pendingAmount]]+TrafficData[[#This Row],[disposedAmount]]=TrafficData[[#This Row],[totalAmount]]</f>
        <v>1</v>
      </c>
      <c r="M3200" t="b">
        <f>TrafficData[[#This Row],[pendingCourt]]+TrafficData[[#This Row],[disposedCourt]]=TrafficData[[#This Row],[totalCourt]]</f>
        <v>1</v>
      </c>
      <c r="N3200" s="8" t="b">
        <f>AND(TrafficData[[#This Row],[disposedChallan]]&lt;=TrafficData[[#This Row],[totalChallan]],TrafficData[[#This Row],[pendingChallan]]&lt;=TrafficData[[#This Row],[totalChallan]])</f>
        <v>1</v>
      </c>
      <c r="O3200" s="8" t="b">
        <f>AND(TrafficData[[#This Row],[pendingAmount]]&lt;=TrafficData[[#This Row],[totalAmount]],TrafficData[[#This Row],[disposedAmount]]&lt;=TrafficData[[#This Row],[totalAmount]])</f>
        <v>1</v>
      </c>
      <c r="P3200" s="8" t="b">
        <f>AND(TrafficData[[#This Row],[pendingCourt]]&lt;=TrafficData[[#This Row],[totalCourt]],TrafficData[[#This Row],[disposedCourt]]&lt;=TrafficData[[#This Row],[totalCourt]])</f>
        <v>1</v>
      </c>
    </row>
    <row r="3201" spans="1:16">
      <c r="A3201" s="1">
        <v>45205</v>
      </c>
      <c r="B3201">
        <v>207522</v>
      </c>
      <c r="C3201">
        <v>81420</v>
      </c>
      <c r="D3201">
        <v>126102</v>
      </c>
      <c r="E3201">
        <v>198637925</v>
      </c>
      <c r="F3201">
        <v>133936059</v>
      </c>
      <c r="G3201">
        <v>332573984</v>
      </c>
      <c r="H3201">
        <v>64086</v>
      </c>
      <c r="I3201">
        <v>12346</v>
      </c>
      <c r="J3201">
        <v>76432</v>
      </c>
      <c r="K3201" t="b">
        <f>TrafficData[[#This Row],[disposedChallan]]+TrafficData[[#This Row],[pendingChallan]]=TrafficData[[#This Row],[totalChallan]]</f>
        <v>1</v>
      </c>
      <c r="L3201" t="b">
        <f>TrafficData[[#This Row],[pendingAmount]]+TrafficData[[#This Row],[disposedAmount]]=TrafficData[[#This Row],[totalAmount]]</f>
        <v>1</v>
      </c>
      <c r="M3201" t="b">
        <f>TrafficData[[#This Row],[pendingCourt]]+TrafficData[[#This Row],[disposedCourt]]=TrafficData[[#This Row],[totalCourt]]</f>
        <v>1</v>
      </c>
      <c r="N3201" s="8" t="b">
        <f>AND(TrafficData[[#This Row],[disposedChallan]]&lt;=TrafficData[[#This Row],[totalChallan]],TrafficData[[#This Row],[pendingChallan]]&lt;=TrafficData[[#This Row],[totalChallan]])</f>
        <v>1</v>
      </c>
      <c r="O3201" s="8" t="b">
        <f>AND(TrafficData[[#This Row],[pendingAmount]]&lt;=TrafficData[[#This Row],[totalAmount]],TrafficData[[#This Row],[disposedAmount]]&lt;=TrafficData[[#This Row],[totalAmount]])</f>
        <v>1</v>
      </c>
      <c r="P3201" s="8" t="b">
        <f>AND(TrafficData[[#This Row],[pendingCourt]]&lt;=TrafficData[[#This Row],[totalCourt]],TrafficData[[#This Row],[disposedCourt]]&lt;=TrafficData[[#This Row],[totalCourt]])</f>
        <v>1</v>
      </c>
    </row>
    <row r="3202" spans="1:16">
      <c r="A3202" s="1">
        <v>45206</v>
      </c>
      <c r="B3202">
        <v>206644</v>
      </c>
      <c r="C3202">
        <v>82310</v>
      </c>
      <c r="D3202">
        <v>124334</v>
      </c>
      <c r="E3202">
        <v>192273697</v>
      </c>
      <c r="F3202">
        <v>127176583</v>
      </c>
      <c r="G3202">
        <v>319450280</v>
      </c>
      <c r="H3202">
        <v>60628</v>
      </c>
      <c r="I3202">
        <v>12312</v>
      </c>
      <c r="J3202">
        <v>72940</v>
      </c>
      <c r="K3202" t="b">
        <f>TrafficData[[#This Row],[disposedChallan]]+TrafficData[[#This Row],[pendingChallan]]=TrafficData[[#This Row],[totalChallan]]</f>
        <v>1</v>
      </c>
      <c r="L3202" t="b">
        <f>TrafficData[[#This Row],[pendingAmount]]+TrafficData[[#This Row],[disposedAmount]]=TrafficData[[#This Row],[totalAmount]]</f>
        <v>1</v>
      </c>
      <c r="M3202" t="b">
        <f>TrafficData[[#This Row],[pendingCourt]]+TrafficData[[#This Row],[disposedCourt]]=TrafficData[[#This Row],[totalCourt]]</f>
        <v>1</v>
      </c>
      <c r="N3202" s="8" t="b">
        <f>AND(TrafficData[[#This Row],[disposedChallan]]&lt;=TrafficData[[#This Row],[totalChallan]],TrafficData[[#This Row],[pendingChallan]]&lt;=TrafficData[[#This Row],[totalChallan]])</f>
        <v>1</v>
      </c>
      <c r="O3202" s="8" t="b">
        <f>AND(TrafficData[[#This Row],[pendingAmount]]&lt;=TrafficData[[#This Row],[totalAmount]],TrafficData[[#This Row],[disposedAmount]]&lt;=TrafficData[[#This Row],[totalAmount]])</f>
        <v>1</v>
      </c>
      <c r="P3202" s="8" t="b">
        <f>AND(TrafficData[[#This Row],[pendingCourt]]&lt;=TrafficData[[#This Row],[totalCourt]],TrafficData[[#This Row],[disposedCourt]]&lt;=TrafficData[[#This Row],[totalCourt]])</f>
        <v>1</v>
      </c>
    </row>
    <row r="3203" spans="1:16">
      <c r="A3203" s="1">
        <v>45207</v>
      </c>
      <c r="B3203">
        <v>191057</v>
      </c>
      <c r="C3203">
        <v>73001</v>
      </c>
      <c r="D3203">
        <v>118056</v>
      </c>
      <c r="E3203">
        <v>165097090</v>
      </c>
      <c r="F3203">
        <v>93687008</v>
      </c>
      <c r="G3203">
        <v>258784098</v>
      </c>
      <c r="H3203">
        <v>52452</v>
      </c>
      <c r="I3203">
        <v>10129</v>
      </c>
      <c r="J3203">
        <v>62581</v>
      </c>
      <c r="K3203" t="b">
        <f>TrafficData[[#This Row],[disposedChallan]]+TrafficData[[#This Row],[pendingChallan]]=TrafficData[[#This Row],[totalChallan]]</f>
        <v>1</v>
      </c>
      <c r="L3203" t="b">
        <f>TrafficData[[#This Row],[pendingAmount]]+TrafficData[[#This Row],[disposedAmount]]=TrafficData[[#This Row],[totalAmount]]</f>
        <v>1</v>
      </c>
      <c r="M3203" t="b">
        <f>TrafficData[[#This Row],[pendingCourt]]+TrafficData[[#This Row],[disposedCourt]]=TrafficData[[#This Row],[totalCourt]]</f>
        <v>1</v>
      </c>
      <c r="N3203" s="8" t="b">
        <f>AND(TrafficData[[#This Row],[disposedChallan]]&lt;=TrafficData[[#This Row],[totalChallan]],TrafficData[[#This Row],[pendingChallan]]&lt;=TrafficData[[#This Row],[totalChallan]])</f>
        <v>1</v>
      </c>
      <c r="O3203" s="8" t="b">
        <f>AND(TrafficData[[#This Row],[pendingAmount]]&lt;=TrafficData[[#This Row],[totalAmount]],TrafficData[[#This Row],[disposedAmount]]&lt;=TrafficData[[#This Row],[totalAmount]])</f>
        <v>1</v>
      </c>
      <c r="P3203" s="8" t="b">
        <f>AND(TrafficData[[#This Row],[pendingCourt]]&lt;=TrafficData[[#This Row],[totalCourt]],TrafficData[[#This Row],[disposedCourt]]&lt;=TrafficData[[#This Row],[totalCourt]])</f>
        <v>1</v>
      </c>
    </row>
    <row r="3204" spans="1:16">
      <c r="A3204" s="1">
        <v>45208</v>
      </c>
      <c r="B3204">
        <v>209239</v>
      </c>
      <c r="C3204">
        <v>81962</v>
      </c>
      <c r="D3204">
        <v>127277</v>
      </c>
      <c r="E3204">
        <v>199650080</v>
      </c>
      <c r="F3204">
        <v>122475228</v>
      </c>
      <c r="G3204">
        <v>322125308</v>
      </c>
      <c r="H3204">
        <v>59927</v>
      </c>
      <c r="I3204">
        <v>11666</v>
      </c>
      <c r="J3204">
        <v>71593</v>
      </c>
      <c r="K3204" t="b">
        <f>TrafficData[[#This Row],[disposedChallan]]+TrafficData[[#This Row],[pendingChallan]]=TrafficData[[#This Row],[totalChallan]]</f>
        <v>1</v>
      </c>
      <c r="L3204" t="b">
        <f>TrafficData[[#This Row],[pendingAmount]]+TrafficData[[#This Row],[disposedAmount]]=TrafficData[[#This Row],[totalAmount]]</f>
        <v>1</v>
      </c>
      <c r="M3204" t="b">
        <f>TrafficData[[#This Row],[pendingCourt]]+TrafficData[[#This Row],[disposedCourt]]=TrafficData[[#This Row],[totalCourt]]</f>
        <v>1</v>
      </c>
      <c r="N3204" s="8" t="b">
        <f>AND(TrafficData[[#This Row],[disposedChallan]]&lt;=TrafficData[[#This Row],[totalChallan]],TrafficData[[#This Row],[pendingChallan]]&lt;=TrafficData[[#This Row],[totalChallan]])</f>
        <v>1</v>
      </c>
      <c r="O3204" s="8" t="b">
        <f>AND(TrafficData[[#This Row],[pendingAmount]]&lt;=TrafficData[[#This Row],[totalAmount]],TrafficData[[#This Row],[disposedAmount]]&lt;=TrafficData[[#This Row],[totalAmount]])</f>
        <v>1</v>
      </c>
      <c r="P3204" s="8" t="b">
        <f>AND(TrafficData[[#This Row],[pendingCourt]]&lt;=TrafficData[[#This Row],[totalCourt]],TrafficData[[#This Row],[disposedCourt]]&lt;=TrafficData[[#This Row],[totalCourt]])</f>
        <v>1</v>
      </c>
    </row>
    <row r="3205" spans="1:16">
      <c r="A3205" s="1">
        <v>45209</v>
      </c>
      <c r="B3205">
        <v>205571</v>
      </c>
      <c r="C3205">
        <v>81952</v>
      </c>
      <c r="D3205">
        <v>123619</v>
      </c>
      <c r="E3205">
        <v>206427248</v>
      </c>
      <c r="F3205">
        <v>134217902</v>
      </c>
      <c r="G3205">
        <v>340645150</v>
      </c>
      <c r="H3205">
        <v>57080</v>
      </c>
      <c r="I3205">
        <v>11177</v>
      </c>
      <c r="J3205">
        <v>68257</v>
      </c>
      <c r="K3205" t="b">
        <f>TrafficData[[#This Row],[disposedChallan]]+TrafficData[[#This Row],[pendingChallan]]=TrafficData[[#This Row],[totalChallan]]</f>
        <v>1</v>
      </c>
      <c r="L3205" t="b">
        <f>TrafficData[[#This Row],[pendingAmount]]+TrafficData[[#This Row],[disposedAmount]]=TrafficData[[#This Row],[totalAmount]]</f>
        <v>1</v>
      </c>
      <c r="M3205" t="b">
        <f>TrafficData[[#This Row],[pendingCourt]]+TrafficData[[#This Row],[disposedCourt]]=TrafficData[[#This Row],[totalCourt]]</f>
        <v>1</v>
      </c>
      <c r="N3205" s="8" t="b">
        <f>AND(TrafficData[[#This Row],[disposedChallan]]&lt;=TrafficData[[#This Row],[totalChallan]],TrafficData[[#This Row],[pendingChallan]]&lt;=TrafficData[[#This Row],[totalChallan]])</f>
        <v>1</v>
      </c>
      <c r="O3205" s="8" t="b">
        <f>AND(TrafficData[[#This Row],[pendingAmount]]&lt;=TrafficData[[#This Row],[totalAmount]],TrafficData[[#This Row],[disposedAmount]]&lt;=TrafficData[[#This Row],[totalAmount]])</f>
        <v>1</v>
      </c>
      <c r="P3205" s="8" t="b">
        <f>AND(TrafficData[[#This Row],[pendingCourt]]&lt;=TrafficData[[#This Row],[totalCourt]],TrafficData[[#This Row],[disposedCourt]]&lt;=TrafficData[[#This Row],[totalCourt]])</f>
        <v>1</v>
      </c>
    </row>
    <row r="3206" spans="1:16">
      <c r="A3206" s="1">
        <v>45210</v>
      </c>
      <c r="B3206">
        <v>204427</v>
      </c>
      <c r="C3206">
        <v>81735</v>
      </c>
      <c r="D3206">
        <v>122692</v>
      </c>
      <c r="E3206">
        <v>198791973</v>
      </c>
      <c r="F3206">
        <v>133491275</v>
      </c>
      <c r="G3206">
        <v>332283248</v>
      </c>
      <c r="H3206">
        <v>56205</v>
      </c>
      <c r="I3206">
        <v>10988</v>
      </c>
      <c r="J3206">
        <v>67193</v>
      </c>
      <c r="K3206" t="b">
        <f>TrafficData[[#This Row],[disposedChallan]]+TrafficData[[#This Row],[pendingChallan]]=TrafficData[[#This Row],[totalChallan]]</f>
        <v>1</v>
      </c>
      <c r="L3206" t="b">
        <f>TrafficData[[#This Row],[pendingAmount]]+TrafficData[[#This Row],[disposedAmount]]=TrafficData[[#This Row],[totalAmount]]</f>
        <v>1</v>
      </c>
      <c r="M3206" t="b">
        <f>TrafficData[[#This Row],[pendingCourt]]+TrafficData[[#This Row],[disposedCourt]]=TrafficData[[#This Row],[totalCourt]]</f>
        <v>1</v>
      </c>
      <c r="N3206" s="8" t="b">
        <f>AND(TrafficData[[#This Row],[disposedChallan]]&lt;=TrafficData[[#This Row],[totalChallan]],TrafficData[[#This Row],[pendingChallan]]&lt;=TrafficData[[#This Row],[totalChallan]])</f>
        <v>1</v>
      </c>
      <c r="O3206" s="8" t="b">
        <f>AND(TrafficData[[#This Row],[pendingAmount]]&lt;=TrafficData[[#This Row],[totalAmount]],TrafficData[[#This Row],[disposedAmount]]&lt;=TrafficData[[#This Row],[totalAmount]])</f>
        <v>1</v>
      </c>
      <c r="P3206" s="8" t="b">
        <f>AND(TrafficData[[#This Row],[pendingCourt]]&lt;=TrafficData[[#This Row],[totalCourt]],TrafficData[[#This Row],[disposedCourt]]&lt;=TrafficData[[#This Row],[totalCourt]])</f>
        <v>1</v>
      </c>
    </row>
    <row r="3207" spans="1:16">
      <c r="A3207" s="1">
        <v>45211</v>
      </c>
      <c r="B3207">
        <v>203554</v>
      </c>
      <c r="C3207">
        <v>80350</v>
      </c>
      <c r="D3207">
        <v>123204</v>
      </c>
      <c r="E3207">
        <v>192275524</v>
      </c>
      <c r="F3207">
        <v>129306076</v>
      </c>
      <c r="G3207">
        <v>321581600</v>
      </c>
      <c r="H3207">
        <v>55339</v>
      </c>
      <c r="I3207">
        <v>10971</v>
      </c>
      <c r="J3207">
        <v>66310</v>
      </c>
      <c r="K3207" t="b">
        <f>TrafficData[[#This Row],[disposedChallan]]+TrafficData[[#This Row],[pendingChallan]]=TrafficData[[#This Row],[totalChallan]]</f>
        <v>1</v>
      </c>
      <c r="L3207" t="b">
        <f>TrafficData[[#This Row],[pendingAmount]]+TrafficData[[#This Row],[disposedAmount]]=TrafficData[[#This Row],[totalAmount]]</f>
        <v>1</v>
      </c>
      <c r="M3207" t="b">
        <f>TrafficData[[#This Row],[pendingCourt]]+TrafficData[[#This Row],[disposedCourt]]=TrafficData[[#This Row],[totalCourt]]</f>
        <v>1</v>
      </c>
      <c r="N3207" s="8" t="b">
        <f>AND(TrafficData[[#This Row],[disposedChallan]]&lt;=TrafficData[[#This Row],[totalChallan]],TrafficData[[#This Row],[pendingChallan]]&lt;=TrafficData[[#This Row],[totalChallan]])</f>
        <v>1</v>
      </c>
      <c r="O3207" s="8" t="b">
        <f>AND(TrafficData[[#This Row],[pendingAmount]]&lt;=TrafficData[[#This Row],[totalAmount]],TrafficData[[#This Row],[disposedAmount]]&lt;=TrafficData[[#This Row],[totalAmount]])</f>
        <v>1</v>
      </c>
      <c r="P3207" s="8" t="b">
        <f>AND(TrafficData[[#This Row],[pendingCourt]]&lt;=TrafficData[[#This Row],[totalCourt]],TrafficData[[#This Row],[disposedCourt]]&lt;=TrafficData[[#This Row],[totalCourt]])</f>
        <v>1</v>
      </c>
    </row>
    <row r="3208" spans="1:16">
      <c r="A3208" s="1">
        <v>45212</v>
      </c>
      <c r="B3208">
        <v>200508</v>
      </c>
      <c r="C3208">
        <v>79348</v>
      </c>
      <c r="D3208">
        <v>121160</v>
      </c>
      <c r="E3208">
        <v>197252168</v>
      </c>
      <c r="F3208">
        <v>126265949</v>
      </c>
      <c r="G3208">
        <v>323518117</v>
      </c>
      <c r="H3208">
        <v>54771</v>
      </c>
      <c r="I3208">
        <v>10833</v>
      </c>
      <c r="J3208">
        <v>65604</v>
      </c>
      <c r="K3208" t="b">
        <f>TrafficData[[#This Row],[disposedChallan]]+TrafficData[[#This Row],[pendingChallan]]=TrafficData[[#This Row],[totalChallan]]</f>
        <v>1</v>
      </c>
      <c r="L3208" t="b">
        <f>TrafficData[[#This Row],[pendingAmount]]+TrafficData[[#This Row],[disposedAmount]]=TrafficData[[#This Row],[totalAmount]]</f>
        <v>1</v>
      </c>
      <c r="M3208" t="b">
        <f>TrafficData[[#This Row],[pendingCourt]]+TrafficData[[#This Row],[disposedCourt]]=TrafficData[[#This Row],[totalCourt]]</f>
        <v>1</v>
      </c>
      <c r="N3208" s="8" t="b">
        <f>AND(TrafficData[[#This Row],[disposedChallan]]&lt;=TrafficData[[#This Row],[totalChallan]],TrafficData[[#This Row],[pendingChallan]]&lt;=TrafficData[[#This Row],[totalChallan]])</f>
        <v>1</v>
      </c>
      <c r="O3208" s="8" t="b">
        <f>AND(TrafficData[[#This Row],[pendingAmount]]&lt;=TrafficData[[#This Row],[totalAmount]],TrafficData[[#This Row],[disposedAmount]]&lt;=TrafficData[[#This Row],[totalAmount]])</f>
        <v>1</v>
      </c>
      <c r="P3208" s="8" t="b">
        <f>AND(TrafficData[[#This Row],[pendingCourt]]&lt;=TrafficData[[#This Row],[totalCourt]],TrafficData[[#This Row],[disposedCourt]]&lt;=TrafficData[[#This Row],[totalCourt]])</f>
        <v>1</v>
      </c>
    </row>
    <row r="3209" spans="1:16">
      <c r="A3209" s="1">
        <v>45213</v>
      </c>
      <c r="B3209">
        <v>187467</v>
      </c>
      <c r="C3209">
        <v>73883</v>
      </c>
      <c r="D3209">
        <v>113584</v>
      </c>
      <c r="E3209">
        <v>174928363</v>
      </c>
      <c r="F3209">
        <v>101822955</v>
      </c>
      <c r="G3209">
        <v>276751318</v>
      </c>
      <c r="H3209">
        <v>52554</v>
      </c>
      <c r="I3209">
        <v>10556</v>
      </c>
      <c r="J3209">
        <v>63110</v>
      </c>
      <c r="K3209" t="b">
        <f>TrafficData[[#This Row],[disposedChallan]]+TrafficData[[#This Row],[pendingChallan]]=TrafficData[[#This Row],[totalChallan]]</f>
        <v>1</v>
      </c>
      <c r="L3209" t="b">
        <f>TrafficData[[#This Row],[pendingAmount]]+TrafficData[[#This Row],[disposedAmount]]=TrafficData[[#This Row],[totalAmount]]</f>
        <v>1</v>
      </c>
      <c r="M3209" t="b">
        <f>TrafficData[[#This Row],[pendingCourt]]+TrafficData[[#This Row],[disposedCourt]]=TrafficData[[#This Row],[totalCourt]]</f>
        <v>1</v>
      </c>
      <c r="N3209" s="8" t="b">
        <f>AND(TrafficData[[#This Row],[disposedChallan]]&lt;=TrafficData[[#This Row],[totalChallan]],TrafficData[[#This Row],[pendingChallan]]&lt;=TrafficData[[#This Row],[totalChallan]])</f>
        <v>1</v>
      </c>
      <c r="O3209" s="8" t="b">
        <f>AND(TrafficData[[#This Row],[pendingAmount]]&lt;=TrafficData[[#This Row],[totalAmount]],TrafficData[[#This Row],[disposedAmount]]&lt;=TrafficData[[#This Row],[totalAmount]])</f>
        <v>1</v>
      </c>
      <c r="P3209" s="8" t="b">
        <f>AND(TrafficData[[#This Row],[pendingCourt]]&lt;=TrafficData[[#This Row],[totalCourt]],TrafficData[[#This Row],[disposedCourt]]&lt;=TrafficData[[#This Row],[totalCourt]])</f>
        <v>1</v>
      </c>
    </row>
    <row r="3210" spans="1:16">
      <c r="A3210" s="1">
        <v>45214</v>
      </c>
      <c r="B3210">
        <v>185823</v>
      </c>
      <c r="C3210">
        <v>69770</v>
      </c>
      <c r="D3210">
        <v>116053</v>
      </c>
      <c r="E3210">
        <v>155661722</v>
      </c>
      <c r="F3210">
        <v>84602483</v>
      </c>
      <c r="G3210">
        <v>240264205</v>
      </c>
      <c r="H3210">
        <v>51713</v>
      </c>
      <c r="I3210">
        <v>10022</v>
      </c>
      <c r="J3210">
        <v>61735</v>
      </c>
      <c r="K3210" t="b">
        <f>TrafficData[[#This Row],[disposedChallan]]+TrafficData[[#This Row],[pendingChallan]]=TrafficData[[#This Row],[totalChallan]]</f>
        <v>1</v>
      </c>
      <c r="L3210" t="b">
        <f>TrafficData[[#This Row],[pendingAmount]]+TrafficData[[#This Row],[disposedAmount]]=TrafficData[[#This Row],[totalAmount]]</f>
        <v>1</v>
      </c>
      <c r="M3210" t="b">
        <f>TrafficData[[#This Row],[pendingCourt]]+TrafficData[[#This Row],[disposedCourt]]=TrafficData[[#This Row],[totalCourt]]</f>
        <v>1</v>
      </c>
      <c r="N3210" s="8" t="b">
        <f>AND(TrafficData[[#This Row],[disposedChallan]]&lt;=TrafficData[[#This Row],[totalChallan]],TrafficData[[#This Row],[pendingChallan]]&lt;=TrafficData[[#This Row],[totalChallan]])</f>
        <v>1</v>
      </c>
      <c r="O3210" s="8" t="b">
        <f>AND(TrafficData[[#This Row],[pendingAmount]]&lt;=TrafficData[[#This Row],[totalAmount]],TrafficData[[#This Row],[disposedAmount]]&lt;=TrafficData[[#This Row],[totalAmount]])</f>
        <v>1</v>
      </c>
      <c r="P3210" s="8" t="b">
        <f>AND(TrafficData[[#This Row],[pendingCourt]]&lt;=TrafficData[[#This Row],[totalCourt]],TrafficData[[#This Row],[disposedCourt]]&lt;=TrafficData[[#This Row],[totalCourt]])</f>
        <v>1</v>
      </c>
    </row>
    <row r="3211" spans="1:16">
      <c r="A3211" s="1">
        <v>45215</v>
      </c>
      <c r="B3211">
        <v>197199</v>
      </c>
      <c r="C3211">
        <v>74114</v>
      </c>
      <c r="D3211">
        <v>123085</v>
      </c>
      <c r="E3211">
        <v>191933019</v>
      </c>
      <c r="F3211">
        <v>104346314</v>
      </c>
      <c r="G3211">
        <v>296279333</v>
      </c>
      <c r="H3211">
        <v>57306</v>
      </c>
      <c r="I3211">
        <v>10116</v>
      </c>
      <c r="J3211">
        <v>67422</v>
      </c>
      <c r="K3211" t="b">
        <f>TrafficData[[#This Row],[disposedChallan]]+TrafficData[[#This Row],[pendingChallan]]=TrafficData[[#This Row],[totalChallan]]</f>
        <v>1</v>
      </c>
      <c r="L3211" t="b">
        <f>TrafficData[[#This Row],[pendingAmount]]+TrafficData[[#This Row],[disposedAmount]]=TrafficData[[#This Row],[totalAmount]]</f>
        <v>1</v>
      </c>
      <c r="M3211" t="b">
        <f>TrafficData[[#This Row],[pendingCourt]]+TrafficData[[#This Row],[disposedCourt]]=TrafficData[[#This Row],[totalCourt]]</f>
        <v>1</v>
      </c>
      <c r="N3211" s="8" t="b">
        <f>AND(TrafficData[[#This Row],[disposedChallan]]&lt;=TrafficData[[#This Row],[totalChallan]],TrafficData[[#This Row],[pendingChallan]]&lt;=TrafficData[[#This Row],[totalChallan]])</f>
        <v>1</v>
      </c>
      <c r="O3211" s="8" t="b">
        <f>AND(TrafficData[[#This Row],[pendingAmount]]&lt;=TrafficData[[#This Row],[totalAmount]],TrafficData[[#This Row],[disposedAmount]]&lt;=TrafficData[[#This Row],[totalAmount]])</f>
        <v>1</v>
      </c>
      <c r="P3211" s="8" t="b">
        <f>AND(TrafficData[[#This Row],[pendingCourt]]&lt;=TrafficData[[#This Row],[totalCourt]],TrafficData[[#This Row],[disposedCourt]]&lt;=TrafficData[[#This Row],[totalCourt]])</f>
        <v>1</v>
      </c>
    </row>
    <row r="3212" spans="1:16">
      <c r="A3212" s="1">
        <v>45216</v>
      </c>
      <c r="B3212">
        <v>197939</v>
      </c>
      <c r="C3212">
        <v>76547</v>
      </c>
      <c r="D3212">
        <v>121392</v>
      </c>
      <c r="E3212">
        <v>196711511</v>
      </c>
      <c r="F3212">
        <v>116660353</v>
      </c>
      <c r="G3212">
        <v>313371864</v>
      </c>
      <c r="H3212">
        <v>56644</v>
      </c>
      <c r="I3212">
        <v>10700</v>
      </c>
      <c r="J3212">
        <v>67344</v>
      </c>
      <c r="K3212" t="b">
        <f>TrafficData[[#This Row],[disposedChallan]]+TrafficData[[#This Row],[pendingChallan]]=TrafficData[[#This Row],[totalChallan]]</f>
        <v>1</v>
      </c>
      <c r="L3212" t="b">
        <f>TrafficData[[#This Row],[pendingAmount]]+TrafficData[[#This Row],[disposedAmount]]=TrafficData[[#This Row],[totalAmount]]</f>
        <v>1</v>
      </c>
      <c r="M3212" t="b">
        <f>TrafficData[[#This Row],[pendingCourt]]+TrafficData[[#This Row],[disposedCourt]]=TrafficData[[#This Row],[totalCourt]]</f>
        <v>1</v>
      </c>
      <c r="N3212" s="8" t="b">
        <f>AND(TrafficData[[#This Row],[disposedChallan]]&lt;=TrafficData[[#This Row],[totalChallan]],TrafficData[[#This Row],[pendingChallan]]&lt;=TrafficData[[#This Row],[totalChallan]])</f>
        <v>1</v>
      </c>
      <c r="O3212" s="8" t="b">
        <f>AND(TrafficData[[#This Row],[pendingAmount]]&lt;=TrafficData[[#This Row],[totalAmount]],TrafficData[[#This Row],[disposedAmount]]&lt;=TrafficData[[#This Row],[totalAmount]])</f>
        <v>1</v>
      </c>
      <c r="P3212" s="8" t="b">
        <f>AND(TrafficData[[#This Row],[pendingCourt]]&lt;=TrafficData[[#This Row],[totalCourt]],TrafficData[[#This Row],[disposedCourt]]&lt;=TrafficData[[#This Row],[totalCourt]])</f>
        <v>1</v>
      </c>
    </row>
    <row r="3213" spans="1:16">
      <c r="A3213" s="1">
        <v>45217</v>
      </c>
      <c r="B3213">
        <v>205208</v>
      </c>
      <c r="C3213">
        <v>78936</v>
      </c>
      <c r="D3213">
        <v>126272</v>
      </c>
      <c r="E3213">
        <v>203974700</v>
      </c>
      <c r="F3213">
        <v>120383009</v>
      </c>
      <c r="G3213">
        <v>324357709</v>
      </c>
      <c r="H3213">
        <v>58536</v>
      </c>
      <c r="I3213">
        <v>11230</v>
      </c>
      <c r="J3213">
        <v>69766</v>
      </c>
      <c r="K3213" t="b">
        <f>TrafficData[[#This Row],[disposedChallan]]+TrafficData[[#This Row],[pendingChallan]]=TrafficData[[#This Row],[totalChallan]]</f>
        <v>1</v>
      </c>
      <c r="L3213" t="b">
        <f>TrafficData[[#This Row],[pendingAmount]]+TrafficData[[#This Row],[disposedAmount]]=TrafficData[[#This Row],[totalAmount]]</f>
        <v>1</v>
      </c>
      <c r="M3213" t="b">
        <f>TrafficData[[#This Row],[pendingCourt]]+TrafficData[[#This Row],[disposedCourt]]=TrafficData[[#This Row],[totalCourt]]</f>
        <v>1</v>
      </c>
      <c r="N3213" s="8" t="b">
        <f>AND(TrafficData[[#This Row],[disposedChallan]]&lt;=TrafficData[[#This Row],[totalChallan]],TrafficData[[#This Row],[pendingChallan]]&lt;=TrafficData[[#This Row],[totalChallan]])</f>
        <v>1</v>
      </c>
      <c r="O3213" s="8" t="b">
        <f>AND(TrafficData[[#This Row],[pendingAmount]]&lt;=TrafficData[[#This Row],[totalAmount]],TrafficData[[#This Row],[disposedAmount]]&lt;=TrafficData[[#This Row],[totalAmount]])</f>
        <v>1</v>
      </c>
      <c r="P3213" s="8" t="b">
        <f>AND(TrafficData[[#This Row],[pendingCourt]]&lt;=TrafficData[[#This Row],[totalCourt]],TrafficData[[#This Row],[disposedCourt]]&lt;=TrafficData[[#This Row],[totalCourt]])</f>
        <v>1</v>
      </c>
    </row>
    <row r="3214" spans="1:16">
      <c r="A3214" s="1">
        <v>45218</v>
      </c>
      <c r="B3214">
        <v>204471</v>
      </c>
      <c r="C3214">
        <v>78426</v>
      </c>
      <c r="D3214">
        <v>126045</v>
      </c>
      <c r="E3214">
        <v>200421173</v>
      </c>
      <c r="F3214">
        <v>113979073</v>
      </c>
      <c r="G3214">
        <v>314400246</v>
      </c>
      <c r="H3214">
        <v>57756</v>
      </c>
      <c r="I3214">
        <v>10881</v>
      </c>
      <c r="J3214">
        <v>68637</v>
      </c>
      <c r="K3214" t="b">
        <f>TrafficData[[#This Row],[disposedChallan]]+TrafficData[[#This Row],[pendingChallan]]=TrafficData[[#This Row],[totalChallan]]</f>
        <v>1</v>
      </c>
      <c r="L3214" t="b">
        <f>TrafficData[[#This Row],[pendingAmount]]+TrafficData[[#This Row],[disposedAmount]]=TrafficData[[#This Row],[totalAmount]]</f>
        <v>1</v>
      </c>
      <c r="M3214" t="b">
        <f>TrafficData[[#This Row],[pendingCourt]]+TrafficData[[#This Row],[disposedCourt]]=TrafficData[[#This Row],[totalCourt]]</f>
        <v>1</v>
      </c>
      <c r="N3214" s="8" t="b">
        <f>AND(TrafficData[[#This Row],[disposedChallan]]&lt;=TrafficData[[#This Row],[totalChallan]],TrafficData[[#This Row],[pendingChallan]]&lt;=TrafficData[[#This Row],[totalChallan]])</f>
        <v>1</v>
      </c>
      <c r="O3214" s="8" t="b">
        <f>AND(TrafficData[[#This Row],[pendingAmount]]&lt;=TrafficData[[#This Row],[totalAmount]],TrafficData[[#This Row],[disposedAmount]]&lt;=TrafficData[[#This Row],[totalAmount]])</f>
        <v>1</v>
      </c>
      <c r="P3214" s="8" t="b">
        <f>AND(TrafficData[[#This Row],[pendingCourt]]&lt;=TrafficData[[#This Row],[totalCourt]],TrafficData[[#This Row],[disposedCourt]]&lt;=TrafficData[[#This Row],[totalCourt]])</f>
        <v>1</v>
      </c>
    </row>
    <row r="3215" spans="1:16">
      <c r="A3215" s="1">
        <v>45219</v>
      </c>
      <c r="B3215">
        <v>191769</v>
      </c>
      <c r="C3215">
        <v>75002</v>
      </c>
      <c r="D3215">
        <v>116767</v>
      </c>
      <c r="E3215">
        <v>182757530</v>
      </c>
      <c r="F3215">
        <v>107353304</v>
      </c>
      <c r="G3215">
        <v>290110834</v>
      </c>
      <c r="H3215">
        <v>52758</v>
      </c>
      <c r="I3215">
        <v>9990</v>
      </c>
      <c r="J3215">
        <v>62748</v>
      </c>
      <c r="K3215" t="b">
        <f>TrafficData[[#This Row],[disposedChallan]]+TrafficData[[#This Row],[pendingChallan]]=TrafficData[[#This Row],[totalChallan]]</f>
        <v>1</v>
      </c>
      <c r="L3215" t="b">
        <f>TrafficData[[#This Row],[pendingAmount]]+TrafficData[[#This Row],[disposedAmount]]=TrafficData[[#This Row],[totalAmount]]</f>
        <v>1</v>
      </c>
      <c r="M3215" t="b">
        <f>TrafficData[[#This Row],[pendingCourt]]+TrafficData[[#This Row],[disposedCourt]]=TrafficData[[#This Row],[totalCourt]]</f>
        <v>1</v>
      </c>
      <c r="N3215" s="8" t="b">
        <f>AND(TrafficData[[#This Row],[disposedChallan]]&lt;=TrafficData[[#This Row],[totalChallan]],TrafficData[[#This Row],[pendingChallan]]&lt;=TrafficData[[#This Row],[totalChallan]])</f>
        <v>1</v>
      </c>
      <c r="O3215" s="8" t="b">
        <f>AND(TrafficData[[#This Row],[pendingAmount]]&lt;=TrafficData[[#This Row],[totalAmount]],TrafficData[[#This Row],[disposedAmount]]&lt;=TrafficData[[#This Row],[totalAmount]])</f>
        <v>1</v>
      </c>
      <c r="P3215" s="8" t="b">
        <f>AND(TrafficData[[#This Row],[pendingCourt]]&lt;=TrafficData[[#This Row],[totalCourt]],TrafficData[[#This Row],[disposedCourt]]&lt;=TrafficData[[#This Row],[totalCourt]])</f>
        <v>1</v>
      </c>
    </row>
    <row r="3216" spans="1:16">
      <c r="A3216" s="1">
        <v>45220</v>
      </c>
      <c r="B3216">
        <v>198413</v>
      </c>
      <c r="C3216">
        <v>77725</v>
      </c>
      <c r="D3216">
        <v>120688</v>
      </c>
      <c r="E3216">
        <v>182020954</v>
      </c>
      <c r="F3216">
        <v>97246692</v>
      </c>
      <c r="G3216">
        <v>279267646</v>
      </c>
      <c r="H3216">
        <v>59431</v>
      </c>
      <c r="I3216">
        <v>11375</v>
      </c>
      <c r="J3216">
        <v>70806</v>
      </c>
      <c r="K3216" t="b">
        <f>TrafficData[[#This Row],[disposedChallan]]+TrafficData[[#This Row],[pendingChallan]]=TrafficData[[#This Row],[totalChallan]]</f>
        <v>1</v>
      </c>
      <c r="L3216" t="b">
        <f>TrafficData[[#This Row],[pendingAmount]]+TrafficData[[#This Row],[disposedAmount]]=TrafficData[[#This Row],[totalAmount]]</f>
        <v>1</v>
      </c>
      <c r="M3216" t="b">
        <f>TrafficData[[#This Row],[pendingCourt]]+TrafficData[[#This Row],[disposedCourt]]=TrafficData[[#This Row],[totalCourt]]</f>
        <v>1</v>
      </c>
      <c r="N3216" s="8" t="b">
        <f>AND(TrafficData[[#This Row],[disposedChallan]]&lt;=TrafficData[[#This Row],[totalChallan]],TrafficData[[#This Row],[pendingChallan]]&lt;=TrafficData[[#This Row],[totalChallan]])</f>
        <v>1</v>
      </c>
      <c r="O3216" s="8" t="b">
        <f>AND(TrafficData[[#This Row],[pendingAmount]]&lt;=TrafficData[[#This Row],[totalAmount]],TrafficData[[#This Row],[disposedAmount]]&lt;=TrafficData[[#This Row],[totalAmount]])</f>
        <v>1</v>
      </c>
      <c r="P3216" s="8" t="b">
        <f>AND(TrafficData[[#This Row],[pendingCourt]]&lt;=TrafficData[[#This Row],[totalCourt]],TrafficData[[#This Row],[disposedCourt]]&lt;=TrafficData[[#This Row],[totalCourt]])</f>
        <v>1</v>
      </c>
    </row>
    <row r="3217" spans="1:16">
      <c r="A3217" s="1">
        <v>45221</v>
      </c>
      <c r="B3217">
        <v>181876</v>
      </c>
      <c r="C3217">
        <v>68229</v>
      </c>
      <c r="D3217">
        <v>113647</v>
      </c>
      <c r="E3217">
        <v>157340630</v>
      </c>
      <c r="F3217">
        <v>76979653</v>
      </c>
      <c r="G3217">
        <v>234320283</v>
      </c>
      <c r="H3217">
        <v>52106</v>
      </c>
      <c r="I3217">
        <v>9944</v>
      </c>
      <c r="J3217">
        <v>62050</v>
      </c>
      <c r="K3217" t="b">
        <f>TrafficData[[#This Row],[disposedChallan]]+TrafficData[[#This Row],[pendingChallan]]=TrafficData[[#This Row],[totalChallan]]</f>
        <v>1</v>
      </c>
      <c r="L3217" t="b">
        <f>TrafficData[[#This Row],[pendingAmount]]+TrafficData[[#This Row],[disposedAmount]]=TrafficData[[#This Row],[totalAmount]]</f>
        <v>1</v>
      </c>
      <c r="M3217" t="b">
        <f>TrafficData[[#This Row],[pendingCourt]]+TrafficData[[#This Row],[disposedCourt]]=TrafficData[[#This Row],[totalCourt]]</f>
        <v>1</v>
      </c>
      <c r="N3217" s="8" t="b">
        <f>AND(TrafficData[[#This Row],[disposedChallan]]&lt;=TrafficData[[#This Row],[totalChallan]],TrafficData[[#This Row],[pendingChallan]]&lt;=TrafficData[[#This Row],[totalChallan]])</f>
        <v>1</v>
      </c>
      <c r="O3217" s="8" t="b">
        <f>AND(TrafficData[[#This Row],[pendingAmount]]&lt;=TrafficData[[#This Row],[totalAmount]],TrafficData[[#This Row],[disposedAmount]]&lt;=TrafficData[[#This Row],[totalAmount]])</f>
        <v>1</v>
      </c>
      <c r="P3217" s="8" t="b">
        <f>AND(TrafficData[[#This Row],[pendingCourt]]&lt;=TrafficData[[#This Row],[totalCourt]],TrafficData[[#This Row],[disposedCourt]]&lt;=TrafficData[[#This Row],[totalCourt]])</f>
        <v>1</v>
      </c>
    </row>
    <row r="3218" spans="1:16">
      <c r="A3218" s="1">
        <v>45222</v>
      </c>
      <c r="B3218">
        <v>173744</v>
      </c>
      <c r="C3218">
        <v>65381</v>
      </c>
      <c r="D3218">
        <v>108363</v>
      </c>
      <c r="E3218">
        <v>160556424</v>
      </c>
      <c r="F3218">
        <v>74384337</v>
      </c>
      <c r="G3218">
        <v>234940761</v>
      </c>
      <c r="H3218">
        <v>54529</v>
      </c>
      <c r="I3218">
        <v>10455</v>
      </c>
      <c r="J3218">
        <v>64984</v>
      </c>
      <c r="K3218" t="b">
        <f>TrafficData[[#This Row],[disposedChallan]]+TrafficData[[#This Row],[pendingChallan]]=TrafficData[[#This Row],[totalChallan]]</f>
        <v>1</v>
      </c>
      <c r="L3218" t="b">
        <f>TrafficData[[#This Row],[pendingAmount]]+TrafficData[[#This Row],[disposedAmount]]=TrafficData[[#This Row],[totalAmount]]</f>
        <v>1</v>
      </c>
      <c r="M3218" t="b">
        <f>TrafficData[[#This Row],[pendingCourt]]+TrafficData[[#This Row],[disposedCourt]]=TrafficData[[#This Row],[totalCourt]]</f>
        <v>1</v>
      </c>
      <c r="N3218" s="8" t="b">
        <f>AND(TrafficData[[#This Row],[disposedChallan]]&lt;=TrafficData[[#This Row],[totalChallan]],TrafficData[[#This Row],[pendingChallan]]&lt;=TrafficData[[#This Row],[totalChallan]])</f>
        <v>1</v>
      </c>
      <c r="O3218" s="8" t="b">
        <f>AND(TrafficData[[#This Row],[pendingAmount]]&lt;=TrafficData[[#This Row],[totalAmount]],TrafficData[[#This Row],[disposedAmount]]&lt;=TrafficData[[#This Row],[totalAmount]])</f>
        <v>1</v>
      </c>
      <c r="P3218" s="8" t="b">
        <f>AND(TrafficData[[#This Row],[pendingCourt]]&lt;=TrafficData[[#This Row],[totalCourt]],TrafficData[[#This Row],[disposedCourt]]&lt;=TrafficData[[#This Row],[totalCourt]])</f>
        <v>1</v>
      </c>
    </row>
    <row r="3219" spans="1:16">
      <c r="A3219" s="1">
        <v>45223</v>
      </c>
      <c r="B3219">
        <v>159986</v>
      </c>
      <c r="C3219">
        <v>58909</v>
      </c>
      <c r="D3219">
        <v>101077</v>
      </c>
      <c r="E3219">
        <v>137689270</v>
      </c>
      <c r="F3219">
        <v>60776279</v>
      </c>
      <c r="G3219">
        <v>198465549</v>
      </c>
      <c r="H3219">
        <v>47033</v>
      </c>
      <c r="I3219">
        <v>9038</v>
      </c>
      <c r="J3219">
        <v>56071</v>
      </c>
      <c r="K3219" t="b">
        <f>TrafficData[[#This Row],[disposedChallan]]+TrafficData[[#This Row],[pendingChallan]]=TrafficData[[#This Row],[totalChallan]]</f>
        <v>1</v>
      </c>
      <c r="L3219" t="b">
        <f>TrafficData[[#This Row],[pendingAmount]]+TrafficData[[#This Row],[disposedAmount]]=TrafficData[[#This Row],[totalAmount]]</f>
        <v>1</v>
      </c>
      <c r="M3219" t="b">
        <f>TrafficData[[#This Row],[pendingCourt]]+TrafficData[[#This Row],[disposedCourt]]=TrafficData[[#This Row],[totalCourt]]</f>
        <v>1</v>
      </c>
      <c r="N3219" s="8" t="b">
        <f>AND(TrafficData[[#This Row],[disposedChallan]]&lt;=TrafficData[[#This Row],[totalChallan]],TrafficData[[#This Row],[pendingChallan]]&lt;=TrafficData[[#This Row],[totalChallan]])</f>
        <v>1</v>
      </c>
      <c r="O3219" s="8" t="b">
        <f>AND(TrafficData[[#This Row],[pendingAmount]]&lt;=TrafficData[[#This Row],[totalAmount]],TrafficData[[#This Row],[disposedAmount]]&lt;=TrafficData[[#This Row],[totalAmount]])</f>
        <v>1</v>
      </c>
      <c r="P3219" s="8" t="b">
        <f>AND(TrafficData[[#This Row],[pendingCourt]]&lt;=TrafficData[[#This Row],[totalCourt]],TrafficData[[#This Row],[disposedCourt]]&lt;=TrafficData[[#This Row],[totalCourt]])</f>
        <v>1</v>
      </c>
    </row>
    <row r="3220" spans="1:16">
      <c r="A3220" s="1">
        <v>45224</v>
      </c>
      <c r="B3220">
        <v>187300</v>
      </c>
      <c r="C3220">
        <v>69580</v>
      </c>
      <c r="D3220">
        <v>117720</v>
      </c>
      <c r="E3220">
        <v>180797605</v>
      </c>
      <c r="F3220">
        <v>90124521</v>
      </c>
      <c r="G3220">
        <v>270922126</v>
      </c>
      <c r="H3220">
        <v>57562</v>
      </c>
      <c r="I3220">
        <v>10383</v>
      </c>
      <c r="J3220">
        <v>67945</v>
      </c>
      <c r="K3220" t="b">
        <f>TrafficData[[#This Row],[disposedChallan]]+TrafficData[[#This Row],[pendingChallan]]=TrafficData[[#This Row],[totalChallan]]</f>
        <v>1</v>
      </c>
      <c r="L3220" t="b">
        <f>TrafficData[[#This Row],[pendingAmount]]+TrafficData[[#This Row],[disposedAmount]]=TrafficData[[#This Row],[totalAmount]]</f>
        <v>1</v>
      </c>
      <c r="M3220" t="b">
        <f>TrafficData[[#This Row],[pendingCourt]]+TrafficData[[#This Row],[disposedCourt]]=TrafficData[[#This Row],[totalCourt]]</f>
        <v>1</v>
      </c>
      <c r="N3220" s="8" t="b">
        <f>AND(TrafficData[[#This Row],[disposedChallan]]&lt;=TrafficData[[#This Row],[totalChallan]],TrafficData[[#This Row],[pendingChallan]]&lt;=TrafficData[[#This Row],[totalChallan]])</f>
        <v>1</v>
      </c>
      <c r="O3220" s="8" t="b">
        <f>AND(TrafficData[[#This Row],[pendingAmount]]&lt;=TrafficData[[#This Row],[totalAmount]],TrafficData[[#This Row],[disposedAmount]]&lt;=TrafficData[[#This Row],[totalAmount]])</f>
        <v>1</v>
      </c>
      <c r="P3220" s="8" t="b">
        <f>AND(TrafficData[[#This Row],[pendingCourt]]&lt;=TrafficData[[#This Row],[totalCourt]],TrafficData[[#This Row],[disposedCourt]]&lt;=TrafficData[[#This Row],[totalCourt]])</f>
        <v>1</v>
      </c>
    </row>
    <row r="3221" spans="1:16">
      <c r="A3221" s="1">
        <v>45225</v>
      </c>
      <c r="B3221">
        <v>190434</v>
      </c>
      <c r="C3221">
        <v>73329</v>
      </c>
      <c r="D3221">
        <v>117105</v>
      </c>
      <c r="E3221">
        <v>192038431</v>
      </c>
      <c r="F3221">
        <v>110953713</v>
      </c>
      <c r="G3221">
        <v>302992144</v>
      </c>
      <c r="H3221">
        <v>58571</v>
      </c>
      <c r="I3221">
        <v>10803</v>
      </c>
      <c r="J3221">
        <v>69374</v>
      </c>
      <c r="K3221" t="b">
        <f>TrafficData[[#This Row],[disposedChallan]]+TrafficData[[#This Row],[pendingChallan]]=TrafficData[[#This Row],[totalChallan]]</f>
        <v>1</v>
      </c>
      <c r="L3221" t="b">
        <f>TrafficData[[#This Row],[pendingAmount]]+TrafficData[[#This Row],[disposedAmount]]=TrafficData[[#This Row],[totalAmount]]</f>
        <v>1</v>
      </c>
      <c r="M3221" t="b">
        <f>TrafficData[[#This Row],[pendingCourt]]+TrafficData[[#This Row],[disposedCourt]]=TrafficData[[#This Row],[totalCourt]]</f>
        <v>1</v>
      </c>
      <c r="N3221" s="8" t="b">
        <f>AND(TrafficData[[#This Row],[disposedChallan]]&lt;=TrafficData[[#This Row],[totalChallan]],TrafficData[[#This Row],[pendingChallan]]&lt;=TrafficData[[#This Row],[totalChallan]])</f>
        <v>1</v>
      </c>
      <c r="O3221" s="8" t="b">
        <f>AND(TrafficData[[#This Row],[pendingAmount]]&lt;=TrafficData[[#This Row],[totalAmount]],TrafficData[[#This Row],[disposedAmount]]&lt;=TrafficData[[#This Row],[totalAmount]])</f>
        <v>1</v>
      </c>
      <c r="P3221" s="8" t="b">
        <f>AND(TrafficData[[#This Row],[pendingCourt]]&lt;=TrafficData[[#This Row],[totalCourt]],TrafficData[[#This Row],[disposedCourt]]&lt;=TrafficData[[#This Row],[totalCourt]])</f>
        <v>1</v>
      </c>
    </row>
    <row r="3222" spans="1:16">
      <c r="A3222" s="1">
        <v>45226</v>
      </c>
      <c r="B3222">
        <v>193713</v>
      </c>
      <c r="C3222">
        <v>74038</v>
      </c>
      <c r="D3222">
        <v>119675</v>
      </c>
      <c r="E3222">
        <v>201719818</v>
      </c>
      <c r="F3222">
        <v>169348964</v>
      </c>
      <c r="G3222">
        <v>371068782</v>
      </c>
      <c r="H3222">
        <v>62645</v>
      </c>
      <c r="I3222">
        <v>11618</v>
      </c>
      <c r="J3222">
        <v>74263</v>
      </c>
      <c r="K3222" t="b">
        <f>TrafficData[[#This Row],[disposedChallan]]+TrafficData[[#This Row],[pendingChallan]]=TrafficData[[#This Row],[totalChallan]]</f>
        <v>1</v>
      </c>
      <c r="L3222" t="b">
        <f>TrafficData[[#This Row],[pendingAmount]]+TrafficData[[#This Row],[disposedAmount]]=TrafficData[[#This Row],[totalAmount]]</f>
        <v>1</v>
      </c>
      <c r="M3222" t="b">
        <f>TrafficData[[#This Row],[pendingCourt]]+TrafficData[[#This Row],[disposedCourt]]=TrafficData[[#This Row],[totalCourt]]</f>
        <v>1</v>
      </c>
      <c r="N3222" s="8" t="b">
        <f>AND(TrafficData[[#This Row],[disposedChallan]]&lt;=TrafficData[[#This Row],[totalChallan]],TrafficData[[#This Row],[pendingChallan]]&lt;=TrafficData[[#This Row],[totalChallan]])</f>
        <v>1</v>
      </c>
      <c r="O3222" s="8" t="b">
        <f>AND(TrafficData[[#This Row],[pendingAmount]]&lt;=TrafficData[[#This Row],[totalAmount]],TrafficData[[#This Row],[disposedAmount]]&lt;=TrafficData[[#This Row],[totalAmount]])</f>
        <v>1</v>
      </c>
      <c r="P3222" s="8" t="b">
        <f>AND(TrafficData[[#This Row],[pendingCourt]]&lt;=TrafficData[[#This Row],[totalCourt]],TrafficData[[#This Row],[disposedCourt]]&lt;=TrafficData[[#This Row],[totalCourt]])</f>
        <v>1</v>
      </c>
    </row>
    <row r="3223" spans="1:16">
      <c r="A3223" s="1">
        <v>45227</v>
      </c>
      <c r="B3223">
        <v>182495</v>
      </c>
      <c r="C3223">
        <v>73355</v>
      </c>
      <c r="D3223">
        <v>109140</v>
      </c>
      <c r="E3223">
        <v>185479828</v>
      </c>
      <c r="F3223">
        <v>105976191</v>
      </c>
      <c r="G3223">
        <v>291456019</v>
      </c>
      <c r="H3223">
        <v>56045</v>
      </c>
      <c r="I3223">
        <v>11265</v>
      </c>
      <c r="J3223">
        <v>67310</v>
      </c>
      <c r="K3223" t="b">
        <f>TrafficData[[#This Row],[disposedChallan]]+TrafficData[[#This Row],[pendingChallan]]=TrafficData[[#This Row],[totalChallan]]</f>
        <v>1</v>
      </c>
      <c r="L3223" t="b">
        <f>TrafficData[[#This Row],[pendingAmount]]+TrafficData[[#This Row],[disposedAmount]]=TrafficData[[#This Row],[totalAmount]]</f>
        <v>1</v>
      </c>
      <c r="M3223" t="b">
        <f>TrafficData[[#This Row],[pendingCourt]]+TrafficData[[#This Row],[disposedCourt]]=TrafficData[[#This Row],[totalCourt]]</f>
        <v>1</v>
      </c>
      <c r="N3223" s="8" t="b">
        <f>AND(TrafficData[[#This Row],[disposedChallan]]&lt;=TrafficData[[#This Row],[totalChallan]],TrafficData[[#This Row],[pendingChallan]]&lt;=TrafficData[[#This Row],[totalChallan]])</f>
        <v>1</v>
      </c>
      <c r="O3223" s="8" t="b">
        <f>AND(TrafficData[[#This Row],[pendingAmount]]&lt;=TrafficData[[#This Row],[totalAmount]],TrafficData[[#This Row],[disposedAmount]]&lt;=TrafficData[[#This Row],[totalAmount]])</f>
        <v>1</v>
      </c>
      <c r="P3223" s="8" t="b">
        <f>AND(TrafficData[[#This Row],[pendingCourt]]&lt;=TrafficData[[#This Row],[totalCourt]],TrafficData[[#This Row],[disposedCourt]]&lt;=TrafficData[[#This Row],[totalCourt]])</f>
        <v>1</v>
      </c>
    </row>
    <row r="3224" spans="1:16">
      <c r="A3224" s="1">
        <v>45228</v>
      </c>
      <c r="B3224">
        <v>171833</v>
      </c>
      <c r="C3224">
        <v>66143</v>
      </c>
      <c r="D3224">
        <v>105690</v>
      </c>
      <c r="E3224">
        <v>153196320</v>
      </c>
      <c r="F3224">
        <v>85700896</v>
      </c>
      <c r="G3224">
        <v>238897216</v>
      </c>
      <c r="H3224">
        <v>55174</v>
      </c>
      <c r="I3224">
        <v>10273</v>
      </c>
      <c r="J3224">
        <v>65447</v>
      </c>
      <c r="K3224" t="b">
        <f>TrafficData[[#This Row],[disposedChallan]]+TrafficData[[#This Row],[pendingChallan]]=TrafficData[[#This Row],[totalChallan]]</f>
        <v>1</v>
      </c>
      <c r="L3224" t="b">
        <f>TrafficData[[#This Row],[pendingAmount]]+TrafficData[[#This Row],[disposedAmount]]=TrafficData[[#This Row],[totalAmount]]</f>
        <v>1</v>
      </c>
      <c r="M3224" t="b">
        <f>TrafficData[[#This Row],[pendingCourt]]+TrafficData[[#This Row],[disposedCourt]]=TrafficData[[#This Row],[totalCourt]]</f>
        <v>1</v>
      </c>
      <c r="N3224" s="8" t="b">
        <f>AND(TrafficData[[#This Row],[disposedChallan]]&lt;=TrafficData[[#This Row],[totalChallan]],TrafficData[[#This Row],[pendingChallan]]&lt;=TrafficData[[#This Row],[totalChallan]])</f>
        <v>1</v>
      </c>
      <c r="O3224" s="8" t="b">
        <f>AND(TrafficData[[#This Row],[pendingAmount]]&lt;=TrafficData[[#This Row],[totalAmount]],TrafficData[[#This Row],[disposedAmount]]&lt;=TrafficData[[#This Row],[totalAmount]])</f>
        <v>1</v>
      </c>
      <c r="P3224" s="8" t="b">
        <f>AND(TrafficData[[#This Row],[pendingCourt]]&lt;=TrafficData[[#This Row],[totalCourt]],TrafficData[[#This Row],[disposedCourt]]&lt;=TrafficData[[#This Row],[totalCourt]])</f>
        <v>1</v>
      </c>
    </row>
    <row r="3225" spans="1:16">
      <c r="A3225" s="1">
        <v>45229</v>
      </c>
      <c r="B3225">
        <v>188268</v>
      </c>
      <c r="C3225">
        <v>71775</v>
      </c>
      <c r="D3225">
        <v>116493</v>
      </c>
      <c r="E3225">
        <v>190731233</v>
      </c>
      <c r="F3225">
        <v>101766856</v>
      </c>
      <c r="G3225">
        <v>292498089</v>
      </c>
      <c r="H3225">
        <v>61475</v>
      </c>
      <c r="I3225">
        <v>11075</v>
      </c>
      <c r="J3225">
        <v>72550</v>
      </c>
      <c r="K3225" t="b">
        <f>TrafficData[[#This Row],[disposedChallan]]+TrafficData[[#This Row],[pendingChallan]]=TrafficData[[#This Row],[totalChallan]]</f>
        <v>1</v>
      </c>
      <c r="L3225" t="b">
        <f>TrafficData[[#This Row],[pendingAmount]]+TrafficData[[#This Row],[disposedAmount]]=TrafficData[[#This Row],[totalAmount]]</f>
        <v>1</v>
      </c>
      <c r="M3225" t="b">
        <f>TrafficData[[#This Row],[pendingCourt]]+TrafficData[[#This Row],[disposedCourt]]=TrafficData[[#This Row],[totalCourt]]</f>
        <v>1</v>
      </c>
      <c r="N3225" s="8" t="b">
        <f>AND(TrafficData[[#This Row],[disposedChallan]]&lt;=TrafficData[[#This Row],[totalChallan]],TrafficData[[#This Row],[pendingChallan]]&lt;=TrafficData[[#This Row],[totalChallan]])</f>
        <v>1</v>
      </c>
      <c r="O3225" s="8" t="b">
        <f>AND(TrafficData[[#This Row],[pendingAmount]]&lt;=TrafficData[[#This Row],[totalAmount]],TrafficData[[#This Row],[disposedAmount]]&lt;=TrafficData[[#This Row],[totalAmount]])</f>
        <v>1</v>
      </c>
      <c r="P3225" s="8" t="b">
        <f>AND(TrafficData[[#This Row],[pendingCourt]]&lt;=TrafficData[[#This Row],[totalCourt]],TrafficData[[#This Row],[disposedCourt]]&lt;=TrafficData[[#This Row],[totalCourt]])</f>
        <v>1</v>
      </c>
    </row>
    <row r="3226" spans="1:16">
      <c r="A3226" s="1">
        <v>45230</v>
      </c>
      <c r="B3226">
        <v>194911</v>
      </c>
      <c r="C3226">
        <v>75565</v>
      </c>
      <c r="D3226">
        <v>119346</v>
      </c>
      <c r="E3226">
        <v>191114289</v>
      </c>
      <c r="F3226">
        <v>103131265</v>
      </c>
      <c r="G3226">
        <v>294245554</v>
      </c>
      <c r="H3226">
        <v>57298</v>
      </c>
      <c r="I3226">
        <v>10639</v>
      </c>
      <c r="J3226">
        <v>67937</v>
      </c>
      <c r="K3226" t="b">
        <f>TrafficData[[#This Row],[disposedChallan]]+TrafficData[[#This Row],[pendingChallan]]=TrafficData[[#This Row],[totalChallan]]</f>
        <v>1</v>
      </c>
      <c r="L3226" t="b">
        <f>TrafficData[[#This Row],[pendingAmount]]+TrafficData[[#This Row],[disposedAmount]]=TrafficData[[#This Row],[totalAmount]]</f>
        <v>1</v>
      </c>
      <c r="M3226" t="b">
        <f>TrafficData[[#This Row],[pendingCourt]]+TrafficData[[#This Row],[disposedCourt]]=TrafficData[[#This Row],[totalCourt]]</f>
        <v>1</v>
      </c>
      <c r="N3226" s="8" t="b">
        <f>AND(TrafficData[[#This Row],[disposedChallan]]&lt;=TrafficData[[#This Row],[totalChallan]],TrafficData[[#This Row],[pendingChallan]]&lt;=TrafficData[[#This Row],[totalChallan]])</f>
        <v>1</v>
      </c>
      <c r="O3226" s="8" t="b">
        <f>AND(TrafficData[[#This Row],[pendingAmount]]&lt;=TrafficData[[#This Row],[totalAmount]],TrafficData[[#This Row],[disposedAmount]]&lt;=TrafficData[[#This Row],[totalAmount]])</f>
        <v>1</v>
      </c>
      <c r="P3226" s="8" t="b">
        <f>AND(TrafficData[[#This Row],[pendingCourt]]&lt;=TrafficData[[#This Row],[totalCourt]],TrafficData[[#This Row],[disposedCourt]]&lt;=TrafficData[[#This Row],[totalCourt]])</f>
        <v>1</v>
      </c>
    </row>
    <row r="3227" spans="1:16">
      <c r="A3227" s="1">
        <v>45231</v>
      </c>
      <c r="B3227">
        <v>198241</v>
      </c>
      <c r="C3227">
        <v>77678</v>
      </c>
      <c r="D3227">
        <v>120563</v>
      </c>
      <c r="E3227">
        <v>187786763</v>
      </c>
      <c r="F3227">
        <v>114344543</v>
      </c>
      <c r="G3227">
        <v>302131306</v>
      </c>
      <c r="H3227">
        <v>59803</v>
      </c>
      <c r="I3227">
        <v>10836</v>
      </c>
      <c r="J3227">
        <v>70639</v>
      </c>
      <c r="K3227" t="b">
        <f>TrafficData[[#This Row],[disposedChallan]]+TrafficData[[#This Row],[pendingChallan]]=TrafficData[[#This Row],[totalChallan]]</f>
        <v>1</v>
      </c>
      <c r="L3227" t="b">
        <f>TrafficData[[#This Row],[pendingAmount]]+TrafficData[[#This Row],[disposedAmount]]=TrafficData[[#This Row],[totalAmount]]</f>
        <v>1</v>
      </c>
      <c r="M3227" t="b">
        <f>TrafficData[[#This Row],[pendingCourt]]+TrafficData[[#This Row],[disposedCourt]]=TrafficData[[#This Row],[totalCourt]]</f>
        <v>1</v>
      </c>
      <c r="N3227" s="8" t="b">
        <f>AND(TrafficData[[#This Row],[disposedChallan]]&lt;=TrafficData[[#This Row],[totalChallan]],TrafficData[[#This Row],[pendingChallan]]&lt;=TrafficData[[#This Row],[totalChallan]])</f>
        <v>1</v>
      </c>
      <c r="O3227" s="8" t="b">
        <f>AND(TrafficData[[#This Row],[pendingAmount]]&lt;=TrafficData[[#This Row],[totalAmount]],TrafficData[[#This Row],[disposedAmount]]&lt;=TrafficData[[#This Row],[totalAmount]])</f>
        <v>1</v>
      </c>
      <c r="P3227" s="8" t="b">
        <f>AND(TrafficData[[#This Row],[pendingCourt]]&lt;=TrafficData[[#This Row],[totalCourt]],TrafficData[[#This Row],[disposedCourt]]&lt;=TrafficData[[#This Row],[totalCourt]])</f>
        <v>1</v>
      </c>
    </row>
    <row r="3228" spans="1:16">
      <c r="A3228" s="1">
        <v>45232</v>
      </c>
      <c r="B3228">
        <v>217999</v>
      </c>
      <c r="C3228">
        <v>82686</v>
      </c>
      <c r="D3228">
        <v>135313</v>
      </c>
      <c r="E3228">
        <v>216855617</v>
      </c>
      <c r="F3228">
        <v>128951817</v>
      </c>
      <c r="G3228">
        <v>345807434</v>
      </c>
      <c r="H3228">
        <v>71248</v>
      </c>
      <c r="I3228">
        <v>12160</v>
      </c>
      <c r="J3228">
        <v>83408</v>
      </c>
      <c r="K3228" t="b">
        <f>TrafficData[[#This Row],[disposedChallan]]+TrafficData[[#This Row],[pendingChallan]]=TrafficData[[#This Row],[totalChallan]]</f>
        <v>1</v>
      </c>
      <c r="L3228" t="b">
        <f>TrafficData[[#This Row],[pendingAmount]]+TrafficData[[#This Row],[disposedAmount]]=TrafficData[[#This Row],[totalAmount]]</f>
        <v>1</v>
      </c>
      <c r="M3228" t="b">
        <f>TrafficData[[#This Row],[pendingCourt]]+TrafficData[[#This Row],[disposedCourt]]=TrafficData[[#This Row],[totalCourt]]</f>
        <v>1</v>
      </c>
      <c r="N3228" s="8" t="b">
        <f>AND(TrafficData[[#This Row],[disposedChallan]]&lt;=TrafficData[[#This Row],[totalChallan]],TrafficData[[#This Row],[pendingChallan]]&lt;=TrafficData[[#This Row],[totalChallan]])</f>
        <v>1</v>
      </c>
      <c r="O3228" s="8" t="b">
        <f>AND(TrafficData[[#This Row],[pendingAmount]]&lt;=TrafficData[[#This Row],[totalAmount]],TrafficData[[#This Row],[disposedAmount]]&lt;=TrafficData[[#This Row],[totalAmount]])</f>
        <v>1</v>
      </c>
      <c r="P3228" s="8" t="b">
        <f>AND(TrafficData[[#This Row],[pendingCourt]]&lt;=TrafficData[[#This Row],[totalCourt]],TrafficData[[#This Row],[disposedCourt]]&lt;=TrafficData[[#This Row],[totalCourt]])</f>
        <v>1</v>
      </c>
    </row>
    <row r="3229" spans="1:16">
      <c r="A3229" s="1">
        <v>45233</v>
      </c>
      <c r="B3229">
        <v>218048</v>
      </c>
      <c r="C3229">
        <v>79984</v>
      </c>
      <c r="D3229">
        <v>138064</v>
      </c>
      <c r="E3229">
        <v>236381578</v>
      </c>
      <c r="F3229">
        <v>134899675</v>
      </c>
      <c r="G3229">
        <v>371281253</v>
      </c>
      <c r="H3229">
        <v>74803</v>
      </c>
      <c r="I3229">
        <v>13263</v>
      </c>
      <c r="J3229">
        <v>88066</v>
      </c>
      <c r="K3229" t="b">
        <f>TrafficData[[#This Row],[disposedChallan]]+TrafficData[[#This Row],[pendingChallan]]=TrafficData[[#This Row],[totalChallan]]</f>
        <v>1</v>
      </c>
      <c r="L3229" t="b">
        <f>TrafficData[[#This Row],[pendingAmount]]+TrafficData[[#This Row],[disposedAmount]]=TrafficData[[#This Row],[totalAmount]]</f>
        <v>1</v>
      </c>
      <c r="M3229" t="b">
        <f>TrafficData[[#This Row],[pendingCourt]]+TrafficData[[#This Row],[disposedCourt]]=TrafficData[[#This Row],[totalCourt]]</f>
        <v>1</v>
      </c>
      <c r="N3229" s="8" t="b">
        <f>AND(TrafficData[[#This Row],[disposedChallan]]&lt;=TrafficData[[#This Row],[totalChallan]],TrafficData[[#This Row],[pendingChallan]]&lt;=TrafficData[[#This Row],[totalChallan]])</f>
        <v>1</v>
      </c>
      <c r="O3229" s="8" t="b">
        <f>AND(TrafficData[[#This Row],[pendingAmount]]&lt;=TrafficData[[#This Row],[totalAmount]],TrafficData[[#This Row],[disposedAmount]]&lt;=TrafficData[[#This Row],[totalAmount]])</f>
        <v>1</v>
      </c>
      <c r="P3229" s="8" t="b">
        <f>AND(TrafficData[[#This Row],[pendingCourt]]&lt;=TrafficData[[#This Row],[totalCourt]],TrafficData[[#This Row],[disposedCourt]]&lt;=TrafficData[[#This Row],[totalCourt]])</f>
        <v>1</v>
      </c>
    </row>
    <row r="3230" spans="1:16">
      <c r="A3230" s="1">
        <v>45234</v>
      </c>
      <c r="B3230">
        <v>223163</v>
      </c>
      <c r="C3230">
        <v>83213</v>
      </c>
      <c r="D3230">
        <v>139950</v>
      </c>
      <c r="E3230">
        <v>247407756</v>
      </c>
      <c r="F3230">
        <v>134705552</v>
      </c>
      <c r="G3230">
        <v>382113308</v>
      </c>
      <c r="H3230">
        <v>82760</v>
      </c>
      <c r="I3230">
        <v>14677</v>
      </c>
      <c r="J3230">
        <v>97437</v>
      </c>
      <c r="K3230" t="b">
        <f>TrafficData[[#This Row],[disposedChallan]]+TrafficData[[#This Row],[pendingChallan]]=TrafficData[[#This Row],[totalChallan]]</f>
        <v>1</v>
      </c>
      <c r="L3230" t="b">
        <f>TrafficData[[#This Row],[pendingAmount]]+TrafficData[[#This Row],[disposedAmount]]=TrafficData[[#This Row],[totalAmount]]</f>
        <v>1</v>
      </c>
      <c r="M3230" t="b">
        <f>TrafficData[[#This Row],[pendingCourt]]+TrafficData[[#This Row],[disposedCourt]]=TrafficData[[#This Row],[totalCourt]]</f>
        <v>1</v>
      </c>
      <c r="N3230" s="8" t="b">
        <f>AND(TrafficData[[#This Row],[disposedChallan]]&lt;=TrafficData[[#This Row],[totalChallan]],TrafficData[[#This Row],[pendingChallan]]&lt;=TrafficData[[#This Row],[totalChallan]])</f>
        <v>1</v>
      </c>
      <c r="O3230" s="8" t="b">
        <f>AND(TrafficData[[#This Row],[pendingAmount]]&lt;=TrafficData[[#This Row],[totalAmount]],TrafficData[[#This Row],[disposedAmount]]&lt;=TrafficData[[#This Row],[totalAmount]])</f>
        <v>1</v>
      </c>
      <c r="P3230" s="8" t="b">
        <f>AND(TrafficData[[#This Row],[pendingCourt]]&lt;=TrafficData[[#This Row],[totalCourt]],TrafficData[[#This Row],[disposedCourt]]&lt;=TrafficData[[#This Row],[totalCourt]])</f>
        <v>1</v>
      </c>
    </row>
    <row r="3231" spans="1:16">
      <c r="A3231" s="1">
        <v>45235</v>
      </c>
      <c r="B3231">
        <v>215521</v>
      </c>
      <c r="C3231">
        <v>76278</v>
      </c>
      <c r="D3231">
        <v>139243</v>
      </c>
      <c r="E3231">
        <v>223384919</v>
      </c>
      <c r="F3231">
        <v>102465323</v>
      </c>
      <c r="G3231">
        <v>325850242</v>
      </c>
      <c r="H3231">
        <v>76271</v>
      </c>
      <c r="I3231">
        <v>12621</v>
      </c>
      <c r="J3231">
        <v>88892</v>
      </c>
      <c r="K3231" t="b">
        <f>TrafficData[[#This Row],[disposedChallan]]+TrafficData[[#This Row],[pendingChallan]]=TrafficData[[#This Row],[totalChallan]]</f>
        <v>1</v>
      </c>
      <c r="L3231" t="b">
        <f>TrafficData[[#This Row],[pendingAmount]]+TrafficData[[#This Row],[disposedAmount]]=TrafficData[[#This Row],[totalAmount]]</f>
        <v>1</v>
      </c>
      <c r="M3231" t="b">
        <f>TrafficData[[#This Row],[pendingCourt]]+TrafficData[[#This Row],[disposedCourt]]=TrafficData[[#This Row],[totalCourt]]</f>
        <v>1</v>
      </c>
      <c r="N3231" s="8" t="b">
        <f>AND(TrafficData[[#This Row],[disposedChallan]]&lt;=TrafficData[[#This Row],[totalChallan]],TrafficData[[#This Row],[pendingChallan]]&lt;=TrafficData[[#This Row],[totalChallan]])</f>
        <v>1</v>
      </c>
      <c r="O3231" s="8" t="b">
        <f>AND(TrafficData[[#This Row],[pendingAmount]]&lt;=TrafficData[[#This Row],[totalAmount]],TrafficData[[#This Row],[disposedAmount]]&lt;=TrafficData[[#This Row],[totalAmount]])</f>
        <v>1</v>
      </c>
      <c r="P3231" s="8" t="b">
        <f>AND(TrafficData[[#This Row],[pendingCourt]]&lt;=TrafficData[[#This Row],[totalCourt]],TrafficData[[#This Row],[disposedCourt]]&lt;=TrafficData[[#This Row],[totalCourt]])</f>
        <v>1</v>
      </c>
    </row>
    <row r="3232" spans="1:16">
      <c r="A3232" s="1">
        <v>45236</v>
      </c>
      <c r="B3232">
        <v>232098</v>
      </c>
      <c r="C3232">
        <v>82463</v>
      </c>
      <c r="D3232">
        <v>149635</v>
      </c>
      <c r="E3232">
        <v>254794565</v>
      </c>
      <c r="F3232">
        <v>122208141</v>
      </c>
      <c r="G3232">
        <v>377002706</v>
      </c>
      <c r="H3232">
        <v>87258</v>
      </c>
      <c r="I3232">
        <v>14902</v>
      </c>
      <c r="J3232">
        <v>102160</v>
      </c>
      <c r="K3232" t="b">
        <f>TrafficData[[#This Row],[disposedChallan]]+TrafficData[[#This Row],[pendingChallan]]=TrafficData[[#This Row],[totalChallan]]</f>
        <v>1</v>
      </c>
      <c r="L3232" t="b">
        <f>TrafficData[[#This Row],[pendingAmount]]+TrafficData[[#This Row],[disposedAmount]]=TrafficData[[#This Row],[totalAmount]]</f>
        <v>1</v>
      </c>
      <c r="M3232" t="b">
        <f>TrafficData[[#This Row],[pendingCourt]]+TrafficData[[#This Row],[disposedCourt]]=TrafficData[[#This Row],[totalCourt]]</f>
        <v>1</v>
      </c>
      <c r="N3232" s="8" t="b">
        <f>AND(TrafficData[[#This Row],[disposedChallan]]&lt;=TrafficData[[#This Row],[totalChallan]],TrafficData[[#This Row],[pendingChallan]]&lt;=TrafficData[[#This Row],[totalChallan]])</f>
        <v>1</v>
      </c>
      <c r="O3232" s="8" t="b">
        <f>AND(TrafficData[[#This Row],[pendingAmount]]&lt;=TrafficData[[#This Row],[totalAmount]],TrafficData[[#This Row],[disposedAmount]]&lt;=TrafficData[[#This Row],[totalAmount]])</f>
        <v>1</v>
      </c>
      <c r="P3232" s="8" t="b">
        <f>AND(TrafficData[[#This Row],[pendingCourt]]&lt;=TrafficData[[#This Row],[totalCourt]],TrafficData[[#This Row],[disposedCourt]]&lt;=TrafficData[[#This Row],[totalCourt]])</f>
        <v>1</v>
      </c>
    </row>
    <row r="3233" spans="1:16">
      <c r="A3233" s="1">
        <v>45237</v>
      </c>
      <c r="B3233">
        <v>233248</v>
      </c>
      <c r="C3233">
        <v>80814</v>
      </c>
      <c r="D3233">
        <v>152434</v>
      </c>
      <c r="E3233">
        <v>268609874</v>
      </c>
      <c r="F3233">
        <v>135062351</v>
      </c>
      <c r="G3233">
        <v>403672225</v>
      </c>
      <c r="H3233">
        <v>89256</v>
      </c>
      <c r="I3233">
        <v>14383</v>
      </c>
      <c r="J3233">
        <v>103639</v>
      </c>
      <c r="K3233" t="b">
        <f>TrafficData[[#This Row],[disposedChallan]]+TrafficData[[#This Row],[pendingChallan]]=TrafficData[[#This Row],[totalChallan]]</f>
        <v>1</v>
      </c>
      <c r="L3233" t="b">
        <f>TrafficData[[#This Row],[pendingAmount]]+TrafficData[[#This Row],[disposedAmount]]=TrafficData[[#This Row],[totalAmount]]</f>
        <v>1</v>
      </c>
      <c r="M3233" t="b">
        <f>TrafficData[[#This Row],[pendingCourt]]+TrafficData[[#This Row],[disposedCourt]]=TrafficData[[#This Row],[totalCourt]]</f>
        <v>1</v>
      </c>
      <c r="N3233" s="8" t="b">
        <f>AND(TrafficData[[#This Row],[disposedChallan]]&lt;=TrafficData[[#This Row],[totalChallan]],TrafficData[[#This Row],[pendingChallan]]&lt;=TrafficData[[#This Row],[totalChallan]])</f>
        <v>1</v>
      </c>
      <c r="O3233" s="8" t="b">
        <f>AND(TrafficData[[#This Row],[pendingAmount]]&lt;=TrafficData[[#This Row],[totalAmount]],TrafficData[[#This Row],[disposedAmount]]&lt;=TrafficData[[#This Row],[totalAmount]])</f>
        <v>1</v>
      </c>
      <c r="P3233" s="8" t="b">
        <f>AND(TrafficData[[#This Row],[pendingCourt]]&lt;=TrafficData[[#This Row],[totalCourt]],TrafficData[[#This Row],[disposedCourt]]&lt;=TrafficData[[#This Row],[totalCourt]])</f>
        <v>1</v>
      </c>
    </row>
    <row r="3234" spans="1:16">
      <c r="A3234" s="1">
        <v>45238</v>
      </c>
      <c r="B3234">
        <v>219218</v>
      </c>
      <c r="C3234">
        <v>78271</v>
      </c>
      <c r="D3234">
        <v>140947</v>
      </c>
      <c r="E3234">
        <v>257104323</v>
      </c>
      <c r="F3234">
        <v>134721619</v>
      </c>
      <c r="G3234">
        <v>391825942</v>
      </c>
      <c r="H3234">
        <v>84539</v>
      </c>
      <c r="I3234">
        <v>14056</v>
      </c>
      <c r="J3234">
        <v>98595</v>
      </c>
      <c r="K3234" t="b">
        <f>TrafficData[[#This Row],[disposedChallan]]+TrafficData[[#This Row],[pendingChallan]]=TrafficData[[#This Row],[totalChallan]]</f>
        <v>1</v>
      </c>
      <c r="L3234" t="b">
        <f>TrafficData[[#This Row],[pendingAmount]]+TrafficData[[#This Row],[disposedAmount]]=TrafficData[[#This Row],[totalAmount]]</f>
        <v>1</v>
      </c>
      <c r="M3234" t="b">
        <f>TrafficData[[#This Row],[pendingCourt]]+TrafficData[[#This Row],[disposedCourt]]=TrafficData[[#This Row],[totalCourt]]</f>
        <v>1</v>
      </c>
      <c r="N3234" s="8" t="b">
        <f>AND(TrafficData[[#This Row],[disposedChallan]]&lt;=TrafficData[[#This Row],[totalChallan]],TrafficData[[#This Row],[pendingChallan]]&lt;=TrafficData[[#This Row],[totalChallan]])</f>
        <v>1</v>
      </c>
      <c r="O3234" s="8" t="b">
        <f>AND(TrafficData[[#This Row],[pendingAmount]]&lt;=TrafficData[[#This Row],[totalAmount]],TrafficData[[#This Row],[disposedAmount]]&lt;=TrafficData[[#This Row],[totalAmount]])</f>
        <v>1</v>
      </c>
      <c r="P3234" s="8" t="b">
        <f>AND(TrafficData[[#This Row],[pendingCourt]]&lt;=TrafficData[[#This Row],[totalCourt]],TrafficData[[#This Row],[disposedCourt]]&lt;=TrafficData[[#This Row],[totalCourt]])</f>
        <v>1</v>
      </c>
    </row>
    <row r="3235" spans="1:16">
      <c r="A3235" s="1">
        <v>45239</v>
      </c>
      <c r="B3235">
        <v>232686</v>
      </c>
      <c r="C3235">
        <v>79276</v>
      </c>
      <c r="D3235">
        <v>153410</v>
      </c>
      <c r="E3235">
        <v>276085652</v>
      </c>
      <c r="F3235">
        <v>129852753</v>
      </c>
      <c r="G3235">
        <v>405938405</v>
      </c>
      <c r="H3235">
        <v>91463</v>
      </c>
      <c r="I3235">
        <v>14835</v>
      </c>
      <c r="J3235">
        <v>106298</v>
      </c>
      <c r="K3235" t="b">
        <f>TrafficData[[#This Row],[disposedChallan]]+TrafficData[[#This Row],[pendingChallan]]=TrafficData[[#This Row],[totalChallan]]</f>
        <v>1</v>
      </c>
      <c r="L3235" t="b">
        <f>TrafficData[[#This Row],[pendingAmount]]+TrafficData[[#This Row],[disposedAmount]]=TrafficData[[#This Row],[totalAmount]]</f>
        <v>1</v>
      </c>
      <c r="M3235" t="b">
        <f>TrafficData[[#This Row],[pendingCourt]]+TrafficData[[#This Row],[disposedCourt]]=TrafficData[[#This Row],[totalCourt]]</f>
        <v>1</v>
      </c>
      <c r="N3235" s="8" t="b">
        <f>AND(TrafficData[[#This Row],[disposedChallan]]&lt;=TrafficData[[#This Row],[totalChallan]],TrafficData[[#This Row],[pendingChallan]]&lt;=TrafficData[[#This Row],[totalChallan]])</f>
        <v>1</v>
      </c>
      <c r="O3235" s="8" t="b">
        <f>AND(TrafficData[[#This Row],[pendingAmount]]&lt;=TrafficData[[#This Row],[totalAmount]],TrafficData[[#This Row],[disposedAmount]]&lt;=TrafficData[[#This Row],[totalAmount]])</f>
        <v>1</v>
      </c>
      <c r="P3235" s="8" t="b">
        <f>AND(TrafficData[[#This Row],[pendingCourt]]&lt;=TrafficData[[#This Row],[totalCourt]],TrafficData[[#This Row],[disposedCourt]]&lt;=TrafficData[[#This Row],[totalCourt]])</f>
        <v>1</v>
      </c>
    </row>
    <row r="3236" spans="1:16">
      <c r="A3236" s="1">
        <v>45240</v>
      </c>
      <c r="B3236">
        <v>198759</v>
      </c>
      <c r="C3236">
        <v>69038</v>
      </c>
      <c r="D3236">
        <v>129721</v>
      </c>
      <c r="E3236">
        <v>219507546</v>
      </c>
      <c r="F3236">
        <v>103234648</v>
      </c>
      <c r="G3236">
        <v>322742194</v>
      </c>
      <c r="H3236">
        <v>69089</v>
      </c>
      <c r="I3236">
        <v>12048</v>
      </c>
      <c r="J3236">
        <v>81137</v>
      </c>
      <c r="K3236" t="b">
        <f>TrafficData[[#This Row],[disposedChallan]]+TrafficData[[#This Row],[pendingChallan]]=TrafficData[[#This Row],[totalChallan]]</f>
        <v>1</v>
      </c>
      <c r="L3236" t="b">
        <f>TrafficData[[#This Row],[pendingAmount]]+TrafficData[[#This Row],[disposedAmount]]=TrafficData[[#This Row],[totalAmount]]</f>
        <v>1</v>
      </c>
      <c r="M3236" t="b">
        <f>TrafficData[[#This Row],[pendingCourt]]+TrafficData[[#This Row],[disposedCourt]]=TrafficData[[#This Row],[totalCourt]]</f>
        <v>1</v>
      </c>
      <c r="N3236" s="8" t="b">
        <f>AND(TrafficData[[#This Row],[disposedChallan]]&lt;=TrafficData[[#This Row],[totalChallan]],TrafficData[[#This Row],[pendingChallan]]&lt;=TrafficData[[#This Row],[totalChallan]])</f>
        <v>1</v>
      </c>
      <c r="O3236" s="8" t="b">
        <f>AND(TrafficData[[#This Row],[pendingAmount]]&lt;=TrafficData[[#This Row],[totalAmount]],TrafficData[[#This Row],[disposedAmount]]&lt;=TrafficData[[#This Row],[totalAmount]])</f>
        <v>1</v>
      </c>
      <c r="P3236" s="8" t="b">
        <f>AND(TrafficData[[#This Row],[pendingCourt]]&lt;=TrafficData[[#This Row],[totalCourt]],TrafficData[[#This Row],[disposedCourt]]&lt;=TrafficData[[#This Row],[totalCourt]])</f>
        <v>1</v>
      </c>
    </row>
    <row r="3237" spans="1:16">
      <c r="A3237" s="1">
        <v>45241</v>
      </c>
      <c r="B3237">
        <v>182439</v>
      </c>
      <c r="C3237">
        <v>64940</v>
      </c>
      <c r="D3237">
        <v>117499</v>
      </c>
      <c r="E3237">
        <v>189183547</v>
      </c>
      <c r="F3237">
        <v>75418905</v>
      </c>
      <c r="G3237">
        <v>264602452</v>
      </c>
      <c r="H3237">
        <v>63482</v>
      </c>
      <c r="I3237">
        <v>11572</v>
      </c>
      <c r="J3237">
        <v>75054</v>
      </c>
      <c r="K3237" t="b">
        <f>TrafficData[[#This Row],[disposedChallan]]+TrafficData[[#This Row],[pendingChallan]]=TrafficData[[#This Row],[totalChallan]]</f>
        <v>1</v>
      </c>
      <c r="L3237" t="b">
        <f>TrafficData[[#This Row],[pendingAmount]]+TrafficData[[#This Row],[disposedAmount]]=TrafficData[[#This Row],[totalAmount]]</f>
        <v>1</v>
      </c>
      <c r="M3237" t="b">
        <f>TrafficData[[#This Row],[pendingCourt]]+TrafficData[[#This Row],[disposedCourt]]=TrafficData[[#This Row],[totalCourt]]</f>
        <v>1</v>
      </c>
      <c r="N3237" s="8" t="b">
        <f>AND(TrafficData[[#This Row],[disposedChallan]]&lt;=TrafficData[[#This Row],[totalChallan]],TrafficData[[#This Row],[pendingChallan]]&lt;=TrafficData[[#This Row],[totalChallan]])</f>
        <v>1</v>
      </c>
      <c r="O3237" s="8" t="b">
        <f>AND(TrafficData[[#This Row],[pendingAmount]]&lt;=TrafficData[[#This Row],[totalAmount]],TrafficData[[#This Row],[disposedAmount]]&lt;=TrafficData[[#This Row],[totalAmount]])</f>
        <v>1</v>
      </c>
      <c r="P3237" s="8" t="b">
        <f>AND(TrafficData[[#This Row],[pendingCourt]]&lt;=TrafficData[[#This Row],[totalCourt]],TrafficData[[#This Row],[disposedCourt]]&lt;=TrafficData[[#This Row],[totalCourt]])</f>
        <v>1</v>
      </c>
    </row>
    <row r="3238" spans="1:16">
      <c r="A3238" s="1">
        <v>45242</v>
      </c>
      <c r="B3238">
        <v>129371</v>
      </c>
      <c r="C3238">
        <v>42328</v>
      </c>
      <c r="D3238">
        <v>87043</v>
      </c>
      <c r="E3238">
        <v>123675096</v>
      </c>
      <c r="F3238">
        <v>42579351</v>
      </c>
      <c r="G3238">
        <v>166254447</v>
      </c>
      <c r="H3238">
        <v>45841</v>
      </c>
      <c r="I3238">
        <v>6934</v>
      </c>
      <c r="J3238">
        <v>52775</v>
      </c>
      <c r="K3238" t="b">
        <f>TrafficData[[#This Row],[disposedChallan]]+TrafficData[[#This Row],[pendingChallan]]=TrafficData[[#This Row],[totalChallan]]</f>
        <v>1</v>
      </c>
      <c r="L3238" t="b">
        <f>TrafficData[[#This Row],[pendingAmount]]+TrafficData[[#This Row],[disposedAmount]]=TrafficData[[#This Row],[totalAmount]]</f>
        <v>1</v>
      </c>
      <c r="M3238" t="b">
        <f>TrafficData[[#This Row],[pendingCourt]]+TrafficData[[#This Row],[disposedCourt]]=TrafficData[[#This Row],[totalCourt]]</f>
        <v>1</v>
      </c>
      <c r="N3238" s="8" t="b">
        <f>AND(TrafficData[[#This Row],[disposedChallan]]&lt;=TrafficData[[#This Row],[totalChallan]],TrafficData[[#This Row],[pendingChallan]]&lt;=TrafficData[[#This Row],[totalChallan]])</f>
        <v>1</v>
      </c>
      <c r="O3238" s="8" t="b">
        <f>AND(TrafficData[[#This Row],[pendingAmount]]&lt;=TrafficData[[#This Row],[totalAmount]],TrafficData[[#This Row],[disposedAmount]]&lt;=TrafficData[[#This Row],[totalAmount]])</f>
        <v>1</v>
      </c>
      <c r="P3238" s="8" t="b">
        <f>AND(TrafficData[[#This Row],[pendingCourt]]&lt;=TrafficData[[#This Row],[totalCourt]],TrafficData[[#This Row],[disposedCourt]]&lt;=TrafficData[[#This Row],[totalCourt]])</f>
        <v>1</v>
      </c>
    </row>
    <row r="3239" spans="1:16">
      <c r="A3239" s="1">
        <v>45243</v>
      </c>
      <c r="B3239">
        <v>170223</v>
      </c>
      <c r="C3239">
        <v>58427</v>
      </c>
      <c r="D3239">
        <v>111796</v>
      </c>
      <c r="E3239">
        <v>172374621</v>
      </c>
      <c r="F3239">
        <v>63846710</v>
      </c>
      <c r="G3239">
        <v>236221331</v>
      </c>
      <c r="H3239">
        <v>56246</v>
      </c>
      <c r="I3239">
        <v>9402</v>
      </c>
      <c r="J3239">
        <v>65648</v>
      </c>
      <c r="K3239" t="b">
        <f>TrafficData[[#This Row],[disposedChallan]]+TrafficData[[#This Row],[pendingChallan]]=TrafficData[[#This Row],[totalChallan]]</f>
        <v>1</v>
      </c>
      <c r="L3239" t="b">
        <f>TrafficData[[#This Row],[pendingAmount]]+TrafficData[[#This Row],[disposedAmount]]=TrafficData[[#This Row],[totalAmount]]</f>
        <v>1</v>
      </c>
      <c r="M3239" t="b">
        <f>TrafficData[[#This Row],[pendingCourt]]+TrafficData[[#This Row],[disposedCourt]]=TrafficData[[#This Row],[totalCourt]]</f>
        <v>1</v>
      </c>
      <c r="N3239" s="8" t="b">
        <f>AND(TrafficData[[#This Row],[disposedChallan]]&lt;=TrafficData[[#This Row],[totalChallan]],TrafficData[[#This Row],[pendingChallan]]&lt;=TrafficData[[#This Row],[totalChallan]])</f>
        <v>1</v>
      </c>
      <c r="O3239" s="8" t="b">
        <f>AND(TrafficData[[#This Row],[pendingAmount]]&lt;=TrafficData[[#This Row],[totalAmount]],TrafficData[[#This Row],[disposedAmount]]&lt;=TrafficData[[#This Row],[totalAmount]])</f>
        <v>1</v>
      </c>
      <c r="P3239" s="8" t="b">
        <f>AND(TrafficData[[#This Row],[pendingCourt]]&lt;=TrafficData[[#This Row],[totalCourt]],TrafficData[[#This Row],[disposedCourt]]&lt;=TrafficData[[#This Row],[totalCourt]])</f>
        <v>1</v>
      </c>
    </row>
    <row r="3240" spans="1:16">
      <c r="A3240" s="1">
        <v>45244</v>
      </c>
      <c r="B3240">
        <v>201379</v>
      </c>
      <c r="C3240">
        <v>65144</v>
      </c>
      <c r="D3240">
        <v>136235</v>
      </c>
      <c r="E3240">
        <v>223219817</v>
      </c>
      <c r="F3240">
        <v>80631166</v>
      </c>
      <c r="G3240">
        <v>303850983</v>
      </c>
      <c r="H3240">
        <v>75890</v>
      </c>
      <c r="I3240">
        <v>11680</v>
      </c>
      <c r="J3240">
        <v>87570</v>
      </c>
      <c r="K3240" t="b">
        <f>TrafficData[[#This Row],[disposedChallan]]+TrafficData[[#This Row],[pendingChallan]]=TrafficData[[#This Row],[totalChallan]]</f>
        <v>1</v>
      </c>
      <c r="L3240" t="b">
        <f>TrafficData[[#This Row],[pendingAmount]]+TrafficData[[#This Row],[disposedAmount]]=TrafficData[[#This Row],[totalAmount]]</f>
        <v>1</v>
      </c>
      <c r="M3240" t="b">
        <f>TrafficData[[#This Row],[pendingCourt]]+TrafficData[[#This Row],[disposedCourt]]=TrafficData[[#This Row],[totalCourt]]</f>
        <v>1</v>
      </c>
      <c r="N3240" s="8" t="b">
        <f>AND(TrafficData[[#This Row],[disposedChallan]]&lt;=TrafficData[[#This Row],[totalChallan]],TrafficData[[#This Row],[pendingChallan]]&lt;=TrafficData[[#This Row],[totalChallan]])</f>
        <v>1</v>
      </c>
      <c r="O3240" s="8" t="b">
        <f>AND(TrafficData[[#This Row],[pendingAmount]]&lt;=TrafficData[[#This Row],[totalAmount]],TrafficData[[#This Row],[disposedAmount]]&lt;=TrafficData[[#This Row],[totalAmount]])</f>
        <v>1</v>
      </c>
      <c r="P3240" s="8" t="b">
        <f>AND(TrafficData[[#This Row],[pendingCourt]]&lt;=TrafficData[[#This Row],[totalCourt]],TrafficData[[#This Row],[disposedCourt]]&lt;=TrafficData[[#This Row],[totalCourt]])</f>
        <v>1</v>
      </c>
    </row>
    <row r="3241" spans="1:16">
      <c r="A3241" s="1">
        <v>45245</v>
      </c>
      <c r="B3241">
        <v>196719</v>
      </c>
      <c r="C3241">
        <v>65951</v>
      </c>
      <c r="D3241">
        <v>130768</v>
      </c>
      <c r="E3241">
        <v>206203345</v>
      </c>
      <c r="F3241">
        <v>80230542</v>
      </c>
      <c r="G3241">
        <v>286433887</v>
      </c>
      <c r="H3241">
        <v>71916</v>
      </c>
      <c r="I3241">
        <v>11587</v>
      </c>
      <c r="J3241">
        <v>83503</v>
      </c>
      <c r="K3241" t="b">
        <f>TrafficData[[#This Row],[disposedChallan]]+TrafficData[[#This Row],[pendingChallan]]=TrafficData[[#This Row],[totalChallan]]</f>
        <v>1</v>
      </c>
      <c r="L3241" t="b">
        <f>TrafficData[[#This Row],[pendingAmount]]+TrafficData[[#This Row],[disposedAmount]]=TrafficData[[#This Row],[totalAmount]]</f>
        <v>1</v>
      </c>
      <c r="M3241" t="b">
        <f>TrafficData[[#This Row],[pendingCourt]]+TrafficData[[#This Row],[disposedCourt]]=TrafficData[[#This Row],[totalCourt]]</f>
        <v>1</v>
      </c>
      <c r="N3241" s="8" t="b">
        <f>AND(TrafficData[[#This Row],[disposedChallan]]&lt;=TrafficData[[#This Row],[totalChallan]],TrafficData[[#This Row],[pendingChallan]]&lt;=TrafficData[[#This Row],[totalChallan]])</f>
        <v>1</v>
      </c>
      <c r="O3241" s="8" t="b">
        <f>AND(TrafficData[[#This Row],[pendingAmount]]&lt;=TrafficData[[#This Row],[totalAmount]],TrafficData[[#This Row],[disposedAmount]]&lt;=TrafficData[[#This Row],[totalAmount]])</f>
        <v>1</v>
      </c>
      <c r="P3241" s="8" t="b">
        <f>AND(TrafficData[[#This Row],[pendingCourt]]&lt;=TrafficData[[#This Row],[totalCourt]],TrafficData[[#This Row],[disposedCourt]]&lt;=TrafficData[[#This Row],[totalCourt]])</f>
        <v>1</v>
      </c>
    </row>
    <row r="3242" spans="1:16">
      <c r="A3242" s="1">
        <v>45246</v>
      </c>
      <c r="B3242">
        <v>213060</v>
      </c>
      <c r="C3242">
        <v>72555</v>
      </c>
      <c r="D3242">
        <v>140505</v>
      </c>
      <c r="E3242">
        <v>238813349</v>
      </c>
      <c r="F3242">
        <v>103384340</v>
      </c>
      <c r="G3242">
        <v>342197689</v>
      </c>
      <c r="H3242">
        <v>80781</v>
      </c>
      <c r="I3242">
        <v>12741</v>
      </c>
      <c r="J3242">
        <v>93522</v>
      </c>
      <c r="K3242" t="b">
        <f>TrafficData[[#This Row],[disposedChallan]]+TrafficData[[#This Row],[pendingChallan]]=TrafficData[[#This Row],[totalChallan]]</f>
        <v>1</v>
      </c>
      <c r="L3242" t="b">
        <f>TrafficData[[#This Row],[pendingAmount]]+TrafficData[[#This Row],[disposedAmount]]=TrafficData[[#This Row],[totalAmount]]</f>
        <v>1</v>
      </c>
      <c r="M3242" t="b">
        <f>TrafficData[[#This Row],[pendingCourt]]+TrafficData[[#This Row],[disposedCourt]]=TrafficData[[#This Row],[totalCourt]]</f>
        <v>1</v>
      </c>
      <c r="N3242" s="8" t="b">
        <f>AND(TrafficData[[#This Row],[disposedChallan]]&lt;=TrafficData[[#This Row],[totalChallan]],TrafficData[[#This Row],[pendingChallan]]&lt;=TrafficData[[#This Row],[totalChallan]])</f>
        <v>1</v>
      </c>
      <c r="O3242" s="8" t="b">
        <f>AND(TrafficData[[#This Row],[pendingAmount]]&lt;=TrafficData[[#This Row],[totalAmount]],TrafficData[[#This Row],[disposedAmount]]&lt;=TrafficData[[#This Row],[totalAmount]])</f>
        <v>1</v>
      </c>
      <c r="P3242" s="8" t="b">
        <f>AND(TrafficData[[#This Row],[pendingCourt]]&lt;=TrafficData[[#This Row],[totalCourt]],TrafficData[[#This Row],[disposedCourt]]&lt;=TrafficData[[#This Row],[totalCourt]])</f>
        <v>1</v>
      </c>
    </row>
    <row r="3243" spans="1:16">
      <c r="A3243" s="1">
        <v>45247</v>
      </c>
      <c r="B3243">
        <v>219172</v>
      </c>
      <c r="C3243">
        <v>74233</v>
      </c>
      <c r="D3243">
        <v>144939</v>
      </c>
      <c r="E3243">
        <v>240544528</v>
      </c>
      <c r="F3243">
        <v>113182228</v>
      </c>
      <c r="G3243">
        <v>353726756</v>
      </c>
      <c r="H3243">
        <v>82781</v>
      </c>
      <c r="I3243">
        <v>13314</v>
      </c>
      <c r="J3243">
        <v>96095</v>
      </c>
      <c r="K3243" t="b">
        <f>TrafficData[[#This Row],[disposedChallan]]+TrafficData[[#This Row],[pendingChallan]]=TrafficData[[#This Row],[totalChallan]]</f>
        <v>1</v>
      </c>
      <c r="L3243" t="b">
        <f>TrafficData[[#This Row],[pendingAmount]]+TrafficData[[#This Row],[disposedAmount]]=TrafficData[[#This Row],[totalAmount]]</f>
        <v>1</v>
      </c>
      <c r="M3243" t="b">
        <f>TrafficData[[#This Row],[pendingCourt]]+TrafficData[[#This Row],[disposedCourt]]=TrafficData[[#This Row],[totalCourt]]</f>
        <v>1</v>
      </c>
      <c r="N3243" s="8" t="b">
        <f>AND(TrafficData[[#This Row],[disposedChallan]]&lt;=TrafficData[[#This Row],[totalChallan]],TrafficData[[#This Row],[pendingChallan]]&lt;=TrafficData[[#This Row],[totalChallan]])</f>
        <v>1</v>
      </c>
      <c r="O3243" s="8" t="b">
        <f>AND(TrafficData[[#This Row],[pendingAmount]]&lt;=TrafficData[[#This Row],[totalAmount]],TrafficData[[#This Row],[disposedAmount]]&lt;=TrafficData[[#This Row],[totalAmount]])</f>
        <v>1</v>
      </c>
      <c r="P3243" s="8" t="b">
        <f>AND(TrafficData[[#This Row],[pendingCourt]]&lt;=TrafficData[[#This Row],[totalCourt]],TrafficData[[#This Row],[disposedCourt]]&lt;=TrafficData[[#This Row],[totalCourt]])</f>
        <v>1</v>
      </c>
    </row>
    <row r="3244" spans="1:16">
      <c r="A3244" s="1">
        <v>45248</v>
      </c>
      <c r="B3244">
        <v>228302</v>
      </c>
      <c r="C3244">
        <v>77333</v>
      </c>
      <c r="D3244">
        <v>150969</v>
      </c>
      <c r="E3244">
        <v>242274869</v>
      </c>
      <c r="F3244">
        <v>111110654</v>
      </c>
      <c r="G3244">
        <v>353385523</v>
      </c>
      <c r="H3244">
        <v>81582</v>
      </c>
      <c r="I3244">
        <v>13873</v>
      </c>
      <c r="J3244">
        <v>95455</v>
      </c>
      <c r="K3244" t="b">
        <f>TrafficData[[#This Row],[disposedChallan]]+TrafficData[[#This Row],[pendingChallan]]=TrafficData[[#This Row],[totalChallan]]</f>
        <v>1</v>
      </c>
      <c r="L3244" t="b">
        <f>TrafficData[[#This Row],[pendingAmount]]+TrafficData[[#This Row],[disposedAmount]]=TrafficData[[#This Row],[totalAmount]]</f>
        <v>1</v>
      </c>
      <c r="M3244" t="b">
        <f>TrafficData[[#This Row],[pendingCourt]]+TrafficData[[#This Row],[disposedCourt]]=TrafficData[[#This Row],[totalCourt]]</f>
        <v>1</v>
      </c>
      <c r="N3244" s="8" t="b">
        <f>AND(TrafficData[[#This Row],[disposedChallan]]&lt;=TrafficData[[#This Row],[totalChallan]],TrafficData[[#This Row],[pendingChallan]]&lt;=TrafficData[[#This Row],[totalChallan]])</f>
        <v>1</v>
      </c>
      <c r="O3244" s="8" t="b">
        <f>AND(TrafficData[[#This Row],[pendingAmount]]&lt;=TrafficData[[#This Row],[totalAmount]],TrafficData[[#This Row],[disposedAmount]]&lt;=TrafficData[[#This Row],[totalAmount]])</f>
        <v>1</v>
      </c>
      <c r="P3244" s="8" t="b">
        <f>AND(TrafficData[[#This Row],[pendingCourt]]&lt;=TrafficData[[#This Row],[totalCourt]],TrafficData[[#This Row],[disposedCourt]]&lt;=TrafficData[[#This Row],[totalCourt]])</f>
        <v>1</v>
      </c>
    </row>
    <row r="3245" spans="1:16">
      <c r="A3245" s="1">
        <v>45249</v>
      </c>
      <c r="B3245">
        <v>167698</v>
      </c>
      <c r="C3245">
        <v>56718</v>
      </c>
      <c r="D3245">
        <v>110980</v>
      </c>
      <c r="E3245">
        <v>169880296</v>
      </c>
      <c r="F3245">
        <v>75551131</v>
      </c>
      <c r="G3245">
        <v>245431427</v>
      </c>
      <c r="H3245">
        <v>63006</v>
      </c>
      <c r="I3245">
        <v>10266</v>
      </c>
      <c r="J3245">
        <v>73272</v>
      </c>
      <c r="K3245" t="b">
        <f>TrafficData[[#This Row],[disposedChallan]]+TrafficData[[#This Row],[pendingChallan]]=TrafficData[[#This Row],[totalChallan]]</f>
        <v>1</v>
      </c>
      <c r="L3245" t="b">
        <f>TrafficData[[#This Row],[pendingAmount]]+TrafficData[[#This Row],[disposedAmount]]=TrafficData[[#This Row],[totalAmount]]</f>
        <v>1</v>
      </c>
      <c r="M3245" t="b">
        <f>TrafficData[[#This Row],[pendingCourt]]+TrafficData[[#This Row],[disposedCourt]]=TrafficData[[#This Row],[totalCourt]]</f>
        <v>1</v>
      </c>
      <c r="N3245" s="8" t="b">
        <f>AND(TrafficData[[#This Row],[disposedChallan]]&lt;=TrafficData[[#This Row],[totalChallan]],TrafficData[[#This Row],[pendingChallan]]&lt;=TrafficData[[#This Row],[totalChallan]])</f>
        <v>1</v>
      </c>
      <c r="O3245" s="8" t="b">
        <f>AND(TrafficData[[#This Row],[pendingAmount]]&lt;=TrafficData[[#This Row],[totalAmount]],TrafficData[[#This Row],[disposedAmount]]&lt;=TrafficData[[#This Row],[totalAmount]])</f>
        <v>1</v>
      </c>
      <c r="P3245" s="8" t="b">
        <f>AND(TrafficData[[#This Row],[pendingCourt]]&lt;=TrafficData[[#This Row],[totalCourt]],TrafficData[[#This Row],[disposedCourt]]&lt;=TrafficData[[#This Row],[totalCourt]])</f>
        <v>1</v>
      </c>
    </row>
    <row r="3246" spans="1:16">
      <c r="A3246" s="1">
        <v>45250</v>
      </c>
      <c r="B3246">
        <v>200455</v>
      </c>
      <c r="C3246">
        <v>67484</v>
      </c>
      <c r="D3246">
        <v>132971</v>
      </c>
      <c r="E3246">
        <v>200301209</v>
      </c>
      <c r="F3246">
        <v>93559627</v>
      </c>
      <c r="G3246">
        <v>293860836</v>
      </c>
      <c r="H3246">
        <v>73046</v>
      </c>
      <c r="I3246">
        <v>11902</v>
      </c>
      <c r="J3246">
        <v>84948</v>
      </c>
      <c r="K3246" t="b">
        <f>TrafficData[[#This Row],[disposedChallan]]+TrafficData[[#This Row],[pendingChallan]]=TrafficData[[#This Row],[totalChallan]]</f>
        <v>1</v>
      </c>
      <c r="L3246" t="b">
        <f>TrafficData[[#This Row],[pendingAmount]]+TrafficData[[#This Row],[disposedAmount]]=TrafficData[[#This Row],[totalAmount]]</f>
        <v>1</v>
      </c>
      <c r="M3246" t="b">
        <f>TrafficData[[#This Row],[pendingCourt]]+TrafficData[[#This Row],[disposedCourt]]=TrafficData[[#This Row],[totalCourt]]</f>
        <v>1</v>
      </c>
      <c r="N3246" s="8" t="b">
        <f>AND(TrafficData[[#This Row],[disposedChallan]]&lt;=TrafficData[[#This Row],[totalChallan]],TrafficData[[#This Row],[pendingChallan]]&lt;=TrafficData[[#This Row],[totalChallan]])</f>
        <v>1</v>
      </c>
      <c r="O3246" s="8" t="b">
        <f>AND(TrafficData[[#This Row],[pendingAmount]]&lt;=TrafficData[[#This Row],[totalAmount]],TrafficData[[#This Row],[disposedAmount]]&lt;=TrafficData[[#This Row],[totalAmount]])</f>
        <v>1</v>
      </c>
      <c r="P3246" s="8" t="b">
        <f>AND(TrafficData[[#This Row],[pendingCourt]]&lt;=TrafficData[[#This Row],[totalCourt]],TrafficData[[#This Row],[disposedCourt]]&lt;=TrafficData[[#This Row],[totalCourt]])</f>
        <v>1</v>
      </c>
    </row>
    <row r="3247" spans="1:16">
      <c r="A3247" s="1">
        <v>45251</v>
      </c>
      <c r="B3247">
        <v>228015</v>
      </c>
      <c r="C3247">
        <v>77823</v>
      </c>
      <c r="D3247">
        <v>150192</v>
      </c>
      <c r="E3247">
        <v>247713267</v>
      </c>
      <c r="F3247">
        <v>124616123</v>
      </c>
      <c r="G3247">
        <v>372329390</v>
      </c>
      <c r="H3247">
        <v>81259</v>
      </c>
      <c r="I3247">
        <v>13047</v>
      </c>
      <c r="J3247">
        <v>94306</v>
      </c>
      <c r="K3247" t="b">
        <f>TrafficData[[#This Row],[disposedChallan]]+TrafficData[[#This Row],[pendingChallan]]=TrafficData[[#This Row],[totalChallan]]</f>
        <v>1</v>
      </c>
      <c r="L3247" t="b">
        <f>TrafficData[[#This Row],[pendingAmount]]+TrafficData[[#This Row],[disposedAmount]]=TrafficData[[#This Row],[totalAmount]]</f>
        <v>1</v>
      </c>
      <c r="M3247" t="b">
        <f>TrafficData[[#This Row],[pendingCourt]]+TrafficData[[#This Row],[disposedCourt]]=TrafficData[[#This Row],[totalCourt]]</f>
        <v>1</v>
      </c>
      <c r="N3247" s="8" t="b">
        <f>AND(TrafficData[[#This Row],[disposedChallan]]&lt;=TrafficData[[#This Row],[totalChallan]],TrafficData[[#This Row],[pendingChallan]]&lt;=TrafficData[[#This Row],[totalChallan]])</f>
        <v>1</v>
      </c>
      <c r="O3247" s="8" t="b">
        <f>AND(TrafficData[[#This Row],[pendingAmount]]&lt;=TrafficData[[#This Row],[totalAmount]],TrafficData[[#This Row],[disposedAmount]]&lt;=TrafficData[[#This Row],[totalAmount]])</f>
        <v>1</v>
      </c>
      <c r="P3247" s="8" t="b">
        <f>AND(TrafficData[[#This Row],[pendingCourt]]&lt;=TrafficData[[#This Row],[totalCourt]],TrafficData[[#This Row],[disposedCourt]]&lt;=TrafficData[[#This Row],[totalCourt]])</f>
        <v>1</v>
      </c>
    </row>
    <row r="3248" spans="1:16">
      <c r="A3248" s="1">
        <v>45252</v>
      </c>
      <c r="B3248">
        <v>222540</v>
      </c>
      <c r="C3248">
        <v>76517</v>
      </c>
      <c r="D3248">
        <v>146023</v>
      </c>
      <c r="E3248">
        <v>235039573</v>
      </c>
      <c r="F3248">
        <v>125137449</v>
      </c>
      <c r="G3248">
        <v>360177022</v>
      </c>
      <c r="H3248">
        <v>78997</v>
      </c>
      <c r="I3248">
        <v>12778</v>
      </c>
      <c r="J3248">
        <v>91775</v>
      </c>
      <c r="K3248" t="b">
        <f>TrafficData[[#This Row],[disposedChallan]]+TrafficData[[#This Row],[pendingChallan]]=TrafficData[[#This Row],[totalChallan]]</f>
        <v>1</v>
      </c>
      <c r="L3248" t="b">
        <f>TrafficData[[#This Row],[pendingAmount]]+TrafficData[[#This Row],[disposedAmount]]=TrafficData[[#This Row],[totalAmount]]</f>
        <v>1</v>
      </c>
      <c r="M3248" t="b">
        <f>TrafficData[[#This Row],[pendingCourt]]+TrafficData[[#This Row],[disposedCourt]]=TrafficData[[#This Row],[totalCourt]]</f>
        <v>1</v>
      </c>
      <c r="N3248" s="8" t="b">
        <f>AND(TrafficData[[#This Row],[disposedChallan]]&lt;=TrafficData[[#This Row],[totalChallan]],TrafficData[[#This Row],[pendingChallan]]&lt;=TrafficData[[#This Row],[totalChallan]])</f>
        <v>1</v>
      </c>
      <c r="O3248" s="8" t="b">
        <f>AND(TrafficData[[#This Row],[pendingAmount]]&lt;=TrafficData[[#This Row],[totalAmount]],TrafficData[[#This Row],[disposedAmount]]&lt;=TrafficData[[#This Row],[totalAmount]])</f>
        <v>1</v>
      </c>
      <c r="P3248" s="8" t="b">
        <f>AND(TrafficData[[#This Row],[pendingCourt]]&lt;=TrafficData[[#This Row],[totalCourt]],TrafficData[[#This Row],[disposedCourt]]&lt;=TrafficData[[#This Row],[totalCourt]])</f>
        <v>1</v>
      </c>
    </row>
    <row r="3249" spans="1:16">
      <c r="A3249" s="1">
        <v>45253</v>
      </c>
      <c r="B3249">
        <v>213635</v>
      </c>
      <c r="C3249">
        <v>76148</v>
      </c>
      <c r="D3249">
        <v>137487</v>
      </c>
      <c r="E3249">
        <v>229562399</v>
      </c>
      <c r="F3249">
        <v>118110964</v>
      </c>
      <c r="G3249">
        <v>347673363</v>
      </c>
      <c r="H3249">
        <v>75942</v>
      </c>
      <c r="I3249">
        <v>12317</v>
      </c>
      <c r="J3249">
        <v>88259</v>
      </c>
      <c r="K3249" t="b">
        <f>TrafficData[[#This Row],[disposedChallan]]+TrafficData[[#This Row],[pendingChallan]]=TrafficData[[#This Row],[totalChallan]]</f>
        <v>1</v>
      </c>
      <c r="L3249" t="b">
        <f>TrafficData[[#This Row],[pendingAmount]]+TrafficData[[#This Row],[disposedAmount]]=TrafficData[[#This Row],[totalAmount]]</f>
        <v>1</v>
      </c>
      <c r="M3249" t="b">
        <f>TrafficData[[#This Row],[pendingCourt]]+TrafficData[[#This Row],[disposedCourt]]=TrafficData[[#This Row],[totalCourt]]</f>
        <v>1</v>
      </c>
      <c r="N3249" s="8" t="b">
        <f>AND(TrafficData[[#This Row],[disposedChallan]]&lt;=TrafficData[[#This Row],[totalChallan]],TrafficData[[#This Row],[pendingChallan]]&lt;=TrafficData[[#This Row],[totalChallan]])</f>
        <v>1</v>
      </c>
      <c r="O3249" s="8" t="b">
        <f>AND(TrafficData[[#This Row],[pendingAmount]]&lt;=TrafficData[[#This Row],[totalAmount]],TrafficData[[#This Row],[disposedAmount]]&lt;=TrafficData[[#This Row],[totalAmount]])</f>
        <v>1</v>
      </c>
      <c r="P3249" s="8" t="b">
        <f>AND(TrafficData[[#This Row],[pendingCourt]]&lt;=TrafficData[[#This Row],[totalCourt]],TrafficData[[#This Row],[disposedCourt]]&lt;=TrafficData[[#This Row],[totalCourt]])</f>
        <v>1</v>
      </c>
    </row>
    <row r="3250" spans="1:16">
      <c r="A3250" s="1">
        <v>45254</v>
      </c>
      <c r="B3250">
        <v>208810</v>
      </c>
      <c r="C3250">
        <v>75204</v>
      </c>
      <c r="D3250">
        <v>133606</v>
      </c>
      <c r="E3250">
        <v>223746542</v>
      </c>
      <c r="F3250">
        <v>115445217</v>
      </c>
      <c r="G3250">
        <v>339191759</v>
      </c>
      <c r="H3250">
        <v>74227</v>
      </c>
      <c r="I3250">
        <v>12309</v>
      </c>
      <c r="J3250">
        <v>86536</v>
      </c>
      <c r="K3250" t="b">
        <f>TrafficData[[#This Row],[disposedChallan]]+TrafficData[[#This Row],[pendingChallan]]=TrafficData[[#This Row],[totalChallan]]</f>
        <v>1</v>
      </c>
      <c r="L3250" t="b">
        <f>TrafficData[[#This Row],[pendingAmount]]+TrafficData[[#This Row],[disposedAmount]]=TrafficData[[#This Row],[totalAmount]]</f>
        <v>1</v>
      </c>
      <c r="M3250" t="b">
        <f>TrafficData[[#This Row],[pendingCourt]]+TrafficData[[#This Row],[disposedCourt]]=TrafficData[[#This Row],[totalCourt]]</f>
        <v>1</v>
      </c>
      <c r="N3250" s="8" t="b">
        <f>AND(TrafficData[[#This Row],[disposedChallan]]&lt;=TrafficData[[#This Row],[totalChallan]],TrafficData[[#This Row],[pendingChallan]]&lt;=TrafficData[[#This Row],[totalChallan]])</f>
        <v>1</v>
      </c>
      <c r="O3250" s="8" t="b">
        <f>AND(TrafficData[[#This Row],[pendingAmount]]&lt;=TrafficData[[#This Row],[totalAmount]],TrafficData[[#This Row],[disposedAmount]]&lt;=TrafficData[[#This Row],[totalAmount]])</f>
        <v>1</v>
      </c>
      <c r="P3250" s="8" t="b">
        <f>AND(TrafficData[[#This Row],[pendingCourt]]&lt;=TrafficData[[#This Row],[totalCourt]],TrafficData[[#This Row],[disposedCourt]]&lt;=TrafficData[[#This Row],[totalCourt]])</f>
        <v>1</v>
      </c>
    </row>
    <row r="3251" spans="1:16">
      <c r="A3251" s="1">
        <v>45255</v>
      </c>
      <c r="B3251">
        <v>204991</v>
      </c>
      <c r="C3251">
        <v>74716</v>
      </c>
      <c r="D3251">
        <v>130275</v>
      </c>
      <c r="E3251">
        <v>215816652</v>
      </c>
      <c r="F3251">
        <v>111371956</v>
      </c>
      <c r="G3251">
        <v>327188608</v>
      </c>
      <c r="H3251">
        <v>72400</v>
      </c>
      <c r="I3251">
        <v>11813</v>
      </c>
      <c r="J3251">
        <v>84213</v>
      </c>
      <c r="K3251" t="b">
        <f>TrafficData[[#This Row],[disposedChallan]]+TrafficData[[#This Row],[pendingChallan]]=TrafficData[[#This Row],[totalChallan]]</f>
        <v>1</v>
      </c>
      <c r="L3251" t="b">
        <f>TrafficData[[#This Row],[pendingAmount]]+TrafficData[[#This Row],[disposedAmount]]=TrafficData[[#This Row],[totalAmount]]</f>
        <v>1</v>
      </c>
      <c r="M3251" t="b">
        <f>TrafficData[[#This Row],[pendingCourt]]+TrafficData[[#This Row],[disposedCourt]]=TrafficData[[#This Row],[totalCourt]]</f>
        <v>1</v>
      </c>
      <c r="N3251" s="8" t="b">
        <f>AND(TrafficData[[#This Row],[disposedChallan]]&lt;=TrafficData[[#This Row],[totalChallan]],TrafficData[[#This Row],[pendingChallan]]&lt;=TrafficData[[#This Row],[totalChallan]])</f>
        <v>1</v>
      </c>
      <c r="O3251" s="8" t="b">
        <f>AND(TrafficData[[#This Row],[pendingAmount]]&lt;=TrafficData[[#This Row],[totalAmount]],TrafficData[[#This Row],[disposedAmount]]&lt;=TrafficData[[#This Row],[totalAmount]])</f>
        <v>1</v>
      </c>
      <c r="P3251" s="8" t="b">
        <f>AND(TrafficData[[#This Row],[pendingCourt]]&lt;=TrafficData[[#This Row],[totalCourt]],TrafficData[[#This Row],[disposedCourt]]&lt;=TrafficData[[#This Row],[totalCourt]])</f>
        <v>1</v>
      </c>
    </row>
    <row r="3252" spans="1:16">
      <c r="A3252" s="1">
        <v>45256</v>
      </c>
      <c r="B3252">
        <v>192622</v>
      </c>
      <c r="C3252">
        <v>65685</v>
      </c>
      <c r="D3252">
        <v>126937</v>
      </c>
      <c r="E3252">
        <v>198537567</v>
      </c>
      <c r="F3252">
        <v>141591859</v>
      </c>
      <c r="G3252">
        <v>340129426</v>
      </c>
      <c r="H3252">
        <v>68118</v>
      </c>
      <c r="I3252">
        <v>10745</v>
      </c>
      <c r="J3252">
        <v>78863</v>
      </c>
      <c r="K3252" t="b">
        <f>TrafficData[[#This Row],[disposedChallan]]+TrafficData[[#This Row],[pendingChallan]]=TrafficData[[#This Row],[totalChallan]]</f>
        <v>1</v>
      </c>
      <c r="L3252" t="b">
        <f>TrafficData[[#This Row],[pendingAmount]]+TrafficData[[#This Row],[disposedAmount]]=TrafficData[[#This Row],[totalAmount]]</f>
        <v>1</v>
      </c>
      <c r="M3252" t="b">
        <f>TrafficData[[#This Row],[pendingCourt]]+TrafficData[[#This Row],[disposedCourt]]=TrafficData[[#This Row],[totalCourt]]</f>
        <v>1</v>
      </c>
      <c r="N3252" s="8" t="b">
        <f>AND(TrafficData[[#This Row],[disposedChallan]]&lt;=TrafficData[[#This Row],[totalChallan]],TrafficData[[#This Row],[pendingChallan]]&lt;=TrafficData[[#This Row],[totalChallan]])</f>
        <v>1</v>
      </c>
      <c r="O3252" s="8" t="b">
        <f>AND(TrafficData[[#This Row],[pendingAmount]]&lt;=TrafficData[[#This Row],[totalAmount]],TrafficData[[#This Row],[disposedAmount]]&lt;=TrafficData[[#This Row],[totalAmount]])</f>
        <v>1</v>
      </c>
      <c r="P3252" s="8" t="b">
        <f>AND(TrafficData[[#This Row],[pendingCourt]]&lt;=TrafficData[[#This Row],[totalCourt]],TrafficData[[#This Row],[disposedCourt]]&lt;=TrafficData[[#This Row],[totalCourt]])</f>
        <v>1</v>
      </c>
    </row>
    <row r="3253" spans="1:16">
      <c r="A3253" s="1">
        <v>45257</v>
      </c>
      <c r="B3253">
        <v>193367</v>
      </c>
      <c r="C3253">
        <v>68123</v>
      </c>
      <c r="D3253">
        <v>125244</v>
      </c>
      <c r="E3253">
        <v>190567764</v>
      </c>
      <c r="F3253">
        <v>85681625</v>
      </c>
      <c r="G3253">
        <v>276249389</v>
      </c>
      <c r="H3253">
        <v>64344</v>
      </c>
      <c r="I3253">
        <v>10915</v>
      </c>
      <c r="J3253">
        <v>75259</v>
      </c>
      <c r="K3253" t="b">
        <f>TrafficData[[#This Row],[disposedChallan]]+TrafficData[[#This Row],[pendingChallan]]=TrafficData[[#This Row],[totalChallan]]</f>
        <v>1</v>
      </c>
      <c r="L3253" t="b">
        <f>TrafficData[[#This Row],[pendingAmount]]+TrafficData[[#This Row],[disposedAmount]]=TrafficData[[#This Row],[totalAmount]]</f>
        <v>1</v>
      </c>
      <c r="M3253" t="b">
        <f>TrafficData[[#This Row],[pendingCourt]]+TrafficData[[#This Row],[disposedCourt]]=TrafficData[[#This Row],[totalCourt]]</f>
        <v>1</v>
      </c>
      <c r="N3253" s="8" t="b">
        <f>AND(TrafficData[[#This Row],[disposedChallan]]&lt;=TrafficData[[#This Row],[totalChallan]],TrafficData[[#This Row],[pendingChallan]]&lt;=TrafficData[[#This Row],[totalChallan]])</f>
        <v>1</v>
      </c>
      <c r="O3253" s="8" t="b">
        <f>AND(TrafficData[[#This Row],[pendingAmount]]&lt;=TrafficData[[#This Row],[totalAmount]],TrafficData[[#This Row],[disposedAmount]]&lt;=TrafficData[[#This Row],[totalAmount]])</f>
        <v>1</v>
      </c>
      <c r="P3253" s="8" t="b">
        <f>AND(TrafficData[[#This Row],[pendingCourt]]&lt;=TrafficData[[#This Row],[totalCourt]],TrafficData[[#This Row],[disposedCourt]]&lt;=TrafficData[[#This Row],[totalCourt]])</f>
        <v>1</v>
      </c>
    </row>
    <row r="3254" spans="1:16">
      <c r="A3254" s="1">
        <v>45258</v>
      </c>
      <c r="B3254">
        <v>218894</v>
      </c>
      <c r="C3254">
        <v>75586</v>
      </c>
      <c r="D3254">
        <v>143308</v>
      </c>
      <c r="E3254">
        <v>228210211</v>
      </c>
      <c r="F3254">
        <v>103931668</v>
      </c>
      <c r="G3254">
        <v>332141879</v>
      </c>
      <c r="H3254">
        <v>74966</v>
      </c>
      <c r="I3254">
        <v>11706</v>
      </c>
      <c r="J3254">
        <v>86672</v>
      </c>
      <c r="K3254" t="b">
        <f>TrafficData[[#This Row],[disposedChallan]]+TrafficData[[#This Row],[pendingChallan]]=TrafficData[[#This Row],[totalChallan]]</f>
        <v>1</v>
      </c>
      <c r="L3254" t="b">
        <f>TrafficData[[#This Row],[pendingAmount]]+TrafficData[[#This Row],[disposedAmount]]=TrafficData[[#This Row],[totalAmount]]</f>
        <v>1</v>
      </c>
      <c r="M3254" t="b">
        <f>TrafficData[[#This Row],[pendingCourt]]+TrafficData[[#This Row],[disposedCourt]]=TrafficData[[#This Row],[totalCourt]]</f>
        <v>1</v>
      </c>
      <c r="N3254" s="8" t="b">
        <f>AND(TrafficData[[#This Row],[disposedChallan]]&lt;=TrafficData[[#This Row],[totalChallan]],TrafficData[[#This Row],[pendingChallan]]&lt;=TrafficData[[#This Row],[totalChallan]])</f>
        <v>1</v>
      </c>
      <c r="O3254" s="8" t="b">
        <f>AND(TrafficData[[#This Row],[pendingAmount]]&lt;=TrafficData[[#This Row],[totalAmount]],TrafficData[[#This Row],[disposedAmount]]&lt;=TrafficData[[#This Row],[totalAmount]])</f>
        <v>1</v>
      </c>
      <c r="P3254" s="8" t="b">
        <f>AND(TrafficData[[#This Row],[pendingCourt]]&lt;=TrafficData[[#This Row],[totalCourt]],TrafficData[[#This Row],[disposedCourt]]&lt;=TrafficData[[#This Row],[totalCourt]])</f>
        <v>1</v>
      </c>
    </row>
    <row r="3255" spans="1:16">
      <c r="A3255" s="1">
        <v>45259</v>
      </c>
      <c r="B3255">
        <v>221442</v>
      </c>
      <c r="C3255">
        <v>76184</v>
      </c>
      <c r="D3255">
        <v>145258</v>
      </c>
      <c r="E3255">
        <v>227535509</v>
      </c>
      <c r="F3255">
        <v>112526217</v>
      </c>
      <c r="G3255">
        <v>340061726</v>
      </c>
      <c r="H3255">
        <v>77275</v>
      </c>
      <c r="I3255">
        <v>11964</v>
      </c>
      <c r="J3255">
        <v>89239</v>
      </c>
      <c r="K3255" t="b">
        <f>TrafficData[[#This Row],[disposedChallan]]+TrafficData[[#This Row],[pendingChallan]]=TrafficData[[#This Row],[totalChallan]]</f>
        <v>1</v>
      </c>
      <c r="L3255" t="b">
        <f>TrafficData[[#This Row],[pendingAmount]]+TrafficData[[#This Row],[disposedAmount]]=TrafficData[[#This Row],[totalAmount]]</f>
        <v>1</v>
      </c>
      <c r="M3255" t="b">
        <f>TrafficData[[#This Row],[pendingCourt]]+TrafficData[[#This Row],[disposedCourt]]=TrafficData[[#This Row],[totalCourt]]</f>
        <v>1</v>
      </c>
      <c r="N3255" s="8" t="b">
        <f>AND(TrafficData[[#This Row],[disposedChallan]]&lt;=TrafficData[[#This Row],[totalChallan]],TrafficData[[#This Row],[pendingChallan]]&lt;=TrafficData[[#This Row],[totalChallan]])</f>
        <v>1</v>
      </c>
      <c r="O3255" s="8" t="b">
        <f>AND(TrafficData[[#This Row],[pendingAmount]]&lt;=TrafficData[[#This Row],[totalAmount]],TrafficData[[#This Row],[disposedAmount]]&lt;=TrafficData[[#This Row],[totalAmount]])</f>
        <v>1</v>
      </c>
      <c r="P3255" s="8" t="b">
        <f>AND(TrafficData[[#This Row],[pendingCourt]]&lt;=TrafficData[[#This Row],[totalCourt]],TrafficData[[#This Row],[disposedCourt]]&lt;=TrafficData[[#This Row],[totalCourt]])</f>
        <v>1</v>
      </c>
    </row>
    <row r="3256" spans="1:16">
      <c r="A3256" s="1">
        <v>45260</v>
      </c>
      <c r="B3256">
        <v>210124</v>
      </c>
      <c r="C3256">
        <v>72426</v>
      </c>
      <c r="D3256">
        <v>137698</v>
      </c>
      <c r="E3256">
        <v>216839771</v>
      </c>
      <c r="F3256">
        <v>104429755</v>
      </c>
      <c r="G3256">
        <v>321269526</v>
      </c>
      <c r="H3256">
        <v>72106</v>
      </c>
      <c r="I3256">
        <v>11030</v>
      </c>
      <c r="J3256">
        <v>83136</v>
      </c>
      <c r="K3256" t="b">
        <f>TrafficData[[#This Row],[disposedChallan]]+TrafficData[[#This Row],[pendingChallan]]=TrafficData[[#This Row],[totalChallan]]</f>
        <v>1</v>
      </c>
      <c r="L3256" t="b">
        <f>TrafficData[[#This Row],[pendingAmount]]+TrafficData[[#This Row],[disposedAmount]]=TrafficData[[#This Row],[totalAmount]]</f>
        <v>1</v>
      </c>
      <c r="M3256" t="b">
        <f>TrafficData[[#This Row],[pendingCourt]]+TrafficData[[#This Row],[disposedCourt]]=TrafficData[[#This Row],[totalCourt]]</f>
        <v>1</v>
      </c>
      <c r="N3256" s="8" t="b">
        <f>AND(TrafficData[[#This Row],[disposedChallan]]&lt;=TrafficData[[#This Row],[totalChallan]],TrafficData[[#This Row],[pendingChallan]]&lt;=TrafficData[[#This Row],[totalChallan]])</f>
        <v>1</v>
      </c>
      <c r="O3256" s="8" t="b">
        <f>AND(TrafficData[[#This Row],[pendingAmount]]&lt;=TrafficData[[#This Row],[totalAmount]],TrafficData[[#This Row],[disposedAmount]]&lt;=TrafficData[[#This Row],[totalAmount]])</f>
        <v>1</v>
      </c>
      <c r="P3256" s="8" t="b">
        <f>AND(TrafficData[[#This Row],[pendingCourt]]&lt;=TrafficData[[#This Row],[totalCourt]],TrafficData[[#This Row],[disposedCourt]]&lt;=TrafficData[[#This Row],[totalCourt]])</f>
        <v>1</v>
      </c>
    </row>
    <row r="3257" spans="1:16">
      <c r="A3257" s="1">
        <v>45261</v>
      </c>
      <c r="B3257">
        <v>218379</v>
      </c>
      <c r="C3257">
        <v>81073</v>
      </c>
      <c r="D3257">
        <v>137306</v>
      </c>
      <c r="E3257">
        <v>221004434</v>
      </c>
      <c r="F3257">
        <v>124875906</v>
      </c>
      <c r="G3257">
        <v>345880340</v>
      </c>
      <c r="H3257">
        <v>63827</v>
      </c>
      <c r="I3257">
        <v>11524</v>
      </c>
      <c r="J3257">
        <v>75351</v>
      </c>
      <c r="K3257" t="b">
        <f>TrafficData[[#This Row],[disposedChallan]]+TrafficData[[#This Row],[pendingChallan]]=TrafficData[[#This Row],[totalChallan]]</f>
        <v>1</v>
      </c>
      <c r="L3257" t="b">
        <f>TrafficData[[#This Row],[pendingAmount]]+TrafficData[[#This Row],[disposedAmount]]=TrafficData[[#This Row],[totalAmount]]</f>
        <v>1</v>
      </c>
      <c r="M3257" t="b">
        <f>TrafficData[[#This Row],[pendingCourt]]+TrafficData[[#This Row],[disposedCourt]]=TrafficData[[#This Row],[totalCourt]]</f>
        <v>1</v>
      </c>
      <c r="N3257" s="8" t="b">
        <f>AND(TrafficData[[#This Row],[disposedChallan]]&lt;=TrafficData[[#This Row],[totalChallan]],TrafficData[[#This Row],[pendingChallan]]&lt;=TrafficData[[#This Row],[totalChallan]])</f>
        <v>1</v>
      </c>
      <c r="O3257" s="8" t="b">
        <f>AND(TrafficData[[#This Row],[pendingAmount]]&lt;=TrafficData[[#This Row],[totalAmount]],TrafficData[[#This Row],[disposedAmount]]&lt;=TrafficData[[#This Row],[totalAmount]])</f>
        <v>1</v>
      </c>
      <c r="P3257" s="8" t="b">
        <f>AND(TrafficData[[#This Row],[pendingCourt]]&lt;=TrafficData[[#This Row],[totalCourt]],TrafficData[[#This Row],[disposedCourt]]&lt;=TrafficData[[#This Row],[totalCourt]])</f>
        <v>1</v>
      </c>
    </row>
    <row r="3258" spans="1:16">
      <c r="A3258" s="1">
        <v>45262</v>
      </c>
      <c r="B3258">
        <v>220726</v>
      </c>
      <c r="C3258">
        <v>81180</v>
      </c>
      <c r="D3258">
        <v>139546</v>
      </c>
      <c r="E3258">
        <v>224916384</v>
      </c>
      <c r="F3258">
        <v>120098819</v>
      </c>
      <c r="G3258">
        <v>345015203</v>
      </c>
      <c r="H3258">
        <v>63689</v>
      </c>
      <c r="I3258">
        <v>11654</v>
      </c>
      <c r="J3258">
        <v>75343</v>
      </c>
      <c r="K3258" t="b">
        <f>TrafficData[[#This Row],[disposedChallan]]+TrafficData[[#This Row],[pendingChallan]]=TrafficData[[#This Row],[totalChallan]]</f>
        <v>1</v>
      </c>
      <c r="L3258" t="b">
        <f>TrafficData[[#This Row],[pendingAmount]]+TrafficData[[#This Row],[disposedAmount]]=TrafficData[[#This Row],[totalAmount]]</f>
        <v>1</v>
      </c>
      <c r="M3258" t="b">
        <f>TrafficData[[#This Row],[pendingCourt]]+TrafficData[[#This Row],[disposedCourt]]=TrafficData[[#This Row],[totalCourt]]</f>
        <v>1</v>
      </c>
      <c r="N3258" s="8" t="b">
        <f>AND(TrafficData[[#This Row],[disposedChallan]]&lt;=TrafficData[[#This Row],[totalChallan]],TrafficData[[#This Row],[pendingChallan]]&lt;=TrafficData[[#This Row],[totalChallan]])</f>
        <v>1</v>
      </c>
      <c r="O3258" s="8" t="b">
        <f>AND(TrafficData[[#This Row],[pendingAmount]]&lt;=TrafficData[[#This Row],[totalAmount]],TrafficData[[#This Row],[disposedAmount]]&lt;=TrafficData[[#This Row],[totalAmount]])</f>
        <v>1</v>
      </c>
      <c r="P3258" s="8" t="b">
        <f>AND(TrafficData[[#This Row],[pendingCourt]]&lt;=TrafficData[[#This Row],[totalCourt]],TrafficData[[#This Row],[disposedCourt]]&lt;=TrafficData[[#This Row],[totalCourt]])</f>
        <v>1</v>
      </c>
    </row>
    <row r="3259" spans="1:16">
      <c r="A3259" s="1">
        <v>45263</v>
      </c>
      <c r="B3259">
        <v>178350</v>
      </c>
      <c r="C3259">
        <v>64846</v>
      </c>
      <c r="D3259">
        <v>113504</v>
      </c>
      <c r="E3259">
        <v>183308037</v>
      </c>
      <c r="F3259">
        <v>91134693</v>
      </c>
      <c r="G3259">
        <v>274442730</v>
      </c>
      <c r="H3259">
        <v>53181</v>
      </c>
      <c r="I3259">
        <v>9314</v>
      </c>
      <c r="J3259">
        <v>62495</v>
      </c>
      <c r="K3259" t="b">
        <f>TrafficData[[#This Row],[disposedChallan]]+TrafficData[[#This Row],[pendingChallan]]=TrafficData[[#This Row],[totalChallan]]</f>
        <v>1</v>
      </c>
      <c r="L3259" t="b">
        <f>TrafficData[[#This Row],[pendingAmount]]+TrafficData[[#This Row],[disposedAmount]]=TrafficData[[#This Row],[totalAmount]]</f>
        <v>1</v>
      </c>
      <c r="M3259" t="b">
        <f>TrafficData[[#This Row],[pendingCourt]]+TrafficData[[#This Row],[disposedCourt]]=TrafficData[[#This Row],[totalCourt]]</f>
        <v>1</v>
      </c>
      <c r="N3259" s="8" t="b">
        <f>AND(TrafficData[[#This Row],[disposedChallan]]&lt;=TrafficData[[#This Row],[totalChallan]],TrafficData[[#This Row],[pendingChallan]]&lt;=TrafficData[[#This Row],[totalChallan]])</f>
        <v>1</v>
      </c>
      <c r="O3259" s="8" t="b">
        <f>AND(TrafficData[[#This Row],[pendingAmount]]&lt;=TrafficData[[#This Row],[totalAmount]],TrafficData[[#This Row],[disposedAmount]]&lt;=TrafficData[[#This Row],[totalAmount]])</f>
        <v>1</v>
      </c>
      <c r="P3259" s="8" t="b">
        <f>AND(TrafficData[[#This Row],[pendingCourt]]&lt;=TrafficData[[#This Row],[totalCourt]],TrafficData[[#This Row],[disposedCourt]]&lt;=TrafficData[[#This Row],[totalCourt]])</f>
        <v>1</v>
      </c>
    </row>
    <row r="3260" spans="1:16">
      <c r="A3260" s="1">
        <v>45264</v>
      </c>
      <c r="B3260">
        <v>197838</v>
      </c>
      <c r="C3260">
        <v>73557</v>
      </c>
      <c r="D3260">
        <v>124281</v>
      </c>
      <c r="E3260">
        <v>209032682</v>
      </c>
      <c r="F3260">
        <v>111966244</v>
      </c>
      <c r="G3260">
        <v>320998926</v>
      </c>
      <c r="H3260">
        <v>60865</v>
      </c>
      <c r="I3260">
        <v>10491</v>
      </c>
      <c r="J3260">
        <v>71356</v>
      </c>
      <c r="K3260" t="b">
        <f>TrafficData[[#This Row],[disposedChallan]]+TrafficData[[#This Row],[pendingChallan]]=TrafficData[[#This Row],[totalChallan]]</f>
        <v>1</v>
      </c>
      <c r="L3260" t="b">
        <f>TrafficData[[#This Row],[pendingAmount]]+TrafficData[[#This Row],[disposedAmount]]=TrafficData[[#This Row],[totalAmount]]</f>
        <v>1</v>
      </c>
      <c r="M3260" t="b">
        <f>TrafficData[[#This Row],[pendingCourt]]+TrafficData[[#This Row],[disposedCourt]]=TrafficData[[#This Row],[totalCourt]]</f>
        <v>1</v>
      </c>
      <c r="N3260" s="8" t="b">
        <f>AND(TrafficData[[#This Row],[disposedChallan]]&lt;=TrafficData[[#This Row],[totalChallan]],TrafficData[[#This Row],[pendingChallan]]&lt;=TrafficData[[#This Row],[totalChallan]])</f>
        <v>1</v>
      </c>
      <c r="O3260" s="8" t="b">
        <f>AND(TrafficData[[#This Row],[pendingAmount]]&lt;=TrafficData[[#This Row],[totalAmount]],TrafficData[[#This Row],[disposedAmount]]&lt;=TrafficData[[#This Row],[totalAmount]])</f>
        <v>1</v>
      </c>
      <c r="P3260" s="8" t="b">
        <f>AND(TrafficData[[#This Row],[pendingCourt]]&lt;=TrafficData[[#This Row],[totalCourt]],TrafficData[[#This Row],[disposedCourt]]&lt;=TrafficData[[#This Row],[totalCourt]])</f>
        <v>1</v>
      </c>
    </row>
    <row r="3261" spans="1:16">
      <c r="A3261" s="1">
        <v>45265</v>
      </c>
      <c r="B3261">
        <v>186780</v>
      </c>
      <c r="C3261">
        <v>71010</v>
      </c>
      <c r="D3261">
        <v>115770</v>
      </c>
      <c r="E3261">
        <v>198860527</v>
      </c>
      <c r="F3261">
        <v>114651502</v>
      </c>
      <c r="G3261">
        <v>313512029</v>
      </c>
      <c r="H3261">
        <v>59622</v>
      </c>
      <c r="I3261">
        <v>10160</v>
      </c>
      <c r="J3261">
        <v>69782</v>
      </c>
      <c r="K3261" t="b">
        <f>TrafficData[[#This Row],[disposedChallan]]+TrafficData[[#This Row],[pendingChallan]]=TrafficData[[#This Row],[totalChallan]]</f>
        <v>1</v>
      </c>
      <c r="L3261" t="b">
        <f>TrafficData[[#This Row],[pendingAmount]]+TrafficData[[#This Row],[disposedAmount]]=TrafficData[[#This Row],[totalAmount]]</f>
        <v>1</v>
      </c>
      <c r="M3261" t="b">
        <f>TrafficData[[#This Row],[pendingCourt]]+TrafficData[[#This Row],[disposedCourt]]=TrafficData[[#This Row],[totalCourt]]</f>
        <v>1</v>
      </c>
      <c r="N3261" s="8" t="b">
        <f>AND(TrafficData[[#This Row],[disposedChallan]]&lt;=TrafficData[[#This Row],[totalChallan]],TrafficData[[#This Row],[pendingChallan]]&lt;=TrafficData[[#This Row],[totalChallan]])</f>
        <v>1</v>
      </c>
      <c r="O3261" s="8" t="b">
        <f>AND(TrafficData[[#This Row],[pendingAmount]]&lt;=TrafficData[[#This Row],[totalAmount]],TrafficData[[#This Row],[disposedAmount]]&lt;=TrafficData[[#This Row],[totalAmount]])</f>
        <v>1</v>
      </c>
      <c r="P3261" s="8" t="b">
        <f>AND(TrafficData[[#This Row],[pendingCourt]]&lt;=TrafficData[[#This Row],[totalCourt]],TrafficData[[#This Row],[disposedCourt]]&lt;=TrafficData[[#This Row],[totalCourt]])</f>
        <v>1</v>
      </c>
    </row>
    <row r="3262" spans="1:16">
      <c r="A3262" s="1">
        <v>45266</v>
      </c>
      <c r="B3262">
        <v>182755</v>
      </c>
      <c r="C3262">
        <v>66731</v>
      </c>
      <c r="D3262">
        <v>116024</v>
      </c>
      <c r="E3262">
        <v>189459073</v>
      </c>
      <c r="F3262">
        <v>115563127</v>
      </c>
      <c r="G3262">
        <v>305022200</v>
      </c>
      <c r="H3262">
        <v>58821</v>
      </c>
      <c r="I3262">
        <v>10293</v>
      </c>
      <c r="J3262">
        <v>69114</v>
      </c>
      <c r="K3262" t="b">
        <f>TrafficData[[#This Row],[disposedChallan]]+TrafficData[[#This Row],[pendingChallan]]=TrafficData[[#This Row],[totalChallan]]</f>
        <v>1</v>
      </c>
      <c r="L3262" t="b">
        <f>TrafficData[[#This Row],[pendingAmount]]+TrafficData[[#This Row],[disposedAmount]]=TrafficData[[#This Row],[totalAmount]]</f>
        <v>1</v>
      </c>
      <c r="M3262" t="b">
        <f>TrafficData[[#This Row],[pendingCourt]]+TrafficData[[#This Row],[disposedCourt]]=TrafficData[[#This Row],[totalCourt]]</f>
        <v>1</v>
      </c>
      <c r="N3262" s="8" t="b">
        <f>AND(TrafficData[[#This Row],[disposedChallan]]&lt;=TrafficData[[#This Row],[totalChallan]],TrafficData[[#This Row],[pendingChallan]]&lt;=TrafficData[[#This Row],[totalChallan]])</f>
        <v>1</v>
      </c>
      <c r="O3262" s="8" t="b">
        <f>AND(TrafficData[[#This Row],[pendingAmount]]&lt;=TrafficData[[#This Row],[totalAmount]],TrafficData[[#This Row],[disposedAmount]]&lt;=TrafficData[[#This Row],[totalAmount]])</f>
        <v>1</v>
      </c>
      <c r="P3262" s="8" t="b">
        <f>AND(TrafficData[[#This Row],[pendingCourt]]&lt;=TrafficData[[#This Row],[totalCourt]],TrafficData[[#This Row],[disposedCourt]]&lt;=TrafficData[[#This Row],[totalCourt]])</f>
        <v>1</v>
      </c>
    </row>
    <row r="3263" spans="1:16">
      <c r="A3263" s="1">
        <v>45267</v>
      </c>
      <c r="B3263">
        <v>172087</v>
      </c>
      <c r="C3263">
        <v>63607</v>
      </c>
      <c r="D3263">
        <v>108480</v>
      </c>
      <c r="E3263">
        <v>181439008</v>
      </c>
      <c r="F3263">
        <v>105752761</v>
      </c>
      <c r="G3263">
        <v>287191769</v>
      </c>
      <c r="H3263">
        <v>53949</v>
      </c>
      <c r="I3263">
        <v>9693</v>
      </c>
      <c r="J3263">
        <v>63642</v>
      </c>
      <c r="K3263" t="b">
        <f>TrafficData[[#This Row],[disposedChallan]]+TrafficData[[#This Row],[pendingChallan]]=TrafficData[[#This Row],[totalChallan]]</f>
        <v>1</v>
      </c>
      <c r="L3263" t="b">
        <f>TrafficData[[#This Row],[pendingAmount]]+TrafficData[[#This Row],[disposedAmount]]=TrafficData[[#This Row],[totalAmount]]</f>
        <v>1</v>
      </c>
      <c r="M3263" t="b">
        <f>TrafficData[[#This Row],[pendingCourt]]+TrafficData[[#This Row],[disposedCourt]]=TrafficData[[#This Row],[totalCourt]]</f>
        <v>1</v>
      </c>
      <c r="N3263" s="8" t="b">
        <f>AND(TrafficData[[#This Row],[disposedChallan]]&lt;=TrafficData[[#This Row],[totalChallan]],TrafficData[[#This Row],[pendingChallan]]&lt;=TrafficData[[#This Row],[totalChallan]])</f>
        <v>1</v>
      </c>
      <c r="O3263" s="8" t="b">
        <f>AND(TrafficData[[#This Row],[pendingAmount]]&lt;=TrafficData[[#This Row],[totalAmount]],TrafficData[[#This Row],[disposedAmount]]&lt;=TrafficData[[#This Row],[totalAmount]])</f>
        <v>1</v>
      </c>
      <c r="P3263" s="8" t="b">
        <f>AND(TrafficData[[#This Row],[pendingCourt]]&lt;=TrafficData[[#This Row],[totalCourt]],TrafficData[[#This Row],[disposedCourt]]&lt;=TrafficData[[#This Row],[totalCourt]])</f>
        <v>1</v>
      </c>
    </row>
    <row r="3264" spans="1:16">
      <c r="A3264" s="1">
        <v>45268</v>
      </c>
      <c r="B3264">
        <v>199200</v>
      </c>
      <c r="C3264">
        <v>73583</v>
      </c>
      <c r="D3264">
        <v>125617</v>
      </c>
      <c r="E3264">
        <v>200576503</v>
      </c>
      <c r="F3264">
        <v>111255858</v>
      </c>
      <c r="G3264">
        <v>311832361</v>
      </c>
      <c r="H3264">
        <v>59273</v>
      </c>
      <c r="I3264">
        <v>11002</v>
      </c>
      <c r="J3264">
        <v>70275</v>
      </c>
      <c r="K3264" t="b">
        <f>TrafficData[[#This Row],[disposedChallan]]+TrafficData[[#This Row],[pendingChallan]]=TrafficData[[#This Row],[totalChallan]]</f>
        <v>1</v>
      </c>
      <c r="L3264" t="b">
        <f>TrafficData[[#This Row],[pendingAmount]]+TrafficData[[#This Row],[disposedAmount]]=TrafficData[[#This Row],[totalAmount]]</f>
        <v>1</v>
      </c>
      <c r="M3264" t="b">
        <f>TrafficData[[#This Row],[pendingCourt]]+TrafficData[[#This Row],[disposedCourt]]=TrafficData[[#This Row],[totalCourt]]</f>
        <v>1</v>
      </c>
      <c r="N3264" s="8" t="b">
        <f>AND(TrafficData[[#This Row],[disposedChallan]]&lt;=TrafficData[[#This Row],[totalChallan]],TrafficData[[#This Row],[pendingChallan]]&lt;=TrafficData[[#This Row],[totalChallan]])</f>
        <v>1</v>
      </c>
      <c r="O3264" s="8" t="b">
        <f>AND(TrafficData[[#This Row],[pendingAmount]]&lt;=TrafficData[[#This Row],[totalAmount]],TrafficData[[#This Row],[disposedAmount]]&lt;=TrafficData[[#This Row],[totalAmount]])</f>
        <v>1</v>
      </c>
      <c r="P3264" s="8" t="b">
        <f>AND(TrafficData[[#This Row],[pendingCourt]]&lt;=TrafficData[[#This Row],[totalCourt]],TrafficData[[#This Row],[disposedCourt]]&lt;=TrafficData[[#This Row],[totalCourt]])</f>
        <v>1</v>
      </c>
    </row>
    <row r="3265" spans="1:16">
      <c r="A3265" s="1">
        <v>45269</v>
      </c>
      <c r="B3265">
        <v>185516</v>
      </c>
      <c r="C3265">
        <v>72753</v>
      </c>
      <c r="D3265">
        <v>112763</v>
      </c>
      <c r="E3265">
        <v>175706515</v>
      </c>
      <c r="F3265">
        <v>99803397</v>
      </c>
      <c r="G3265">
        <v>275509912</v>
      </c>
      <c r="H3265">
        <v>60380</v>
      </c>
      <c r="I3265">
        <v>11097</v>
      </c>
      <c r="J3265">
        <v>71477</v>
      </c>
      <c r="K3265" t="b">
        <f>TrafficData[[#This Row],[disposedChallan]]+TrafficData[[#This Row],[pendingChallan]]=TrafficData[[#This Row],[totalChallan]]</f>
        <v>1</v>
      </c>
      <c r="L3265" t="b">
        <f>TrafficData[[#This Row],[pendingAmount]]+TrafficData[[#This Row],[disposedAmount]]=TrafficData[[#This Row],[totalAmount]]</f>
        <v>1</v>
      </c>
      <c r="M3265" t="b">
        <f>TrafficData[[#This Row],[pendingCourt]]+TrafficData[[#This Row],[disposedCourt]]=TrafficData[[#This Row],[totalCourt]]</f>
        <v>1</v>
      </c>
      <c r="N3265" s="8" t="b">
        <f>AND(TrafficData[[#This Row],[disposedChallan]]&lt;=TrafficData[[#This Row],[totalChallan]],TrafficData[[#This Row],[pendingChallan]]&lt;=TrafficData[[#This Row],[totalChallan]])</f>
        <v>1</v>
      </c>
      <c r="O3265" s="8" t="b">
        <f>AND(TrafficData[[#This Row],[pendingAmount]]&lt;=TrafficData[[#This Row],[totalAmount]],TrafficData[[#This Row],[disposedAmount]]&lt;=TrafficData[[#This Row],[totalAmount]])</f>
        <v>1</v>
      </c>
      <c r="P3265" s="8" t="b">
        <f>AND(TrafficData[[#This Row],[pendingCourt]]&lt;=TrafficData[[#This Row],[totalCourt]],TrafficData[[#This Row],[disposedCourt]]&lt;=TrafficData[[#This Row],[totalCourt]])</f>
        <v>1</v>
      </c>
    </row>
    <row r="3266" spans="1:16">
      <c r="A3266" s="1">
        <v>45270</v>
      </c>
      <c r="B3266">
        <v>174076</v>
      </c>
      <c r="C3266">
        <v>66265</v>
      </c>
      <c r="D3266">
        <v>107811</v>
      </c>
      <c r="E3266">
        <v>157492640</v>
      </c>
      <c r="F3266">
        <v>80328378</v>
      </c>
      <c r="G3266">
        <v>237821018</v>
      </c>
      <c r="H3266">
        <v>56847</v>
      </c>
      <c r="I3266">
        <v>9604</v>
      </c>
      <c r="J3266">
        <v>66451</v>
      </c>
      <c r="K3266" t="b">
        <f>TrafficData[[#This Row],[disposedChallan]]+TrafficData[[#This Row],[pendingChallan]]=TrafficData[[#This Row],[totalChallan]]</f>
        <v>1</v>
      </c>
      <c r="L3266" t="b">
        <f>TrafficData[[#This Row],[pendingAmount]]+TrafficData[[#This Row],[disposedAmount]]=TrafficData[[#This Row],[totalAmount]]</f>
        <v>1</v>
      </c>
      <c r="M3266" t="b">
        <f>TrafficData[[#This Row],[pendingCourt]]+TrafficData[[#This Row],[disposedCourt]]=TrafficData[[#This Row],[totalCourt]]</f>
        <v>1</v>
      </c>
      <c r="N3266" s="8" t="b">
        <f>AND(TrafficData[[#This Row],[disposedChallan]]&lt;=TrafficData[[#This Row],[totalChallan]],TrafficData[[#This Row],[pendingChallan]]&lt;=TrafficData[[#This Row],[totalChallan]])</f>
        <v>1</v>
      </c>
      <c r="O3266" s="8" t="b">
        <f>AND(TrafficData[[#This Row],[pendingAmount]]&lt;=TrafficData[[#This Row],[totalAmount]],TrafficData[[#This Row],[disposedAmount]]&lt;=TrafficData[[#This Row],[totalAmount]])</f>
        <v>1</v>
      </c>
      <c r="P3266" s="8" t="b">
        <f>AND(TrafficData[[#This Row],[pendingCourt]]&lt;=TrafficData[[#This Row],[totalCourt]],TrafficData[[#This Row],[disposedCourt]]&lt;=TrafficData[[#This Row],[totalCourt]])</f>
        <v>1</v>
      </c>
    </row>
    <row r="3267" spans="1:16">
      <c r="A3267" s="1">
        <v>45271</v>
      </c>
      <c r="B3267">
        <v>202760</v>
      </c>
      <c r="C3267">
        <v>73897</v>
      </c>
      <c r="D3267">
        <v>128863</v>
      </c>
      <c r="E3267">
        <v>199374456</v>
      </c>
      <c r="F3267">
        <v>106231257</v>
      </c>
      <c r="G3267">
        <v>305605713</v>
      </c>
      <c r="H3267">
        <v>63622</v>
      </c>
      <c r="I3267">
        <v>10897</v>
      </c>
      <c r="J3267">
        <v>74519</v>
      </c>
      <c r="K3267" t="b">
        <f>TrafficData[[#This Row],[disposedChallan]]+TrafficData[[#This Row],[pendingChallan]]=TrafficData[[#This Row],[totalChallan]]</f>
        <v>1</v>
      </c>
      <c r="L3267" t="b">
        <f>TrafficData[[#This Row],[pendingAmount]]+TrafficData[[#This Row],[disposedAmount]]=TrafficData[[#This Row],[totalAmount]]</f>
        <v>1</v>
      </c>
      <c r="M3267" t="b">
        <f>TrafficData[[#This Row],[pendingCourt]]+TrafficData[[#This Row],[disposedCourt]]=TrafficData[[#This Row],[totalCourt]]</f>
        <v>1</v>
      </c>
      <c r="N3267" s="8" t="b">
        <f>AND(TrafficData[[#This Row],[disposedChallan]]&lt;=TrafficData[[#This Row],[totalChallan]],TrafficData[[#This Row],[pendingChallan]]&lt;=TrafficData[[#This Row],[totalChallan]])</f>
        <v>1</v>
      </c>
      <c r="O3267" s="8" t="b">
        <f>AND(TrafficData[[#This Row],[pendingAmount]]&lt;=TrafficData[[#This Row],[totalAmount]],TrafficData[[#This Row],[disposedAmount]]&lt;=TrafficData[[#This Row],[totalAmount]])</f>
        <v>1</v>
      </c>
      <c r="P3267" s="8" t="b">
        <f>AND(TrafficData[[#This Row],[pendingCourt]]&lt;=TrafficData[[#This Row],[totalCourt]],TrafficData[[#This Row],[disposedCourt]]&lt;=TrafficData[[#This Row],[totalCourt]])</f>
        <v>1</v>
      </c>
    </row>
    <row r="3268" spans="1:16">
      <c r="A3268" s="1">
        <v>45272</v>
      </c>
      <c r="B3268">
        <v>204348</v>
      </c>
      <c r="C3268">
        <v>73632</v>
      </c>
      <c r="D3268">
        <v>130716</v>
      </c>
      <c r="E3268">
        <v>208422051</v>
      </c>
      <c r="F3268">
        <v>119789747</v>
      </c>
      <c r="G3268">
        <v>328211798</v>
      </c>
      <c r="H3268">
        <v>65667</v>
      </c>
      <c r="I3268">
        <v>11165</v>
      </c>
      <c r="J3268">
        <v>76832</v>
      </c>
      <c r="K3268" t="b">
        <f>TrafficData[[#This Row],[disposedChallan]]+TrafficData[[#This Row],[pendingChallan]]=TrafficData[[#This Row],[totalChallan]]</f>
        <v>1</v>
      </c>
      <c r="L3268" t="b">
        <f>TrafficData[[#This Row],[pendingAmount]]+TrafficData[[#This Row],[disposedAmount]]=TrafficData[[#This Row],[totalAmount]]</f>
        <v>1</v>
      </c>
      <c r="M3268" t="b">
        <f>TrafficData[[#This Row],[pendingCourt]]+TrafficData[[#This Row],[disposedCourt]]=TrafficData[[#This Row],[totalCourt]]</f>
        <v>1</v>
      </c>
      <c r="N3268" s="8" t="b">
        <f>AND(TrafficData[[#This Row],[disposedChallan]]&lt;=TrafficData[[#This Row],[totalChallan]],TrafficData[[#This Row],[pendingChallan]]&lt;=TrafficData[[#This Row],[totalChallan]])</f>
        <v>1</v>
      </c>
      <c r="O3268" s="8" t="b">
        <f>AND(TrafficData[[#This Row],[pendingAmount]]&lt;=TrafficData[[#This Row],[totalAmount]],TrafficData[[#This Row],[disposedAmount]]&lt;=TrafficData[[#This Row],[totalAmount]])</f>
        <v>1</v>
      </c>
      <c r="P3268" s="8" t="b">
        <f>AND(TrafficData[[#This Row],[pendingCourt]]&lt;=TrafficData[[#This Row],[totalCourt]],TrafficData[[#This Row],[disposedCourt]]&lt;=TrafficData[[#This Row],[totalCourt]])</f>
        <v>1</v>
      </c>
    </row>
    <row r="3269" spans="1:16">
      <c r="A3269" s="1">
        <v>45273</v>
      </c>
      <c r="B3269">
        <v>205093</v>
      </c>
      <c r="C3269">
        <v>75837</v>
      </c>
      <c r="D3269">
        <v>129256</v>
      </c>
      <c r="E3269">
        <v>210335918</v>
      </c>
      <c r="F3269">
        <v>124249550</v>
      </c>
      <c r="G3269">
        <v>334585468</v>
      </c>
      <c r="H3269">
        <v>64541</v>
      </c>
      <c r="I3269">
        <v>11127</v>
      </c>
      <c r="J3269">
        <v>75668</v>
      </c>
      <c r="K3269" t="b">
        <f>TrafficData[[#This Row],[disposedChallan]]+TrafficData[[#This Row],[pendingChallan]]=TrafficData[[#This Row],[totalChallan]]</f>
        <v>1</v>
      </c>
      <c r="L3269" t="b">
        <f>TrafficData[[#This Row],[pendingAmount]]+TrafficData[[#This Row],[disposedAmount]]=TrafficData[[#This Row],[totalAmount]]</f>
        <v>1</v>
      </c>
      <c r="M3269" t="b">
        <f>TrafficData[[#This Row],[pendingCourt]]+TrafficData[[#This Row],[disposedCourt]]=TrafficData[[#This Row],[totalCourt]]</f>
        <v>1</v>
      </c>
      <c r="N3269" s="8" t="b">
        <f>AND(TrafficData[[#This Row],[disposedChallan]]&lt;=TrafficData[[#This Row],[totalChallan]],TrafficData[[#This Row],[pendingChallan]]&lt;=TrafficData[[#This Row],[totalChallan]])</f>
        <v>1</v>
      </c>
      <c r="O3269" s="8" t="b">
        <f>AND(TrafficData[[#This Row],[pendingAmount]]&lt;=TrafficData[[#This Row],[totalAmount]],TrafficData[[#This Row],[disposedAmount]]&lt;=TrafficData[[#This Row],[totalAmount]])</f>
        <v>1</v>
      </c>
      <c r="P3269" s="8" t="b">
        <f>AND(TrafficData[[#This Row],[pendingCourt]]&lt;=TrafficData[[#This Row],[totalCourt]],TrafficData[[#This Row],[disposedCourt]]&lt;=TrafficData[[#This Row],[totalCourt]])</f>
        <v>1</v>
      </c>
    </row>
    <row r="3270" spans="1:16">
      <c r="A3270" s="1">
        <v>45274</v>
      </c>
      <c r="B3270">
        <v>205937</v>
      </c>
      <c r="C3270">
        <v>75617</v>
      </c>
      <c r="D3270">
        <v>130320</v>
      </c>
      <c r="E3270">
        <v>211695364</v>
      </c>
      <c r="F3270">
        <v>123190220</v>
      </c>
      <c r="G3270">
        <v>334885584</v>
      </c>
      <c r="H3270">
        <v>66530</v>
      </c>
      <c r="I3270">
        <v>11398</v>
      </c>
      <c r="J3270">
        <v>77928</v>
      </c>
      <c r="K3270" t="b">
        <f>TrafficData[[#This Row],[disposedChallan]]+TrafficData[[#This Row],[pendingChallan]]=TrafficData[[#This Row],[totalChallan]]</f>
        <v>1</v>
      </c>
      <c r="L3270" t="b">
        <f>TrafficData[[#This Row],[pendingAmount]]+TrafficData[[#This Row],[disposedAmount]]=TrafficData[[#This Row],[totalAmount]]</f>
        <v>1</v>
      </c>
      <c r="M3270" t="b">
        <f>TrafficData[[#This Row],[pendingCourt]]+TrafficData[[#This Row],[disposedCourt]]=TrafficData[[#This Row],[totalCourt]]</f>
        <v>1</v>
      </c>
      <c r="N3270" s="8" t="b">
        <f>AND(TrafficData[[#This Row],[disposedChallan]]&lt;=TrafficData[[#This Row],[totalChallan]],TrafficData[[#This Row],[pendingChallan]]&lt;=TrafficData[[#This Row],[totalChallan]])</f>
        <v>1</v>
      </c>
      <c r="O3270" s="8" t="b">
        <f>AND(TrafficData[[#This Row],[pendingAmount]]&lt;=TrafficData[[#This Row],[totalAmount]],TrafficData[[#This Row],[disposedAmount]]&lt;=TrafficData[[#This Row],[totalAmount]])</f>
        <v>1</v>
      </c>
      <c r="P3270" s="8" t="b">
        <f>AND(TrafficData[[#This Row],[pendingCourt]]&lt;=TrafficData[[#This Row],[totalCourt]],TrafficData[[#This Row],[disposedCourt]]&lt;=TrafficData[[#This Row],[totalCourt]])</f>
        <v>1</v>
      </c>
    </row>
    <row r="3271" spans="1:16">
      <c r="A3271" s="1">
        <v>45275</v>
      </c>
      <c r="B3271">
        <v>204362</v>
      </c>
      <c r="C3271">
        <v>73682</v>
      </c>
      <c r="D3271">
        <v>130680</v>
      </c>
      <c r="E3271">
        <v>207098684</v>
      </c>
      <c r="F3271">
        <v>109692871</v>
      </c>
      <c r="G3271">
        <v>316791555</v>
      </c>
      <c r="H3271">
        <v>64447</v>
      </c>
      <c r="I3271">
        <v>10871</v>
      </c>
      <c r="J3271">
        <v>75318</v>
      </c>
      <c r="K3271" t="b">
        <f>TrafficData[[#This Row],[disposedChallan]]+TrafficData[[#This Row],[pendingChallan]]=TrafficData[[#This Row],[totalChallan]]</f>
        <v>1</v>
      </c>
      <c r="L3271" t="b">
        <f>TrafficData[[#This Row],[pendingAmount]]+TrafficData[[#This Row],[disposedAmount]]=TrafficData[[#This Row],[totalAmount]]</f>
        <v>1</v>
      </c>
      <c r="M3271" t="b">
        <f>TrafficData[[#This Row],[pendingCourt]]+TrafficData[[#This Row],[disposedCourt]]=TrafficData[[#This Row],[totalCourt]]</f>
        <v>1</v>
      </c>
      <c r="N3271" s="8" t="b">
        <f>AND(TrafficData[[#This Row],[disposedChallan]]&lt;=TrafficData[[#This Row],[totalChallan]],TrafficData[[#This Row],[pendingChallan]]&lt;=TrafficData[[#This Row],[totalChallan]])</f>
        <v>1</v>
      </c>
      <c r="O3271" s="8" t="b">
        <f>AND(TrafficData[[#This Row],[pendingAmount]]&lt;=TrafficData[[#This Row],[totalAmount]],TrafficData[[#This Row],[disposedAmount]]&lt;=TrafficData[[#This Row],[totalAmount]])</f>
        <v>1</v>
      </c>
      <c r="P3271" s="8" t="b">
        <f>AND(TrafficData[[#This Row],[pendingCourt]]&lt;=TrafficData[[#This Row],[totalCourt]],TrafficData[[#This Row],[disposedCourt]]&lt;=TrafficData[[#This Row],[totalCourt]])</f>
        <v>1</v>
      </c>
    </row>
    <row r="3272" spans="1:16">
      <c r="A3272" s="1">
        <v>45276</v>
      </c>
      <c r="B3272">
        <v>196302</v>
      </c>
      <c r="C3272">
        <v>72918</v>
      </c>
      <c r="D3272">
        <v>123384</v>
      </c>
      <c r="E3272">
        <v>190313703</v>
      </c>
      <c r="F3272">
        <v>106755133</v>
      </c>
      <c r="G3272">
        <v>297068836</v>
      </c>
      <c r="H3272">
        <v>60193</v>
      </c>
      <c r="I3272">
        <v>10726</v>
      </c>
      <c r="J3272">
        <v>70919</v>
      </c>
      <c r="K3272" t="b">
        <f>TrafficData[[#This Row],[disposedChallan]]+TrafficData[[#This Row],[pendingChallan]]=TrafficData[[#This Row],[totalChallan]]</f>
        <v>1</v>
      </c>
      <c r="L3272" t="b">
        <f>TrafficData[[#This Row],[pendingAmount]]+TrafficData[[#This Row],[disposedAmount]]=TrafficData[[#This Row],[totalAmount]]</f>
        <v>1</v>
      </c>
      <c r="M3272" t="b">
        <f>TrafficData[[#This Row],[pendingCourt]]+TrafficData[[#This Row],[disposedCourt]]=TrafficData[[#This Row],[totalCourt]]</f>
        <v>1</v>
      </c>
      <c r="N3272" s="8" t="b">
        <f>AND(TrafficData[[#This Row],[disposedChallan]]&lt;=TrafficData[[#This Row],[totalChallan]],TrafficData[[#This Row],[pendingChallan]]&lt;=TrafficData[[#This Row],[totalChallan]])</f>
        <v>1</v>
      </c>
      <c r="O3272" s="8" t="b">
        <f>AND(TrafficData[[#This Row],[pendingAmount]]&lt;=TrafficData[[#This Row],[totalAmount]],TrafficData[[#This Row],[disposedAmount]]&lt;=TrafficData[[#This Row],[totalAmount]])</f>
        <v>1</v>
      </c>
      <c r="P3272" s="8" t="b">
        <f>AND(TrafficData[[#This Row],[pendingCourt]]&lt;=TrafficData[[#This Row],[totalCourt]],TrafficData[[#This Row],[disposedCourt]]&lt;=TrafficData[[#This Row],[totalCourt]])</f>
        <v>1</v>
      </c>
    </row>
    <row r="3273" spans="1:16">
      <c r="A3273" s="1">
        <v>45277</v>
      </c>
      <c r="B3273">
        <v>160138</v>
      </c>
      <c r="C3273">
        <v>58084</v>
      </c>
      <c r="D3273">
        <v>102054</v>
      </c>
      <c r="E3273">
        <v>162920822</v>
      </c>
      <c r="F3273">
        <v>78566887</v>
      </c>
      <c r="G3273">
        <v>241487709</v>
      </c>
      <c r="H3273">
        <v>54551</v>
      </c>
      <c r="I3273">
        <v>9054</v>
      </c>
      <c r="J3273">
        <v>63605</v>
      </c>
      <c r="K3273" t="b">
        <f>TrafficData[[#This Row],[disposedChallan]]+TrafficData[[#This Row],[pendingChallan]]=TrafficData[[#This Row],[totalChallan]]</f>
        <v>1</v>
      </c>
      <c r="L3273" t="b">
        <f>TrafficData[[#This Row],[pendingAmount]]+TrafficData[[#This Row],[disposedAmount]]=TrafficData[[#This Row],[totalAmount]]</f>
        <v>1</v>
      </c>
      <c r="M3273" t="b">
        <f>TrafficData[[#This Row],[pendingCourt]]+TrafficData[[#This Row],[disposedCourt]]=TrafficData[[#This Row],[totalCourt]]</f>
        <v>1</v>
      </c>
      <c r="N3273" s="8" t="b">
        <f>AND(TrafficData[[#This Row],[disposedChallan]]&lt;=TrafficData[[#This Row],[totalChallan]],TrafficData[[#This Row],[pendingChallan]]&lt;=TrafficData[[#This Row],[totalChallan]])</f>
        <v>1</v>
      </c>
      <c r="O3273" s="8" t="b">
        <f>AND(TrafficData[[#This Row],[pendingAmount]]&lt;=TrafficData[[#This Row],[totalAmount]],TrafficData[[#This Row],[disposedAmount]]&lt;=TrafficData[[#This Row],[totalAmount]])</f>
        <v>1</v>
      </c>
      <c r="P3273" s="8" t="b">
        <f>AND(TrafficData[[#This Row],[pendingCourt]]&lt;=TrafficData[[#This Row],[totalCourt]],TrafficData[[#This Row],[disposedCourt]]&lt;=TrafficData[[#This Row],[totalCourt]])</f>
        <v>1</v>
      </c>
    </row>
    <row r="3274" spans="1:16">
      <c r="A3274" s="1">
        <v>45278</v>
      </c>
      <c r="B3274">
        <v>184467</v>
      </c>
      <c r="C3274">
        <v>70187</v>
      </c>
      <c r="D3274">
        <v>114280</v>
      </c>
      <c r="E3274">
        <v>195835800</v>
      </c>
      <c r="F3274">
        <v>108299665</v>
      </c>
      <c r="G3274">
        <v>304135465</v>
      </c>
      <c r="H3274">
        <v>61332</v>
      </c>
      <c r="I3274">
        <v>10345</v>
      </c>
      <c r="J3274">
        <v>71677</v>
      </c>
      <c r="K3274" t="b">
        <f>TrafficData[[#This Row],[disposedChallan]]+TrafficData[[#This Row],[pendingChallan]]=TrafficData[[#This Row],[totalChallan]]</f>
        <v>1</v>
      </c>
      <c r="L3274" t="b">
        <f>TrafficData[[#This Row],[pendingAmount]]+TrafficData[[#This Row],[disposedAmount]]=TrafficData[[#This Row],[totalAmount]]</f>
        <v>1</v>
      </c>
      <c r="M3274" t="b">
        <f>TrafficData[[#This Row],[pendingCourt]]+TrafficData[[#This Row],[disposedCourt]]=TrafficData[[#This Row],[totalCourt]]</f>
        <v>1</v>
      </c>
      <c r="N3274" s="8" t="b">
        <f>AND(TrafficData[[#This Row],[disposedChallan]]&lt;=TrafficData[[#This Row],[totalChallan]],TrafficData[[#This Row],[pendingChallan]]&lt;=TrafficData[[#This Row],[totalChallan]])</f>
        <v>1</v>
      </c>
      <c r="O3274" s="8" t="b">
        <f>AND(TrafficData[[#This Row],[pendingAmount]]&lt;=TrafficData[[#This Row],[totalAmount]],TrafficData[[#This Row],[disposedAmount]]&lt;=TrafficData[[#This Row],[totalAmount]])</f>
        <v>1</v>
      </c>
      <c r="P3274" s="8" t="b">
        <f>AND(TrafficData[[#This Row],[pendingCourt]]&lt;=TrafficData[[#This Row],[totalCourt]],TrafficData[[#This Row],[disposedCourt]]&lt;=TrafficData[[#This Row],[totalCourt]])</f>
        <v>1</v>
      </c>
    </row>
    <row r="3275" spans="1:16">
      <c r="A3275" s="1">
        <v>45279</v>
      </c>
      <c r="B3275">
        <v>209892</v>
      </c>
      <c r="C3275">
        <v>75168</v>
      </c>
      <c r="D3275">
        <v>134724</v>
      </c>
      <c r="E3275">
        <v>217438414</v>
      </c>
      <c r="F3275">
        <v>122080209</v>
      </c>
      <c r="G3275">
        <v>339518623</v>
      </c>
      <c r="H3275">
        <v>66720</v>
      </c>
      <c r="I3275">
        <v>11297</v>
      </c>
      <c r="J3275">
        <v>78017</v>
      </c>
      <c r="K3275" t="b">
        <f>TrafficData[[#This Row],[disposedChallan]]+TrafficData[[#This Row],[pendingChallan]]=TrafficData[[#This Row],[totalChallan]]</f>
        <v>1</v>
      </c>
      <c r="L3275" t="b">
        <f>TrafficData[[#This Row],[pendingAmount]]+TrafficData[[#This Row],[disposedAmount]]=TrafficData[[#This Row],[totalAmount]]</f>
        <v>1</v>
      </c>
      <c r="M3275" t="b">
        <f>TrafficData[[#This Row],[pendingCourt]]+TrafficData[[#This Row],[disposedCourt]]=TrafficData[[#This Row],[totalCourt]]</f>
        <v>1</v>
      </c>
      <c r="N3275" s="8" t="b">
        <f>AND(TrafficData[[#This Row],[disposedChallan]]&lt;=TrafficData[[#This Row],[totalChallan]],TrafficData[[#This Row],[pendingChallan]]&lt;=TrafficData[[#This Row],[totalChallan]])</f>
        <v>1</v>
      </c>
      <c r="O3275" s="8" t="b">
        <f>AND(TrafficData[[#This Row],[pendingAmount]]&lt;=TrafficData[[#This Row],[totalAmount]],TrafficData[[#This Row],[disposedAmount]]&lt;=TrafficData[[#This Row],[totalAmount]])</f>
        <v>1</v>
      </c>
      <c r="P3275" s="8" t="b">
        <f>AND(TrafficData[[#This Row],[pendingCourt]]&lt;=TrafficData[[#This Row],[totalCourt]],TrafficData[[#This Row],[disposedCourt]]&lt;=TrafficData[[#This Row],[totalCourt]])</f>
        <v>1</v>
      </c>
    </row>
    <row r="3276" spans="1:16">
      <c r="A3276" s="1">
        <v>45280</v>
      </c>
      <c r="B3276">
        <v>219986</v>
      </c>
      <c r="C3276">
        <v>77644</v>
      </c>
      <c r="D3276">
        <v>142342</v>
      </c>
      <c r="E3276">
        <v>228684563</v>
      </c>
      <c r="F3276">
        <v>125807291</v>
      </c>
      <c r="G3276">
        <v>354491854</v>
      </c>
      <c r="H3276">
        <v>69101</v>
      </c>
      <c r="I3276">
        <v>11522</v>
      </c>
      <c r="J3276">
        <v>80623</v>
      </c>
      <c r="K3276" t="b">
        <f>TrafficData[[#This Row],[disposedChallan]]+TrafficData[[#This Row],[pendingChallan]]=TrafficData[[#This Row],[totalChallan]]</f>
        <v>1</v>
      </c>
      <c r="L3276" t="b">
        <f>TrafficData[[#This Row],[pendingAmount]]+TrafficData[[#This Row],[disposedAmount]]=TrafficData[[#This Row],[totalAmount]]</f>
        <v>1</v>
      </c>
      <c r="M3276" t="b">
        <f>TrafficData[[#This Row],[pendingCourt]]+TrafficData[[#This Row],[disposedCourt]]=TrafficData[[#This Row],[totalCourt]]</f>
        <v>1</v>
      </c>
      <c r="N3276" s="8" t="b">
        <f>AND(TrafficData[[#This Row],[disposedChallan]]&lt;=TrafficData[[#This Row],[totalChallan]],TrafficData[[#This Row],[pendingChallan]]&lt;=TrafficData[[#This Row],[totalChallan]])</f>
        <v>1</v>
      </c>
      <c r="O3276" s="8" t="b">
        <f>AND(TrafficData[[#This Row],[pendingAmount]]&lt;=TrafficData[[#This Row],[totalAmount]],TrafficData[[#This Row],[disposedAmount]]&lt;=TrafficData[[#This Row],[totalAmount]])</f>
        <v>1</v>
      </c>
      <c r="P3276" s="8" t="b">
        <f>AND(TrafficData[[#This Row],[pendingCourt]]&lt;=TrafficData[[#This Row],[totalCourt]],TrafficData[[#This Row],[disposedCourt]]&lt;=TrafficData[[#This Row],[totalCourt]])</f>
        <v>1</v>
      </c>
    </row>
    <row r="3277" spans="1:16">
      <c r="A3277" s="1">
        <v>45281</v>
      </c>
      <c r="B3277">
        <v>210676</v>
      </c>
      <c r="C3277">
        <v>76697</v>
      </c>
      <c r="D3277">
        <v>133979</v>
      </c>
      <c r="E3277">
        <v>222474596</v>
      </c>
      <c r="F3277">
        <v>127087419</v>
      </c>
      <c r="G3277">
        <v>349562015</v>
      </c>
      <c r="H3277">
        <v>64900</v>
      </c>
      <c r="I3277">
        <v>11094</v>
      </c>
      <c r="J3277">
        <v>75994</v>
      </c>
      <c r="K3277" t="b">
        <f>TrafficData[[#This Row],[disposedChallan]]+TrafficData[[#This Row],[pendingChallan]]=TrafficData[[#This Row],[totalChallan]]</f>
        <v>1</v>
      </c>
      <c r="L3277" t="b">
        <f>TrafficData[[#This Row],[pendingAmount]]+TrafficData[[#This Row],[disposedAmount]]=TrafficData[[#This Row],[totalAmount]]</f>
        <v>1</v>
      </c>
      <c r="M3277" t="b">
        <f>TrafficData[[#This Row],[pendingCourt]]+TrafficData[[#This Row],[disposedCourt]]=TrafficData[[#This Row],[totalCourt]]</f>
        <v>1</v>
      </c>
      <c r="N3277" s="8" t="b">
        <f>AND(TrafficData[[#This Row],[disposedChallan]]&lt;=TrafficData[[#This Row],[totalChallan]],TrafficData[[#This Row],[pendingChallan]]&lt;=TrafficData[[#This Row],[totalChallan]])</f>
        <v>1</v>
      </c>
      <c r="O3277" s="8" t="b">
        <f>AND(TrafficData[[#This Row],[pendingAmount]]&lt;=TrafficData[[#This Row],[totalAmount]],TrafficData[[#This Row],[disposedAmount]]&lt;=TrafficData[[#This Row],[totalAmount]])</f>
        <v>1</v>
      </c>
      <c r="P3277" s="8" t="b">
        <f>AND(TrafficData[[#This Row],[pendingCourt]]&lt;=TrafficData[[#This Row],[totalCourt]],TrafficData[[#This Row],[disposedCourt]]&lt;=TrafficData[[#This Row],[totalCourt]])</f>
        <v>1</v>
      </c>
    </row>
    <row r="3278" spans="1:16">
      <c r="A3278" s="1">
        <v>45282</v>
      </c>
      <c r="B3278">
        <v>210777</v>
      </c>
      <c r="C3278">
        <v>74759</v>
      </c>
      <c r="D3278">
        <v>136018</v>
      </c>
      <c r="E3278">
        <v>221314320</v>
      </c>
      <c r="F3278">
        <v>115144897</v>
      </c>
      <c r="G3278">
        <v>336459217</v>
      </c>
      <c r="H3278">
        <v>62625</v>
      </c>
      <c r="I3278">
        <v>11356</v>
      </c>
      <c r="J3278">
        <v>73981</v>
      </c>
      <c r="K3278" t="b">
        <f>TrafficData[[#This Row],[disposedChallan]]+TrafficData[[#This Row],[pendingChallan]]=TrafficData[[#This Row],[totalChallan]]</f>
        <v>1</v>
      </c>
      <c r="L3278" t="b">
        <f>TrafficData[[#This Row],[pendingAmount]]+TrafficData[[#This Row],[disposedAmount]]=TrafficData[[#This Row],[totalAmount]]</f>
        <v>1</v>
      </c>
      <c r="M3278" t="b">
        <f>TrafficData[[#This Row],[pendingCourt]]+TrafficData[[#This Row],[disposedCourt]]=TrafficData[[#This Row],[totalCourt]]</f>
        <v>1</v>
      </c>
      <c r="N3278" s="8" t="b">
        <f>AND(TrafficData[[#This Row],[disposedChallan]]&lt;=TrafficData[[#This Row],[totalChallan]],TrafficData[[#This Row],[pendingChallan]]&lt;=TrafficData[[#This Row],[totalChallan]])</f>
        <v>1</v>
      </c>
      <c r="O3278" s="8" t="b">
        <f>AND(TrafficData[[#This Row],[pendingAmount]]&lt;=TrafficData[[#This Row],[totalAmount]],TrafficData[[#This Row],[disposedAmount]]&lt;=TrafficData[[#This Row],[totalAmount]])</f>
        <v>1</v>
      </c>
      <c r="P3278" s="8" t="b">
        <f>AND(TrafficData[[#This Row],[pendingCourt]]&lt;=TrafficData[[#This Row],[totalCourt]],TrafficData[[#This Row],[disposedCourt]]&lt;=TrafficData[[#This Row],[totalCourt]])</f>
        <v>1</v>
      </c>
    </row>
    <row r="3279" spans="1:16">
      <c r="A3279" s="1">
        <v>45283</v>
      </c>
      <c r="B3279">
        <v>221429</v>
      </c>
      <c r="C3279">
        <v>77601</v>
      </c>
      <c r="D3279">
        <v>143828</v>
      </c>
      <c r="E3279">
        <v>225534921</v>
      </c>
      <c r="F3279">
        <v>261957018</v>
      </c>
      <c r="G3279">
        <v>487491939</v>
      </c>
      <c r="H3279">
        <v>64348</v>
      </c>
      <c r="I3279">
        <v>11859</v>
      </c>
      <c r="J3279">
        <v>76207</v>
      </c>
      <c r="K3279" t="b">
        <f>TrafficData[[#This Row],[disposedChallan]]+TrafficData[[#This Row],[pendingChallan]]=TrafficData[[#This Row],[totalChallan]]</f>
        <v>1</v>
      </c>
      <c r="L3279" t="b">
        <f>TrafficData[[#This Row],[pendingAmount]]+TrafficData[[#This Row],[disposedAmount]]=TrafficData[[#This Row],[totalAmount]]</f>
        <v>1</v>
      </c>
      <c r="M3279" t="b">
        <f>TrafficData[[#This Row],[pendingCourt]]+TrafficData[[#This Row],[disposedCourt]]=TrafficData[[#This Row],[totalCourt]]</f>
        <v>1</v>
      </c>
      <c r="N3279" s="8" t="b">
        <f>AND(TrafficData[[#This Row],[disposedChallan]]&lt;=TrafficData[[#This Row],[totalChallan]],TrafficData[[#This Row],[pendingChallan]]&lt;=TrafficData[[#This Row],[totalChallan]])</f>
        <v>1</v>
      </c>
      <c r="O3279" s="8" t="b">
        <f>AND(TrafficData[[#This Row],[pendingAmount]]&lt;=TrafficData[[#This Row],[totalAmount]],TrafficData[[#This Row],[disposedAmount]]&lt;=TrafficData[[#This Row],[totalAmount]])</f>
        <v>1</v>
      </c>
      <c r="P3279" s="8" t="b">
        <f>AND(TrafficData[[#This Row],[pendingCourt]]&lt;=TrafficData[[#This Row],[totalCourt]],TrafficData[[#This Row],[disposedCourt]]&lt;=TrafficData[[#This Row],[totalCourt]])</f>
        <v>1</v>
      </c>
    </row>
    <row r="3280" spans="1:16">
      <c r="A3280" s="1">
        <v>45284</v>
      </c>
      <c r="B3280">
        <v>200019</v>
      </c>
      <c r="C3280">
        <v>70106</v>
      </c>
      <c r="D3280">
        <v>129913</v>
      </c>
      <c r="E3280">
        <v>200489507</v>
      </c>
      <c r="F3280">
        <v>92759314</v>
      </c>
      <c r="G3280">
        <v>293248821</v>
      </c>
      <c r="H3280">
        <v>63860</v>
      </c>
      <c r="I3280">
        <v>11208</v>
      </c>
      <c r="J3280">
        <v>75068</v>
      </c>
      <c r="K3280" t="b">
        <f>TrafficData[[#This Row],[disposedChallan]]+TrafficData[[#This Row],[pendingChallan]]=TrafficData[[#This Row],[totalChallan]]</f>
        <v>1</v>
      </c>
      <c r="L3280" t="b">
        <f>TrafficData[[#This Row],[pendingAmount]]+TrafficData[[#This Row],[disposedAmount]]=TrafficData[[#This Row],[totalAmount]]</f>
        <v>1</v>
      </c>
      <c r="M3280" t="b">
        <f>TrafficData[[#This Row],[pendingCourt]]+TrafficData[[#This Row],[disposedCourt]]=TrafficData[[#This Row],[totalCourt]]</f>
        <v>1</v>
      </c>
      <c r="N3280" s="8" t="b">
        <f>AND(TrafficData[[#This Row],[disposedChallan]]&lt;=TrafficData[[#This Row],[totalChallan]],TrafficData[[#This Row],[pendingChallan]]&lt;=TrafficData[[#This Row],[totalChallan]])</f>
        <v>1</v>
      </c>
      <c r="O3280" s="8" t="b">
        <f>AND(TrafficData[[#This Row],[pendingAmount]]&lt;=TrafficData[[#This Row],[totalAmount]],TrafficData[[#This Row],[disposedAmount]]&lt;=TrafficData[[#This Row],[totalAmount]])</f>
        <v>1</v>
      </c>
      <c r="P3280" s="8" t="b">
        <f>AND(TrafficData[[#This Row],[pendingCourt]]&lt;=TrafficData[[#This Row],[totalCourt]],TrafficData[[#This Row],[disposedCourt]]&lt;=TrafficData[[#This Row],[totalCourt]])</f>
        <v>1</v>
      </c>
    </row>
    <row r="3281" spans="1:16">
      <c r="A3281" s="1">
        <v>45285</v>
      </c>
      <c r="B3281">
        <v>211226</v>
      </c>
      <c r="C3281">
        <v>70657</v>
      </c>
      <c r="D3281">
        <v>140569</v>
      </c>
      <c r="E3281">
        <v>214815248</v>
      </c>
      <c r="F3281">
        <v>92540927</v>
      </c>
      <c r="G3281">
        <v>307356175</v>
      </c>
      <c r="H3281">
        <v>64173</v>
      </c>
      <c r="I3281">
        <v>11639</v>
      </c>
      <c r="J3281">
        <v>75812</v>
      </c>
      <c r="K3281" t="b">
        <f>TrafficData[[#This Row],[disposedChallan]]+TrafficData[[#This Row],[pendingChallan]]=TrafficData[[#This Row],[totalChallan]]</f>
        <v>1</v>
      </c>
      <c r="L3281" t="b">
        <f>TrafficData[[#This Row],[pendingAmount]]+TrafficData[[#This Row],[disposedAmount]]=TrafficData[[#This Row],[totalAmount]]</f>
        <v>1</v>
      </c>
      <c r="M3281" t="b">
        <f>TrafficData[[#This Row],[pendingCourt]]+TrafficData[[#This Row],[disposedCourt]]=TrafficData[[#This Row],[totalCourt]]</f>
        <v>1</v>
      </c>
      <c r="N3281" s="8" t="b">
        <f>AND(TrafficData[[#This Row],[disposedChallan]]&lt;=TrafficData[[#This Row],[totalChallan]],TrafficData[[#This Row],[pendingChallan]]&lt;=TrafficData[[#This Row],[totalChallan]])</f>
        <v>1</v>
      </c>
      <c r="O3281" s="8" t="b">
        <f>AND(TrafficData[[#This Row],[pendingAmount]]&lt;=TrafficData[[#This Row],[totalAmount]],TrafficData[[#This Row],[disposedAmount]]&lt;=TrafficData[[#This Row],[totalAmount]])</f>
        <v>1</v>
      </c>
      <c r="P3281" s="8" t="b">
        <f>AND(TrafficData[[#This Row],[pendingCourt]]&lt;=TrafficData[[#This Row],[totalCourt]],TrafficData[[#This Row],[disposedCourt]]&lt;=TrafficData[[#This Row],[totalCourt]])</f>
        <v>1</v>
      </c>
    </row>
    <row r="3282" spans="1:16">
      <c r="A3282" s="1">
        <v>45286</v>
      </c>
      <c r="B3282">
        <v>217009</v>
      </c>
      <c r="C3282">
        <v>75653</v>
      </c>
      <c r="D3282">
        <v>141356</v>
      </c>
      <c r="E3282">
        <v>231741919</v>
      </c>
      <c r="F3282">
        <v>108317009</v>
      </c>
      <c r="G3282">
        <v>340058928</v>
      </c>
      <c r="H3282">
        <v>70373</v>
      </c>
      <c r="I3282">
        <v>12019</v>
      </c>
      <c r="J3282">
        <v>82392</v>
      </c>
      <c r="K3282" t="b">
        <f>TrafficData[[#This Row],[disposedChallan]]+TrafficData[[#This Row],[pendingChallan]]=TrafficData[[#This Row],[totalChallan]]</f>
        <v>1</v>
      </c>
      <c r="L3282" t="b">
        <f>TrafficData[[#This Row],[pendingAmount]]+TrafficData[[#This Row],[disposedAmount]]=TrafficData[[#This Row],[totalAmount]]</f>
        <v>1</v>
      </c>
      <c r="M3282" t="b">
        <f>TrafficData[[#This Row],[pendingCourt]]+TrafficData[[#This Row],[disposedCourt]]=TrafficData[[#This Row],[totalCourt]]</f>
        <v>1</v>
      </c>
      <c r="N3282" s="8" t="b">
        <f>AND(TrafficData[[#This Row],[disposedChallan]]&lt;=TrafficData[[#This Row],[totalChallan]],TrafficData[[#This Row],[pendingChallan]]&lt;=TrafficData[[#This Row],[totalChallan]])</f>
        <v>1</v>
      </c>
      <c r="O3282" s="8" t="b">
        <f>AND(TrafficData[[#This Row],[pendingAmount]]&lt;=TrafficData[[#This Row],[totalAmount]],TrafficData[[#This Row],[disposedAmount]]&lt;=TrafficData[[#This Row],[totalAmount]])</f>
        <v>1</v>
      </c>
      <c r="P3282" s="8" t="b">
        <f>AND(TrafficData[[#This Row],[pendingCourt]]&lt;=TrafficData[[#This Row],[totalCourt]],TrafficData[[#This Row],[disposedCourt]]&lt;=TrafficData[[#This Row],[totalCourt]])</f>
        <v>1</v>
      </c>
    </row>
    <row r="3283" spans="1:16">
      <c r="A3283" s="1">
        <v>45287</v>
      </c>
      <c r="B3283">
        <v>207273</v>
      </c>
      <c r="C3283">
        <v>74450</v>
      </c>
      <c r="D3283">
        <v>132823</v>
      </c>
      <c r="E3283">
        <v>215091525</v>
      </c>
      <c r="F3283">
        <v>114819343</v>
      </c>
      <c r="G3283">
        <v>329910868</v>
      </c>
      <c r="H3283">
        <v>63018</v>
      </c>
      <c r="I3283">
        <v>11242</v>
      </c>
      <c r="J3283">
        <v>74260</v>
      </c>
      <c r="K3283" t="b">
        <f>TrafficData[[#This Row],[disposedChallan]]+TrafficData[[#This Row],[pendingChallan]]=TrafficData[[#This Row],[totalChallan]]</f>
        <v>1</v>
      </c>
      <c r="L3283" t="b">
        <f>TrafficData[[#This Row],[pendingAmount]]+TrafficData[[#This Row],[disposedAmount]]=TrafficData[[#This Row],[totalAmount]]</f>
        <v>1</v>
      </c>
      <c r="M3283" t="b">
        <f>TrafficData[[#This Row],[pendingCourt]]+TrafficData[[#This Row],[disposedCourt]]=TrafficData[[#This Row],[totalCourt]]</f>
        <v>1</v>
      </c>
      <c r="N3283" s="8" t="b">
        <f>AND(TrafficData[[#This Row],[disposedChallan]]&lt;=TrafficData[[#This Row],[totalChallan]],TrafficData[[#This Row],[pendingChallan]]&lt;=TrafficData[[#This Row],[totalChallan]])</f>
        <v>1</v>
      </c>
      <c r="O3283" s="8" t="b">
        <f>AND(TrafficData[[#This Row],[pendingAmount]]&lt;=TrafficData[[#This Row],[totalAmount]],TrafficData[[#This Row],[disposedAmount]]&lt;=TrafficData[[#This Row],[totalAmount]])</f>
        <v>1</v>
      </c>
      <c r="P3283" s="8" t="b">
        <f>AND(TrafficData[[#This Row],[pendingCourt]]&lt;=TrafficData[[#This Row],[totalCourt]],TrafficData[[#This Row],[disposedCourt]]&lt;=TrafficData[[#This Row],[totalCourt]])</f>
        <v>1</v>
      </c>
    </row>
    <row r="3284" spans="1:16">
      <c r="A3284" s="1">
        <v>45288</v>
      </c>
      <c r="B3284">
        <v>208530</v>
      </c>
      <c r="C3284">
        <v>74666</v>
      </c>
      <c r="D3284">
        <v>133864</v>
      </c>
      <c r="E3284">
        <v>216304380</v>
      </c>
      <c r="F3284">
        <v>109140235</v>
      </c>
      <c r="G3284">
        <v>325444615</v>
      </c>
      <c r="H3284">
        <v>60707</v>
      </c>
      <c r="I3284">
        <v>11199</v>
      </c>
      <c r="J3284">
        <v>71906</v>
      </c>
      <c r="K3284" t="b">
        <f>TrafficData[[#This Row],[disposedChallan]]+TrafficData[[#This Row],[pendingChallan]]=TrafficData[[#This Row],[totalChallan]]</f>
        <v>1</v>
      </c>
      <c r="L3284" t="b">
        <f>TrafficData[[#This Row],[pendingAmount]]+TrafficData[[#This Row],[disposedAmount]]=TrafficData[[#This Row],[totalAmount]]</f>
        <v>1</v>
      </c>
      <c r="M3284" t="b">
        <f>TrafficData[[#This Row],[pendingCourt]]+TrafficData[[#This Row],[disposedCourt]]=TrafficData[[#This Row],[totalCourt]]</f>
        <v>1</v>
      </c>
      <c r="N3284" s="8" t="b">
        <f>AND(TrafficData[[#This Row],[disposedChallan]]&lt;=TrafficData[[#This Row],[totalChallan]],TrafficData[[#This Row],[pendingChallan]]&lt;=TrafficData[[#This Row],[totalChallan]])</f>
        <v>1</v>
      </c>
      <c r="O3284" s="8" t="b">
        <f>AND(TrafficData[[#This Row],[pendingAmount]]&lt;=TrafficData[[#This Row],[totalAmount]],TrafficData[[#This Row],[disposedAmount]]&lt;=TrafficData[[#This Row],[totalAmount]])</f>
        <v>1</v>
      </c>
      <c r="P3284" s="8" t="b">
        <f>AND(TrafficData[[#This Row],[pendingCourt]]&lt;=TrafficData[[#This Row],[totalCourt]],TrafficData[[#This Row],[disposedCourt]]&lt;=TrafficData[[#This Row],[totalCourt]])</f>
        <v>1</v>
      </c>
    </row>
    <row r="3285" spans="1:16">
      <c r="A3285" s="1">
        <v>45289</v>
      </c>
      <c r="B3285">
        <v>209632</v>
      </c>
      <c r="C3285">
        <v>74757</v>
      </c>
      <c r="D3285">
        <v>134875</v>
      </c>
      <c r="E3285">
        <v>219926608</v>
      </c>
      <c r="F3285">
        <v>107928105</v>
      </c>
      <c r="G3285">
        <v>327854713</v>
      </c>
      <c r="H3285">
        <v>63466</v>
      </c>
      <c r="I3285">
        <v>11375</v>
      </c>
      <c r="J3285">
        <v>74841</v>
      </c>
      <c r="K3285" t="b">
        <f>TrafficData[[#This Row],[disposedChallan]]+TrafficData[[#This Row],[pendingChallan]]=TrafficData[[#This Row],[totalChallan]]</f>
        <v>1</v>
      </c>
      <c r="L3285" t="b">
        <f>TrafficData[[#This Row],[pendingAmount]]+TrafficData[[#This Row],[disposedAmount]]=TrafficData[[#This Row],[totalAmount]]</f>
        <v>1</v>
      </c>
      <c r="M3285" t="b">
        <f>TrafficData[[#This Row],[pendingCourt]]+TrafficData[[#This Row],[disposedCourt]]=TrafficData[[#This Row],[totalCourt]]</f>
        <v>1</v>
      </c>
      <c r="N3285" s="8" t="b">
        <f>AND(TrafficData[[#This Row],[disposedChallan]]&lt;=TrafficData[[#This Row],[totalChallan]],TrafficData[[#This Row],[pendingChallan]]&lt;=TrafficData[[#This Row],[totalChallan]])</f>
        <v>1</v>
      </c>
      <c r="O3285" s="8" t="b">
        <f>AND(TrafficData[[#This Row],[pendingAmount]]&lt;=TrafficData[[#This Row],[totalAmount]],TrafficData[[#This Row],[disposedAmount]]&lt;=TrafficData[[#This Row],[totalAmount]])</f>
        <v>1</v>
      </c>
      <c r="P3285" s="8" t="b">
        <f>AND(TrafficData[[#This Row],[pendingCourt]]&lt;=TrafficData[[#This Row],[totalCourt]],TrafficData[[#This Row],[disposedCourt]]&lt;=TrafficData[[#This Row],[totalCourt]])</f>
        <v>1</v>
      </c>
    </row>
    <row r="3286" spans="1:16">
      <c r="A3286" s="1">
        <v>45290</v>
      </c>
      <c r="B3286">
        <v>219760</v>
      </c>
      <c r="C3286">
        <v>77459</v>
      </c>
      <c r="D3286">
        <v>142301</v>
      </c>
      <c r="E3286">
        <v>230731505</v>
      </c>
      <c r="F3286">
        <v>101986516</v>
      </c>
      <c r="G3286">
        <v>332718021</v>
      </c>
      <c r="H3286">
        <v>62153</v>
      </c>
      <c r="I3286">
        <v>12059</v>
      </c>
      <c r="J3286">
        <v>74212</v>
      </c>
      <c r="K3286" t="b">
        <f>TrafficData[[#This Row],[disposedChallan]]+TrafficData[[#This Row],[pendingChallan]]=TrafficData[[#This Row],[totalChallan]]</f>
        <v>1</v>
      </c>
      <c r="L3286" t="b">
        <f>TrafficData[[#This Row],[pendingAmount]]+TrafficData[[#This Row],[disposedAmount]]=TrafficData[[#This Row],[totalAmount]]</f>
        <v>1</v>
      </c>
      <c r="M3286" t="b">
        <f>TrafficData[[#This Row],[pendingCourt]]+TrafficData[[#This Row],[disposedCourt]]=TrafficData[[#This Row],[totalCourt]]</f>
        <v>1</v>
      </c>
      <c r="N3286" s="8" t="b">
        <f>AND(TrafficData[[#This Row],[disposedChallan]]&lt;=TrafficData[[#This Row],[totalChallan]],TrafficData[[#This Row],[pendingChallan]]&lt;=TrafficData[[#This Row],[totalChallan]])</f>
        <v>1</v>
      </c>
      <c r="O3286" s="8" t="b">
        <f>AND(TrafficData[[#This Row],[pendingAmount]]&lt;=TrafficData[[#This Row],[totalAmount]],TrafficData[[#This Row],[disposedAmount]]&lt;=TrafficData[[#This Row],[totalAmount]])</f>
        <v>1</v>
      </c>
      <c r="P3286" s="8" t="b">
        <f>AND(TrafficData[[#This Row],[pendingCourt]]&lt;=TrafficData[[#This Row],[totalCourt]],TrafficData[[#This Row],[disposedCourt]]&lt;=TrafficData[[#This Row],[totalCourt]])</f>
        <v>1</v>
      </c>
    </row>
    <row r="3287" spans="1:16">
      <c r="A3287" s="1">
        <v>45291</v>
      </c>
      <c r="B3287">
        <v>189468</v>
      </c>
      <c r="C3287">
        <v>64194</v>
      </c>
      <c r="D3287">
        <v>125274</v>
      </c>
      <c r="E3287">
        <v>185501666</v>
      </c>
      <c r="F3287">
        <v>77535654</v>
      </c>
      <c r="G3287">
        <v>263037320</v>
      </c>
      <c r="H3287">
        <v>57745</v>
      </c>
      <c r="I3287">
        <v>10258</v>
      </c>
      <c r="J3287">
        <v>68003</v>
      </c>
      <c r="K3287" t="b">
        <f>TrafficData[[#This Row],[disposedChallan]]+TrafficData[[#This Row],[pendingChallan]]=TrafficData[[#This Row],[totalChallan]]</f>
        <v>1</v>
      </c>
      <c r="L3287" t="b">
        <f>TrafficData[[#This Row],[pendingAmount]]+TrafficData[[#This Row],[disposedAmount]]=TrafficData[[#This Row],[totalAmount]]</f>
        <v>1</v>
      </c>
      <c r="M3287" t="b">
        <f>TrafficData[[#This Row],[pendingCourt]]+TrafficData[[#This Row],[disposedCourt]]=TrafficData[[#This Row],[totalCourt]]</f>
        <v>1</v>
      </c>
      <c r="N3287" s="8" t="b">
        <f>AND(TrafficData[[#This Row],[disposedChallan]]&lt;=TrafficData[[#This Row],[totalChallan]],TrafficData[[#This Row],[pendingChallan]]&lt;=TrafficData[[#This Row],[totalChallan]])</f>
        <v>1</v>
      </c>
      <c r="O3287" s="8" t="b">
        <f>AND(TrafficData[[#This Row],[pendingAmount]]&lt;=TrafficData[[#This Row],[totalAmount]],TrafficData[[#This Row],[disposedAmount]]&lt;=TrafficData[[#This Row],[totalAmount]])</f>
        <v>1</v>
      </c>
      <c r="P3287" s="8" t="b">
        <f>AND(TrafficData[[#This Row],[pendingCourt]]&lt;=TrafficData[[#This Row],[totalCourt]],TrafficData[[#This Row],[disposedCourt]]&lt;=TrafficData[[#This Row],[totalCourt]])</f>
        <v>1</v>
      </c>
    </row>
    <row r="3288" spans="1:16">
      <c r="A3288" s="1">
        <v>45292</v>
      </c>
      <c r="B3288">
        <v>170506</v>
      </c>
      <c r="C3288">
        <v>57655</v>
      </c>
      <c r="D3288">
        <v>112851</v>
      </c>
      <c r="E3288">
        <v>166736271</v>
      </c>
      <c r="F3288">
        <v>75917593</v>
      </c>
      <c r="G3288">
        <v>242653864</v>
      </c>
      <c r="H3288">
        <v>58746</v>
      </c>
      <c r="I3288">
        <v>9807</v>
      </c>
      <c r="J3288">
        <v>68553</v>
      </c>
      <c r="K3288" t="b">
        <f>TrafficData[[#This Row],[disposedChallan]]+TrafficData[[#This Row],[pendingChallan]]=TrafficData[[#This Row],[totalChallan]]</f>
        <v>1</v>
      </c>
      <c r="L3288" t="b">
        <f>TrafficData[[#This Row],[pendingAmount]]+TrafficData[[#This Row],[disposedAmount]]=TrafficData[[#This Row],[totalAmount]]</f>
        <v>1</v>
      </c>
      <c r="M3288" t="b">
        <f>TrafficData[[#This Row],[pendingCourt]]+TrafficData[[#This Row],[disposedCourt]]=TrafficData[[#This Row],[totalCourt]]</f>
        <v>1</v>
      </c>
      <c r="N3288" s="8" t="b">
        <f>AND(TrafficData[[#This Row],[disposedChallan]]&lt;=TrafficData[[#This Row],[totalChallan]],TrafficData[[#This Row],[pendingChallan]]&lt;=TrafficData[[#This Row],[totalChallan]])</f>
        <v>1</v>
      </c>
      <c r="O3288" s="8" t="b">
        <f>AND(TrafficData[[#This Row],[pendingAmount]]&lt;=TrafficData[[#This Row],[totalAmount]],TrafficData[[#This Row],[disposedAmount]]&lt;=TrafficData[[#This Row],[totalAmount]])</f>
        <v>1</v>
      </c>
      <c r="P3288" s="8" t="b">
        <f>AND(TrafficData[[#This Row],[pendingCourt]]&lt;=TrafficData[[#This Row],[totalCourt]],TrafficData[[#This Row],[disposedCourt]]&lt;=TrafficData[[#This Row],[totalCourt]])</f>
        <v>1</v>
      </c>
    </row>
    <row r="3289" spans="1:16">
      <c r="A3289" s="1">
        <v>45293</v>
      </c>
      <c r="B3289">
        <v>212200</v>
      </c>
      <c r="C3289">
        <v>72081</v>
      </c>
      <c r="D3289">
        <v>140119</v>
      </c>
      <c r="E3289">
        <v>201062727</v>
      </c>
      <c r="F3289">
        <v>91778324</v>
      </c>
      <c r="G3289">
        <v>292841051</v>
      </c>
      <c r="H3289">
        <v>69316</v>
      </c>
      <c r="I3289">
        <v>11212</v>
      </c>
      <c r="J3289">
        <v>80528</v>
      </c>
      <c r="K3289" t="b">
        <f>TrafficData[[#This Row],[disposedChallan]]+TrafficData[[#This Row],[pendingChallan]]=TrafficData[[#This Row],[totalChallan]]</f>
        <v>1</v>
      </c>
      <c r="L3289" t="b">
        <f>TrafficData[[#This Row],[pendingAmount]]+TrafficData[[#This Row],[disposedAmount]]=TrafficData[[#This Row],[totalAmount]]</f>
        <v>1</v>
      </c>
      <c r="M3289" t="b">
        <f>TrafficData[[#This Row],[pendingCourt]]+TrafficData[[#This Row],[disposedCourt]]=TrafficData[[#This Row],[totalCourt]]</f>
        <v>1</v>
      </c>
      <c r="N3289" s="8" t="b">
        <f>AND(TrafficData[[#This Row],[disposedChallan]]&lt;=TrafficData[[#This Row],[totalChallan]],TrafficData[[#This Row],[pendingChallan]]&lt;=TrafficData[[#This Row],[totalChallan]])</f>
        <v>1</v>
      </c>
      <c r="O3289" s="8" t="b">
        <f>AND(TrafficData[[#This Row],[pendingAmount]]&lt;=TrafficData[[#This Row],[totalAmount]],TrafficData[[#This Row],[disposedAmount]]&lt;=TrafficData[[#This Row],[totalAmount]])</f>
        <v>1</v>
      </c>
      <c r="P3289" s="8" t="b">
        <f>AND(TrafficData[[#This Row],[pendingCourt]]&lt;=TrafficData[[#This Row],[totalCourt]],TrafficData[[#This Row],[disposedCourt]]&lt;=TrafficData[[#This Row],[totalCourt]])</f>
        <v>1</v>
      </c>
    </row>
    <row r="3290" spans="1:16">
      <c r="A3290" s="1">
        <v>45294</v>
      </c>
      <c r="B3290">
        <v>212515</v>
      </c>
      <c r="C3290">
        <v>73635</v>
      </c>
      <c r="D3290">
        <v>138880</v>
      </c>
      <c r="E3290">
        <v>212006622</v>
      </c>
      <c r="F3290">
        <v>104679934</v>
      </c>
      <c r="G3290">
        <v>316686556</v>
      </c>
      <c r="H3290">
        <v>66499</v>
      </c>
      <c r="I3290">
        <v>11570</v>
      </c>
      <c r="J3290">
        <v>78069</v>
      </c>
      <c r="K3290" t="b">
        <f>TrafficData[[#This Row],[disposedChallan]]+TrafficData[[#This Row],[pendingChallan]]=TrafficData[[#This Row],[totalChallan]]</f>
        <v>1</v>
      </c>
      <c r="L3290" t="b">
        <f>TrafficData[[#This Row],[pendingAmount]]+TrafficData[[#This Row],[disposedAmount]]=TrafficData[[#This Row],[totalAmount]]</f>
        <v>1</v>
      </c>
      <c r="M3290" t="b">
        <f>TrafficData[[#This Row],[pendingCourt]]+TrafficData[[#This Row],[disposedCourt]]=TrafficData[[#This Row],[totalCourt]]</f>
        <v>1</v>
      </c>
      <c r="N3290" s="8" t="b">
        <f>AND(TrafficData[[#This Row],[disposedChallan]]&lt;=TrafficData[[#This Row],[totalChallan]],TrafficData[[#This Row],[pendingChallan]]&lt;=TrafficData[[#This Row],[totalChallan]])</f>
        <v>1</v>
      </c>
      <c r="O3290" s="8" t="b">
        <f>AND(TrafficData[[#This Row],[pendingAmount]]&lt;=TrafficData[[#This Row],[totalAmount]],TrafficData[[#This Row],[disposedAmount]]&lt;=TrafficData[[#This Row],[totalAmount]])</f>
        <v>1</v>
      </c>
      <c r="P3290" s="8" t="b">
        <f>AND(TrafficData[[#This Row],[pendingCourt]]&lt;=TrafficData[[#This Row],[totalCourt]],TrafficData[[#This Row],[disposedCourt]]&lt;=TrafficData[[#This Row],[totalCourt]])</f>
        <v>1</v>
      </c>
    </row>
    <row r="3291" spans="1:16">
      <c r="A3291" s="1">
        <v>45295</v>
      </c>
      <c r="B3291">
        <v>218980</v>
      </c>
      <c r="C3291">
        <v>76736</v>
      </c>
      <c r="D3291">
        <v>142244</v>
      </c>
      <c r="E3291">
        <v>218797197</v>
      </c>
      <c r="F3291">
        <v>118873830</v>
      </c>
      <c r="G3291">
        <v>337671027</v>
      </c>
      <c r="H3291">
        <v>70560</v>
      </c>
      <c r="I3291">
        <v>12056</v>
      </c>
      <c r="J3291">
        <v>82616</v>
      </c>
      <c r="K3291" t="b">
        <f>TrafficData[[#This Row],[disposedChallan]]+TrafficData[[#This Row],[pendingChallan]]=TrafficData[[#This Row],[totalChallan]]</f>
        <v>1</v>
      </c>
      <c r="L3291" t="b">
        <f>TrafficData[[#This Row],[pendingAmount]]+TrafficData[[#This Row],[disposedAmount]]=TrafficData[[#This Row],[totalAmount]]</f>
        <v>1</v>
      </c>
      <c r="M3291" t="b">
        <f>TrafficData[[#This Row],[pendingCourt]]+TrafficData[[#This Row],[disposedCourt]]=TrafficData[[#This Row],[totalCourt]]</f>
        <v>1</v>
      </c>
      <c r="N3291" s="8" t="b">
        <f>AND(TrafficData[[#This Row],[disposedChallan]]&lt;=TrafficData[[#This Row],[totalChallan]],TrafficData[[#This Row],[pendingChallan]]&lt;=TrafficData[[#This Row],[totalChallan]])</f>
        <v>1</v>
      </c>
      <c r="O3291" s="8" t="b">
        <f>AND(TrafficData[[#This Row],[pendingAmount]]&lt;=TrafficData[[#This Row],[totalAmount]],TrafficData[[#This Row],[disposedAmount]]&lt;=TrafficData[[#This Row],[totalAmount]])</f>
        <v>1</v>
      </c>
      <c r="P3291" s="8" t="b">
        <f>AND(TrafficData[[#This Row],[pendingCourt]]&lt;=TrafficData[[#This Row],[totalCourt]],TrafficData[[#This Row],[disposedCourt]]&lt;=TrafficData[[#This Row],[totalCourt]])</f>
        <v>1</v>
      </c>
    </row>
    <row r="3292" spans="1:16">
      <c r="A3292" s="1">
        <v>45296</v>
      </c>
      <c r="B3292">
        <v>216789</v>
      </c>
      <c r="C3292">
        <v>77555</v>
      </c>
      <c r="D3292">
        <v>139234</v>
      </c>
      <c r="E3292">
        <v>213972894</v>
      </c>
      <c r="F3292">
        <v>122922259</v>
      </c>
      <c r="G3292">
        <v>336895153</v>
      </c>
      <c r="H3292">
        <v>65331</v>
      </c>
      <c r="I3292">
        <v>11134</v>
      </c>
      <c r="J3292">
        <v>76465</v>
      </c>
      <c r="K3292" t="b">
        <f>TrafficData[[#This Row],[disposedChallan]]+TrafficData[[#This Row],[pendingChallan]]=TrafficData[[#This Row],[totalChallan]]</f>
        <v>1</v>
      </c>
      <c r="L3292" t="b">
        <f>TrafficData[[#This Row],[pendingAmount]]+TrafficData[[#This Row],[disposedAmount]]=TrafficData[[#This Row],[totalAmount]]</f>
        <v>1</v>
      </c>
      <c r="M3292" t="b">
        <f>TrafficData[[#This Row],[pendingCourt]]+TrafficData[[#This Row],[disposedCourt]]=TrafficData[[#This Row],[totalCourt]]</f>
        <v>1</v>
      </c>
      <c r="N3292" s="8" t="b">
        <f>AND(TrafficData[[#This Row],[disposedChallan]]&lt;=TrafficData[[#This Row],[totalChallan]],TrafficData[[#This Row],[pendingChallan]]&lt;=TrafficData[[#This Row],[totalChallan]])</f>
        <v>1</v>
      </c>
      <c r="O3292" s="8" t="b">
        <f>AND(TrafficData[[#This Row],[pendingAmount]]&lt;=TrafficData[[#This Row],[totalAmount]],TrafficData[[#This Row],[disposedAmount]]&lt;=TrafficData[[#This Row],[totalAmount]])</f>
        <v>1</v>
      </c>
      <c r="P3292" s="8" t="b">
        <f>AND(TrafficData[[#This Row],[pendingCourt]]&lt;=TrafficData[[#This Row],[totalCourt]],TrafficData[[#This Row],[disposedCourt]]&lt;=TrafficData[[#This Row],[totalCourt]])</f>
        <v>1</v>
      </c>
    </row>
    <row r="3293" spans="1:16">
      <c r="A3293" s="1">
        <v>45297</v>
      </c>
      <c r="B3293">
        <v>219897</v>
      </c>
      <c r="C3293">
        <v>78864</v>
      </c>
      <c r="D3293">
        <v>141033</v>
      </c>
      <c r="E3293">
        <v>217728525</v>
      </c>
      <c r="F3293">
        <v>121476580</v>
      </c>
      <c r="G3293">
        <v>339205105</v>
      </c>
      <c r="H3293">
        <v>69519</v>
      </c>
      <c r="I3293">
        <v>11900</v>
      </c>
      <c r="J3293">
        <v>81419</v>
      </c>
      <c r="K3293" t="b">
        <f>TrafficData[[#This Row],[disposedChallan]]+TrafficData[[#This Row],[pendingChallan]]=TrafficData[[#This Row],[totalChallan]]</f>
        <v>1</v>
      </c>
      <c r="L3293" t="b">
        <f>TrafficData[[#This Row],[pendingAmount]]+TrafficData[[#This Row],[disposedAmount]]=TrafficData[[#This Row],[totalAmount]]</f>
        <v>1</v>
      </c>
      <c r="M3293" t="b">
        <f>TrafficData[[#This Row],[pendingCourt]]+TrafficData[[#This Row],[disposedCourt]]=TrafficData[[#This Row],[totalCourt]]</f>
        <v>1</v>
      </c>
      <c r="N3293" s="8" t="b">
        <f>AND(TrafficData[[#This Row],[disposedChallan]]&lt;=TrafficData[[#This Row],[totalChallan]],TrafficData[[#This Row],[pendingChallan]]&lt;=TrafficData[[#This Row],[totalChallan]])</f>
        <v>1</v>
      </c>
      <c r="O3293" s="8" t="b">
        <f>AND(TrafficData[[#This Row],[pendingAmount]]&lt;=TrafficData[[#This Row],[totalAmount]],TrafficData[[#This Row],[disposedAmount]]&lt;=TrafficData[[#This Row],[totalAmount]])</f>
        <v>1</v>
      </c>
      <c r="P3293" s="8" t="b">
        <f>AND(TrafficData[[#This Row],[pendingCourt]]&lt;=TrafficData[[#This Row],[totalCourt]],TrafficData[[#This Row],[disposedCourt]]&lt;=TrafficData[[#This Row],[totalCourt]])</f>
        <v>1</v>
      </c>
    </row>
    <row r="3294" spans="1:16">
      <c r="A3294" s="1">
        <v>45298</v>
      </c>
      <c r="B3294">
        <v>190629</v>
      </c>
      <c r="C3294">
        <v>68138</v>
      </c>
      <c r="D3294">
        <v>122491</v>
      </c>
      <c r="E3294">
        <v>191695249</v>
      </c>
      <c r="F3294">
        <v>90489139</v>
      </c>
      <c r="G3294">
        <v>282184388</v>
      </c>
      <c r="H3294">
        <v>66695</v>
      </c>
      <c r="I3294">
        <v>10877</v>
      </c>
      <c r="J3294">
        <v>77572</v>
      </c>
      <c r="K3294" t="b">
        <f>TrafficData[[#This Row],[disposedChallan]]+TrafficData[[#This Row],[pendingChallan]]=TrafficData[[#This Row],[totalChallan]]</f>
        <v>1</v>
      </c>
      <c r="L3294" t="b">
        <f>TrafficData[[#This Row],[pendingAmount]]+TrafficData[[#This Row],[disposedAmount]]=TrafficData[[#This Row],[totalAmount]]</f>
        <v>1</v>
      </c>
      <c r="M3294" t="b">
        <f>TrafficData[[#This Row],[pendingCourt]]+TrafficData[[#This Row],[disposedCourt]]=TrafficData[[#This Row],[totalCourt]]</f>
        <v>1</v>
      </c>
      <c r="N3294" s="8" t="b">
        <f>AND(TrafficData[[#This Row],[disposedChallan]]&lt;=TrafficData[[#This Row],[totalChallan]],TrafficData[[#This Row],[pendingChallan]]&lt;=TrafficData[[#This Row],[totalChallan]])</f>
        <v>1</v>
      </c>
      <c r="O3294" s="8" t="b">
        <f>AND(TrafficData[[#This Row],[pendingAmount]]&lt;=TrafficData[[#This Row],[totalAmount]],TrafficData[[#This Row],[disposedAmount]]&lt;=TrafficData[[#This Row],[totalAmount]])</f>
        <v>1</v>
      </c>
      <c r="P3294" s="8" t="b">
        <f>AND(TrafficData[[#This Row],[pendingCourt]]&lt;=TrafficData[[#This Row],[totalCourt]],TrafficData[[#This Row],[disposedCourt]]&lt;=TrafficData[[#This Row],[totalCourt]])</f>
        <v>1</v>
      </c>
    </row>
    <row r="3295" spans="1:16">
      <c r="A3295" s="1">
        <v>45299</v>
      </c>
      <c r="B3295">
        <v>214292</v>
      </c>
      <c r="C3295">
        <v>74610</v>
      </c>
      <c r="D3295">
        <v>139682</v>
      </c>
      <c r="E3295">
        <v>211240091</v>
      </c>
      <c r="F3295">
        <v>114609378</v>
      </c>
      <c r="G3295">
        <v>325849469</v>
      </c>
      <c r="H3295">
        <v>71281</v>
      </c>
      <c r="I3295">
        <v>11980</v>
      </c>
      <c r="J3295">
        <v>83261</v>
      </c>
      <c r="K3295" t="b">
        <f>TrafficData[[#This Row],[disposedChallan]]+TrafficData[[#This Row],[pendingChallan]]=TrafficData[[#This Row],[totalChallan]]</f>
        <v>1</v>
      </c>
      <c r="L3295" t="b">
        <f>TrafficData[[#This Row],[pendingAmount]]+TrafficData[[#This Row],[disposedAmount]]=TrafficData[[#This Row],[totalAmount]]</f>
        <v>1</v>
      </c>
      <c r="M3295" t="b">
        <f>TrafficData[[#This Row],[pendingCourt]]+TrafficData[[#This Row],[disposedCourt]]=TrafficData[[#This Row],[totalCourt]]</f>
        <v>1</v>
      </c>
      <c r="N3295" s="8" t="b">
        <f>AND(TrafficData[[#This Row],[disposedChallan]]&lt;=TrafficData[[#This Row],[totalChallan]],TrafficData[[#This Row],[pendingChallan]]&lt;=TrafficData[[#This Row],[totalChallan]])</f>
        <v>1</v>
      </c>
      <c r="O3295" s="8" t="b">
        <f>AND(TrafficData[[#This Row],[pendingAmount]]&lt;=TrafficData[[#This Row],[totalAmount]],TrafficData[[#This Row],[disposedAmount]]&lt;=TrafficData[[#This Row],[totalAmount]])</f>
        <v>1</v>
      </c>
      <c r="P3295" s="8" t="b">
        <f>AND(TrafficData[[#This Row],[pendingCourt]]&lt;=TrafficData[[#This Row],[totalCourt]],TrafficData[[#This Row],[disposedCourt]]&lt;=TrafficData[[#This Row],[totalCourt]])</f>
        <v>1</v>
      </c>
    </row>
    <row r="3296" spans="1:16">
      <c r="A3296" s="1">
        <v>45300</v>
      </c>
      <c r="B3296">
        <v>203733</v>
      </c>
      <c r="C3296">
        <v>71489</v>
      </c>
      <c r="D3296">
        <v>132244</v>
      </c>
      <c r="E3296">
        <v>203916385</v>
      </c>
      <c r="F3296">
        <v>119239998</v>
      </c>
      <c r="G3296">
        <v>323156383</v>
      </c>
      <c r="H3296">
        <v>64380</v>
      </c>
      <c r="I3296">
        <v>10811</v>
      </c>
      <c r="J3296">
        <v>75191</v>
      </c>
      <c r="K3296" t="b">
        <f>TrafficData[[#This Row],[disposedChallan]]+TrafficData[[#This Row],[pendingChallan]]=TrafficData[[#This Row],[totalChallan]]</f>
        <v>1</v>
      </c>
      <c r="L3296" t="b">
        <f>TrafficData[[#This Row],[pendingAmount]]+TrafficData[[#This Row],[disposedAmount]]=TrafficData[[#This Row],[totalAmount]]</f>
        <v>1</v>
      </c>
      <c r="M3296" t="b">
        <f>TrafficData[[#This Row],[pendingCourt]]+TrafficData[[#This Row],[disposedCourt]]=TrafficData[[#This Row],[totalCourt]]</f>
        <v>1</v>
      </c>
      <c r="N3296" s="8" t="b">
        <f>AND(TrafficData[[#This Row],[disposedChallan]]&lt;=TrafficData[[#This Row],[totalChallan]],TrafficData[[#This Row],[pendingChallan]]&lt;=TrafficData[[#This Row],[totalChallan]])</f>
        <v>1</v>
      </c>
      <c r="O3296" s="8" t="b">
        <f>AND(TrafficData[[#This Row],[pendingAmount]]&lt;=TrafficData[[#This Row],[totalAmount]],TrafficData[[#This Row],[disposedAmount]]&lt;=TrafficData[[#This Row],[totalAmount]])</f>
        <v>1</v>
      </c>
      <c r="P3296" s="8" t="b">
        <f>AND(TrafficData[[#This Row],[pendingCourt]]&lt;=TrafficData[[#This Row],[totalCourt]],TrafficData[[#This Row],[disposedCourt]]&lt;=TrafficData[[#This Row],[totalCourt]])</f>
        <v>1</v>
      </c>
    </row>
    <row r="3297" spans="1:16">
      <c r="A3297" s="1">
        <v>45301</v>
      </c>
      <c r="B3297">
        <v>211557</v>
      </c>
      <c r="C3297">
        <v>75230</v>
      </c>
      <c r="D3297">
        <v>136327</v>
      </c>
      <c r="E3297">
        <v>212691314</v>
      </c>
      <c r="F3297">
        <v>129888541</v>
      </c>
      <c r="G3297">
        <v>342579855</v>
      </c>
      <c r="H3297">
        <v>67157</v>
      </c>
      <c r="I3297">
        <v>11124</v>
      </c>
      <c r="J3297">
        <v>78281</v>
      </c>
      <c r="K3297" t="b">
        <f>TrafficData[[#This Row],[disposedChallan]]+TrafficData[[#This Row],[pendingChallan]]=TrafficData[[#This Row],[totalChallan]]</f>
        <v>1</v>
      </c>
      <c r="L3297" t="b">
        <f>TrafficData[[#This Row],[pendingAmount]]+TrafficData[[#This Row],[disposedAmount]]=TrafficData[[#This Row],[totalAmount]]</f>
        <v>1</v>
      </c>
      <c r="M3297" t="b">
        <f>TrafficData[[#This Row],[pendingCourt]]+TrafficData[[#This Row],[disposedCourt]]=TrafficData[[#This Row],[totalCourt]]</f>
        <v>1</v>
      </c>
      <c r="N3297" s="8" t="b">
        <f>AND(TrafficData[[#This Row],[disposedChallan]]&lt;=TrafficData[[#This Row],[totalChallan]],TrafficData[[#This Row],[pendingChallan]]&lt;=TrafficData[[#This Row],[totalChallan]])</f>
        <v>1</v>
      </c>
      <c r="O3297" s="8" t="b">
        <f>AND(TrafficData[[#This Row],[pendingAmount]]&lt;=TrafficData[[#This Row],[totalAmount]],TrafficData[[#This Row],[disposedAmount]]&lt;=TrafficData[[#This Row],[totalAmount]])</f>
        <v>1</v>
      </c>
      <c r="P3297" s="8" t="b">
        <f>AND(TrafficData[[#This Row],[pendingCourt]]&lt;=TrafficData[[#This Row],[totalCourt]],TrafficData[[#This Row],[disposedCourt]]&lt;=TrafficData[[#This Row],[totalCourt]])</f>
        <v>1</v>
      </c>
    </row>
    <row r="3298" spans="1:16">
      <c r="A3298" s="1">
        <v>45302</v>
      </c>
      <c r="B3298">
        <v>211112</v>
      </c>
      <c r="C3298">
        <v>75618</v>
      </c>
      <c r="D3298">
        <v>135494</v>
      </c>
      <c r="E3298">
        <v>206938107</v>
      </c>
      <c r="F3298">
        <v>124252598</v>
      </c>
      <c r="G3298">
        <v>331190705</v>
      </c>
      <c r="H3298">
        <v>66945</v>
      </c>
      <c r="I3298">
        <v>10935</v>
      </c>
      <c r="J3298">
        <v>77880</v>
      </c>
      <c r="K3298" t="b">
        <f>TrafficData[[#This Row],[disposedChallan]]+TrafficData[[#This Row],[pendingChallan]]=TrafficData[[#This Row],[totalChallan]]</f>
        <v>1</v>
      </c>
      <c r="L3298" t="b">
        <f>TrafficData[[#This Row],[pendingAmount]]+TrafficData[[#This Row],[disposedAmount]]=TrafficData[[#This Row],[totalAmount]]</f>
        <v>1</v>
      </c>
      <c r="M3298" t="b">
        <f>TrafficData[[#This Row],[pendingCourt]]+TrafficData[[#This Row],[disposedCourt]]=TrafficData[[#This Row],[totalCourt]]</f>
        <v>1</v>
      </c>
      <c r="N3298" s="8" t="b">
        <f>AND(TrafficData[[#This Row],[disposedChallan]]&lt;=TrafficData[[#This Row],[totalChallan]],TrafficData[[#This Row],[pendingChallan]]&lt;=TrafficData[[#This Row],[totalChallan]])</f>
        <v>1</v>
      </c>
      <c r="O3298" s="8" t="b">
        <f>AND(TrafficData[[#This Row],[pendingAmount]]&lt;=TrafficData[[#This Row],[totalAmount]],TrafficData[[#This Row],[disposedAmount]]&lt;=TrafficData[[#This Row],[totalAmount]])</f>
        <v>1</v>
      </c>
      <c r="P3298" s="8" t="b">
        <f>AND(TrafficData[[#This Row],[pendingCourt]]&lt;=TrafficData[[#This Row],[totalCourt]],TrafficData[[#This Row],[disposedCourt]]&lt;=TrafficData[[#This Row],[totalCourt]])</f>
        <v>1</v>
      </c>
    </row>
    <row r="3299" spans="1:16">
      <c r="A3299" s="1">
        <v>45303</v>
      </c>
      <c r="B3299">
        <v>203036</v>
      </c>
      <c r="C3299">
        <v>72894</v>
      </c>
      <c r="D3299">
        <v>130142</v>
      </c>
      <c r="E3299">
        <v>201739556</v>
      </c>
      <c r="F3299">
        <v>114185253</v>
      </c>
      <c r="G3299">
        <v>315924809</v>
      </c>
      <c r="H3299">
        <v>61485</v>
      </c>
      <c r="I3299">
        <v>10220</v>
      </c>
      <c r="J3299">
        <v>71705</v>
      </c>
      <c r="K3299" t="b">
        <f>TrafficData[[#This Row],[disposedChallan]]+TrafficData[[#This Row],[pendingChallan]]=TrafficData[[#This Row],[totalChallan]]</f>
        <v>1</v>
      </c>
      <c r="L3299" t="b">
        <f>TrafficData[[#This Row],[pendingAmount]]+TrafficData[[#This Row],[disposedAmount]]=TrafficData[[#This Row],[totalAmount]]</f>
        <v>1</v>
      </c>
      <c r="M3299" t="b">
        <f>TrafficData[[#This Row],[pendingCourt]]+TrafficData[[#This Row],[disposedCourt]]=TrafficData[[#This Row],[totalCourt]]</f>
        <v>1</v>
      </c>
      <c r="N3299" s="8" t="b">
        <f>AND(TrafficData[[#This Row],[disposedChallan]]&lt;=TrafficData[[#This Row],[totalChallan]],TrafficData[[#This Row],[pendingChallan]]&lt;=TrafficData[[#This Row],[totalChallan]])</f>
        <v>1</v>
      </c>
      <c r="O3299" s="8" t="b">
        <f>AND(TrafficData[[#This Row],[pendingAmount]]&lt;=TrafficData[[#This Row],[totalAmount]],TrafficData[[#This Row],[disposedAmount]]&lt;=TrafficData[[#This Row],[totalAmount]])</f>
        <v>1</v>
      </c>
      <c r="P3299" s="8" t="b">
        <f>AND(TrafficData[[#This Row],[pendingCourt]]&lt;=TrafficData[[#This Row],[totalCourt]],TrafficData[[#This Row],[disposedCourt]]&lt;=TrafficData[[#This Row],[totalCourt]])</f>
        <v>1</v>
      </c>
    </row>
    <row r="3300" spans="1:16">
      <c r="A3300" s="1">
        <v>45304</v>
      </c>
      <c r="B3300">
        <v>203338</v>
      </c>
      <c r="C3300">
        <v>73026</v>
      </c>
      <c r="D3300">
        <v>130312</v>
      </c>
      <c r="E3300">
        <v>195136270</v>
      </c>
      <c r="F3300">
        <v>101608289</v>
      </c>
      <c r="G3300">
        <v>296744559</v>
      </c>
      <c r="H3300">
        <v>57462</v>
      </c>
      <c r="I3300">
        <v>9715</v>
      </c>
      <c r="J3300">
        <v>67177</v>
      </c>
      <c r="K3300" t="b">
        <f>TrafficData[[#This Row],[disposedChallan]]+TrafficData[[#This Row],[pendingChallan]]=TrafficData[[#This Row],[totalChallan]]</f>
        <v>1</v>
      </c>
      <c r="L3300" t="b">
        <f>TrafficData[[#This Row],[pendingAmount]]+TrafficData[[#This Row],[disposedAmount]]=TrafficData[[#This Row],[totalAmount]]</f>
        <v>1</v>
      </c>
      <c r="M3300" t="b">
        <f>TrafficData[[#This Row],[pendingCourt]]+TrafficData[[#This Row],[disposedCourt]]=TrafficData[[#This Row],[totalCourt]]</f>
        <v>1</v>
      </c>
      <c r="N3300" s="8" t="b">
        <f>AND(TrafficData[[#This Row],[disposedChallan]]&lt;=TrafficData[[#This Row],[totalChallan]],TrafficData[[#This Row],[pendingChallan]]&lt;=TrafficData[[#This Row],[totalChallan]])</f>
        <v>1</v>
      </c>
      <c r="O3300" s="8" t="b">
        <f>AND(TrafficData[[#This Row],[pendingAmount]]&lt;=TrafficData[[#This Row],[totalAmount]],TrafficData[[#This Row],[disposedAmount]]&lt;=TrafficData[[#This Row],[totalAmount]])</f>
        <v>1</v>
      </c>
      <c r="P3300" s="8" t="b">
        <f>AND(TrafficData[[#This Row],[pendingCourt]]&lt;=TrafficData[[#This Row],[totalCourt]],TrafficData[[#This Row],[disposedCourt]]&lt;=TrafficData[[#This Row],[totalCourt]])</f>
        <v>1</v>
      </c>
    </row>
    <row r="3301" spans="1:16">
      <c r="A3301" s="1">
        <v>45305</v>
      </c>
      <c r="B3301">
        <v>179468</v>
      </c>
      <c r="C3301">
        <v>62906</v>
      </c>
      <c r="D3301">
        <v>116562</v>
      </c>
      <c r="E3301">
        <v>159641166</v>
      </c>
      <c r="F3301">
        <v>76434983</v>
      </c>
      <c r="G3301">
        <v>236076149</v>
      </c>
      <c r="H3301">
        <v>50172</v>
      </c>
      <c r="I3301">
        <v>8389</v>
      </c>
      <c r="J3301">
        <v>58561</v>
      </c>
      <c r="K3301" t="b">
        <f>TrafficData[[#This Row],[disposedChallan]]+TrafficData[[#This Row],[pendingChallan]]=TrafficData[[#This Row],[totalChallan]]</f>
        <v>1</v>
      </c>
      <c r="L3301" t="b">
        <f>TrafficData[[#This Row],[pendingAmount]]+TrafficData[[#This Row],[disposedAmount]]=TrafficData[[#This Row],[totalAmount]]</f>
        <v>1</v>
      </c>
      <c r="M3301" t="b">
        <f>TrafficData[[#This Row],[pendingCourt]]+TrafficData[[#This Row],[disposedCourt]]=TrafficData[[#This Row],[totalCourt]]</f>
        <v>1</v>
      </c>
      <c r="N3301" s="8" t="b">
        <f>AND(TrafficData[[#This Row],[disposedChallan]]&lt;=TrafficData[[#This Row],[totalChallan]],TrafficData[[#This Row],[pendingChallan]]&lt;=TrafficData[[#This Row],[totalChallan]])</f>
        <v>1</v>
      </c>
      <c r="O3301" s="8" t="b">
        <f>AND(TrafficData[[#This Row],[pendingAmount]]&lt;=TrafficData[[#This Row],[totalAmount]],TrafficData[[#This Row],[disposedAmount]]&lt;=TrafficData[[#This Row],[totalAmount]])</f>
        <v>1</v>
      </c>
      <c r="P3301" s="8" t="b">
        <f>AND(TrafficData[[#This Row],[pendingCourt]]&lt;=TrafficData[[#This Row],[totalCourt]],TrafficData[[#This Row],[disposedCourt]]&lt;=TrafficData[[#This Row],[totalCourt]])</f>
        <v>1</v>
      </c>
    </row>
    <row r="3302" spans="1:16">
      <c r="A3302" s="1">
        <v>45306</v>
      </c>
      <c r="B3302">
        <v>169941</v>
      </c>
      <c r="C3302">
        <v>60379</v>
      </c>
      <c r="D3302">
        <v>109562</v>
      </c>
      <c r="E3302">
        <v>170019216</v>
      </c>
      <c r="F3302">
        <v>86664795</v>
      </c>
      <c r="G3302">
        <v>256684011</v>
      </c>
      <c r="H3302">
        <v>58560</v>
      </c>
      <c r="I3302">
        <v>9594</v>
      </c>
      <c r="J3302">
        <v>68154</v>
      </c>
      <c r="K3302" t="b">
        <f>TrafficData[[#This Row],[disposedChallan]]+TrafficData[[#This Row],[pendingChallan]]=TrafficData[[#This Row],[totalChallan]]</f>
        <v>1</v>
      </c>
      <c r="L3302" t="b">
        <f>TrafficData[[#This Row],[pendingAmount]]+TrafficData[[#This Row],[disposedAmount]]=TrafficData[[#This Row],[totalAmount]]</f>
        <v>1</v>
      </c>
      <c r="M3302" t="b">
        <f>TrafficData[[#This Row],[pendingCourt]]+TrafficData[[#This Row],[disposedCourt]]=TrafficData[[#This Row],[totalCourt]]</f>
        <v>1</v>
      </c>
      <c r="N3302" s="8" t="b">
        <f>AND(TrafficData[[#This Row],[disposedChallan]]&lt;=TrafficData[[#This Row],[totalChallan]],TrafficData[[#This Row],[pendingChallan]]&lt;=TrafficData[[#This Row],[totalChallan]])</f>
        <v>1</v>
      </c>
      <c r="O3302" s="8" t="b">
        <f>AND(TrafficData[[#This Row],[pendingAmount]]&lt;=TrafficData[[#This Row],[totalAmount]],TrafficData[[#This Row],[disposedAmount]]&lt;=TrafficData[[#This Row],[totalAmount]])</f>
        <v>1</v>
      </c>
      <c r="P3302" s="8" t="b">
        <f>AND(TrafficData[[#This Row],[pendingCourt]]&lt;=TrafficData[[#This Row],[totalCourt]],TrafficData[[#This Row],[disposedCourt]]&lt;=TrafficData[[#This Row],[totalCourt]])</f>
        <v>1</v>
      </c>
    </row>
    <row r="3303" spans="1:16">
      <c r="A3303" s="1">
        <v>45307</v>
      </c>
      <c r="B3303">
        <v>187693</v>
      </c>
      <c r="C3303">
        <v>65603</v>
      </c>
      <c r="D3303">
        <v>122090</v>
      </c>
      <c r="E3303">
        <v>189769239</v>
      </c>
      <c r="F3303">
        <v>106113502</v>
      </c>
      <c r="G3303">
        <v>295882741</v>
      </c>
      <c r="H3303">
        <v>59370</v>
      </c>
      <c r="I3303">
        <v>9728</v>
      </c>
      <c r="J3303">
        <v>69098</v>
      </c>
      <c r="K3303" t="b">
        <f>TrafficData[[#This Row],[disposedChallan]]+TrafficData[[#This Row],[pendingChallan]]=TrafficData[[#This Row],[totalChallan]]</f>
        <v>1</v>
      </c>
      <c r="L3303" t="b">
        <f>TrafficData[[#This Row],[pendingAmount]]+TrafficData[[#This Row],[disposedAmount]]=TrafficData[[#This Row],[totalAmount]]</f>
        <v>1</v>
      </c>
      <c r="M3303" t="b">
        <f>TrafficData[[#This Row],[pendingCourt]]+TrafficData[[#This Row],[disposedCourt]]=TrafficData[[#This Row],[totalCourt]]</f>
        <v>1</v>
      </c>
      <c r="N3303" s="8" t="b">
        <f>AND(TrafficData[[#This Row],[disposedChallan]]&lt;=TrafficData[[#This Row],[totalChallan]],TrafficData[[#This Row],[pendingChallan]]&lt;=TrafficData[[#This Row],[totalChallan]])</f>
        <v>1</v>
      </c>
      <c r="O3303" s="8" t="b">
        <f>AND(TrafficData[[#This Row],[pendingAmount]]&lt;=TrafficData[[#This Row],[totalAmount]],TrafficData[[#This Row],[disposedAmount]]&lt;=TrafficData[[#This Row],[totalAmount]])</f>
        <v>1</v>
      </c>
      <c r="P3303" s="8" t="b">
        <f>AND(TrafficData[[#This Row],[pendingCourt]]&lt;=TrafficData[[#This Row],[totalCourt]],TrafficData[[#This Row],[disposedCourt]]&lt;=TrafficData[[#This Row],[totalCourt]])</f>
        <v>1</v>
      </c>
    </row>
    <row r="3304" spans="1:16">
      <c r="A3304" s="1">
        <v>45308</v>
      </c>
      <c r="B3304">
        <v>185076</v>
      </c>
      <c r="C3304">
        <v>66094</v>
      </c>
      <c r="D3304">
        <v>118982</v>
      </c>
      <c r="E3304">
        <v>182459006</v>
      </c>
      <c r="F3304">
        <v>105164347</v>
      </c>
      <c r="G3304">
        <v>287623353</v>
      </c>
      <c r="H3304">
        <v>56337</v>
      </c>
      <c r="I3304">
        <v>9509</v>
      </c>
      <c r="J3304">
        <v>65846</v>
      </c>
      <c r="K3304" t="b">
        <f>TrafficData[[#This Row],[disposedChallan]]+TrafficData[[#This Row],[pendingChallan]]=TrafficData[[#This Row],[totalChallan]]</f>
        <v>1</v>
      </c>
      <c r="L3304" t="b">
        <f>TrafficData[[#This Row],[pendingAmount]]+TrafficData[[#This Row],[disposedAmount]]=TrafficData[[#This Row],[totalAmount]]</f>
        <v>1</v>
      </c>
      <c r="M3304" t="b">
        <f>TrafficData[[#This Row],[pendingCourt]]+TrafficData[[#This Row],[disposedCourt]]=TrafficData[[#This Row],[totalCourt]]</f>
        <v>1</v>
      </c>
      <c r="N3304" s="8" t="b">
        <f>AND(TrafficData[[#This Row],[disposedChallan]]&lt;=TrafficData[[#This Row],[totalChallan]],TrafficData[[#This Row],[pendingChallan]]&lt;=TrafficData[[#This Row],[totalChallan]])</f>
        <v>1</v>
      </c>
      <c r="O3304" s="8" t="b">
        <f>AND(TrafficData[[#This Row],[pendingAmount]]&lt;=TrafficData[[#This Row],[totalAmount]],TrafficData[[#This Row],[disposedAmount]]&lt;=TrafficData[[#This Row],[totalAmount]])</f>
        <v>1</v>
      </c>
      <c r="P3304" s="8" t="b">
        <f>AND(TrafficData[[#This Row],[pendingCourt]]&lt;=TrafficData[[#This Row],[totalCourt]],TrafficData[[#This Row],[disposedCourt]]&lt;=TrafficData[[#This Row],[totalCourt]])</f>
        <v>1</v>
      </c>
    </row>
    <row r="3305" spans="1:16">
      <c r="A3305" s="1">
        <v>45309</v>
      </c>
      <c r="B3305">
        <v>188636</v>
      </c>
      <c r="C3305">
        <v>67943</v>
      </c>
      <c r="D3305">
        <v>120693</v>
      </c>
      <c r="E3305">
        <v>181049716</v>
      </c>
      <c r="F3305">
        <v>107634809</v>
      </c>
      <c r="G3305">
        <v>288684525</v>
      </c>
      <c r="H3305">
        <v>57010</v>
      </c>
      <c r="I3305">
        <v>9725</v>
      </c>
      <c r="J3305">
        <v>66735</v>
      </c>
      <c r="K3305" t="b">
        <f>TrafficData[[#This Row],[disposedChallan]]+TrafficData[[#This Row],[pendingChallan]]=TrafficData[[#This Row],[totalChallan]]</f>
        <v>1</v>
      </c>
      <c r="L3305" t="b">
        <f>TrafficData[[#This Row],[pendingAmount]]+TrafficData[[#This Row],[disposedAmount]]=TrafficData[[#This Row],[totalAmount]]</f>
        <v>1</v>
      </c>
      <c r="M3305" t="b">
        <f>TrafficData[[#This Row],[pendingCourt]]+TrafficData[[#This Row],[disposedCourt]]=TrafficData[[#This Row],[totalCourt]]</f>
        <v>1</v>
      </c>
      <c r="N3305" s="8" t="b">
        <f>AND(TrafficData[[#This Row],[disposedChallan]]&lt;=TrafficData[[#This Row],[totalChallan]],TrafficData[[#This Row],[pendingChallan]]&lt;=TrafficData[[#This Row],[totalChallan]])</f>
        <v>1</v>
      </c>
      <c r="O3305" s="8" t="b">
        <f>AND(TrafficData[[#This Row],[pendingAmount]]&lt;=TrafficData[[#This Row],[totalAmount]],TrafficData[[#This Row],[disposedAmount]]&lt;=TrafficData[[#This Row],[totalAmount]])</f>
        <v>1</v>
      </c>
      <c r="P3305" s="8" t="b">
        <f>AND(TrafficData[[#This Row],[pendingCourt]]&lt;=TrafficData[[#This Row],[totalCourt]],TrafficData[[#This Row],[disposedCourt]]&lt;=TrafficData[[#This Row],[totalCourt]])</f>
        <v>1</v>
      </c>
    </row>
    <row r="3306" spans="1:16">
      <c r="A3306" s="1">
        <v>45310</v>
      </c>
      <c r="B3306">
        <v>188109</v>
      </c>
      <c r="C3306">
        <v>69282</v>
      </c>
      <c r="D3306">
        <v>118827</v>
      </c>
      <c r="E3306">
        <v>186580728</v>
      </c>
      <c r="F3306">
        <v>113290678</v>
      </c>
      <c r="G3306">
        <v>299871406</v>
      </c>
      <c r="H3306">
        <v>58009</v>
      </c>
      <c r="I3306">
        <v>9916</v>
      </c>
      <c r="J3306">
        <v>67925</v>
      </c>
      <c r="K3306" t="b">
        <f>TrafficData[[#This Row],[disposedChallan]]+TrafficData[[#This Row],[pendingChallan]]=TrafficData[[#This Row],[totalChallan]]</f>
        <v>1</v>
      </c>
      <c r="L3306" t="b">
        <f>TrafficData[[#This Row],[pendingAmount]]+TrafficData[[#This Row],[disposedAmount]]=TrafficData[[#This Row],[totalAmount]]</f>
        <v>1</v>
      </c>
      <c r="M3306" t="b">
        <f>TrafficData[[#This Row],[pendingCourt]]+TrafficData[[#This Row],[disposedCourt]]=TrafficData[[#This Row],[totalCourt]]</f>
        <v>1</v>
      </c>
      <c r="N3306" s="8" t="b">
        <f>AND(TrafficData[[#This Row],[disposedChallan]]&lt;=TrafficData[[#This Row],[totalChallan]],TrafficData[[#This Row],[pendingChallan]]&lt;=TrafficData[[#This Row],[totalChallan]])</f>
        <v>1</v>
      </c>
      <c r="O3306" s="8" t="b">
        <f>AND(TrafficData[[#This Row],[pendingAmount]]&lt;=TrafficData[[#This Row],[totalAmount]],TrafficData[[#This Row],[disposedAmount]]&lt;=TrafficData[[#This Row],[totalAmount]])</f>
        <v>1</v>
      </c>
      <c r="P3306" s="8" t="b">
        <f>AND(TrafficData[[#This Row],[pendingCourt]]&lt;=TrafficData[[#This Row],[totalCourt]],TrafficData[[#This Row],[disposedCourt]]&lt;=TrafficData[[#This Row],[totalCourt]])</f>
        <v>1</v>
      </c>
    </row>
    <row r="3307" spans="1:16">
      <c r="A3307" s="1">
        <v>45311</v>
      </c>
      <c r="B3307">
        <v>187632</v>
      </c>
      <c r="C3307">
        <v>68213</v>
      </c>
      <c r="D3307">
        <v>119419</v>
      </c>
      <c r="E3307">
        <v>176129717</v>
      </c>
      <c r="F3307">
        <v>104689887</v>
      </c>
      <c r="G3307">
        <v>280819604</v>
      </c>
      <c r="H3307">
        <v>54689</v>
      </c>
      <c r="I3307">
        <v>8798</v>
      </c>
      <c r="J3307">
        <v>63487</v>
      </c>
      <c r="K3307" t="b">
        <f>TrafficData[[#This Row],[disposedChallan]]+TrafficData[[#This Row],[pendingChallan]]=TrafficData[[#This Row],[totalChallan]]</f>
        <v>1</v>
      </c>
      <c r="L3307" t="b">
        <f>TrafficData[[#This Row],[pendingAmount]]+TrafficData[[#This Row],[disposedAmount]]=TrafficData[[#This Row],[totalAmount]]</f>
        <v>1</v>
      </c>
      <c r="M3307" t="b">
        <f>TrafficData[[#This Row],[pendingCourt]]+TrafficData[[#This Row],[disposedCourt]]=TrafficData[[#This Row],[totalCourt]]</f>
        <v>1</v>
      </c>
      <c r="N3307" s="8" t="b">
        <f>AND(TrafficData[[#This Row],[disposedChallan]]&lt;=TrafficData[[#This Row],[totalChallan]],TrafficData[[#This Row],[pendingChallan]]&lt;=TrafficData[[#This Row],[totalChallan]])</f>
        <v>1</v>
      </c>
      <c r="O3307" s="8" t="b">
        <f>AND(TrafficData[[#This Row],[pendingAmount]]&lt;=TrafficData[[#This Row],[totalAmount]],TrafficData[[#This Row],[disposedAmount]]&lt;=TrafficData[[#This Row],[totalAmount]])</f>
        <v>1</v>
      </c>
      <c r="P3307" s="8" t="b">
        <f>AND(TrafficData[[#This Row],[pendingCourt]]&lt;=TrafficData[[#This Row],[totalCourt]],TrafficData[[#This Row],[disposedCourt]]&lt;=TrafficData[[#This Row],[totalCourt]])</f>
        <v>1</v>
      </c>
    </row>
    <row r="3308" spans="1:16">
      <c r="A3308" s="1">
        <v>45312</v>
      </c>
      <c r="B3308">
        <v>165433</v>
      </c>
      <c r="C3308">
        <v>59655</v>
      </c>
      <c r="D3308">
        <v>105778</v>
      </c>
      <c r="E3308">
        <v>151006044</v>
      </c>
      <c r="F3308">
        <v>79862747</v>
      </c>
      <c r="G3308">
        <v>230868791</v>
      </c>
      <c r="H3308">
        <v>48215</v>
      </c>
      <c r="I3308">
        <v>8161</v>
      </c>
      <c r="J3308">
        <v>56376</v>
      </c>
      <c r="K3308" t="b">
        <f>TrafficData[[#This Row],[disposedChallan]]+TrafficData[[#This Row],[pendingChallan]]=TrafficData[[#This Row],[totalChallan]]</f>
        <v>1</v>
      </c>
      <c r="L3308" t="b">
        <f>TrafficData[[#This Row],[pendingAmount]]+TrafficData[[#This Row],[disposedAmount]]=TrafficData[[#This Row],[totalAmount]]</f>
        <v>1</v>
      </c>
      <c r="M3308" t="b">
        <f>TrafficData[[#This Row],[pendingCourt]]+TrafficData[[#This Row],[disposedCourt]]=TrafficData[[#This Row],[totalCourt]]</f>
        <v>1</v>
      </c>
      <c r="N3308" s="8" t="b">
        <f>AND(TrafficData[[#This Row],[disposedChallan]]&lt;=TrafficData[[#This Row],[totalChallan]],TrafficData[[#This Row],[pendingChallan]]&lt;=TrafficData[[#This Row],[totalChallan]])</f>
        <v>1</v>
      </c>
      <c r="O3308" s="8" t="b">
        <f>AND(TrafficData[[#This Row],[pendingAmount]]&lt;=TrafficData[[#This Row],[totalAmount]],TrafficData[[#This Row],[disposedAmount]]&lt;=TrafficData[[#This Row],[totalAmount]])</f>
        <v>1</v>
      </c>
      <c r="P3308" s="8" t="b">
        <f>AND(TrafficData[[#This Row],[pendingCourt]]&lt;=TrafficData[[#This Row],[totalCourt]],TrafficData[[#This Row],[disposedCourt]]&lt;=TrafficData[[#This Row],[totalCourt]])</f>
        <v>1</v>
      </c>
    </row>
    <row r="3309" spans="1:16">
      <c r="A3309" s="1">
        <v>45313</v>
      </c>
      <c r="B3309">
        <v>160398</v>
      </c>
      <c r="C3309">
        <v>52694</v>
      </c>
      <c r="D3309">
        <v>107704</v>
      </c>
      <c r="E3309">
        <v>142800750</v>
      </c>
      <c r="F3309">
        <v>74164205</v>
      </c>
      <c r="G3309">
        <v>216964955</v>
      </c>
      <c r="H3309">
        <v>44050</v>
      </c>
      <c r="I3309">
        <v>7142</v>
      </c>
      <c r="J3309">
        <v>51192</v>
      </c>
      <c r="K3309" t="b">
        <f>TrafficData[[#This Row],[disposedChallan]]+TrafficData[[#This Row],[pendingChallan]]=TrafficData[[#This Row],[totalChallan]]</f>
        <v>1</v>
      </c>
      <c r="L3309" t="b">
        <f>TrafficData[[#This Row],[pendingAmount]]+TrafficData[[#This Row],[disposedAmount]]=TrafficData[[#This Row],[totalAmount]]</f>
        <v>1</v>
      </c>
      <c r="M3309" t="b">
        <f>TrafficData[[#This Row],[pendingCourt]]+TrafficData[[#This Row],[disposedCourt]]=TrafficData[[#This Row],[totalCourt]]</f>
        <v>1</v>
      </c>
      <c r="N3309" s="8" t="b">
        <f>AND(TrafficData[[#This Row],[disposedChallan]]&lt;=TrafficData[[#This Row],[totalChallan]],TrafficData[[#This Row],[pendingChallan]]&lt;=TrafficData[[#This Row],[totalChallan]])</f>
        <v>1</v>
      </c>
      <c r="O3309" s="8" t="b">
        <f>AND(TrafficData[[#This Row],[pendingAmount]]&lt;=TrafficData[[#This Row],[totalAmount]],TrafficData[[#This Row],[disposedAmount]]&lt;=TrafficData[[#This Row],[totalAmount]])</f>
        <v>1</v>
      </c>
      <c r="P3309" s="8" t="b">
        <f>AND(TrafficData[[#This Row],[pendingCourt]]&lt;=TrafficData[[#This Row],[totalCourt]],TrafficData[[#This Row],[disposedCourt]]&lt;=TrafficData[[#This Row],[totalCourt]])</f>
        <v>1</v>
      </c>
    </row>
    <row r="3310" spans="1:16">
      <c r="A3310" s="1">
        <v>45314</v>
      </c>
      <c r="B3310">
        <v>186519</v>
      </c>
      <c r="C3310">
        <v>66676</v>
      </c>
      <c r="D3310">
        <v>119843</v>
      </c>
      <c r="E3310">
        <v>169223338</v>
      </c>
      <c r="F3310">
        <v>157174755</v>
      </c>
      <c r="G3310">
        <v>326398093</v>
      </c>
      <c r="H3310">
        <v>53528</v>
      </c>
      <c r="I3310">
        <v>8779</v>
      </c>
      <c r="J3310">
        <v>62307</v>
      </c>
      <c r="K3310" t="b">
        <f>TrafficData[[#This Row],[disposedChallan]]+TrafficData[[#This Row],[pendingChallan]]=TrafficData[[#This Row],[totalChallan]]</f>
        <v>1</v>
      </c>
      <c r="L3310" t="b">
        <f>TrafficData[[#This Row],[pendingAmount]]+TrafficData[[#This Row],[disposedAmount]]=TrafficData[[#This Row],[totalAmount]]</f>
        <v>1</v>
      </c>
      <c r="M3310" t="b">
        <f>TrafficData[[#This Row],[pendingCourt]]+TrafficData[[#This Row],[disposedCourt]]=TrafficData[[#This Row],[totalCourt]]</f>
        <v>1</v>
      </c>
      <c r="N3310" s="8" t="b">
        <f>AND(TrafficData[[#This Row],[disposedChallan]]&lt;=TrafficData[[#This Row],[totalChallan]],TrafficData[[#This Row],[pendingChallan]]&lt;=TrafficData[[#This Row],[totalChallan]])</f>
        <v>1</v>
      </c>
      <c r="O3310" s="8" t="b">
        <f>AND(TrafficData[[#This Row],[pendingAmount]]&lt;=TrafficData[[#This Row],[totalAmount]],TrafficData[[#This Row],[disposedAmount]]&lt;=TrafficData[[#This Row],[totalAmount]])</f>
        <v>1</v>
      </c>
      <c r="P3310" s="8" t="b">
        <f>AND(TrafficData[[#This Row],[pendingCourt]]&lt;=TrafficData[[#This Row],[totalCourt]],TrafficData[[#This Row],[disposedCourt]]&lt;=TrafficData[[#This Row],[totalCourt]])</f>
        <v>1</v>
      </c>
    </row>
    <row r="3311" spans="1:16">
      <c r="A3311" s="1">
        <v>45315</v>
      </c>
      <c r="B3311">
        <v>189118</v>
      </c>
      <c r="C3311">
        <v>66678</v>
      </c>
      <c r="D3311">
        <v>122440</v>
      </c>
      <c r="E3311">
        <v>191229334</v>
      </c>
      <c r="F3311">
        <v>110220822</v>
      </c>
      <c r="G3311">
        <v>301450156</v>
      </c>
      <c r="H3311">
        <v>55529</v>
      </c>
      <c r="I3311">
        <v>9267</v>
      </c>
      <c r="J3311">
        <v>64796</v>
      </c>
      <c r="K3311" t="b">
        <f>TrafficData[[#This Row],[disposedChallan]]+TrafficData[[#This Row],[pendingChallan]]=TrafficData[[#This Row],[totalChallan]]</f>
        <v>1</v>
      </c>
      <c r="L3311" t="b">
        <f>TrafficData[[#This Row],[pendingAmount]]+TrafficData[[#This Row],[disposedAmount]]=TrafficData[[#This Row],[totalAmount]]</f>
        <v>1</v>
      </c>
      <c r="M3311" t="b">
        <f>TrafficData[[#This Row],[pendingCourt]]+TrafficData[[#This Row],[disposedCourt]]=TrafficData[[#This Row],[totalCourt]]</f>
        <v>1</v>
      </c>
      <c r="N3311" s="8" t="b">
        <f>AND(TrafficData[[#This Row],[disposedChallan]]&lt;=TrafficData[[#This Row],[totalChallan]],TrafficData[[#This Row],[pendingChallan]]&lt;=TrafficData[[#This Row],[totalChallan]])</f>
        <v>1</v>
      </c>
      <c r="O3311" s="8" t="b">
        <f>AND(TrafficData[[#This Row],[pendingAmount]]&lt;=TrafficData[[#This Row],[totalAmount]],TrafficData[[#This Row],[disposedAmount]]&lt;=TrafficData[[#This Row],[totalAmount]])</f>
        <v>1</v>
      </c>
      <c r="P3311" s="8" t="b">
        <f>AND(TrafficData[[#This Row],[pendingCourt]]&lt;=TrafficData[[#This Row],[totalCourt]],TrafficData[[#This Row],[disposedCourt]]&lt;=TrafficData[[#This Row],[totalCourt]])</f>
        <v>1</v>
      </c>
    </row>
    <row r="3312" spans="1:16">
      <c r="A3312" s="1">
        <v>45316</v>
      </c>
      <c r="B3312">
        <v>192630</v>
      </c>
      <c r="C3312">
        <v>71440</v>
      </c>
      <c r="D3312">
        <v>121190</v>
      </c>
      <c r="E3312">
        <v>184421576</v>
      </c>
      <c r="F3312">
        <v>106225721</v>
      </c>
      <c r="G3312">
        <v>290647297</v>
      </c>
      <c r="H3312">
        <v>58400</v>
      </c>
      <c r="I3312">
        <v>9501</v>
      </c>
      <c r="J3312">
        <v>67901</v>
      </c>
      <c r="K3312" t="b">
        <f>TrafficData[[#This Row],[disposedChallan]]+TrafficData[[#This Row],[pendingChallan]]=TrafficData[[#This Row],[totalChallan]]</f>
        <v>1</v>
      </c>
      <c r="L3312" t="b">
        <f>TrafficData[[#This Row],[pendingAmount]]+TrafficData[[#This Row],[disposedAmount]]=TrafficData[[#This Row],[totalAmount]]</f>
        <v>1</v>
      </c>
      <c r="M3312" t="b">
        <f>TrafficData[[#This Row],[pendingCourt]]+TrafficData[[#This Row],[disposedCourt]]=TrafficData[[#This Row],[totalCourt]]</f>
        <v>1</v>
      </c>
      <c r="N3312" s="8" t="b">
        <f>AND(TrafficData[[#This Row],[disposedChallan]]&lt;=TrafficData[[#This Row],[totalChallan]],TrafficData[[#This Row],[pendingChallan]]&lt;=TrafficData[[#This Row],[totalChallan]])</f>
        <v>1</v>
      </c>
      <c r="O3312" s="8" t="b">
        <f>AND(TrafficData[[#This Row],[pendingAmount]]&lt;=TrafficData[[#This Row],[totalAmount]],TrafficData[[#This Row],[disposedAmount]]&lt;=TrafficData[[#This Row],[totalAmount]])</f>
        <v>1</v>
      </c>
      <c r="P3312" s="8" t="b">
        <f>AND(TrafficData[[#This Row],[pendingCourt]]&lt;=TrafficData[[#This Row],[totalCourt]],TrafficData[[#This Row],[disposedCourt]]&lt;=TrafficData[[#This Row],[totalCourt]])</f>
        <v>1</v>
      </c>
    </row>
    <row r="3313" spans="1:16">
      <c r="A3313" s="1">
        <v>45317</v>
      </c>
      <c r="B3313">
        <v>143823</v>
      </c>
      <c r="C3313">
        <v>48124</v>
      </c>
      <c r="D3313">
        <v>95699</v>
      </c>
      <c r="E3313">
        <v>113871438</v>
      </c>
      <c r="F3313">
        <v>56679608</v>
      </c>
      <c r="G3313">
        <v>170551046</v>
      </c>
      <c r="H3313">
        <v>42132</v>
      </c>
      <c r="I3313">
        <v>6501</v>
      </c>
      <c r="J3313">
        <v>48633</v>
      </c>
      <c r="K3313" t="b">
        <f>TrafficData[[#This Row],[disposedChallan]]+TrafficData[[#This Row],[pendingChallan]]=TrafficData[[#This Row],[totalChallan]]</f>
        <v>1</v>
      </c>
      <c r="L3313" t="b">
        <f>TrafficData[[#This Row],[pendingAmount]]+TrafficData[[#This Row],[disposedAmount]]=TrafficData[[#This Row],[totalAmount]]</f>
        <v>1</v>
      </c>
      <c r="M3313" t="b">
        <f>TrafficData[[#This Row],[pendingCourt]]+TrafficData[[#This Row],[disposedCourt]]=TrafficData[[#This Row],[totalCourt]]</f>
        <v>1</v>
      </c>
      <c r="N3313" s="8" t="b">
        <f>AND(TrafficData[[#This Row],[disposedChallan]]&lt;=TrafficData[[#This Row],[totalChallan]],TrafficData[[#This Row],[pendingChallan]]&lt;=TrafficData[[#This Row],[totalChallan]])</f>
        <v>1</v>
      </c>
      <c r="O3313" s="8" t="b">
        <f>AND(TrafficData[[#This Row],[pendingAmount]]&lt;=TrafficData[[#This Row],[totalAmount]],TrafficData[[#This Row],[disposedAmount]]&lt;=TrafficData[[#This Row],[totalAmount]])</f>
        <v>1</v>
      </c>
      <c r="P3313" s="8" t="b">
        <f>AND(TrafficData[[#This Row],[pendingCourt]]&lt;=TrafficData[[#This Row],[totalCourt]],TrafficData[[#This Row],[disposedCourt]]&lt;=TrafficData[[#This Row],[totalCourt]])</f>
        <v>1</v>
      </c>
    </row>
    <row r="3314" spans="1:16">
      <c r="A3314" s="1">
        <v>45318</v>
      </c>
      <c r="B3314">
        <v>195882</v>
      </c>
      <c r="C3314">
        <v>72046</v>
      </c>
      <c r="D3314">
        <v>123836</v>
      </c>
      <c r="E3314">
        <v>183590598</v>
      </c>
      <c r="F3314">
        <v>99218456</v>
      </c>
      <c r="G3314">
        <v>282809054</v>
      </c>
      <c r="H3314">
        <v>58121</v>
      </c>
      <c r="I3314">
        <v>9994</v>
      </c>
      <c r="J3314">
        <v>68115</v>
      </c>
      <c r="K3314" t="b">
        <f>TrafficData[[#This Row],[disposedChallan]]+TrafficData[[#This Row],[pendingChallan]]=TrafficData[[#This Row],[totalChallan]]</f>
        <v>1</v>
      </c>
      <c r="L3314" t="b">
        <f>TrafficData[[#This Row],[pendingAmount]]+TrafficData[[#This Row],[disposedAmount]]=TrafficData[[#This Row],[totalAmount]]</f>
        <v>1</v>
      </c>
      <c r="M3314" t="b">
        <f>TrafficData[[#This Row],[pendingCourt]]+TrafficData[[#This Row],[disposedCourt]]=TrafficData[[#This Row],[totalCourt]]</f>
        <v>1</v>
      </c>
      <c r="N3314" s="8" t="b">
        <f>AND(TrafficData[[#This Row],[disposedChallan]]&lt;=TrafficData[[#This Row],[totalChallan]],TrafficData[[#This Row],[pendingChallan]]&lt;=TrafficData[[#This Row],[totalChallan]])</f>
        <v>1</v>
      </c>
      <c r="O3314" s="8" t="b">
        <f>AND(TrafficData[[#This Row],[pendingAmount]]&lt;=TrafficData[[#This Row],[totalAmount]],TrafficData[[#This Row],[disposedAmount]]&lt;=TrafficData[[#This Row],[totalAmount]])</f>
        <v>1</v>
      </c>
      <c r="P3314" s="8" t="b">
        <f>AND(TrafficData[[#This Row],[pendingCourt]]&lt;=TrafficData[[#This Row],[totalCourt]],TrafficData[[#This Row],[disposedCourt]]&lt;=TrafficData[[#This Row],[totalCourt]])</f>
        <v>1</v>
      </c>
    </row>
    <row r="3315" spans="1:16">
      <c r="A3315" s="1">
        <v>45319</v>
      </c>
      <c r="B3315">
        <v>189761</v>
      </c>
      <c r="C3315">
        <v>65324</v>
      </c>
      <c r="D3315">
        <v>124437</v>
      </c>
      <c r="E3315">
        <v>177640784</v>
      </c>
      <c r="F3315">
        <v>83512189</v>
      </c>
      <c r="G3315">
        <v>261152973</v>
      </c>
      <c r="H3315">
        <v>58317</v>
      </c>
      <c r="I3315">
        <v>9488</v>
      </c>
      <c r="J3315">
        <v>67805</v>
      </c>
      <c r="K3315" t="b">
        <f>TrafficData[[#This Row],[disposedChallan]]+TrafficData[[#This Row],[pendingChallan]]=TrafficData[[#This Row],[totalChallan]]</f>
        <v>1</v>
      </c>
      <c r="L3315" t="b">
        <f>TrafficData[[#This Row],[pendingAmount]]+TrafficData[[#This Row],[disposedAmount]]=TrafficData[[#This Row],[totalAmount]]</f>
        <v>1</v>
      </c>
      <c r="M3315" t="b">
        <f>TrafficData[[#This Row],[pendingCourt]]+TrafficData[[#This Row],[disposedCourt]]=TrafficData[[#This Row],[totalCourt]]</f>
        <v>1</v>
      </c>
      <c r="N3315" s="8" t="b">
        <f>AND(TrafficData[[#This Row],[disposedChallan]]&lt;=TrafficData[[#This Row],[totalChallan]],TrafficData[[#This Row],[pendingChallan]]&lt;=TrafficData[[#This Row],[totalChallan]])</f>
        <v>1</v>
      </c>
      <c r="O3315" s="8" t="b">
        <f>AND(TrafficData[[#This Row],[pendingAmount]]&lt;=TrafficData[[#This Row],[totalAmount]],TrafficData[[#This Row],[disposedAmount]]&lt;=TrafficData[[#This Row],[totalAmount]])</f>
        <v>1</v>
      </c>
      <c r="P3315" s="8" t="b">
        <f>AND(TrafficData[[#This Row],[pendingCourt]]&lt;=TrafficData[[#This Row],[totalCourt]],TrafficData[[#This Row],[disposedCourt]]&lt;=TrafficData[[#This Row],[totalCourt]])</f>
        <v>1</v>
      </c>
    </row>
    <row r="3316" spans="1:16">
      <c r="A3316" s="1">
        <v>45320</v>
      </c>
      <c r="B3316">
        <v>208332</v>
      </c>
      <c r="C3316">
        <v>73002</v>
      </c>
      <c r="D3316">
        <v>135330</v>
      </c>
      <c r="E3316">
        <v>202276144</v>
      </c>
      <c r="F3316">
        <v>102987758</v>
      </c>
      <c r="G3316">
        <v>305263902</v>
      </c>
      <c r="H3316">
        <v>60522</v>
      </c>
      <c r="I3316">
        <v>10451</v>
      </c>
      <c r="J3316">
        <v>70973</v>
      </c>
      <c r="K3316" t="b">
        <f>TrafficData[[#This Row],[disposedChallan]]+TrafficData[[#This Row],[pendingChallan]]=TrafficData[[#This Row],[totalChallan]]</f>
        <v>1</v>
      </c>
      <c r="L3316" t="b">
        <f>TrafficData[[#This Row],[pendingAmount]]+TrafficData[[#This Row],[disposedAmount]]=TrafficData[[#This Row],[totalAmount]]</f>
        <v>1</v>
      </c>
      <c r="M3316" t="b">
        <f>TrafficData[[#This Row],[pendingCourt]]+TrafficData[[#This Row],[disposedCourt]]=TrafficData[[#This Row],[totalCourt]]</f>
        <v>1</v>
      </c>
      <c r="N3316" s="8" t="b">
        <f>AND(TrafficData[[#This Row],[disposedChallan]]&lt;=TrafficData[[#This Row],[totalChallan]],TrafficData[[#This Row],[pendingChallan]]&lt;=TrafficData[[#This Row],[totalChallan]])</f>
        <v>1</v>
      </c>
      <c r="O3316" s="8" t="b">
        <f>AND(TrafficData[[#This Row],[pendingAmount]]&lt;=TrafficData[[#This Row],[totalAmount]],TrafficData[[#This Row],[disposedAmount]]&lt;=TrafficData[[#This Row],[totalAmount]])</f>
        <v>1</v>
      </c>
      <c r="P3316" s="8" t="b">
        <f>AND(TrafficData[[#This Row],[pendingCourt]]&lt;=TrafficData[[#This Row],[totalCourt]],TrafficData[[#This Row],[disposedCourt]]&lt;=TrafficData[[#This Row],[totalCourt]])</f>
        <v>1</v>
      </c>
    </row>
    <row r="3317" spans="1:16">
      <c r="A3317" s="1">
        <v>45321</v>
      </c>
      <c r="B3317">
        <v>200692</v>
      </c>
      <c r="C3317">
        <v>71438</v>
      </c>
      <c r="D3317">
        <v>129254</v>
      </c>
      <c r="E3317">
        <v>200038086</v>
      </c>
      <c r="F3317">
        <v>106882864</v>
      </c>
      <c r="G3317">
        <v>306920950</v>
      </c>
      <c r="H3317">
        <v>60937</v>
      </c>
      <c r="I3317">
        <v>10024</v>
      </c>
      <c r="J3317">
        <v>70961</v>
      </c>
      <c r="K3317" t="b">
        <f>TrafficData[[#This Row],[disposedChallan]]+TrafficData[[#This Row],[pendingChallan]]=TrafficData[[#This Row],[totalChallan]]</f>
        <v>1</v>
      </c>
      <c r="L3317" t="b">
        <f>TrafficData[[#This Row],[pendingAmount]]+TrafficData[[#This Row],[disposedAmount]]=TrafficData[[#This Row],[totalAmount]]</f>
        <v>1</v>
      </c>
      <c r="M3317" t="b">
        <f>TrafficData[[#This Row],[pendingCourt]]+TrafficData[[#This Row],[disposedCourt]]=TrafficData[[#This Row],[totalCourt]]</f>
        <v>1</v>
      </c>
      <c r="N3317" s="8" t="b">
        <f>AND(TrafficData[[#This Row],[disposedChallan]]&lt;=TrafficData[[#This Row],[totalChallan]],TrafficData[[#This Row],[pendingChallan]]&lt;=TrafficData[[#This Row],[totalChallan]])</f>
        <v>1</v>
      </c>
      <c r="O3317" s="8" t="b">
        <f>AND(TrafficData[[#This Row],[pendingAmount]]&lt;=TrafficData[[#This Row],[totalAmount]],TrafficData[[#This Row],[disposedAmount]]&lt;=TrafficData[[#This Row],[totalAmount]])</f>
        <v>1</v>
      </c>
      <c r="P3317" s="8" t="b">
        <f>AND(TrafficData[[#This Row],[pendingCourt]]&lt;=TrafficData[[#This Row],[totalCourt]],TrafficData[[#This Row],[disposedCourt]]&lt;=TrafficData[[#This Row],[totalCourt]])</f>
        <v>1</v>
      </c>
    </row>
    <row r="3318" spans="1:16">
      <c r="A3318" s="1">
        <v>45322</v>
      </c>
      <c r="B3318">
        <v>188216</v>
      </c>
      <c r="C3318">
        <v>67498</v>
      </c>
      <c r="D3318">
        <v>120718</v>
      </c>
      <c r="E3318">
        <v>184291064</v>
      </c>
      <c r="F3318">
        <v>94871160</v>
      </c>
      <c r="G3318">
        <v>279162224</v>
      </c>
      <c r="H3318">
        <v>52882</v>
      </c>
      <c r="I3318">
        <v>8432</v>
      </c>
      <c r="J3318">
        <v>61314</v>
      </c>
      <c r="K3318" t="b">
        <f>TrafficData[[#This Row],[disposedChallan]]+TrafficData[[#This Row],[pendingChallan]]=TrafficData[[#This Row],[totalChallan]]</f>
        <v>1</v>
      </c>
      <c r="L3318" t="b">
        <f>TrafficData[[#This Row],[pendingAmount]]+TrafficData[[#This Row],[disposedAmount]]=TrafficData[[#This Row],[totalAmount]]</f>
        <v>1</v>
      </c>
      <c r="M3318" t="b">
        <f>TrafficData[[#This Row],[pendingCourt]]+TrafficData[[#This Row],[disposedCourt]]=TrafficData[[#This Row],[totalCourt]]</f>
        <v>1</v>
      </c>
      <c r="N3318" s="8" t="b">
        <f>AND(TrafficData[[#This Row],[disposedChallan]]&lt;=TrafficData[[#This Row],[totalChallan]],TrafficData[[#This Row],[pendingChallan]]&lt;=TrafficData[[#This Row],[totalChallan]])</f>
        <v>1</v>
      </c>
      <c r="O3318" s="8" t="b">
        <f>AND(TrafficData[[#This Row],[pendingAmount]]&lt;=TrafficData[[#This Row],[totalAmount]],TrafficData[[#This Row],[disposedAmount]]&lt;=TrafficData[[#This Row],[totalAmount]])</f>
        <v>1</v>
      </c>
      <c r="P3318" s="8" t="b">
        <f>AND(TrafficData[[#This Row],[pendingCourt]]&lt;=TrafficData[[#This Row],[totalCourt]],TrafficData[[#This Row],[disposedCourt]]&lt;=TrafficData[[#This Row],[totalCourt]])</f>
        <v>1</v>
      </c>
    </row>
    <row r="3319" spans="1:16">
      <c r="A3319" s="1">
        <v>45323</v>
      </c>
      <c r="B3319">
        <v>195761</v>
      </c>
      <c r="C3319">
        <v>72840</v>
      </c>
      <c r="D3319">
        <v>122921</v>
      </c>
      <c r="E3319">
        <v>178464670</v>
      </c>
      <c r="F3319">
        <v>115626650</v>
      </c>
      <c r="G3319">
        <v>294091320</v>
      </c>
      <c r="H3319">
        <v>53549</v>
      </c>
      <c r="I3319">
        <v>8934</v>
      </c>
      <c r="J3319">
        <v>62483</v>
      </c>
      <c r="K3319" t="b">
        <f>TrafficData[[#This Row],[disposedChallan]]+TrafficData[[#This Row],[pendingChallan]]=TrafficData[[#This Row],[totalChallan]]</f>
        <v>1</v>
      </c>
      <c r="L3319" t="b">
        <f>TrafficData[[#This Row],[pendingAmount]]+TrafficData[[#This Row],[disposedAmount]]=TrafficData[[#This Row],[totalAmount]]</f>
        <v>1</v>
      </c>
      <c r="M3319" t="b">
        <f>TrafficData[[#This Row],[pendingCourt]]+TrafficData[[#This Row],[disposedCourt]]=TrafficData[[#This Row],[totalCourt]]</f>
        <v>1</v>
      </c>
      <c r="N3319" s="8" t="b">
        <f>AND(TrafficData[[#This Row],[disposedChallan]]&lt;=TrafficData[[#This Row],[totalChallan]],TrafficData[[#This Row],[pendingChallan]]&lt;=TrafficData[[#This Row],[totalChallan]])</f>
        <v>1</v>
      </c>
      <c r="O3319" s="8" t="b">
        <f>AND(TrafficData[[#This Row],[pendingAmount]]&lt;=TrafficData[[#This Row],[totalAmount]],TrafficData[[#This Row],[disposedAmount]]&lt;=TrafficData[[#This Row],[totalAmount]])</f>
        <v>1</v>
      </c>
      <c r="P3319" s="8" t="b">
        <f>AND(TrafficData[[#This Row],[pendingCourt]]&lt;=TrafficData[[#This Row],[totalCourt]],TrafficData[[#This Row],[disposedCourt]]&lt;=TrafficData[[#This Row],[totalCourt]])</f>
        <v>1</v>
      </c>
    </row>
    <row r="3320" spans="1:16">
      <c r="A3320" s="1">
        <v>45324</v>
      </c>
      <c r="B3320">
        <v>200691</v>
      </c>
      <c r="C3320">
        <v>73780</v>
      </c>
      <c r="D3320">
        <v>126911</v>
      </c>
      <c r="E3320">
        <v>184315616</v>
      </c>
      <c r="F3320">
        <v>119271463</v>
      </c>
      <c r="G3320">
        <v>303587079</v>
      </c>
      <c r="H3320">
        <v>57697</v>
      </c>
      <c r="I3320">
        <v>9316</v>
      </c>
      <c r="J3320">
        <v>67013</v>
      </c>
      <c r="K3320" t="b">
        <f>TrafficData[[#This Row],[disposedChallan]]+TrafficData[[#This Row],[pendingChallan]]=TrafficData[[#This Row],[totalChallan]]</f>
        <v>1</v>
      </c>
      <c r="L3320" t="b">
        <f>TrafficData[[#This Row],[pendingAmount]]+TrafficData[[#This Row],[disposedAmount]]=TrafficData[[#This Row],[totalAmount]]</f>
        <v>1</v>
      </c>
      <c r="M3320" t="b">
        <f>TrafficData[[#This Row],[pendingCourt]]+TrafficData[[#This Row],[disposedCourt]]=TrafficData[[#This Row],[totalCourt]]</f>
        <v>1</v>
      </c>
      <c r="N3320" s="8" t="b">
        <f>AND(TrafficData[[#This Row],[disposedChallan]]&lt;=TrafficData[[#This Row],[totalChallan]],TrafficData[[#This Row],[pendingChallan]]&lt;=TrafficData[[#This Row],[totalChallan]])</f>
        <v>1</v>
      </c>
      <c r="O3320" s="8" t="b">
        <f>AND(TrafficData[[#This Row],[pendingAmount]]&lt;=TrafficData[[#This Row],[totalAmount]],TrafficData[[#This Row],[disposedAmount]]&lt;=TrafficData[[#This Row],[totalAmount]])</f>
        <v>1</v>
      </c>
      <c r="P3320" s="8" t="b">
        <f>AND(TrafficData[[#This Row],[pendingCourt]]&lt;=TrafficData[[#This Row],[totalCourt]],TrafficData[[#This Row],[disposedCourt]]&lt;=TrafficData[[#This Row],[totalCourt]])</f>
        <v>1</v>
      </c>
    </row>
    <row r="3321" spans="1:16">
      <c r="A3321" s="1">
        <v>45325</v>
      </c>
      <c r="B3321">
        <v>204579</v>
      </c>
      <c r="C3321">
        <v>75307</v>
      </c>
      <c r="D3321">
        <v>129272</v>
      </c>
      <c r="E3321">
        <v>187082105</v>
      </c>
      <c r="F3321">
        <v>114573536</v>
      </c>
      <c r="G3321">
        <v>301655641</v>
      </c>
      <c r="H3321">
        <v>57699</v>
      </c>
      <c r="I3321">
        <v>9661</v>
      </c>
      <c r="J3321">
        <v>67360</v>
      </c>
      <c r="K3321" t="b">
        <f>TrafficData[[#This Row],[disposedChallan]]+TrafficData[[#This Row],[pendingChallan]]=TrafficData[[#This Row],[totalChallan]]</f>
        <v>1</v>
      </c>
      <c r="L3321" t="b">
        <f>TrafficData[[#This Row],[pendingAmount]]+TrafficData[[#This Row],[disposedAmount]]=TrafficData[[#This Row],[totalAmount]]</f>
        <v>1</v>
      </c>
      <c r="M3321" t="b">
        <f>TrafficData[[#This Row],[pendingCourt]]+TrafficData[[#This Row],[disposedCourt]]=TrafficData[[#This Row],[totalCourt]]</f>
        <v>1</v>
      </c>
      <c r="N3321" s="8" t="b">
        <f>AND(TrafficData[[#This Row],[disposedChallan]]&lt;=TrafficData[[#This Row],[totalChallan]],TrafficData[[#This Row],[pendingChallan]]&lt;=TrafficData[[#This Row],[totalChallan]])</f>
        <v>1</v>
      </c>
      <c r="O3321" s="8" t="b">
        <f>AND(TrafficData[[#This Row],[pendingAmount]]&lt;=TrafficData[[#This Row],[totalAmount]],TrafficData[[#This Row],[disposedAmount]]&lt;=TrafficData[[#This Row],[totalAmount]])</f>
        <v>1</v>
      </c>
      <c r="P3321" s="8" t="b">
        <f>AND(TrafficData[[#This Row],[pendingCourt]]&lt;=TrafficData[[#This Row],[totalCourt]],TrafficData[[#This Row],[disposedCourt]]&lt;=TrafficData[[#This Row],[totalCourt]])</f>
        <v>1</v>
      </c>
    </row>
    <row r="3322" spans="1:16">
      <c r="A3322" s="1">
        <v>45326</v>
      </c>
      <c r="B3322">
        <v>189032</v>
      </c>
      <c r="C3322">
        <v>66267</v>
      </c>
      <c r="D3322">
        <v>122765</v>
      </c>
      <c r="E3322">
        <v>165677397</v>
      </c>
      <c r="F3322">
        <v>87406910</v>
      </c>
      <c r="G3322">
        <v>253084307</v>
      </c>
      <c r="H3322">
        <v>52786</v>
      </c>
      <c r="I3322">
        <v>8384</v>
      </c>
      <c r="J3322">
        <v>61170</v>
      </c>
      <c r="K3322" t="b">
        <f>TrafficData[[#This Row],[disposedChallan]]+TrafficData[[#This Row],[pendingChallan]]=TrafficData[[#This Row],[totalChallan]]</f>
        <v>1</v>
      </c>
      <c r="L3322" t="b">
        <f>TrafficData[[#This Row],[pendingAmount]]+TrafficData[[#This Row],[disposedAmount]]=TrafficData[[#This Row],[totalAmount]]</f>
        <v>1</v>
      </c>
      <c r="M3322" t="b">
        <f>TrafficData[[#This Row],[pendingCourt]]+TrafficData[[#This Row],[disposedCourt]]=TrafficData[[#This Row],[totalCourt]]</f>
        <v>1</v>
      </c>
      <c r="N3322" s="8" t="b">
        <f>AND(TrafficData[[#This Row],[disposedChallan]]&lt;=TrafficData[[#This Row],[totalChallan]],TrafficData[[#This Row],[pendingChallan]]&lt;=TrafficData[[#This Row],[totalChallan]])</f>
        <v>1</v>
      </c>
      <c r="O3322" s="8" t="b">
        <f>AND(TrafficData[[#This Row],[pendingAmount]]&lt;=TrafficData[[#This Row],[totalAmount]],TrafficData[[#This Row],[disposedAmount]]&lt;=TrafficData[[#This Row],[totalAmount]])</f>
        <v>1</v>
      </c>
      <c r="P3322" s="8" t="b">
        <f>AND(TrafficData[[#This Row],[pendingCourt]]&lt;=TrafficData[[#This Row],[totalCourt]],TrafficData[[#This Row],[disposedCourt]]&lt;=TrafficData[[#This Row],[totalCourt]])</f>
        <v>1</v>
      </c>
    </row>
    <row r="3323" spans="1:16">
      <c r="A3323" s="1">
        <v>45327</v>
      </c>
      <c r="B3323">
        <v>209634</v>
      </c>
      <c r="C3323">
        <v>73402</v>
      </c>
      <c r="D3323">
        <v>136232</v>
      </c>
      <c r="E3323">
        <v>199579613</v>
      </c>
      <c r="F3323">
        <v>109518448</v>
      </c>
      <c r="G3323">
        <v>309098061</v>
      </c>
      <c r="H3323">
        <v>64688</v>
      </c>
      <c r="I3323">
        <v>10153</v>
      </c>
      <c r="J3323">
        <v>74841</v>
      </c>
      <c r="K3323" t="b">
        <f>TrafficData[[#This Row],[disposedChallan]]+TrafficData[[#This Row],[pendingChallan]]=TrafficData[[#This Row],[totalChallan]]</f>
        <v>1</v>
      </c>
      <c r="L3323" t="b">
        <f>TrafficData[[#This Row],[pendingAmount]]+TrafficData[[#This Row],[disposedAmount]]=TrafficData[[#This Row],[totalAmount]]</f>
        <v>1</v>
      </c>
      <c r="M3323" t="b">
        <f>TrafficData[[#This Row],[pendingCourt]]+TrafficData[[#This Row],[disposedCourt]]=TrafficData[[#This Row],[totalCourt]]</f>
        <v>1</v>
      </c>
      <c r="N3323" s="8" t="b">
        <f>AND(TrafficData[[#This Row],[disposedChallan]]&lt;=TrafficData[[#This Row],[totalChallan]],TrafficData[[#This Row],[pendingChallan]]&lt;=TrafficData[[#This Row],[totalChallan]])</f>
        <v>1</v>
      </c>
      <c r="O3323" s="8" t="b">
        <f>AND(TrafficData[[#This Row],[pendingAmount]]&lt;=TrafficData[[#This Row],[totalAmount]],TrafficData[[#This Row],[disposedAmount]]&lt;=TrafficData[[#This Row],[totalAmount]])</f>
        <v>1</v>
      </c>
      <c r="P3323" s="8" t="b">
        <f>AND(TrafficData[[#This Row],[pendingCourt]]&lt;=TrafficData[[#This Row],[totalCourt]],TrafficData[[#This Row],[disposedCourt]]&lt;=TrafficData[[#This Row],[totalCourt]])</f>
        <v>1</v>
      </c>
    </row>
    <row r="3324" spans="1:16">
      <c r="A3324" s="1">
        <v>45328</v>
      </c>
      <c r="B3324">
        <v>199530</v>
      </c>
      <c r="C3324">
        <v>69478</v>
      </c>
      <c r="D3324">
        <v>130052</v>
      </c>
      <c r="E3324">
        <v>197713251</v>
      </c>
      <c r="F3324">
        <v>117604074</v>
      </c>
      <c r="G3324">
        <v>315317325</v>
      </c>
      <c r="H3324">
        <v>62611</v>
      </c>
      <c r="I3324">
        <v>9621</v>
      </c>
      <c r="J3324">
        <v>72232</v>
      </c>
      <c r="K3324" t="b">
        <f>TrafficData[[#This Row],[disposedChallan]]+TrafficData[[#This Row],[pendingChallan]]=TrafficData[[#This Row],[totalChallan]]</f>
        <v>1</v>
      </c>
      <c r="L3324" t="b">
        <f>TrafficData[[#This Row],[pendingAmount]]+TrafficData[[#This Row],[disposedAmount]]=TrafficData[[#This Row],[totalAmount]]</f>
        <v>1</v>
      </c>
      <c r="M3324" t="b">
        <f>TrafficData[[#This Row],[pendingCourt]]+TrafficData[[#This Row],[disposedCourt]]=TrafficData[[#This Row],[totalCourt]]</f>
        <v>1</v>
      </c>
      <c r="N3324" s="8" t="b">
        <f>AND(TrafficData[[#This Row],[disposedChallan]]&lt;=TrafficData[[#This Row],[totalChallan]],TrafficData[[#This Row],[pendingChallan]]&lt;=TrafficData[[#This Row],[totalChallan]])</f>
        <v>1</v>
      </c>
      <c r="O3324" s="8" t="b">
        <f>AND(TrafficData[[#This Row],[pendingAmount]]&lt;=TrafficData[[#This Row],[totalAmount]],TrafficData[[#This Row],[disposedAmount]]&lt;=TrafficData[[#This Row],[totalAmount]])</f>
        <v>1</v>
      </c>
      <c r="P3324" s="8" t="b">
        <f>AND(TrafficData[[#This Row],[pendingCourt]]&lt;=TrafficData[[#This Row],[totalCourt]],TrafficData[[#This Row],[disposedCourt]]&lt;=TrafficData[[#This Row],[totalCourt]])</f>
        <v>1</v>
      </c>
    </row>
    <row r="3325" spans="1:16">
      <c r="A3325" s="1">
        <v>45329</v>
      </c>
      <c r="B3325">
        <v>221952</v>
      </c>
      <c r="C3325">
        <v>77184</v>
      </c>
      <c r="D3325">
        <v>144768</v>
      </c>
      <c r="E3325">
        <v>220491148</v>
      </c>
      <c r="F3325">
        <v>127717174</v>
      </c>
      <c r="G3325">
        <v>348208322</v>
      </c>
      <c r="H3325">
        <v>68983</v>
      </c>
      <c r="I3325">
        <v>11077</v>
      </c>
      <c r="J3325">
        <v>80060</v>
      </c>
      <c r="K3325" t="b">
        <f>TrafficData[[#This Row],[disposedChallan]]+TrafficData[[#This Row],[pendingChallan]]=TrafficData[[#This Row],[totalChallan]]</f>
        <v>1</v>
      </c>
      <c r="L3325" t="b">
        <f>TrafficData[[#This Row],[pendingAmount]]+TrafficData[[#This Row],[disposedAmount]]=TrafficData[[#This Row],[totalAmount]]</f>
        <v>1</v>
      </c>
      <c r="M3325" t="b">
        <f>TrafficData[[#This Row],[pendingCourt]]+TrafficData[[#This Row],[disposedCourt]]=TrafficData[[#This Row],[totalCourt]]</f>
        <v>1</v>
      </c>
      <c r="N3325" s="8" t="b">
        <f>AND(TrafficData[[#This Row],[disposedChallan]]&lt;=TrafficData[[#This Row],[totalChallan]],TrafficData[[#This Row],[pendingChallan]]&lt;=TrafficData[[#This Row],[totalChallan]])</f>
        <v>1</v>
      </c>
      <c r="O3325" s="8" t="b">
        <f>AND(TrafficData[[#This Row],[pendingAmount]]&lt;=TrafficData[[#This Row],[totalAmount]],TrafficData[[#This Row],[disposedAmount]]&lt;=TrafficData[[#This Row],[totalAmount]])</f>
        <v>1</v>
      </c>
      <c r="P3325" s="8" t="b">
        <f>AND(TrafficData[[#This Row],[pendingCourt]]&lt;=TrafficData[[#This Row],[totalCourt]],TrafficData[[#This Row],[disposedCourt]]&lt;=TrafficData[[#This Row],[totalCourt]])</f>
        <v>1</v>
      </c>
    </row>
    <row r="3326" spans="1:16">
      <c r="A3326" s="1">
        <v>45330</v>
      </c>
      <c r="B3326">
        <v>214824</v>
      </c>
      <c r="C3326">
        <v>75954</v>
      </c>
      <c r="D3326">
        <v>138870</v>
      </c>
      <c r="E3326">
        <v>206908908</v>
      </c>
      <c r="F3326">
        <v>124754520</v>
      </c>
      <c r="G3326">
        <v>331663428</v>
      </c>
      <c r="H3326">
        <v>55797</v>
      </c>
      <c r="I3326">
        <v>10372</v>
      </c>
      <c r="J3326">
        <v>66169</v>
      </c>
      <c r="K3326" t="b">
        <f>TrafficData[[#This Row],[disposedChallan]]+TrafficData[[#This Row],[pendingChallan]]=TrafficData[[#This Row],[totalChallan]]</f>
        <v>1</v>
      </c>
      <c r="L3326" t="b">
        <f>TrafficData[[#This Row],[pendingAmount]]+TrafficData[[#This Row],[disposedAmount]]=TrafficData[[#This Row],[totalAmount]]</f>
        <v>1</v>
      </c>
      <c r="M3326" t="b">
        <f>TrafficData[[#This Row],[pendingCourt]]+TrafficData[[#This Row],[disposedCourt]]=TrafficData[[#This Row],[totalCourt]]</f>
        <v>1</v>
      </c>
      <c r="N3326" s="8" t="b">
        <f>AND(TrafficData[[#This Row],[disposedChallan]]&lt;=TrafficData[[#This Row],[totalChallan]],TrafficData[[#This Row],[pendingChallan]]&lt;=TrafficData[[#This Row],[totalChallan]])</f>
        <v>1</v>
      </c>
      <c r="O3326" s="8" t="b">
        <f>AND(TrafficData[[#This Row],[pendingAmount]]&lt;=TrafficData[[#This Row],[totalAmount]],TrafficData[[#This Row],[disposedAmount]]&lt;=TrafficData[[#This Row],[totalAmount]])</f>
        <v>1</v>
      </c>
      <c r="P3326" s="8" t="b">
        <f>AND(TrafficData[[#This Row],[pendingCourt]]&lt;=TrafficData[[#This Row],[totalCourt]],TrafficData[[#This Row],[disposedCourt]]&lt;=TrafficData[[#This Row],[totalCourt]])</f>
        <v>1</v>
      </c>
    </row>
    <row r="3327" spans="1:16">
      <c r="A3327" s="1">
        <v>45331</v>
      </c>
      <c r="B3327">
        <v>220230</v>
      </c>
      <c r="C3327">
        <v>78712</v>
      </c>
      <c r="D3327">
        <v>141518</v>
      </c>
      <c r="E3327">
        <v>209816240</v>
      </c>
      <c r="F3327">
        <v>120520845</v>
      </c>
      <c r="G3327">
        <v>330337085</v>
      </c>
      <c r="H3327">
        <v>69271</v>
      </c>
      <c r="I3327">
        <v>10988</v>
      </c>
      <c r="J3327">
        <v>80259</v>
      </c>
      <c r="K3327" t="b">
        <f>TrafficData[[#This Row],[disposedChallan]]+TrafficData[[#This Row],[pendingChallan]]=TrafficData[[#This Row],[totalChallan]]</f>
        <v>1</v>
      </c>
      <c r="L3327" t="b">
        <f>TrafficData[[#This Row],[pendingAmount]]+TrafficData[[#This Row],[disposedAmount]]=TrafficData[[#This Row],[totalAmount]]</f>
        <v>1</v>
      </c>
      <c r="M3327" t="b">
        <f>TrafficData[[#This Row],[pendingCourt]]+TrafficData[[#This Row],[disposedCourt]]=TrafficData[[#This Row],[totalCourt]]</f>
        <v>1</v>
      </c>
      <c r="N3327" s="8" t="b">
        <f>AND(TrafficData[[#This Row],[disposedChallan]]&lt;=TrafficData[[#This Row],[totalChallan]],TrafficData[[#This Row],[pendingChallan]]&lt;=TrafficData[[#This Row],[totalChallan]])</f>
        <v>1</v>
      </c>
      <c r="O3327" s="8" t="b">
        <f>AND(TrafficData[[#This Row],[pendingAmount]]&lt;=TrafficData[[#This Row],[totalAmount]],TrafficData[[#This Row],[disposedAmount]]&lt;=TrafficData[[#This Row],[totalAmount]])</f>
        <v>1</v>
      </c>
      <c r="P3327" s="8" t="b">
        <f>AND(TrafficData[[#This Row],[pendingCourt]]&lt;=TrafficData[[#This Row],[totalCourt]],TrafficData[[#This Row],[disposedCourt]]&lt;=TrafficData[[#This Row],[totalCourt]])</f>
        <v>1</v>
      </c>
    </row>
    <row r="3328" spans="1:16">
      <c r="A3328" s="1">
        <v>45332</v>
      </c>
      <c r="B3328">
        <v>213407</v>
      </c>
      <c r="C3328">
        <v>76088</v>
      </c>
      <c r="D3328">
        <v>137319</v>
      </c>
      <c r="E3328">
        <v>192830450</v>
      </c>
      <c r="F3328">
        <v>109125747</v>
      </c>
      <c r="G3328">
        <v>301956197</v>
      </c>
      <c r="H3328">
        <v>67309</v>
      </c>
      <c r="I3328">
        <v>10800</v>
      </c>
      <c r="J3328">
        <v>78109</v>
      </c>
      <c r="K3328" t="b">
        <f>TrafficData[[#This Row],[disposedChallan]]+TrafficData[[#This Row],[pendingChallan]]=TrafficData[[#This Row],[totalChallan]]</f>
        <v>1</v>
      </c>
      <c r="L3328" t="b">
        <f>TrafficData[[#This Row],[pendingAmount]]+TrafficData[[#This Row],[disposedAmount]]=TrafficData[[#This Row],[totalAmount]]</f>
        <v>1</v>
      </c>
      <c r="M3328" t="b">
        <f>TrafficData[[#This Row],[pendingCourt]]+TrafficData[[#This Row],[disposedCourt]]=TrafficData[[#This Row],[totalCourt]]</f>
        <v>1</v>
      </c>
      <c r="N3328" s="8" t="b">
        <f>AND(TrafficData[[#This Row],[disposedChallan]]&lt;=TrafficData[[#This Row],[totalChallan]],TrafficData[[#This Row],[pendingChallan]]&lt;=TrafficData[[#This Row],[totalChallan]])</f>
        <v>1</v>
      </c>
      <c r="O3328" s="8" t="b">
        <f>AND(TrafficData[[#This Row],[pendingAmount]]&lt;=TrafficData[[#This Row],[totalAmount]],TrafficData[[#This Row],[disposedAmount]]&lt;=TrafficData[[#This Row],[totalAmount]])</f>
        <v>1</v>
      </c>
      <c r="P3328" s="8" t="b">
        <f>AND(TrafficData[[#This Row],[pendingCourt]]&lt;=TrafficData[[#This Row],[totalCourt]],TrafficData[[#This Row],[disposedCourt]]&lt;=TrafficData[[#This Row],[totalCourt]])</f>
        <v>1</v>
      </c>
    </row>
    <row r="3329" spans="1:16">
      <c r="A3329" s="1">
        <v>45333</v>
      </c>
      <c r="B3329">
        <v>193284</v>
      </c>
      <c r="C3329">
        <v>66410</v>
      </c>
      <c r="D3329">
        <v>126874</v>
      </c>
      <c r="E3329">
        <v>171871372</v>
      </c>
      <c r="F3329">
        <v>81745676</v>
      </c>
      <c r="G3329">
        <v>253617048</v>
      </c>
      <c r="H3329">
        <v>60744</v>
      </c>
      <c r="I3329">
        <v>9292</v>
      </c>
      <c r="J3329">
        <v>70036</v>
      </c>
      <c r="K3329" t="b">
        <f>TrafficData[[#This Row],[disposedChallan]]+TrafficData[[#This Row],[pendingChallan]]=TrafficData[[#This Row],[totalChallan]]</f>
        <v>1</v>
      </c>
      <c r="L3329" t="b">
        <f>TrafficData[[#This Row],[pendingAmount]]+TrafficData[[#This Row],[disposedAmount]]=TrafficData[[#This Row],[totalAmount]]</f>
        <v>1</v>
      </c>
      <c r="M3329" t="b">
        <f>TrafficData[[#This Row],[pendingCourt]]+TrafficData[[#This Row],[disposedCourt]]=TrafficData[[#This Row],[totalCourt]]</f>
        <v>1</v>
      </c>
      <c r="N3329" s="8" t="b">
        <f>AND(TrafficData[[#This Row],[disposedChallan]]&lt;=TrafficData[[#This Row],[totalChallan]],TrafficData[[#This Row],[pendingChallan]]&lt;=TrafficData[[#This Row],[totalChallan]])</f>
        <v>1</v>
      </c>
      <c r="O3329" s="8" t="b">
        <f>AND(TrafficData[[#This Row],[pendingAmount]]&lt;=TrafficData[[#This Row],[totalAmount]],TrafficData[[#This Row],[disposedAmount]]&lt;=TrafficData[[#This Row],[totalAmount]])</f>
        <v>1</v>
      </c>
      <c r="P3329" s="8" t="b">
        <f>AND(TrafficData[[#This Row],[pendingCourt]]&lt;=TrafficData[[#This Row],[totalCourt]],TrafficData[[#This Row],[disposedCourt]]&lt;=TrafficData[[#This Row],[totalCourt]])</f>
        <v>1</v>
      </c>
    </row>
    <row r="3330" spans="1:16">
      <c r="A3330" s="1">
        <v>45334</v>
      </c>
      <c r="B3330">
        <v>210235</v>
      </c>
      <c r="C3330">
        <v>73191</v>
      </c>
      <c r="D3330">
        <v>137044</v>
      </c>
      <c r="E3330">
        <v>203685510</v>
      </c>
      <c r="F3330">
        <v>106842368</v>
      </c>
      <c r="G3330">
        <v>310527878</v>
      </c>
      <c r="H3330">
        <v>62470</v>
      </c>
      <c r="I3330">
        <v>10423</v>
      </c>
      <c r="J3330">
        <v>72893</v>
      </c>
      <c r="K3330" t="b">
        <f>TrafficData[[#This Row],[disposedChallan]]+TrafficData[[#This Row],[pendingChallan]]=TrafficData[[#This Row],[totalChallan]]</f>
        <v>1</v>
      </c>
      <c r="L3330" t="b">
        <f>TrafficData[[#This Row],[pendingAmount]]+TrafficData[[#This Row],[disposedAmount]]=TrafficData[[#This Row],[totalAmount]]</f>
        <v>1</v>
      </c>
      <c r="M3330" t="b">
        <f>TrafficData[[#This Row],[pendingCourt]]+TrafficData[[#This Row],[disposedCourt]]=TrafficData[[#This Row],[totalCourt]]</f>
        <v>1</v>
      </c>
      <c r="N3330" s="8" t="b">
        <f>AND(TrafficData[[#This Row],[disposedChallan]]&lt;=TrafficData[[#This Row],[totalChallan]],TrafficData[[#This Row],[pendingChallan]]&lt;=TrafficData[[#This Row],[totalChallan]])</f>
        <v>1</v>
      </c>
      <c r="O3330" s="8" t="b">
        <f>AND(TrafficData[[#This Row],[pendingAmount]]&lt;=TrafficData[[#This Row],[totalAmount]],TrafficData[[#This Row],[disposedAmount]]&lt;=TrafficData[[#This Row],[totalAmount]])</f>
        <v>1</v>
      </c>
      <c r="P3330" s="8" t="b">
        <f>AND(TrafficData[[#This Row],[pendingCourt]]&lt;=TrafficData[[#This Row],[totalCourt]],TrafficData[[#This Row],[disposedCourt]]&lt;=TrafficData[[#This Row],[totalCourt]])</f>
        <v>1</v>
      </c>
    </row>
    <row r="3331" spans="1:16">
      <c r="A3331" s="1">
        <v>45335</v>
      </c>
      <c r="B3331">
        <v>206727</v>
      </c>
      <c r="C3331">
        <v>73954</v>
      </c>
      <c r="D3331">
        <v>132773</v>
      </c>
      <c r="E3331">
        <v>201198317</v>
      </c>
      <c r="F3331">
        <v>108175946</v>
      </c>
      <c r="G3331">
        <v>309374263</v>
      </c>
      <c r="H3331">
        <v>62359</v>
      </c>
      <c r="I3331">
        <v>9836</v>
      </c>
      <c r="J3331">
        <v>72195</v>
      </c>
      <c r="K3331" t="b">
        <f>TrafficData[[#This Row],[disposedChallan]]+TrafficData[[#This Row],[pendingChallan]]=TrafficData[[#This Row],[totalChallan]]</f>
        <v>1</v>
      </c>
      <c r="L3331" t="b">
        <f>TrafficData[[#This Row],[pendingAmount]]+TrafficData[[#This Row],[disposedAmount]]=TrafficData[[#This Row],[totalAmount]]</f>
        <v>1</v>
      </c>
      <c r="M3331" t="b">
        <f>TrafficData[[#This Row],[pendingCourt]]+TrafficData[[#This Row],[disposedCourt]]=TrafficData[[#This Row],[totalCourt]]</f>
        <v>1</v>
      </c>
      <c r="N3331" s="8" t="b">
        <f>AND(TrafficData[[#This Row],[disposedChallan]]&lt;=TrafficData[[#This Row],[totalChallan]],TrafficData[[#This Row],[pendingChallan]]&lt;=TrafficData[[#This Row],[totalChallan]])</f>
        <v>1</v>
      </c>
      <c r="O3331" s="8" t="b">
        <f>AND(TrafficData[[#This Row],[pendingAmount]]&lt;=TrafficData[[#This Row],[totalAmount]],TrafficData[[#This Row],[disposedAmount]]&lt;=TrafficData[[#This Row],[totalAmount]])</f>
        <v>1</v>
      </c>
      <c r="P3331" s="8" t="b">
        <f>AND(TrafficData[[#This Row],[pendingCourt]]&lt;=TrafficData[[#This Row],[totalCourt]],TrafficData[[#This Row],[disposedCourt]]&lt;=TrafficData[[#This Row],[totalCourt]])</f>
        <v>1</v>
      </c>
    </row>
    <row r="3332" spans="1:16">
      <c r="A3332" s="1">
        <v>45336</v>
      </c>
      <c r="B3332">
        <v>212039</v>
      </c>
      <c r="C3332">
        <v>74157</v>
      </c>
      <c r="D3332">
        <v>137882</v>
      </c>
      <c r="E3332">
        <v>202928918</v>
      </c>
      <c r="F3332">
        <v>104221954</v>
      </c>
      <c r="G3332">
        <v>307150872</v>
      </c>
      <c r="H3332">
        <v>68570</v>
      </c>
      <c r="I3332">
        <v>10247</v>
      </c>
      <c r="J3332">
        <v>78817</v>
      </c>
      <c r="K3332" t="b">
        <f>TrafficData[[#This Row],[disposedChallan]]+TrafficData[[#This Row],[pendingChallan]]=TrafficData[[#This Row],[totalChallan]]</f>
        <v>1</v>
      </c>
      <c r="L3332" t="b">
        <f>TrafficData[[#This Row],[pendingAmount]]+TrafficData[[#This Row],[disposedAmount]]=TrafficData[[#This Row],[totalAmount]]</f>
        <v>1</v>
      </c>
      <c r="M3332" t="b">
        <f>TrafficData[[#This Row],[pendingCourt]]+TrafficData[[#This Row],[disposedCourt]]=TrafficData[[#This Row],[totalCourt]]</f>
        <v>1</v>
      </c>
      <c r="N3332" s="8" t="b">
        <f>AND(TrafficData[[#This Row],[disposedChallan]]&lt;=TrafficData[[#This Row],[totalChallan]],TrafficData[[#This Row],[pendingChallan]]&lt;=TrafficData[[#This Row],[totalChallan]])</f>
        <v>1</v>
      </c>
      <c r="O3332" s="8" t="b">
        <f>AND(TrafficData[[#This Row],[pendingAmount]]&lt;=TrafficData[[#This Row],[totalAmount]],TrafficData[[#This Row],[disposedAmount]]&lt;=TrafficData[[#This Row],[totalAmount]])</f>
        <v>1</v>
      </c>
      <c r="P3332" s="8" t="b">
        <f>AND(TrafficData[[#This Row],[pendingCourt]]&lt;=TrafficData[[#This Row],[totalCourt]],TrafficData[[#This Row],[disposedCourt]]&lt;=TrafficData[[#This Row],[totalCourt]])</f>
        <v>1</v>
      </c>
    </row>
    <row r="3333" spans="1:16">
      <c r="A3333" s="1">
        <v>45337</v>
      </c>
      <c r="B3333">
        <v>214600</v>
      </c>
      <c r="C3333">
        <v>75775</v>
      </c>
      <c r="D3333">
        <v>138825</v>
      </c>
      <c r="E3333">
        <v>204583005</v>
      </c>
      <c r="F3333">
        <v>115492101</v>
      </c>
      <c r="G3333">
        <v>320075106</v>
      </c>
      <c r="H3333">
        <v>69611</v>
      </c>
      <c r="I3333">
        <v>10735</v>
      </c>
      <c r="J3333">
        <v>80346</v>
      </c>
      <c r="K3333" t="b">
        <f>TrafficData[[#This Row],[disposedChallan]]+TrafficData[[#This Row],[pendingChallan]]=TrafficData[[#This Row],[totalChallan]]</f>
        <v>1</v>
      </c>
      <c r="L3333" t="b">
        <f>TrafficData[[#This Row],[pendingAmount]]+TrafficData[[#This Row],[disposedAmount]]=TrafficData[[#This Row],[totalAmount]]</f>
        <v>1</v>
      </c>
      <c r="M3333" t="b">
        <f>TrafficData[[#This Row],[pendingCourt]]+TrafficData[[#This Row],[disposedCourt]]=TrafficData[[#This Row],[totalCourt]]</f>
        <v>1</v>
      </c>
      <c r="N3333" s="8" t="b">
        <f>AND(TrafficData[[#This Row],[disposedChallan]]&lt;=TrafficData[[#This Row],[totalChallan]],TrafficData[[#This Row],[pendingChallan]]&lt;=TrafficData[[#This Row],[totalChallan]])</f>
        <v>1</v>
      </c>
      <c r="O3333" s="8" t="b">
        <f>AND(TrafficData[[#This Row],[pendingAmount]]&lt;=TrafficData[[#This Row],[totalAmount]],TrafficData[[#This Row],[disposedAmount]]&lt;=TrafficData[[#This Row],[totalAmount]])</f>
        <v>1</v>
      </c>
      <c r="P3333" s="8" t="b">
        <f>AND(TrafficData[[#This Row],[pendingCourt]]&lt;=TrafficData[[#This Row],[totalCourt]],TrafficData[[#This Row],[disposedCourt]]&lt;=TrafficData[[#This Row],[totalCourt]])</f>
        <v>1</v>
      </c>
    </row>
    <row r="3334" spans="1:16">
      <c r="A3334" s="1">
        <v>45338</v>
      </c>
      <c r="B3334">
        <v>211180</v>
      </c>
      <c r="C3334">
        <v>74858</v>
      </c>
      <c r="D3334">
        <v>136322</v>
      </c>
      <c r="E3334">
        <v>192763775</v>
      </c>
      <c r="F3334">
        <v>113530609</v>
      </c>
      <c r="G3334">
        <v>306294384</v>
      </c>
      <c r="H3334">
        <v>66890</v>
      </c>
      <c r="I3334">
        <v>9915</v>
      </c>
      <c r="J3334">
        <v>76805</v>
      </c>
      <c r="K3334" t="b">
        <f>TrafficData[[#This Row],[disposedChallan]]+TrafficData[[#This Row],[pendingChallan]]=TrafficData[[#This Row],[totalChallan]]</f>
        <v>1</v>
      </c>
      <c r="L3334" t="b">
        <f>TrafficData[[#This Row],[pendingAmount]]+TrafficData[[#This Row],[disposedAmount]]=TrafficData[[#This Row],[totalAmount]]</f>
        <v>1</v>
      </c>
      <c r="M3334" t="b">
        <f>TrafficData[[#This Row],[pendingCourt]]+TrafficData[[#This Row],[disposedCourt]]=TrafficData[[#This Row],[totalCourt]]</f>
        <v>1</v>
      </c>
      <c r="N3334" s="8" t="b">
        <f>AND(TrafficData[[#This Row],[disposedChallan]]&lt;=TrafficData[[#This Row],[totalChallan]],TrafficData[[#This Row],[pendingChallan]]&lt;=TrafficData[[#This Row],[totalChallan]])</f>
        <v>1</v>
      </c>
      <c r="O3334" s="8" t="b">
        <f>AND(TrafficData[[#This Row],[pendingAmount]]&lt;=TrafficData[[#This Row],[totalAmount]],TrafficData[[#This Row],[disposedAmount]]&lt;=TrafficData[[#This Row],[totalAmount]])</f>
        <v>1</v>
      </c>
      <c r="P3334" s="8" t="b">
        <f>AND(TrafficData[[#This Row],[pendingCourt]]&lt;=TrafficData[[#This Row],[totalCourt]],TrafficData[[#This Row],[disposedCourt]]&lt;=TrafficData[[#This Row],[totalCourt]])</f>
        <v>1</v>
      </c>
    </row>
    <row r="3335" spans="1:16">
      <c r="A3335" s="1">
        <v>45339</v>
      </c>
      <c r="B3335">
        <v>202536</v>
      </c>
      <c r="C3335">
        <v>76134</v>
      </c>
      <c r="D3335">
        <v>126402</v>
      </c>
      <c r="E3335">
        <v>185819464</v>
      </c>
      <c r="F3335">
        <v>112404316</v>
      </c>
      <c r="G3335">
        <v>298223780</v>
      </c>
      <c r="H3335">
        <v>57535</v>
      </c>
      <c r="I3335">
        <v>9645</v>
      </c>
      <c r="J3335">
        <v>67180</v>
      </c>
      <c r="K3335" t="b">
        <f>TrafficData[[#This Row],[disposedChallan]]+TrafficData[[#This Row],[pendingChallan]]=TrafficData[[#This Row],[totalChallan]]</f>
        <v>1</v>
      </c>
      <c r="L3335" t="b">
        <f>TrafficData[[#This Row],[pendingAmount]]+TrafficData[[#This Row],[disposedAmount]]=TrafficData[[#This Row],[totalAmount]]</f>
        <v>1</v>
      </c>
      <c r="M3335" t="b">
        <f>TrafficData[[#This Row],[pendingCourt]]+TrafficData[[#This Row],[disposedCourt]]=TrafficData[[#This Row],[totalCourt]]</f>
        <v>1</v>
      </c>
      <c r="N3335" s="8" t="b">
        <f>AND(TrafficData[[#This Row],[disposedChallan]]&lt;=TrafficData[[#This Row],[totalChallan]],TrafficData[[#This Row],[pendingChallan]]&lt;=TrafficData[[#This Row],[totalChallan]])</f>
        <v>1</v>
      </c>
      <c r="O3335" s="8" t="b">
        <f>AND(TrafficData[[#This Row],[pendingAmount]]&lt;=TrafficData[[#This Row],[totalAmount]],TrafficData[[#This Row],[disposedAmount]]&lt;=TrafficData[[#This Row],[totalAmount]])</f>
        <v>1</v>
      </c>
      <c r="P3335" s="8" t="b">
        <f>AND(TrafficData[[#This Row],[pendingCourt]]&lt;=TrafficData[[#This Row],[totalCourt]],TrafficData[[#This Row],[disposedCourt]]&lt;=TrafficData[[#This Row],[totalCourt]])</f>
        <v>1</v>
      </c>
    </row>
    <row r="3336" spans="1:16">
      <c r="A3336" s="1">
        <v>45340</v>
      </c>
      <c r="B3336">
        <v>189060</v>
      </c>
      <c r="C3336">
        <v>65247</v>
      </c>
      <c r="D3336">
        <v>123813</v>
      </c>
      <c r="E3336">
        <v>165080733</v>
      </c>
      <c r="F3336">
        <v>81490377</v>
      </c>
      <c r="G3336">
        <v>246571110</v>
      </c>
      <c r="H3336">
        <v>55378</v>
      </c>
      <c r="I3336">
        <v>8473</v>
      </c>
      <c r="J3336">
        <v>63851</v>
      </c>
      <c r="K3336" t="b">
        <f>TrafficData[[#This Row],[disposedChallan]]+TrafficData[[#This Row],[pendingChallan]]=TrafficData[[#This Row],[totalChallan]]</f>
        <v>1</v>
      </c>
      <c r="L3336" t="b">
        <f>TrafficData[[#This Row],[pendingAmount]]+TrafficData[[#This Row],[disposedAmount]]=TrafficData[[#This Row],[totalAmount]]</f>
        <v>1</v>
      </c>
      <c r="M3336" t="b">
        <f>TrafficData[[#This Row],[pendingCourt]]+TrafficData[[#This Row],[disposedCourt]]=TrafficData[[#This Row],[totalCourt]]</f>
        <v>1</v>
      </c>
      <c r="N3336" s="8" t="b">
        <f>AND(TrafficData[[#This Row],[disposedChallan]]&lt;=TrafficData[[#This Row],[totalChallan]],TrafficData[[#This Row],[pendingChallan]]&lt;=TrafficData[[#This Row],[totalChallan]])</f>
        <v>1</v>
      </c>
      <c r="O3336" s="8" t="b">
        <f>AND(TrafficData[[#This Row],[pendingAmount]]&lt;=TrafficData[[#This Row],[totalAmount]],TrafficData[[#This Row],[disposedAmount]]&lt;=TrafficData[[#This Row],[totalAmount]])</f>
        <v>1</v>
      </c>
      <c r="P3336" s="8" t="b">
        <f>AND(TrafficData[[#This Row],[pendingCourt]]&lt;=TrafficData[[#This Row],[totalCourt]],TrafficData[[#This Row],[disposedCourt]]&lt;=TrafficData[[#This Row],[totalCourt]])</f>
        <v>1</v>
      </c>
    </row>
    <row r="3337" spans="1:16">
      <c r="A3337" s="1">
        <v>45341</v>
      </c>
      <c r="B3337">
        <v>202578</v>
      </c>
      <c r="C3337">
        <v>69568</v>
      </c>
      <c r="D3337">
        <v>133010</v>
      </c>
      <c r="E3337">
        <v>193880685</v>
      </c>
      <c r="F3337">
        <v>99758781</v>
      </c>
      <c r="G3337">
        <v>293639466</v>
      </c>
      <c r="H3337">
        <v>64138</v>
      </c>
      <c r="I3337">
        <v>9645</v>
      </c>
      <c r="J3337">
        <v>73783</v>
      </c>
      <c r="K3337" t="b">
        <f>TrafficData[[#This Row],[disposedChallan]]+TrafficData[[#This Row],[pendingChallan]]=TrafficData[[#This Row],[totalChallan]]</f>
        <v>1</v>
      </c>
      <c r="L3337" t="b">
        <f>TrafficData[[#This Row],[pendingAmount]]+TrafficData[[#This Row],[disposedAmount]]=TrafficData[[#This Row],[totalAmount]]</f>
        <v>1</v>
      </c>
      <c r="M3337" t="b">
        <f>TrafficData[[#This Row],[pendingCourt]]+TrafficData[[#This Row],[disposedCourt]]=TrafficData[[#This Row],[totalCourt]]</f>
        <v>1</v>
      </c>
      <c r="N3337" s="8" t="b">
        <f>AND(TrafficData[[#This Row],[disposedChallan]]&lt;=TrafficData[[#This Row],[totalChallan]],TrafficData[[#This Row],[pendingChallan]]&lt;=TrafficData[[#This Row],[totalChallan]])</f>
        <v>1</v>
      </c>
      <c r="O3337" s="8" t="b">
        <f>AND(TrafficData[[#This Row],[pendingAmount]]&lt;=TrafficData[[#This Row],[totalAmount]],TrafficData[[#This Row],[disposedAmount]]&lt;=TrafficData[[#This Row],[totalAmount]])</f>
        <v>1</v>
      </c>
      <c r="P3337" s="8" t="b">
        <f>AND(TrafficData[[#This Row],[pendingCourt]]&lt;=TrafficData[[#This Row],[totalCourt]],TrafficData[[#This Row],[disposedCourt]]&lt;=TrafficData[[#This Row],[totalCourt]])</f>
        <v>1</v>
      </c>
    </row>
    <row r="3338" spans="1:16">
      <c r="A3338" s="1">
        <v>45342</v>
      </c>
      <c r="B3338">
        <v>185213</v>
      </c>
      <c r="C3338">
        <v>63993</v>
      </c>
      <c r="D3338">
        <v>121220</v>
      </c>
      <c r="E3338">
        <v>177461401</v>
      </c>
      <c r="F3338">
        <v>105405247</v>
      </c>
      <c r="G3338">
        <v>282866648</v>
      </c>
      <c r="H3338">
        <v>58872</v>
      </c>
      <c r="I3338">
        <v>8416</v>
      </c>
      <c r="J3338">
        <v>67288</v>
      </c>
      <c r="K3338" t="b">
        <f>TrafficData[[#This Row],[disposedChallan]]+TrafficData[[#This Row],[pendingChallan]]=TrafficData[[#This Row],[totalChallan]]</f>
        <v>1</v>
      </c>
      <c r="L3338" t="b">
        <f>TrafficData[[#This Row],[pendingAmount]]+TrafficData[[#This Row],[disposedAmount]]=TrafficData[[#This Row],[totalAmount]]</f>
        <v>1</v>
      </c>
      <c r="M3338" t="b">
        <f>TrafficData[[#This Row],[pendingCourt]]+TrafficData[[#This Row],[disposedCourt]]=TrafficData[[#This Row],[totalCourt]]</f>
        <v>1</v>
      </c>
      <c r="N3338" s="8" t="b">
        <f>AND(TrafficData[[#This Row],[disposedChallan]]&lt;=TrafficData[[#This Row],[totalChallan]],TrafficData[[#This Row],[pendingChallan]]&lt;=TrafficData[[#This Row],[totalChallan]])</f>
        <v>1</v>
      </c>
      <c r="O3338" s="8" t="b">
        <f>AND(TrafficData[[#This Row],[pendingAmount]]&lt;=TrafficData[[#This Row],[totalAmount]],TrafficData[[#This Row],[disposedAmount]]&lt;=TrafficData[[#This Row],[totalAmount]])</f>
        <v>1</v>
      </c>
      <c r="P3338" s="8" t="b">
        <f>AND(TrafficData[[#This Row],[pendingCourt]]&lt;=TrafficData[[#This Row],[totalCourt]],TrafficData[[#This Row],[disposedCourt]]&lt;=TrafficData[[#This Row],[totalCourt]])</f>
        <v>1</v>
      </c>
    </row>
    <row r="3339" spans="1:16">
      <c r="A3339" s="1">
        <v>45343</v>
      </c>
      <c r="B3339">
        <v>209807</v>
      </c>
      <c r="C3339">
        <v>72031</v>
      </c>
      <c r="D3339">
        <v>137776</v>
      </c>
      <c r="E3339">
        <v>198442780</v>
      </c>
      <c r="F3339">
        <v>118969845</v>
      </c>
      <c r="G3339">
        <v>317412625</v>
      </c>
      <c r="H3339">
        <v>63251</v>
      </c>
      <c r="I3339">
        <v>9674</v>
      </c>
      <c r="J3339">
        <v>72925</v>
      </c>
      <c r="K3339" t="b">
        <f>TrafficData[[#This Row],[disposedChallan]]+TrafficData[[#This Row],[pendingChallan]]=TrafficData[[#This Row],[totalChallan]]</f>
        <v>1</v>
      </c>
      <c r="L3339" t="b">
        <f>TrafficData[[#This Row],[pendingAmount]]+TrafficData[[#This Row],[disposedAmount]]=TrafficData[[#This Row],[totalAmount]]</f>
        <v>1</v>
      </c>
      <c r="M3339" t="b">
        <f>TrafficData[[#This Row],[pendingCourt]]+TrafficData[[#This Row],[disposedCourt]]=TrafficData[[#This Row],[totalCourt]]</f>
        <v>1</v>
      </c>
      <c r="N3339" s="8" t="b">
        <f>AND(TrafficData[[#This Row],[disposedChallan]]&lt;=TrafficData[[#This Row],[totalChallan]],TrafficData[[#This Row],[pendingChallan]]&lt;=TrafficData[[#This Row],[totalChallan]])</f>
        <v>1</v>
      </c>
      <c r="O3339" s="8" t="b">
        <f>AND(TrafficData[[#This Row],[pendingAmount]]&lt;=TrafficData[[#This Row],[totalAmount]],TrafficData[[#This Row],[disposedAmount]]&lt;=TrafficData[[#This Row],[totalAmount]])</f>
        <v>1</v>
      </c>
      <c r="P3339" s="8" t="b">
        <f>AND(TrafficData[[#This Row],[pendingCourt]]&lt;=TrafficData[[#This Row],[totalCourt]],TrafficData[[#This Row],[disposedCourt]]&lt;=TrafficData[[#This Row],[totalCourt]])</f>
        <v>1</v>
      </c>
    </row>
    <row r="3340" spans="1:16">
      <c r="A3340" s="1">
        <v>45344</v>
      </c>
      <c r="B3340">
        <v>209651</v>
      </c>
      <c r="C3340">
        <v>73039</v>
      </c>
      <c r="D3340">
        <v>136612</v>
      </c>
      <c r="E3340">
        <v>196212885</v>
      </c>
      <c r="F3340">
        <v>119116037</v>
      </c>
      <c r="G3340">
        <v>315328922</v>
      </c>
      <c r="H3340">
        <v>64469</v>
      </c>
      <c r="I3340">
        <v>9946</v>
      </c>
      <c r="J3340">
        <v>74415</v>
      </c>
      <c r="K3340" t="b">
        <f>TrafficData[[#This Row],[disposedChallan]]+TrafficData[[#This Row],[pendingChallan]]=TrafficData[[#This Row],[totalChallan]]</f>
        <v>1</v>
      </c>
      <c r="L3340" t="b">
        <f>TrafficData[[#This Row],[pendingAmount]]+TrafficData[[#This Row],[disposedAmount]]=TrafficData[[#This Row],[totalAmount]]</f>
        <v>1</v>
      </c>
      <c r="M3340" t="b">
        <f>TrafficData[[#This Row],[pendingCourt]]+TrafficData[[#This Row],[disposedCourt]]=TrafficData[[#This Row],[totalCourt]]</f>
        <v>1</v>
      </c>
      <c r="N3340" s="8" t="b">
        <f>AND(TrafficData[[#This Row],[disposedChallan]]&lt;=TrafficData[[#This Row],[totalChallan]],TrafficData[[#This Row],[pendingChallan]]&lt;=TrafficData[[#This Row],[totalChallan]])</f>
        <v>1</v>
      </c>
      <c r="O3340" s="8" t="b">
        <f>AND(TrafficData[[#This Row],[pendingAmount]]&lt;=TrafficData[[#This Row],[totalAmount]],TrafficData[[#This Row],[disposedAmount]]&lt;=TrafficData[[#This Row],[totalAmount]])</f>
        <v>1</v>
      </c>
      <c r="P3340" s="8" t="b">
        <f>AND(TrafficData[[#This Row],[pendingCourt]]&lt;=TrafficData[[#This Row],[totalCourt]],TrafficData[[#This Row],[disposedCourt]]&lt;=TrafficData[[#This Row],[totalCourt]])</f>
        <v>1</v>
      </c>
    </row>
    <row r="3341" spans="1:16">
      <c r="A3341" s="1">
        <v>45345</v>
      </c>
      <c r="B3341">
        <v>211215</v>
      </c>
      <c r="C3341">
        <v>74909</v>
      </c>
      <c r="D3341">
        <v>136306</v>
      </c>
      <c r="E3341">
        <v>196626433</v>
      </c>
      <c r="F3341">
        <v>114511412</v>
      </c>
      <c r="G3341">
        <v>311137845</v>
      </c>
      <c r="H3341">
        <v>65843</v>
      </c>
      <c r="I3341">
        <v>10113</v>
      </c>
      <c r="J3341">
        <v>75956</v>
      </c>
      <c r="K3341" t="b">
        <f>TrafficData[[#This Row],[disposedChallan]]+TrafficData[[#This Row],[pendingChallan]]=TrafficData[[#This Row],[totalChallan]]</f>
        <v>1</v>
      </c>
      <c r="L3341" t="b">
        <f>TrafficData[[#This Row],[pendingAmount]]+TrafficData[[#This Row],[disposedAmount]]=TrafficData[[#This Row],[totalAmount]]</f>
        <v>1</v>
      </c>
      <c r="M3341" t="b">
        <f>TrafficData[[#This Row],[pendingCourt]]+TrafficData[[#This Row],[disposedCourt]]=TrafficData[[#This Row],[totalCourt]]</f>
        <v>1</v>
      </c>
      <c r="N3341" s="8" t="b">
        <f>AND(TrafficData[[#This Row],[disposedChallan]]&lt;=TrafficData[[#This Row],[totalChallan]],TrafficData[[#This Row],[pendingChallan]]&lt;=TrafficData[[#This Row],[totalChallan]])</f>
        <v>1</v>
      </c>
      <c r="O3341" s="8" t="b">
        <f>AND(TrafficData[[#This Row],[pendingAmount]]&lt;=TrafficData[[#This Row],[totalAmount]],TrafficData[[#This Row],[disposedAmount]]&lt;=TrafficData[[#This Row],[totalAmount]])</f>
        <v>1</v>
      </c>
      <c r="P3341" s="8" t="b">
        <f>AND(TrafficData[[#This Row],[pendingCourt]]&lt;=TrafficData[[#This Row],[totalCourt]],TrafficData[[#This Row],[disposedCourt]]&lt;=TrafficData[[#This Row],[totalCourt]])</f>
        <v>1</v>
      </c>
    </row>
    <row r="3342" spans="1:16">
      <c r="A3342" s="1">
        <v>45346</v>
      </c>
      <c r="B3342">
        <v>199303</v>
      </c>
      <c r="C3342">
        <v>71110</v>
      </c>
      <c r="D3342">
        <v>128193</v>
      </c>
      <c r="E3342">
        <v>174681758</v>
      </c>
      <c r="F3342">
        <v>100405777</v>
      </c>
      <c r="G3342">
        <v>275087535</v>
      </c>
      <c r="H3342">
        <v>62421</v>
      </c>
      <c r="I3342">
        <v>9929</v>
      </c>
      <c r="J3342">
        <v>72350</v>
      </c>
      <c r="K3342" t="b">
        <f>TrafficData[[#This Row],[disposedChallan]]+TrafficData[[#This Row],[pendingChallan]]=TrafficData[[#This Row],[totalChallan]]</f>
        <v>1</v>
      </c>
      <c r="L3342" t="b">
        <f>TrafficData[[#This Row],[pendingAmount]]+TrafficData[[#This Row],[disposedAmount]]=TrafficData[[#This Row],[totalAmount]]</f>
        <v>1</v>
      </c>
      <c r="M3342" t="b">
        <f>TrafficData[[#This Row],[pendingCourt]]+TrafficData[[#This Row],[disposedCourt]]=TrafficData[[#This Row],[totalCourt]]</f>
        <v>1</v>
      </c>
      <c r="N3342" s="8" t="b">
        <f>AND(TrafficData[[#This Row],[disposedChallan]]&lt;=TrafficData[[#This Row],[totalChallan]],TrafficData[[#This Row],[pendingChallan]]&lt;=TrafficData[[#This Row],[totalChallan]])</f>
        <v>1</v>
      </c>
      <c r="O3342" s="8" t="b">
        <f>AND(TrafficData[[#This Row],[pendingAmount]]&lt;=TrafficData[[#This Row],[totalAmount]],TrafficData[[#This Row],[disposedAmount]]&lt;=TrafficData[[#This Row],[totalAmount]])</f>
        <v>1</v>
      </c>
      <c r="P3342" s="8" t="b">
        <f>AND(TrafficData[[#This Row],[pendingCourt]]&lt;=TrafficData[[#This Row],[totalCourt]],TrafficData[[#This Row],[disposedCourt]]&lt;=TrafficData[[#This Row],[totalCourt]])</f>
        <v>1</v>
      </c>
    </row>
    <row r="3343" spans="1:16">
      <c r="A3343" s="1">
        <v>45347</v>
      </c>
      <c r="B3343">
        <v>184801</v>
      </c>
      <c r="C3343">
        <v>61725</v>
      </c>
      <c r="D3343">
        <v>123076</v>
      </c>
      <c r="E3343">
        <v>169592299</v>
      </c>
      <c r="F3343">
        <v>79470373</v>
      </c>
      <c r="G3343">
        <v>249062672</v>
      </c>
      <c r="H3343">
        <v>60274</v>
      </c>
      <c r="I3343">
        <v>9207</v>
      </c>
      <c r="J3343">
        <v>69481</v>
      </c>
      <c r="K3343" t="b">
        <f>TrafficData[[#This Row],[disposedChallan]]+TrafficData[[#This Row],[pendingChallan]]=TrafficData[[#This Row],[totalChallan]]</f>
        <v>1</v>
      </c>
      <c r="L3343" t="b">
        <f>TrafficData[[#This Row],[pendingAmount]]+TrafficData[[#This Row],[disposedAmount]]=TrafficData[[#This Row],[totalAmount]]</f>
        <v>1</v>
      </c>
      <c r="M3343" t="b">
        <f>TrafficData[[#This Row],[pendingCourt]]+TrafficData[[#This Row],[disposedCourt]]=TrafficData[[#This Row],[totalCourt]]</f>
        <v>1</v>
      </c>
      <c r="N3343" s="8" t="b">
        <f>AND(TrafficData[[#This Row],[disposedChallan]]&lt;=TrafficData[[#This Row],[totalChallan]],TrafficData[[#This Row],[pendingChallan]]&lt;=TrafficData[[#This Row],[totalChallan]])</f>
        <v>1</v>
      </c>
      <c r="O3343" s="8" t="b">
        <f>AND(TrafficData[[#This Row],[pendingAmount]]&lt;=TrafficData[[#This Row],[totalAmount]],TrafficData[[#This Row],[disposedAmount]]&lt;=TrafficData[[#This Row],[totalAmount]])</f>
        <v>1</v>
      </c>
      <c r="P3343" s="8" t="b">
        <f>AND(TrafficData[[#This Row],[pendingCourt]]&lt;=TrafficData[[#This Row],[totalCourt]],TrafficData[[#This Row],[disposedCourt]]&lt;=TrafficData[[#This Row],[totalCourt]])</f>
        <v>1</v>
      </c>
    </row>
    <row r="3344" spans="1:16">
      <c r="A3344" s="1">
        <v>45348</v>
      </c>
      <c r="B3344">
        <v>199927</v>
      </c>
      <c r="C3344">
        <v>69307</v>
      </c>
      <c r="D3344">
        <v>130620</v>
      </c>
      <c r="E3344">
        <v>186305589</v>
      </c>
      <c r="F3344">
        <v>95853002</v>
      </c>
      <c r="G3344">
        <v>282158591</v>
      </c>
      <c r="H3344">
        <v>65909</v>
      </c>
      <c r="I3344">
        <v>10163</v>
      </c>
      <c r="J3344">
        <v>76072</v>
      </c>
      <c r="K3344" t="b">
        <f>TrafficData[[#This Row],[disposedChallan]]+TrafficData[[#This Row],[pendingChallan]]=TrafficData[[#This Row],[totalChallan]]</f>
        <v>1</v>
      </c>
      <c r="L3344" t="b">
        <f>TrafficData[[#This Row],[pendingAmount]]+TrafficData[[#This Row],[disposedAmount]]=TrafficData[[#This Row],[totalAmount]]</f>
        <v>1</v>
      </c>
      <c r="M3344" t="b">
        <f>TrafficData[[#This Row],[pendingCourt]]+TrafficData[[#This Row],[disposedCourt]]=TrafficData[[#This Row],[totalCourt]]</f>
        <v>1</v>
      </c>
      <c r="N3344" s="8" t="b">
        <f>AND(TrafficData[[#This Row],[disposedChallan]]&lt;=TrafficData[[#This Row],[totalChallan]],TrafficData[[#This Row],[pendingChallan]]&lt;=TrafficData[[#This Row],[totalChallan]])</f>
        <v>1</v>
      </c>
      <c r="O3344" s="8" t="b">
        <f>AND(TrafficData[[#This Row],[pendingAmount]]&lt;=TrafficData[[#This Row],[totalAmount]],TrafficData[[#This Row],[disposedAmount]]&lt;=TrafficData[[#This Row],[totalAmount]])</f>
        <v>1</v>
      </c>
      <c r="P3344" s="8" t="b">
        <f>AND(TrafficData[[#This Row],[pendingCourt]]&lt;=TrafficData[[#This Row],[totalCourt]],TrafficData[[#This Row],[disposedCourt]]&lt;=TrafficData[[#This Row],[totalCourt]])</f>
        <v>1</v>
      </c>
    </row>
    <row r="3345" spans="1:16">
      <c r="A3345" s="1">
        <v>45349</v>
      </c>
      <c r="B3345">
        <v>201211</v>
      </c>
      <c r="C3345">
        <v>71685</v>
      </c>
      <c r="D3345">
        <v>129526</v>
      </c>
      <c r="E3345">
        <v>190344937</v>
      </c>
      <c r="F3345">
        <v>109653081</v>
      </c>
      <c r="G3345">
        <v>299998018</v>
      </c>
      <c r="H3345">
        <v>68275</v>
      </c>
      <c r="I3345">
        <v>10410</v>
      </c>
      <c r="J3345">
        <v>78685</v>
      </c>
      <c r="K3345" t="b">
        <f>TrafficData[[#This Row],[disposedChallan]]+TrafficData[[#This Row],[pendingChallan]]=TrafficData[[#This Row],[totalChallan]]</f>
        <v>1</v>
      </c>
      <c r="L3345" t="b">
        <f>TrafficData[[#This Row],[pendingAmount]]+TrafficData[[#This Row],[disposedAmount]]=TrafficData[[#This Row],[totalAmount]]</f>
        <v>1</v>
      </c>
      <c r="M3345" t="b">
        <f>TrafficData[[#This Row],[pendingCourt]]+TrafficData[[#This Row],[disposedCourt]]=TrafficData[[#This Row],[totalCourt]]</f>
        <v>1</v>
      </c>
      <c r="N3345" s="8" t="b">
        <f>AND(TrafficData[[#This Row],[disposedChallan]]&lt;=TrafficData[[#This Row],[totalChallan]],TrafficData[[#This Row],[pendingChallan]]&lt;=TrafficData[[#This Row],[totalChallan]])</f>
        <v>1</v>
      </c>
      <c r="O3345" s="8" t="b">
        <f>AND(TrafficData[[#This Row],[pendingAmount]]&lt;=TrafficData[[#This Row],[totalAmount]],TrafficData[[#This Row],[disposedAmount]]&lt;=TrafficData[[#This Row],[totalAmount]])</f>
        <v>1</v>
      </c>
      <c r="P3345" s="8" t="b">
        <f>AND(TrafficData[[#This Row],[pendingCourt]]&lt;=TrafficData[[#This Row],[totalCourt]],TrafficData[[#This Row],[disposedCourt]]&lt;=TrafficData[[#This Row],[totalCourt]])</f>
        <v>1</v>
      </c>
    </row>
    <row r="3346" spans="1:16">
      <c r="A3346" s="1">
        <v>45350</v>
      </c>
      <c r="B3346">
        <v>205481</v>
      </c>
      <c r="C3346">
        <v>72529</v>
      </c>
      <c r="D3346">
        <v>132952</v>
      </c>
      <c r="E3346">
        <v>192737396</v>
      </c>
      <c r="F3346">
        <v>108604750</v>
      </c>
      <c r="G3346">
        <v>301342146</v>
      </c>
      <c r="H3346">
        <v>68414</v>
      </c>
      <c r="I3346">
        <v>10497</v>
      </c>
      <c r="J3346">
        <v>78911</v>
      </c>
      <c r="K3346" t="b">
        <f>TrafficData[[#This Row],[disposedChallan]]+TrafficData[[#This Row],[pendingChallan]]=TrafficData[[#This Row],[totalChallan]]</f>
        <v>1</v>
      </c>
      <c r="L3346" t="b">
        <f>TrafficData[[#This Row],[pendingAmount]]+TrafficData[[#This Row],[disposedAmount]]=TrafficData[[#This Row],[totalAmount]]</f>
        <v>1</v>
      </c>
      <c r="M3346" t="b">
        <f>TrafficData[[#This Row],[pendingCourt]]+TrafficData[[#This Row],[disposedCourt]]=TrafficData[[#This Row],[totalCourt]]</f>
        <v>1</v>
      </c>
      <c r="N3346" s="8" t="b">
        <f>AND(TrafficData[[#This Row],[disposedChallan]]&lt;=TrafficData[[#This Row],[totalChallan]],TrafficData[[#This Row],[pendingChallan]]&lt;=TrafficData[[#This Row],[totalChallan]])</f>
        <v>1</v>
      </c>
      <c r="O3346" s="8" t="b">
        <f>AND(TrafficData[[#This Row],[pendingAmount]]&lt;=TrafficData[[#This Row],[totalAmount]],TrafficData[[#This Row],[disposedAmount]]&lt;=TrafficData[[#This Row],[totalAmount]])</f>
        <v>1</v>
      </c>
      <c r="P3346" s="8" t="b">
        <f>AND(TrafficData[[#This Row],[pendingCourt]]&lt;=TrafficData[[#This Row],[totalCourt]],TrafficData[[#This Row],[disposedCourt]]&lt;=TrafficData[[#This Row],[totalCourt]])</f>
        <v>1</v>
      </c>
    </row>
    <row r="3347" spans="1:16">
      <c r="A3347" s="1">
        <v>45351</v>
      </c>
      <c r="B3347">
        <v>209697</v>
      </c>
      <c r="C3347">
        <v>73274</v>
      </c>
      <c r="D3347">
        <v>136423</v>
      </c>
      <c r="E3347">
        <v>204652741</v>
      </c>
      <c r="F3347">
        <v>102605645</v>
      </c>
      <c r="G3347">
        <v>307258386</v>
      </c>
      <c r="H3347">
        <v>69350</v>
      </c>
      <c r="I3347">
        <v>10692</v>
      </c>
      <c r="J3347">
        <v>80042</v>
      </c>
      <c r="K3347" t="b">
        <f>TrafficData[[#This Row],[disposedChallan]]+TrafficData[[#This Row],[pendingChallan]]=TrafficData[[#This Row],[totalChallan]]</f>
        <v>1</v>
      </c>
      <c r="L3347" t="b">
        <f>TrafficData[[#This Row],[pendingAmount]]+TrafficData[[#This Row],[disposedAmount]]=TrafficData[[#This Row],[totalAmount]]</f>
        <v>1</v>
      </c>
      <c r="M3347" t="b">
        <f>TrafficData[[#This Row],[pendingCourt]]+TrafficData[[#This Row],[disposedCourt]]=TrafficData[[#This Row],[totalCourt]]</f>
        <v>1</v>
      </c>
      <c r="N3347" s="8" t="b">
        <f>AND(TrafficData[[#This Row],[disposedChallan]]&lt;=TrafficData[[#This Row],[totalChallan]],TrafficData[[#This Row],[pendingChallan]]&lt;=TrafficData[[#This Row],[totalChallan]])</f>
        <v>1</v>
      </c>
      <c r="O3347" s="8" t="b">
        <f>AND(TrafficData[[#This Row],[pendingAmount]]&lt;=TrafficData[[#This Row],[totalAmount]],TrafficData[[#This Row],[disposedAmount]]&lt;=TrafficData[[#This Row],[totalAmount]])</f>
        <v>1</v>
      </c>
      <c r="P3347" s="8" t="b">
        <f>AND(TrafficData[[#This Row],[pendingCourt]]&lt;=TrafficData[[#This Row],[totalCourt]],TrafficData[[#This Row],[disposedCourt]]&lt;=TrafficData[[#This Row],[totalCourt]])</f>
        <v>1</v>
      </c>
    </row>
    <row r="3348" spans="1:16">
      <c r="A3348" s="1">
        <v>45352</v>
      </c>
      <c r="B3348">
        <v>219738</v>
      </c>
      <c r="C3348">
        <v>82078</v>
      </c>
      <c r="D3348">
        <v>137660</v>
      </c>
      <c r="E3348">
        <v>203987528</v>
      </c>
      <c r="F3348">
        <v>148655951</v>
      </c>
      <c r="G3348">
        <v>352643479</v>
      </c>
      <c r="H3348">
        <v>66178</v>
      </c>
      <c r="I3348">
        <v>10363</v>
      </c>
      <c r="J3348">
        <v>76541</v>
      </c>
      <c r="K3348" t="b">
        <f>TrafficData[[#This Row],[disposedChallan]]+TrafficData[[#This Row],[pendingChallan]]=TrafficData[[#This Row],[totalChallan]]</f>
        <v>1</v>
      </c>
      <c r="L3348" t="b">
        <f>TrafficData[[#This Row],[pendingAmount]]+TrafficData[[#This Row],[disposedAmount]]=TrafficData[[#This Row],[totalAmount]]</f>
        <v>1</v>
      </c>
      <c r="M3348" t="b">
        <f>TrafficData[[#This Row],[pendingCourt]]+TrafficData[[#This Row],[disposedCourt]]=TrafficData[[#This Row],[totalCourt]]</f>
        <v>1</v>
      </c>
      <c r="N3348" s="8" t="b">
        <f>AND(TrafficData[[#This Row],[disposedChallan]]&lt;=TrafficData[[#This Row],[totalChallan]],TrafficData[[#This Row],[pendingChallan]]&lt;=TrafficData[[#This Row],[totalChallan]])</f>
        <v>1</v>
      </c>
      <c r="O3348" s="8" t="b">
        <f>AND(TrafficData[[#This Row],[pendingAmount]]&lt;=TrafficData[[#This Row],[totalAmount]],TrafficData[[#This Row],[disposedAmount]]&lt;=TrafficData[[#This Row],[totalAmount]])</f>
        <v>1</v>
      </c>
      <c r="P3348" s="8" t="b">
        <f>AND(TrafficData[[#This Row],[pendingCourt]]&lt;=TrafficData[[#This Row],[totalCourt]],TrafficData[[#This Row],[disposedCourt]]&lt;=TrafficData[[#This Row],[totalCourt]])</f>
        <v>1</v>
      </c>
    </row>
    <row r="3349" spans="1:16">
      <c r="A3349" s="1">
        <v>45353</v>
      </c>
      <c r="B3349">
        <v>217652</v>
      </c>
      <c r="C3349">
        <v>82262</v>
      </c>
      <c r="D3349">
        <v>135390</v>
      </c>
      <c r="E3349">
        <v>200215997</v>
      </c>
      <c r="F3349">
        <v>136622509</v>
      </c>
      <c r="G3349">
        <v>336838506</v>
      </c>
      <c r="H3349">
        <v>62616</v>
      </c>
      <c r="I3349">
        <v>10194</v>
      </c>
      <c r="J3349">
        <v>72810</v>
      </c>
      <c r="K3349" t="b">
        <f>TrafficData[[#This Row],[disposedChallan]]+TrafficData[[#This Row],[pendingChallan]]=TrafficData[[#This Row],[totalChallan]]</f>
        <v>1</v>
      </c>
      <c r="L3349" t="b">
        <f>TrafficData[[#This Row],[pendingAmount]]+TrafficData[[#This Row],[disposedAmount]]=TrafficData[[#This Row],[totalAmount]]</f>
        <v>1</v>
      </c>
      <c r="M3349" t="b">
        <f>TrafficData[[#This Row],[pendingCourt]]+TrafficData[[#This Row],[disposedCourt]]=TrafficData[[#This Row],[totalCourt]]</f>
        <v>1</v>
      </c>
      <c r="N3349" s="8" t="b">
        <f>AND(TrafficData[[#This Row],[disposedChallan]]&lt;=TrafficData[[#This Row],[totalChallan]],TrafficData[[#This Row],[pendingChallan]]&lt;=TrafficData[[#This Row],[totalChallan]])</f>
        <v>1</v>
      </c>
      <c r="O3349" s="8" t="b">
        <f>AND(TrafficData[[#This Row],[pendingAmount]]&lt;=TrafficData[[#This Row],[totalAmount]],TrafficData[[#This Row],[disposedAmount]]&lt;=TrafficData[[#This Row],[totalAmount]])</f>
        <v>1</v>
      </c>
      <c r="P3349" s="8" t="b">
        <f>AND(TrafficData[[#This Row],[pendingCourt]]&lt;=TrafficData[[#This Row],[totalCourt]],TrafficData[[#This Row],[disposedCourt]]&lt;=TrafficData[[#This Row],[totalCourt]])</f>
        <v>1</v>
      </c>
    </row>
    <row r="3350" spans="1:16">
      <c r="A3350" s="1">
        <v>45354</v>
      </c>
      <c r="B3350">
        <v>203836</v>
      </c>
      <c r="C3350">
        <v>73009</v>
      </c>
      <c r="D3350">
        <v>130827</v>
      </c>
      <c r="E3350">
        <v>177088566</v>
      </c>
      <c r="F3350">
        <v>105651615</v>
      </c>
      <c r="G3350">
        <v>282740181</v>
      </c>
      <c r="H3350">
        <v>60582</v>
      </c>
      <c r="I3350">
        <v>9063</v>
      </c>
      <c r="J3350">
        <v>69645</v>
      </c>
      <c r="K3350" t="b">
        <f>TrafficData[[#This Row],[disposedChallan]]+TrafficData[[#This Row],[pendingChallan]]=TrafficData[[#This Row],[totalChallan]]</f>
        <v>1</v>
      </c>
      <c r="L3350" t="b">
        <f>TrafficData[[#This Row],[pendingAmount]]+TrafficData[[#This Row],[disposedAmount]]=TrafficData[[#This Row],[totalAmount]]</f>
        <v>1</v>
      </c>
      <c r="M3350" t="b">
        <f>TrafficData[[#This Row],[pendingCourt]]+TrafficData[[#This Row],[disposedCourt]]=TrafficData[[#This Row],[totalCourt]]</f>
        <v>1</v>
      </c>
      <c r="N3350" s="8" t="b">
        <f>AND(TrafficData[[#This Row],[disposedChallan]]&lt;=TrafficData[[#This Row],[totalChallan]],TrafficData[[#This Row],[pendingChallan]]&lt;=TrafficData[[#This Row],[totalChallan]])</f>
        <v>1</v>
      </c>
      <c r="O3350" s="8" t="b">
        <f>AND(TrafficData[[#This Row],[pendingAmount]]&lt;=TrafficData[[#This Row],[totalAmount]],TrafficData[[#This Row],[disposedAmount]]&lt;=TrafficData[[#This Row],[totalAmount]])</f>
        <v>1</v>
      </c>
      <c r="P3350" s="8" t="b">
        <f>AND(TrafficData[[#This Row],[pendingCourt]]&lt;=TrafficData[[#This Row],[totalCourt]],TrafficData[[#This Row],[disposedCourt]]&lt;=TrafficData[[#This Row],[totalCourt]])</f>
        <v>1</v>
      </c>
    </row>
    <row r="3351" spans="1:16">
      <c r="A3351" s="1">
        <v>45355</v>
      </c>
      <c r="B3351">
        <v>225353</v>
      </c>
      <c r="C3351">
        <v>81867</v>
      </c>
      <c r="D3351">
        <v>143486</v>
      </c>
      <c r="E3351">
        <v>205008943</v>
      </c>
      <c r="F3351">
        <v>129843691</v>
      </c>
      <c r="G3351">
        <v>334852634</v>
      </c>
      <c r="H3351">
        <v>71805</v>
      </c>
      <c r="I3351">
        <v>10570</v>
      </c>
      <c r="J3351">
        <v>82375</v>
      </c>
      <c r="K3351" t="b">
        <f>TrafficData[[#This Row],[disposedChallan]]+TrafficData[[#This Row],[pendingChallan]]=TrafficData[[#This Row],[totalChallan]]</f>
        <v>1</v>
      </c>
      <c r="L3351" t="b">
        <f>TrafficData[[#This Row],[pendingAmount]]+TrafficData[[#This Row],[disposedAmount]]=TrafficData[[#This Row],[totalAmount]]</f>
        <v>1</v>
      </c>
      <c r="M3351" t="b">
        <f>TrafficData[[#This Row],[pendingCourt]]+TrafficData[[#This Row],[disposedCourt]]=TrafficData[[#This Row],[totalCourt]]</f>
        <v>1</v>
      </c>
      <c r="N3351" s="8" t="b">
        <f>AND(TrafficData[[#This Row],[disposedChallan]]&lt;=TrafficData[[#This Row],[totalChallan]],TrafficData[[#This Row],[pendingChallan]]&lt;=TrafficData[[#This Row],[totalChallan]])</f>
        <v>1</v>
      </c>
      <c r="O3351" s="8" t="b">
        <f>AND(TrafficData[[#This Row],[pendingAmount]]&lt;=TrafficData[[#This Row],[totalAmount]],TrafficData[[#This Row],[disposedAmount]]&lt;=TrafficData[[#This Row],[totalAmount]])</f>
        <v>1</v>
      </c>
      <c r="P3351" s="8" t="b">
        <f>AND(TrafficData[[#This Row],[pendingCourt]]&lt;=TrafficData[[#This Row],[totalCourt]],TrafficData[[#This Row],[disposedCourt]]&lt;=TrafficData[[#This Row],[totalCourt]])</f>
        <v>1</v>
      </c>
    </row>
    <row r="3352" spans="1:16">
      <c r="A3352" s="1">
        <v>45356</v>
      </c>
      <c r="B3352">
        <v>223060</v>
      </c>
      <c r="C3352">
        <v>83067</v>
      </c>
      <c r="D3352">
        <v>139993</v>
      </c>
      <c r="E3352">
        <v>203472484</v>
      </c>
      <c r="F3352">
        <v>141361218</v>
      </c>
      <c r="G3352">
        <v>344833702</v>
      </c>
      <c r="H3352">
        <v>67906</v>
      </c>
      <c r="I3352">
        <v>10099</v>
      </c>
      <c r="J3352">
        <v>78005</v>
      </c>
      <c r="K3352" t="b">
        <f>TrafficData[[#This Row],[disposedChallan]]+TrafficData[[#This Row],[pendingChallan]]=TrafficData[[#This Row],[totalChallan]]</f>
        <v>1</v>
      </c>
      <c r="L3352" t="b">
        <f>TrafficData[[#This Row],[pendingAmount]]+TrafficData[[#This Row],[disposedAmount]]=TrafficData[[#This Row],[totalAmount]]</f>
        <v>1</v>
      </c>
      <c r="M3352" t="b">
        <f>TrafficData[[#This Row],[pendingCourt]]+TrafficData[[#This Row],[disposedCourt]]=TrafficData[[#This Row],[totalCourt]]</f>
        <v>1</v>
      </c>
      <c r="N3352" s="8" t="b">
        <f>AND(TrafficData[[#This Row],[disposedChallan]]&lt;=TrafficData[[#This Row],[totalChallan]],TrafficData[[#This Row],[pendingChallan]]&lt;=TrafficData[[#This Row],[totalChallan]])</f>
        <v>1</v>
      </c>
      <c r="O3352" s="8" t="b">
        <f>AND(TrafficData[[#This Row],[pendingAmount]]&lt;=TrafficData[[#This Row],[totalAmount]],TrafficData[[#This Row],[disposedAmount]]&lt;=TrafficData[[#This Row],[totalAmount]])</f>
        <v>1</v>
      </c>
      <c r="P3352" s="8" t="b">
        <f>AND(TrafficData[[#This Row],[pendingCourt]]&lt;=TrafficData[[#This Row],[totalCourt]],TrafficData[[#This Row],[disposedCourt]]&lt;=TrafficData[[#This Row],[totalCourt]])</f>
        <v>1</v>
      </c>
    </row>
    <row r="3353" spans="1:16">
      <c r="A3353" s="1">
        <v>45357</v>
      </c>
      <c r="B3353">
        <v>224359</v>
      </c>
      <c r="C3353">
        <v>82036</v>
      </c>
      <c r="D3353">
        <v>142323</v>
      </c>
      <c r="E3353">
        <v>222441679</v>
      </c>
      <c r="F3353">
        <v>155549096</v>
      </c>
      <c r="G3353">
        <v>377990775</v>
      </c>
      <c r="H3353">
        <v>71103</v>
      </c>
      <c r="I3353">
        <v>9926</v>
      </c>
      <c r="J3353">
        <v>81029</v>
      </c>
      <c r="K3353" t="b">
        <f>TrafficData[[#This Row],[disposedChallan]]+TrafficData[[#This Row],[pendingChallan]]=TrafficData[[#This Row],[totalChallan]]</f>
        <v>1</v>
      </c>
      <c r="L3353" t="b">
        <f>TrafficData[[#This Row],[pendingAmount]]+TrafficData[[#This Row],[disposedAmount]]=TrafficData[[#This Row],[totalAmount]]</f>
        <v>1</v>
      </c>
      <c r="M3353" t="b">
        <f>TrafficData[[#This Row],[pendingCourt]]+TrafficData[[#This Row],[disposedCourt]]=TrafficData[[#This Row],[totalCourt]]</f>
        <v>1</v>
      </c>
      <c r="N3353" s="8" t="b">
        <f>AND(TrafficData[[#This Row],[disposedChallan]]&lt;=TrafficData[[#This Row],[totalChallan]],TrafficData[[#This Row],[pendingChallan]]&lt;=TrafficData[[#This Row],[totalChallan]])</f>
        <v>1</v>
      </c>
      <c r="O3353" s="8" t="b">
        <f>AND(TrafficData[[#This Row],[pendingAmount]]&lt;=TrafficData[[#This Row],[totalAmount]],TrafficData[[#This Row],[disposedAmount]]&lt;=TrafficData[[#This Row],[totalAmount]])</f>
        <v>1</v>
      </c>
      <c r="P3353" s="8" t="b">
        <f>AND(TrafficData[[#This Row],[pendingCourt]]&lt;=TrafficData[[#This Row],[totalCourt]],TrafficData[[#This Row],[disposedCourt]]&lt;=TrafficData[[#This Row],[totalCourt]])</f>
        <v>1</v>
      </c>
    </row>
    <row r="3354" spans="1:16">
      <c r="A3354" s="1">
        <v>45358</v>
      </c>
      <c r="B3354">
        <v>212884</v>
      </c>
      <c r="C3354">
        <v>79403</v>
      </c>
      <c r="D3354">
        <v>133481</v>
      </c>
      <c r="E3354">
        <v>204815792</v>
      </c>
      <c r="F3354">
        <v>142173686</v>
      </c>
      <c r="G3354">
        <v>346989478</v>
      </c>
      <c r="H3354">
        <v>63270</v>
      </c>
      <c r="I3354">
        <v>9762</v>
      </c>
      <c r="J3354">
        <v>73032</v>
      </c>
      <c r="K3354" t="b">
        <f>TrafficData[[#This Row],[disposedChallan]]+TrafficData[[#This Row],[pendingChallan]]=TrafficData[[#This Row],[totalChallan]]</f>
        <v>1</v>
      </c>
      <c r="L3354" t="b">
        <f>TrafficData[[#This Row],[pendingAmount]]+TrafficData[[#This Row],[disposedAmount]]=TrafficData[[#This Row],[totalAmount]]</f>
        <v>1</v>
      </c>
      <c r="M3354" t="b">
        <f>TrafficData[[#This Row],[pendingCourt]]+TrafficData[[#This Row],[disposedCourt]]=TrafficData[[#This Row],[totalCourt]]</f>
        <v>1</v>
      </c>
      <c r="N3354" s="8" t="b">
        <f>AND(TrafficData[[#This Row],[disposedChallan]]&lt;=TrafficData[[#This Row],[totalChallan]],TrafficData[[#This Row],[pendingChallan]]&lt;=TrafficData[[#This Row],[totalChallan]])</f>
        <v>1</v>
      </c>
      <c r="O3354" s="8" t="b">
        <f>AND(TrafficData[[#This Row],[pendingAmount]]&lt;=TrafficData[[#This Row],[totalAmount]],TrafficData[[#This Row],[disposedAmount]]&lt;=TrafficData[[#This Row],[totalAmount]])</f>
        <v>1</v>
      </c>
      <c r="P3354" s="8" t="b">
        <f>AND(TrafficData[[#This Row],[pendingCourt]]&lt;=TrafficData[[#This Row],[totalCourt]],TrafficData[[#This Row],[disposedCourt]]&lt;=TrafficData[[#This Row],[totalCourt]])</f>
        <v>1</v>
      </c>
    </row>
    <row r="3355" spans="1:16">
      <c r="A3355" s="1">
        <v>45359</v>
      </c>
      <c r="B3355">
        <v>188750</v>
      </c>
      <c r="C3355">
        <v>70050</v>
      </c>
      <c r="D3355">
        <v>118700</v>
      </c>
      <c r="E3355">
        <v>168816536</v>
      </c>
      <c r="F3355">
        <v>116572557</v>
      </c>
      <c r="G3355">
        <v>285389093</v>
      </c>
      <c r="H3355">
        <v>60923</v>
      </c>
      <c r="I3355">
        <v>8887</v>
      </c>
      <c r="J3355">
        <v>69810</v>
      </c>
      <c r="K3355" t="b">
        <f>TrafficData[[#This Row],[disposedChallan]]+TrafficData[[#This Row],[pendingChallan]]=TrafficData[[#This Row],[totalChallan]]</f>
        <v>1</v>
      </c>
      <c r="L3355" t="b">
        <f>TrafficData[[#This Row],[pendingAmount]]+TrafficData[[#This Row],[disposedAmount]]=TrafficData[[#This Row],[totalAmount]]</f>
        <v>1</v>
      </c>
      <c r="M3355" t="b">
        <f>TrafficData[[#This Row],[pendingCourt]]+TrafficData[[#This Row],[disposedCourt]]=TrafficData[[#This Row],[totalCourt]]</f>
        <v>1</v>
      </c>
      <c r="N3355" s="8" t="b">
        <f>AND(TrafficData[[#This Row],[disposedChallan]]&lt;=TrafficData[[#This Row],[totalChallan]],TrafficData[[#This Row],[pendingChallan]]&lt;=TrafficData[[#This Row],[totalChallan]])</f>
        <v>1</v>
      </c>
      <c r="O3355" s="8" t="b">
        <f>AND(TrafficData[[#This Row],[pendingAmount]]&lt;=TrafficData[[#This Row],[totalAmount]],TrafficData[[#This Row],[disposedAmount]]&lt;=TrafficData[[#This Row],[totalAmount]])</f>
        <v>1</v>
      </c>
      <c r="P3355" s="8" t="b">
        <f>AND(TrafficData[[#This Row],[pendingCourt]]&lt;=TrafficData[[#This Row],[totalCourt]],TrafficData[[#This Row],[disposedCourt]]&lt;=TrafficData[[#This Row],[totalCourt]])</f>
        <v>1</v>
      </c>
    </row>
    <row r="3356" spans="1:16">
      <c r="A3356" s="1">
        <v>45360</v>
      </c>
      <c r="B3356">
        <v>207775</v>
      </c>
      <c r="C3356">
        <v>79671</v>
      </c>
      <c r="D3356">
        <v>128104</v>
      </c>
      <c r="E3356">
        <v>185800887</v>
      </c>
      <c r="F3356">
        <v>126384754</v>
      </c>
      <c r="G3356">
        <v>312185641</v>
      </c>
      <c r="H3356">
        <v>62032</v>
      </c>
      <c r="I3356">
        <v>9850</v>
      </c>
      <c r="J3356">
        <v>71882</v>
      </c>
      <c r="K3356" t="b">
        <f>TrafficData[[#This Row],[disposedChallan]]+TrafficData[[#This Row],[pendingChallan]]=TrafficData[[#This Row],[totalChallan]]</f>
        <v>1</v>
      </c>
      <c r="L3356" t="b">
        <f>TrafficData[[#This Row],[pendingAmount]]+TrafficData[[#This Row],[disposedAmount]]=TrafficData[[#This Row],[totalAmount]]</f>
        <v>1</v>
      </c>
      <c r="M3356" t="b">
        <f>TrafficData[[#This Row],[pendingCourt]]+TrafficData[[#This Row],[disposedCourt]]=TrafficData[[#This Row],[totalCourt]]</f>
        <v>1</v>
      </c>
      <c r="N3356" s="8" t="b">
        <f>AND(TrafficData[[#This Row],[disposedChallan]]&lt;=TrafficData[[#This Row],[totalChallan]],TrafficData[[#This Row],[pendingChallan]]&lt;=TrafficData[[#This Row],[totalChallan]])</f>
        <v>1</v>
      </c>
      <c r="O3356" s="8" t="b">
        <f>AND(TrafficData[[#This Row],[pendingAmount]]&lt;=TrafficData[[#This Row],[totalAmount]],TrafficData[[#This Row],[disposedAmount]]&lt;=TrafficData[[#This Row],[totalAmount]])</f>
        <v>1</v>
      </c>
      <c r="P3356" s="8" t="b">
        <f>AND(TrafficData[[#This Row],[pendingCourt]]&lt;=TrafficData[[#This Row],[totalCourt]],TrafficData[[#This Row],[disposedCourt]]&lt;=TrafficData[[#This Row],[totalCourt]])</f>
        <v>1</v>
      </c>
    </row>
    <row r="3357" spans="1:16">
      <c r="A3357" s="1">
        <v>45361</v>
      </c>
      <c r="B3357">
        <v>200435</v>
      </c>
      <c r="C3357">
        <v>72180</v>
      </c>
      <c r="D3357">
        <v>128255</v>
      </c>
      <c r="E3357">
        <v>170776298</v>
      </c>
      <c r="F3357">
        <v>97101454</v>
      </c>
      <c r="G3357">
        <v>267877752</v>
      </c>
      <c r="H3357">
        <v>60687</v>
      </c>
      <c r="I3357">
        <v>9010</v>
      </c>
      <c r="J3357">
        <v>69697</v>
      </c>
      <c r="K3357" t="b">
        <f>TrafficData[[#This Row],[disposedChallan]]+TrafficData[[#This Row],[pendingChallan]]=TrafficData[[#This Row],[totalChallan]]</f>
        <v>1</v>
      </c>
      <c r="L3357" t="b">
        <f>TrafficData[[#This Row],[pendingAmount]]+TrafficData[[#This Row],[disposedAmount]]=TrafficData[[#This Row],[totalAmount]]</f>
        <v>1</v>
      </c>
      <c r="M3357" t="b">
        <f>TrafficData[[#This Row],[pendingCourt]]+TrafficData[[#This Row],[disposedCourt]]=TrafficData[[#This Row],[totalCourt]]</f>
        <v>1</v>
      </c>
      <c r="N3357" s="8" t="b">
        <f>AND(TrafficData[[#This Row],[disposedChallan]]&lt;=TrafficData[[#This Row],[totalChallan]],TrafficData[[#This Row],[pendingChallan]]&lt;=TrafficData[[#This Row],[totalChallan]])</f>
        <v>1</v>
      </c>
      <c r="O3357" s="8" t="b">
        <f>AND(TrafficData[[#This Row],[pendingAmount]]&lt;=TrafficData[[#This Row],[totalAmount]],TrafficData[[#This Row],[disposedAmount]]&lt;=TrafficData[[#This Row],[totalAmount]])</f>
        <v>1</v>
      </c>
      <c r="P3357" s="8" t="b">
        <f>AND(TrafficData[[#This Row],[pendingCourt]]&lt;=TrafficData[[#This Row],[totalCourt]],TrafficData[[#This Row],[disposedCourt]]&lt;=TrafficData[[#This Row],[totalCourt]])</f>
        <v>1</v>
      </c>
    </row>
    <row r="3358" spans="1:16">
      <c r="A3358" s="1">
        <v>45362</v>
      </c>
      <c r="B3358">
        <v>221254</v>
      </c>
      <c r="C3358">
        <v>79569</v>
      </c>
      <c r="D3358">
        <v>141685</v>
      </c>
      <c r="E3358">
        <v>200542365</v>
      </c>
      <c r="F3358">
        <v>118817882</v>
      </c>
      <c r="G3358">
        <v>319360247</v>
      </c>
      <c r="H3358">
        <v>65661</v>
      </c>
      <c r="I3358">
        <v>10410</v>
      </c>
      <c r="J3358">
        <v>76071</v>
      </c>
      <c r="K3358" t="b">
        <f>TrafficData[[#This Row],[disposedChallan]]+TrafficData[[#This Row],[pendingChallan]]=TrafficData[[#This Row],[totalChallan]]</f>
        <v>1</v>
      </c>
      <c r="L3358" t="b">
        <f>TrafficData[[#This Row],[pendingAmount]]+TrafficData[[#This Row],[disposedAmount]]=TrafficData[[#This Row],[totalAmount]]</f>
        <v>1</v>
      </c>
      <c r="M3358" t="b">
        <f>TrafficData[[#This Row],[pendingCourt]]+TrafficData[[#This Row],[disposedCourt]]=TrafficData[[#This Row],[totalCourt]]</f>
        <v>1</v>
      </c>
      <c r="N3358" s="8" t="b">
        <f>AND(TrafficData[[#This Row],[disposedChallan]]&lt;=TrafficData[[#This Row],[totalChallan]],TrafficData[[#This Row],[pendingChallan]]&lt;=TrafficData[[#This Row],[totalChallan]])</f>
        <v>1</v>
      </c>
      <c r="O3358" s="8" t="b">
        <f>AND(TrafficData[[#This Row],[pendingAmount]]&lt;=TrafficData[[#This Row],[totalAmount]],TrafficData[[#This Row],[disposedAmount]]&lt;=TrafficData[[#This Row],[totalAmount]])</f>
        <v>1</v>
      </c>
      <c r="P3358" s="8" t="b">
        <f>AND(TrafficData[[#This Row],[pendingCourt]]&lt;=TrafficData[[#This Row],[totalCourt]],TrafficData[[#This Row],[disposedCourt]]&lt;=TrafficData[[#This Row],[totalCourt]])</f>
        <v>1</v>
      </c>
    </row>
    <row r="3359" spans="1:16">
      <c r="A3359" s="1">
        <v>45363</v>
      </c>
      <c r="B3359">
        <v>226489</v>
      </c>
      <c r="C3359">
        <v>80715</v>
      </c>
      <c r="D3359">
        <v>145774</v>
      </c>
      <c r="E3359">
        <v>215678860</v>
      </c>
      <c r="F3359">
        <v>133775313</v>
      </c>
      <c r="G3359">
        <v>349454173</v>
      </c>
      <c r="H3359">
        <v>66951</v>
      </c>
      <c r="I3359">
        <v>10689</v>
      </c>
      <c r="J3359">
        <v>77640</v>
      </c>
      <c r="K3359" t="b">
        <f>TrafficData[[#This Row],[disposedChallan]]+TrafficData[[#This Row],[pendingChallan]]=TrafficData[[#This Row],[totalChallan]]</f>
        <v>1</v>
      </c>
      <c r="L3359" t="b">
        <f>TrafficData[[#This Row],[pendingAmount]]+TrafficData[[#This Row],[disposedAmount]]=TrafficData[[#This Row],[totalAmount]]</f>
        <v>1</v>
      </c>
      <c r="M3359" t="b">
        <f>TrafficData[[#This Row],[pendingCourt]]+TrafficData[[#This Row],[disposedCourt]]=TrafficData[[#This Row],[totalCourt]]</f>
        <v>1</v>
      </c>
      <c r="N3359" s="8" t="b">
        <f>AND(TrafficData[[#This Row],[disposedChallan]]&lt;=TrafficData[[#This Row],[totalChallan]],TrafficData[[#This Row],[pendingChallan]]&lt;=TrafficData[[#This Row],[totalChallan]])</f>
        <v>1</v>
      </c>
      <c r="O3359" s="8" t="b">
        <f>AND(TrafficData[[#This Row],[pendingAmount]]&lt;=TrafficData[[#This Row],[totalAmount]],TrafficData[[#This Row],[disposedAmount]]&lt;=TrafficData[[#This Row],[totalAmount]])</f>
        <v>1</v>
      </c>
      <c r="P3359" s="8" t="b">
        <f>AND(TrafficData[[#This Row],[pendingCourt]]&lt;=TrafficData[[#This Row],[totalCourt]],TrafficData[[#This Row],[disposedCourt]]&lt;=TrafficData[[#This Row],[totalCourt]])</f>
        <v>1</v>
      </c>
    </row>
    <row r="3360" spans="1:16">
      <c r="A3360" s="1">
        <v>45364</v>
      </c>
      <c r="B3360">
        <v>224881</v>
      </c>
      <c r="C3360">
        <v>82468</v>
      </c>
      <c r="D3360">
        <v>142413</v>
      </c>
      <c r="E3360">
        <v>214062383</v>
      </c>
      <c r="F3360">
        <v>143802615</v>
      </c>
      <c r="G3360">
        <v>357864998</v>
      </c>
      <c r="H3360">
        <v>69994</v>
      </c>
      <c r="I3360">
        <v>10875</v>
      </c>
      <c r="J3360">
        <v>80869</v>
      </c>
      <c r="K3360" t="b">
        <f>TrafficData[[#This Row],[disposedChallan]]+TrafficData[[#This Row],[pendingChallan]]=TrafficData[[#This Row],[totalChallan]]</f>
        <v>1</v>
      </c>
      <c r="L3360" t="b">
        <f>TrafficData[[#This Row],[pendingAmount]]+TrafficData[[#This Row],[disposedAmount]]=TrafficData[[#This Row],[totalAmount]]</f>
        <v>1</v>
      </c>
      <c r="M3360" t="b">
        <f>TrafficData[[#This Row],[pendingCourt]]+TrafficData[[#This Row],[disposedCourt]]=TrafficData[[#This Row],[totalCourt]]</f>
        <v>1</v>
      </c>
      <c r="N3360" s="8" t="b">
        <f>AND(TrafficData[[#This Row],[disposedChallan]]&lt;=TrafficData[[#This Row],[totalChallan]],TrafficData[[#This Row],[pendingChallan]]&lt;=TrafficData[[#This Row],[totalChallan]])</f>
        <v>1</v>
      </c>
      <c r="O3360" s="8" t="b">
        <f>AND(TrafficData[[#This Row],[pendingAmount]]&lt;=TrafficData[[#This Row],[totalAmount]],TrafficData[[#This Row],[disposedAmount]]&lt;=TrafficData[[#This Row],[totalAmount]])</f>
        <v>1</v>
      </c>
      <c r="P3360" s="8" t="b">
        <f>AND(TrafficData[[#This Row],[pendingCourt]]&lt;=TrafficData[[#This Row],[totalCourt]],TrafficData[[#This Row],[disposedCourt]]&lt;=TrafficData[[#This Row],[totalCourt]])</f>
        <v>1</v>
      </c>
    </row>
    <row r="3361" spans="1:16">
      <c r="A3361" s="1">
        <v>45365</v>
      </c>
      <c r="B3361">
        <v>232600</v>
      </c>
      <c r="C3361">
        <v>84977</v>
      </c>
      <c r="D3361">
        <v>147623</v>
      </c>
      <c r="E3361">
        <v>230838003</v>
      </c>
      <c r="F3361">
        <v>151222570</v>
      </c>
      <c r="G3361">
        <v>382060573</v>
      </c>
      <c r="H3361">
        <v>73362</v>
      </c>
      <c r="I3361">
        <v>11182</v>
      </c>
      <c r="J3361">
        <v>84544</v>
      </c>
      <c r="K3361" t="b">
        <f>TrafficData[[#This Row],[disposedChallan]]+TrafficData[[#This Row],[pendingChallan]]=TrafficData[[#This Row],[totalChallan]]</f>
        <v>1</v>
      </c>
      <c r="L3361" t="b">
        <f>TrafficData[[#This Row],[pendingAmount]]+TrafficData[[#This Row],[disposedAmount]]=TrafficData[[#This Row],[totalAmount]]</f>
        <v>1</v>
      </c>
      <c r="M3361" t="b">
        <f>TrafficData[[#This Row],[pendingCourt]]+TrafficData[[#This Row],[disposedCourt]]=TrafficData[[#This Row],[totalCourt]]</f>
        <v>1</v>
      </c>
      <c r="N3361" s="8" t="b">
        <f>AND(TrafficData[[#This Row],[disposedChallan]]&lt;=TrafficData[[#This Row],[totalChallan]],TrafficData[[#This Row],[pendingChallan]]&lt;=TrafficData[[#This Row],[totalChallan]])</f>
        <v>1</v>
      </c>
      <c r="O3361" s="8" t="b">
        <f>AND(TrafficData[[#This Row],[pendingAmount]]&lt;=TrafficData[[#This Row],[totalAmount]],TrafficData[[#This Row],[disposedAmount]]&lt;=TrafficData[[#This Row],[totalAmount]])</f>
        <v>1</v>
      </c>
      <c r="P3361" s="8" t="b">
        <f>AND(TrafficData[[#This Row],[pendingCourt]]&lt;=TrafficData[[#This Row],[totalCourt]],TrafficData[[#This Row],[disposedCourt]]&lt;=TrafficData[[#This Row],[totalCourt]])</f>
        <v>1</v>
      </c>
    </row>
    <row r="3362" spans="1:16">
      <c r="A3362" s="1">
        <v>45366</v>
      </c>
      <c r="B3362">
        <v>230443</v>
      </c>
      <c r="C3362">
        <v>83532</v>
      </c>
      <c r="D3362">
        <v>146911</v>
      </c>
      <c r="E3362">
        <v>219435725</v>
      </c>
      <c r="F3362">
        <v>142256309</v>
      </c>
      <c r="G3362">
        <v>361692034</v>
      </c>
      <c r="H3362">
        <v>71365</v>
      </c>
      <c r="I3362">
        <v>10885</v>
      </c>
      <c r="J3362">
        <v>82250</v>
      </c>
      <c r="K3362" t="b">
        <f>TrafficData[[#This Row],[disposedChallan]]+TrafficData[[#This Row],[pendingChallan]]=TrafficData[[#This Row],[totalChallan]]</f>
        <v>1</v>
      </c>
      <c r="L3362" t="b">
        <f>TrafficData[[#This Row],[pendingAmount]]+TrafficData[[#This Row],[disposedAmount]]=TrafficData[[#This Row],[totalAmount]]</f>
        <v>1</v>
      </c>
      <c r="M3362" t="b">
        <f>TrafficData[[#This Row],[pendingCourt]]+TrafficData[[#This Row],[disposedCourt]]=TrafficData[[#This Row],[totalCourt]]</f>
        <v>1</v>
      </c>
      <c r="N3362" s="8" t="b">
        <f>AND(TrafficData[[#This Row],[disposedChallan]]&lt;=TrafficData[[#This Row],[totalChallan]],TrafficData[[#This Row],[pendingChallan]]&lt;=TrafficData[[#This Row],[totalChallan]])</f>
        <v>1</v>
      </c>
      <c r="O3362" s="8" t="b">
        <f>AND(TrafficData[[#This Row],[pendingAmount]]&lt;=TrafficData[[#This Row],[totalAmount]],TrafficData[[#This Row],[disposedAmount]]&lt;=TrafficData[[#This Row],[totalAmount]])</f>
        <v>1</v>
      </c>
      <c r="P3362" s="8" t="b">
        <f>AND(TrafficData[[#This Row],[pendingCourt]]&lt;=TrafficData[[#This Row],[totalCourt]],TrafficData[[#This Row],[disposedCourt]]&lt;=TrafficData[[#This Row],[totalCourt]])</f>
        <v>1</v>
      </c>
    </row>
    <row r="3363" spans="1:16">
      <c r="A3363" s="1">
        <v>45367</v>
      </c>
      <c r="B3363">
        <v>229969</v>
      </c>
      <c r="C3363">
        <v>83456</v>
      </c>
      <c r="D3363">
        <v>146513</v>
      </c>
      <c r="E3363">
        <v>217242746</v>
      </c>
      <c r="F3363">
        <v>127767243</v>
      </c>
      <c r="G3363">
        <v>345009989</v>
      </c>
      <c r="H3363">
        <v>74296</v>
      </c>
      <c r="I3363">
        <v>11368</v>
      </c>
      <c r="J3363">
        <v>85664</v>
      </c>
      <c r="K3363" t="b">
        <f>TrafficData[[#This Row],[disposedChallan]]+TrafficData[[#This Row],[pendingChallan]]=TrafficData[[#This Row],[totalChallan]]</f>
        <v>1</v>
      </c>
      <c r="L3363" t="b">
        <f>TrafficData[[#This Row],[pendingAmount]]+TrafficData[[#This Row],[disposedAmount]]=TrafficData[[#This Row],[totalAmount]]</f>
        <v>1</v>
      </c>
      <c r="M3363" t="b">
        <f>TrafficData[[#This Row],[pendingCourt]]+TrafficData[[#This Row],[disposedCourt]]=TrafficData[[#This Row],[totalCourt]]</f>
        <v>1</v>
      </c>
      <c r="N3363" s="8" t="b">
        <f>AND(TrafficData[[#This Row],[disposedChallan]]&lt;=TrafficData[[#This Row],[totalChallan]],TrafficData[[#This Row],[pendingChallan]]&lt;=TrafficData[[#This Row],[totalChallan]])</f>
        <v>1</v>
      </c>
      <c r="O3363" s="8" t="b">
        <f>AND(TrafficData[[#This Row],[pendingAmount]]&lt;=TrafficData[[#This Row],[totalAmount]],TrafficData[[#This Row],[disposedAmount]]&lt;=TrafficData[[#This Row],[totalAmount]])</f>
        <v>1</v>
      </c>
      <c r="P3363" s="8" t="b">
        <f>AND(TrafficData[[#This Row],[pendingCourt]]&lt;=TrafficData[[#This Row],[totalCourt]],TrafficData[[#This Row],[disposedCourt]]&lt;=TrafficData[[#This Row],[totalCourt]])</f>
        <v>1</v>
      </c>
    </row>
    <row r="3364" spans="1:16">
      <c r="A3364" s="1">
        <v>45368</v>
      </c>
      <c r="B3364">
        <v>207370</v>
      </c>
      <c r="C3364">
        <v>74849</v>
      </c>
      <c r="D3364">
        <v>132521</v>
      </c>
      <c r="E3364">
        <v>180672004</v>
      </c>
      <c r="F3364">
        <v>99415586</v>
      </c>
      <c r="G3364">
        <v>280087590</v>
      </c>
      <c r="H3364">
        <v>68268</v>
      </c>
      <c r="I3364">
        <v>10182</v>
      </c>
      <c r="J3364">
        <v>78450</v>
      </c>
      <c r="K3364" t="b">
        <f>TrafficData[[#This Row],[disposedChallan]]+TrafficData[[#This Row],[pendingChallan]]=TrafficData[[#This Row],[totalChallan]]</f>
        <v>1</v>
      </c>
      <c r="L3364" t="b">
        <f>TrafficData[[#This Row],[pendingAmount]]+TrafficData[[#This Row],[disposedAmount]]=TrafficData[[#This Row],[totalAmount]]</f>
        <v>1</v>
      </c>
      <c r="M3364" t="b">
        <f>TrafficData[[#This Row],[pendingCourt]]+TrafficData[[#This Row],[disposedCourt]]=TrafficData[[#This Row],[totalCourt]]</f>
        <v>1</v>
      </c>
      <c r="N3364" s="8" t="b">
        <f>AND(TrafficData[[#This Row],[disposedChallan]]&lt;=TrafficData[[#This Row],[totalChallan]],TrafficData[[#This Row],[pendingChallan]]&lt;=TrafficData[[#This Row],[totalChallan]])</f>
        <v>1</v>
      </c>
      <c r="O3364" s="8" t="b">
        <f>AND(TrafficData[[#This Row],[pendingAmount]]&lt;=TrafficData[[#This Row],[totalAmount]],TrafficData[[#This Row],[disposedAmount]]&lt;=TrafficData[[#This Row],[totalAmount]])</f>
        <v>1</v>
      </c>
      <c r="P3364" s="8" t="b">
        <f>AND(TrafficData[[#This Row],[pendingCourt]]&lt;=TrafficData[[#This Row],[totalCourt]],TrafficData[[#This Row],[disposedCourt]]&lt;=TrafficData[[#This Row],[totalCourt]])</f>
        <v>1</v>
      </c>
    </row>
    <row r="3365" spans="1:16">
      <c r="A3365" s="1">
        <v>45369</v>
      </c>
      <c r="B3365">
        <v>234599</v>
      </c>
      <c r="C3365">
        <v>82501</v>
      </c>
      <c r="D3365">
        <v>152098</v>
      </c>
      <c r="E3365">
        <v>221016877</v>
      </c>
      <c r="F3365">
        <v>121350949</v>
      </c>
      <c r="G3365">
        <v>342367826</v>
      </c>
      <c r="H3365">
        <v>76609</v>
      </c>
      <c r="I3365">
        <v>11540</v>
      </c>
      <c r="J3365">
        <v>88149</v>
      </c>
      <c r="K3365" t="b">
        <f>TrafficData[[#This Row],[disposedChallan]]+TrafficData[[#This Row],[pendingChallan]]=TrafficData[[#This Row],[totalChallan]]</f>
        <v>1</v>
      </c>
      <c r="L3365" t="b">
        <f>TrafficData[[#This Row],[pendingAmount]]+TrafficData[[#This Row],[disposedAmount]]=TrafficData[[#This Row],[totalAmount]]</f>
        <v>1</v>
      </c>
      <c r="M3365" t="b">
        <f>TrafficData[[#This Row],[pendingCourt]]+TrafficData[[#This Row],[disposedCourt]]=TrafficData[[#This Row],[totalCourt]]</f>
        <v>1</v>
      </c>
      <c r="N3365" s="8" t="b">
        <f>AND(TrafficData[[#This Row],[disposedChallan]]&lt;=TrafficData[[#This Row],[totalChallan]],TrafficData[[#This Row],[pendingChallan]]&lt;=TrafficData[[#This Row],[totalChallan]])</f>
        <v>1</v>
      </c>
      <c r="O3365" s="8" t="b">
        <f>AND(TrafficData[[#This Row],[pendingAmount]]&lt;=TrafficData[[#This Row],[totalAmount]],TrafficData[[#This Row],[disposedAmount]]&lt;=TrafficData[[#This Row],[totalAmount]])</f>
        <v>1</v>
      </c>
      <c r="P3365" s="8" t="b">
        <f>AND(TrafficData[[#This Row],[pendingCourt]]&lt;=TrafficData[[#This Row],[totalCourt]],TrafficData[[#This Row],[disposedCourt]]&lt;=TrafficData[[#This Row],[totalCourt]])</f>
        <v>1</v>
      </c>
    </row>
    <row r="3366" spans="1:16">
      <c r="A3366" s="1">
        <v>45370</v>
      </c>
      <c r="B3366">
        <v>238982</v>
      </c>
      <c r="C3366">
        <v>83636</v>
      </c>
      <c r="D3366">
        <v>155346</v>
      </c>
      <c r="E3366">
        <v>236488710</v>
      </c>
      <c r="F3366">
        <v>136331912</v>
      </c>
      <c r="G3366">
        <v>372820622</v>
      </c>
      <c r="H3366">
        <v>80585</v>
      </c>
      <c r="I3366">
        <v>12012</v>
      </c>
      <c r="J3366">
        <v>92597</v>
      </c>
      <c r="K3366" t="b">
        <f>TrafficData[[#This Row],[disposedChallan]]+TrafficData[[#This Row],[pendingChallan]]=TrafficData[[#This Row],[totalChallan]]</f>
        <v>1</v>
      </c>
      <c r="L3366" t="b">
        <f>TrafficData[[#This Row],[pendingAmount]]+TrafficData[[#This Row],[disposedAmount]]=TrafficData[[#This Row],[totalAmount]]</f>
        <v>1</v>
      </c>
      <c r="M3366" t="b">
        <f>TrafficData[[#This Row],[pendingCourt]]+TrafficData[[#This Row],[disposedCourt]]=TrafficData[[#This Row],[totalCourt]]</f>
        <v>1</v>
      </c>
      <c r="N3366" s="8" t="b">
        <f>AND(TrafficData[[#This Row],[disposedChallan]]&lt;=TrafficData[[#This Row],[totalChallan]],TrafficData[[#This Row],[pendingChallan]]&lt;=TrafficData[[#This Row],[totalChallan]])</f>
        <v>1</v>
      </c>
      <c r="O3366" s="8" t="b">
        <f>AND(TrafficData[[#This Row],[pendingAmount]]&lt;=TrafficData[[#This Row],[totalAmount]],TrafficData[[#This Row],[disposedAmount]]&lt;=TrafficData[[#This Row],[totalAmount]])</f>
        <v>1</v>
      </c>
      <c r="P3366" s="8" t="b">
        <f>AND(TrafficData[[#This Row],[pendingCourt]]&lt;=TrafficData[[#This Row],[totalCourt]],TrafficData[[#This Row],[disposedCourt]]&lt;=TrafficData[[#This Row],[totalCourt]])</f>
        <v>1</v>
      </c>
    </row>
    <row r="3367" spans="1:16">
      <c r="A3367" s="1">
        <v>45371</v>
      </c>
      <c r="B3367">
        <v>236521</v>
      </c>
      <c r="C3367">
        <v>82853</v>
      </c>
      <c r="D3367">
        <v>153668</v>
      </c>
      <c r="E3367">
        <v>227167813</v>
      </c>
      <c r="F3367">
        <v>131695608</v>
      </c>
      <c r="G3367">
        <v>358863421</v>
      </c>
      <c r="H3367">
        <v>79400</v>
      </c>
      <c r="I3367">
        <v>11573</v>
      </c>
      <c r="J3367">
        <v>90973</v>
      </c>
      <c r="K3367" t="b">
        <f>TrafficData[[#This Row],[disposedChallan]]+TrafficData[[#This Row],[pendingChallan]]=TrafficData[[#This Row],[totalChallan]]</f>
        <v>1</v>
      </c>
      <c r="L3367" t="b">
        <f>TrafficData[[#This Row],[pendingAmount]]+TrafficData[[#This Row],[disposedAmount]]=TrafficData[[#This Row],[totalAmount]]</f>
        <v>1</v>
      </c>
      <c r="M3367" t="b">
        <f>TrafficData[[#This Row],[pendingCourt]]+TrafficData[[#This Row],[disposedCourt]]=TrafficData[[#This Row],[totalCourt]]</f>
        <v>1</v>
      </c>
      <c r="N3367" s="8" t="b">
        <f>AND(TrafficData[[#This Row],[disposedChallan]]&lt;=TrafficData[[#This Row],[totalChallan]],TrafficData[[#This Row],[pendingChallan]]&lt;=TrafficData[[#This Row],[totalChallan]])</f>
        <v>1</v>
      </c>
      <c r="O3367" s="8" t="b">
        <f>AND(TrafficData[[#This Row],[pendingAmount]]&lt;=TrafficData[[#This Row],[totalAmount]],TrafficData[[#This Row],[disposedAmount]]&lt;=TrafficData[[#This Row],[totalAmount]])</f>
        <v>1</v>
      </c>
      <c r="P3367" s="8" t="b">
        <f>AND(TrafficData[[#This Row],[pendingCourt]]&lt;=TrafficData[[#This Row],[totalCourt]],TrafficData[[#This Row],[disposedCourt]]&lt;=TrafficData[[#This Row],[totalCourt]])</f>
        <v>1</v>
      </c>
    </row>
    <row r="3368" spans="1:16">
      <c r="A3368" s="1">
        <v>45372</v>
      </c>
      <c r="B3368">
        <v>249175</v>
      </c>
      <c r="C3368">
        <v>87895</v>
      </c>
      <c r="D3368">
        <v>161280</v>
      </c>
      <c r="E3368">
        <v>243915182</v>
      </c>
      <c r="F3368">
        <v>142747757</v>
      </c>
      <c r="G3368">
        <v>386662939</v>
      </c>
      <c r="H3368">
        <v>83693</v>
      </c>
      <c r="I3368">
        <v>12352</v>
      </c>
      <c r="J3368">
        <v>96045</v>
      </c>
      <c r="K3368" t="b">
        <f>TrafficData[[#This Row],[disposedChallan]]+TrafficData[[#This Row],[pendingChallan]]=TrafficData[[#This Row],[totalChallan]]</f>
        <v>1</v>
      </c>
      <c r="L3368" t="b">
        <f>TrafficData[[#This Row],[pendingAmount]]+TrafficData[[#This Row],[disposedAmount]]=TrafficData[[#This Row],[totalAmount]]</f>
        <v>1</v>
      </c>
      <c r="M3368" t="b">
        <f>TrafficData[[#This Row],[pendingCourt]]+TrafficData[[#This Row],[disposedCourt]]=TrafficData[[#This Row],[totalCourt]]</f>
        <v>1</v>
      </c>
      <c r="N3368" s="8" t="b">
        <f>AND(TrafficData[[#This Row],[disposedChallan]]&lt;=TrafficData[[#This Row],[totalChallan]],TrafficData[[#This Row],[pendingChallan]]&lt;=TrafficData[[#This Row],[totalChallan]])</f>
        <v>1</v>
      </c>
      <c r="O3368" s="8" t="b">
        <f>AND(TrafficData[[#This Row],[pendingAmount]]&lt;=TrafficData[[#This Row],[totalAmount]],TrafficData[[#This Row],[disposedAmount]]&lt;=TrafficData[[#This Row],[totalAmount]])</f>
        <v>1</v>
      </c>
      <c r="P3368" s="8" t="b">
        <f>AND(TrafficData[[#This Row],[pendingCourt]]&lt;=TrafficData[[#This Row],[totalCourt]],TrafficData[[#This Row],[disposedCourt]]&lt;=TrafficData[[#This Row],[totalCourt]])</f>
        <v>1</v>
      </c>
    </row>
    <row r="3369" spans="1:16">
      <c r="A3369" s="1">
        <v>45373</v>
      </c>
      <c r="B3369">
        <v>246908</v>
      </c>
      <c r="C3369">
        <v>87390</v>
      </c>
      <c r="D3369">
        <v>159518</v>
      </c>
      <c r="E3369">
        <v>269016837</v>
      </c>
      <c r="F3369">
        <v>137763745</v>
      </c>
      <c r="G3369">
        <v>406780582</v>
      </c>
      <c r="H3369">
        <v>85171</v>
      </c>
      <c r="I3369">
        <v>12341</v>
      </c>
      <c r="J3369">
        <v>97512</v>
      </c>
      <c r="K3369" t="b">
        <f>TrafficData[[#This Row],[disposedChallan]]+TrafficData[[#This Row],[pendingChallan]]=TrafficData[[#This Row],[totalChallan]]</f>
        <v>1</v>
      </c>
      <c r="L3369" t="b">
        <f>TrafficData[[#This Row],[pendingAmount]]+TrafficData[[#This Row],[disposedAmount]]=TrafficData[[#This Row],[totalAmount]]</f>
        <v>1</v>
      </c>
      <c r="M3369" t="b">
        <f>TrafficData[[#This Row],[pendingCourt]]+TrafficData[[#This Row],[disposedCourt]]=TrafficData[[#This Row],[totalCourt]]</f>
        <v>1</v>
      </c>
      <c r="N3369" s="8" t="b">
        <f>AND(TrafficData[[#This Row],[disposedChallan]]&lt;=TrafficData[[#This Row],[totalChallan]],TrafficData[[#This Row],[pendingChallan]]&lt;=TrafficData[[#This Row],[totalChallan]])</f>
        <v>1</v>
      </c>
      <c r="O3369" s="8" t="b">
        <f>AND(TrafficData[[#This Row],[pendingAmount]]&lt;=TrafficData[[#This Row],[totalAmount]],TrafficData[[#This Row],[disposedAmount]]&lt;=TrafficData[[#This Row],[totalAmount]])</f>
        <v>1</v>
      </c>
      <c r="P3369" s="8" t="b">
        <f>AND(TrafficData[[#This Row],[pendingCourt]]&lt;=TrafficData[[#This Row],[totalCourt]],TrafficData[[#This Row],[disposedCourt]]&lt;=TrafficData[[#This Row],[totalCourt]])</f>
        <v>1</v>
      </c>
    </row>
    <row r="3370" spans="1:16">
      <c r="A3370" s="1">
        <v>45374</v>
      </c>
      <c r="B3370">
        <v>246233</v>
      </c>
      <c r="C3370">
        <v>88994</v>
      </c>
      <c r="D3370">
        <v>157239</v>
      </c>
      <c r="E3370">
        <v>233230182</v>
      </c>
      <c r="F3370">
        <v>124335037</v>
      </c>
      <c r="G3370">
        <v>357565219</v>
      </c>
      <c r="H3370">
        <v>83208</v>
      </c>
      <c r="I3370">
        <v>12183</v>
      </c>
      <c r="J3370">
        <v>95391</v>
      </c>
      <c r="K3370" t="b">
        <f>TrafficData[[#This Row],[disposedChallan]]+TrafficData[[#This Row],[pendingChallan]]=TrafficData[[#This Row],[totalChallan]]</f>
        <v>1</v>
      </c>
      <c r="L3370" t="b">
        <f>TrafficData[[#This Row],[pendingAmount]]+TrafficData[[#This Row],[disposedAmount]]=TrafficData[[#This Row],[totalAmount]]</f>
        <v>1</v>
      </c>
      <c r="M3370" t="b">
        <f>TrafficData[[#This Row],[pendingCourt]]+TrafficData[[#This Row],[disposedCourt]]=TrafficData[[#This Row],[totalCourt]]</f>
        <v>1</v>
      </c>
      <c r="N3370" s="8" t="b">
        <f>AND(TrafficData[[#This Row],[disposedChallan]]&lt;=TrafficData[[#This Row],[totalChallan]],TrafficData[[#This Row],[pendingChallan]]&lt;=TrafficData[[#This Row],[totalChallan]])</f>
        <v>1</v>
      </c>
      <c r="O3370" s="8" t="b">
        <f>AND(TrafficData[[#This Row],[pendingAmount]]&lt;=TrafficData[[#This Row],[totalAmount]],TrafficData[[#This Row],[disposedAmount]]&lt;=TrafficData[[#This Row],[totalAmount]])</f>
        <v>1</v>
      </c>
      <c r="P3370" s="8" t="b">
        <f>AND(TrafficData[[#This Row],[pendingCourt]]&lt;=TrafficData[[#This Row],[totalCourt]],TrafficData[[#This Row],[disposedCourt]]&lt;=TrafficData[[#This Row],[totalCourt]])</f>
        <v>1</v>
      </c>
    </row>
    <row r="3371" spans="1:16">
      <c r="A3371" s="1">
        <v>45375</v>
      </c>
      <c r="B3371">
        <v>191494</v>
      </c>
      <c r="C3371">
        <v>64478</v>
      </c>
      <c r="D3371">
        <v>127016</v>
      </c>
      <c r="E3371">
        <v>171570101</v>
      </c>
      <c r="F3371">
        <v>72135087</v>
      </c>
      <c r="G3371">
        <v>243705188</v>
      </c>
      <c r="H3371">
        <v>64684</v>
      </c>
      <c r="I3371">
        <v>9051</v>
      </c>
      <c r="J3371">
        <v>73735</v>
      </c>
      <c r="K3371" t="b">
        <f>TrafficData[[#This Row],[disposedChallan]]+TrafficData[[#This Row],[pendingChallan]]=TrafficData[[#This Row],[totalChallan]]</f>
        <v>1</v>
      </c>
      <c r="L3371" t="b">
        <f>TrafficData[[#This Row],[pendingAmount]]+TrafficData[[#This Row],[disposedAmount]]=TrafficData[[#This Row],[totalAmount]]</f>
        <v>1</v>
      </c>
      <c r="M3371" t="b">
        <f>TrafficData[[#This Row],[pendingCourt]]+TrafficData[[#This Row],[disposedCourt]]=TrafficData[[#This Row],[totalCourt]]</f>
        <v>1</v>
      </c>
      <c r="N3371" s="8" t="b">
        <f>AND(TrafficData[[#This Row],[disposedChallan]]&lt;=TrafficData[[#This Row],[totalChallan]],TrafficData[[#This Row],[pendingChallan]]&lt;=TrafficData[[#This Row],[totalChallan]])</f>
        <v>1</v>
      </c>
      <c r="O3371" s="8" t="b">
        <f>AND(TrafficData[[#This Row],[pendingAmount]]&lt;=TrafficData[[#This Row],[totalAmount]],TrafficData[[#This Row],[disposedAmount]]&lt;=TrafficData[[#This Row],[totalAmount]])</f>
        <v>1</v>
      </c>
      <c r="P3371" s="8" t="b">
        <f>AND(TrafficData[[#This Row],[pendingCourt]]&lt;=TrafficData[[#This Row],[totalCourt]],TrafficData[[#This Row],[disposedCourt]]&lt;=TrafficData[[#This Row],[totalCourt]])</f>
        <v>1</v>
      </c>
    </row>
    <row r="3372" spans="1:16">
      <c r="A3372" s="1">
        <v>45376</v>
      </c>
      <c r="B3372">
        <v>162477</v>
      </c>
      <c r="C3372">
        <v>52148</v>
      </c>
      <c r="D3372">
        <v>110329</v>
      </c>
      <c r="E3372">
        <v>144573631</v>
      </c>
      <c r="F3372">
        <v>54415787</v>
      </c>
      <c r="G3372">
        <v>198989418</v>
      </c>
      <c r="H3372">
        <v>43339</v>
      </c>
      <c r="I3372">
        <v>7358</v>
      </c>
      <c r="J3372">
        <v>50697</v>
      </c>
      <c r="K3372" t="b">
        <f>TrafficData[[#This Row],[disposedChallan]]+TrafficData[[#This Row],[pendingChallan]]=TrafficData[[#This Row],[totalChallan]]</f>
        <v>1</v>
      </c>
      <c r="L3372" t="b">
        <f>TrafficData[[#This Row],[pendingAmount]]+TrafficData[[#This Row],[disposedAmount]]=TrafficData[[#This Row],[totalAmount]]</f>
        <v>1</v>
      </c>
      <c r="M3372" t="b">
        <f>TrafficData[[#This Row],[pendingCourt]]+TrafficData[[#This Row],[disposedCourt]]=TrafficData[[#This Row],[totalCourt]]</f>
        <v>1</v>
      </c>
      <c r="N3372" s="8" t="b">
        <f>AND(TrafficData[[#This Row],[disposedChallan]]&lt;=TrafficData[[#This Row],[totalChallan]],TrafficData[[#This Row],[pendingChallan]]&lt;=TrafficData[[#This Row],[totalChallan]])</f>
        <v>1</v>
      </c>
      <c r="O3372" s="8" t="b">
        <f>AND(TrafficData[[#This Row],[pendingAmount]]&lt;=TrafficData[[#This Row],[totalAmount]],TrafficData[[#This Row],[disposedAmount]]&lt;=TrafficData[[#This Row],[totalAmount]])</f>
        <v>1</v>
      </c>
      <c r="P3372" s="8" t="b">
        <f>AND(TrafficData[[#This Row],[pendingCourt]]&lt;=TrafficData[[#This Row],[totalCourt]],TrafficData[[#This Row],[disposedCourt]]&lt;=TrafficData[[#This Row],[totalCourt]])</f>
        <v>1</v>
      </c>
    </row>
    <row r="3373" spans="1:16">
      <c r="A3373" s="1">
        <v>45377</v>
      </c>
      <c r="B3373">
        <v>183510</v>
      </c>
      <c r="C3373">
        <v>62881</v>
      </c>
      <c r="D3373">
        <v>120629</v>
      </c>
      <c r="E3373">
        <v>151942735</v>
      </c>
      <c r="F3373">
        <v>73930125</v>
      </c>
      <c r="G3373">
        <v>225872860</v>
      </c>
      <c r="H3373">
        <v>51422</v>
      </c>
      <c r="I3373">
        <v>8135</v>
      </c>
      <c r="J3373">
        <v>59557</v>
      </c>
      <c r="K3373" t="b">
        <f>TrafficData[[#This Row],[disposedChallan]]+TrafficData[[#This Row],[pendingChallan]]=TrafficData[[#This Row],[totalChallan]]</f>
        <v>1</v>
      </c>
      <c r="L3373" t="b">
        <f>TrafficData[[#This Row],[pendingAmount]]+TrafficData[[#This Row],[disposedAmount]]=TrafficData[[#This Row],[totalAmount]]</f>
        <v>1</v>
      </c>
      <c r="M3373" t="b">
        <f>TrafficData[[#This Row],[pendingCourt]]+TrafficData[[#This Row],[disposedCourt]]=TrafficData[[#This Row],[totalCourt]]</f>
        <v>1</v>
      </c>
      <c r="N3373" s="8" t="b">
        <f>AND(TrafficData[[#This Row],[disposedChallan]]&lt;=TrafficData[[#This Row],[totalChallan]],TrafficData[[#This Row],[pendingChallan]]&lt;=TrafficData[[#This Row],[totalChallan]])</f>
        <v>1</v>
      </c>
      <c r="O3373" s="8" t="b">
        <f>AND(TrafficData[[#This Row],[pendingAmount]]&lt;=TrafficData[[#This Row],[totalAmount]],TrafficData[[#This Row],[disposedAmount]]&lt;=TrafficData[[#This Row],[totalAmount]])</f>
        <v>1</v>
      </c>
      <c r="P3373" s="8" t="b">
        <f>AND(TrafficData[[#This Row],[pendingCourt]]&lt;=TrafficData[[#This Row],[totalCourt]],TrafficData[[#This Row],[disposedCourt]]&lt;=TrafficData[[#This Row],[totalCourt]])</f>
        <v>1</v>
      </c>
    </row>
    <row r="3374" spans="1:16">
      <c r="A3374" s="1">
        <v>45378</v>
      </c>
      <c r="B3374">
        <v>225418</v>
      </c>
      <c r="C3374">
        <v>78437</v>
      </c>
      <c r="D3374">
        <v>146981</v>
      </c>
      <c r="E3374">
        <v>219716549</v>
      </c>
      <c r="F3374">
        <v>105620392</v>
      </c>
      <c r="G3374">
        <v>325336941</v>
      </c>
      <c r="H3374">
        <v>73692</v>
      </c>
      <c r="I3374">
        <v>10831</v>
      </c>
      <c r="J3374">
        <v>84523</v>
      </c>
      <c r="K3374" t="b">
        <f>TrafficData[[#This Row],[disposedChallan]]+TrafficData[[#This Row],[pendingChallan]]=TrafficData[[#This Row],[totalChallan]]</f>
        <v>1</v>
      </c>
      <c r="L3374" t="b">
        <f>TrafficData[[#This Row],[pendingAmount]]+TrafficData[[#This Row],[disposedAmount]]=TrafficData[[#This Row],[totalAmount]]</f>
        <v>1</v>
      </c>
      <c r="M3374" t="b">
        <f>TrafficData[[#This Row],[pendingCourt]]+TrafficData[[#This Row],[disposedCourt]]=TrafficData[[#This Row],[totalCourt]]</f>
        <v>1</v>
      </c>
      <c r="N3374" s="8" t="b">
        <f>AND(TrafficData[[#This Row],[disposedChallan]]&lt;=TrafficData[[#This Row],[totalChallan]],TrafficData[[#This Row],[pendingChallan]]&lt;=TrafficData[[#This Row],[totalChallan]])</f>
        <v>1</v>
      </c>
      <c r="O3374" s="8" t="b">
        <f>AND(TrafficData[[#This Row],[pendingAmount]]&lt;=TrafficData[[#This Row],[totalAmount]],TrafficData[[#This Row],[disposedAmount]]&lt;=TrafficData[[#This Row],[totalAmount]])</f>
        <v>1</v>
      </c>
      <c r="P3374" s="8" t="b">
        <f>AND(TrafficData[[#This Row],[pendingCourt]]&lt;=TrafficData[[#This Row],[totalCourt]],TrafficData[[#This Row],[disposedCourt]]&lt;=TrafficData[[#This Row],[totalCourt]])</f>
        <v>1</v>
      </c>
    </row>
    <row r="3375" spans="1:16">
      <c r="A3375" s="1">
        <v>45379</v>
      </c>
      <c r="B3375">
        <v>233365</v>
      </c>
      <c r="C3375">
        <v>81421</v>
      </c>
      <c r="D3375">
        <v>151944</v>
      </c>
      <c r="E3375">
        <v>236824088</v>
      </c>
      <c r="F3375">
        <v>116241532</v>
      </c>
      <c r="G3375">
        <v>353065620</v>
      </c>
      <c r="H3375">
        <v>77143</v>
      </c>
      <c r="I3375">
        <v>11370</v>
      </c>
      <c r="J3375">
        <v>88513</v>
      </c>
      <c r="K3375" t="b">
        <f>TrafficData[[#This Row],[disposedChallan]]+TrafficData[[#This Row],[pendingChallan]]=TrafficData[[#This Row],[totalChallan]]</f>
        <v>1</v>
      </c>
      <c r="L3375" t="b">
        <f>TrafficData[[#This Row],[pendingAmount]]+TrafficData[[#This Row],[disposedAmount]]=TrafficData[[#This Row],[totalAmount]]</f>
        <v>1</v>
      </c>
      <c r="M3375" t="b">
        <f>TrafficData[[#This Row],[pendingCourt]]+TrafficData[[#This Row],[disposedCourt]]=TrafficData[[#This Row],[totalCourt]]</f>
        <v>1</v>
      </c>
      <c r="N3375" s="8" t="b">
        <f>AND(TrafficData[[#This Row],[disposedChallan]]&lt;=TrafficData[[#This Row],[totalChallan]],TrafficData[[#This Row],[pendingChallan]]&lt;=TrafficData[[#This Row],[totalChallan]])</f>
        <v>1</v>
      </c>
      <c r="O3375" s="8" t="b">
        <f>AND(TrafficData[[#This Row],[pendingAmount]]&lt;=TrafficData[[#This Row],[totalAmount]],TrafficData[[#This Row],[disposedAmount]]&lt;=TrafficData[[#This Row],[totalAmount]])</f>
        <v>1</v>
      </c>
      <c r="P3375" s="8" t="b">
        <f>AND(TrafficData[[#This Row],[pendingCourt]]&lt;=TrafficData[[#This Row],[totalCourt]],TrafficData[[#This Row],[disposedCourt]]&lt;=TrafficData[[#This Row],[totalCourt]])</f>
        <v>1</v>
      </c>
    </row>
    <row r="3376" spans="1:16">
      <c r="A3376" s="1">
        <v>45380</v>
      </c>
      <c r="B3376">
        <v>235547</v>
      </c>
      <c r="C3376">
        <v>80115</v>
      </c>
      <c r="D3376">
        <v>155432</v>
      </c>
      <c r="E3376">
        <v>227528178</v>
      </c>
      <c r="F3376">
        <v>109357496</v>
      </c>
      <c r="G3376">
        <v>336885674</v>
      </c>
      <c r="H3376">
        <v>72274</v>
      </c>
      <c r="I3376">
        <v>10963</v>
      </c>
      <c r="J3376">
        <v>83237</v>
      </c>
      <c r="K3376" t="b">
        <f>TrafficData[[#This Row],[disposedChallan]]+TrafficData[[#This Row],[pendingChallan]]=TrafficData[[#This Row],[totalChallan]]</f>
        <v>1</v>
      </c>
      <c r="L3376" t="b">
        <f>TrafficData[[#This Row],[pendingAmount]]+TrafficData[[#This Row],[disposedAmount]]=TrafficData[[#This Row],[totalAmount]]</f>
        <v>1</v>
      </c>
      <c r="M3376" t="b">
        <f>TrafficData[[#This Row],[pendingCourt]]+TrafficData[[#This Row],[disposedCourt]]=TrafficData[[#This Row],[totalCourt]]</f>
        <v>1</v>
      </c>
      <c r="N3376" s="8" t="b">
        <f>AND(TrafficData[[#This Row],[disposedChallan]]&lt;=TrafficData[[#This Row],[totalChallan]],TrafficData[[#This Row],[pendingChallan]]&lt;=TrafficData[[#This Row],[totalChallan]])</f>
        <v>1</v>
      </c>
      <c r="O3376" s="8" t="b">
        <f>AND(TrafficData[[#This Row],[pendingAmount]]&lt;=TrafficData[[#This Row],[totalAmount]],TrafficData[[#This Row],[disposedAmount]]&lt;=TrafficData[[#This Row],[totalAmount]])</f>
        <v>1</v>
      </c>
      <c r="P3376" s="8" t="b">
        <f>AND(TrafficData[[#This Row],[pendingCourt]]&lt;=TrafficData[[#This Row],[totalCourt]],TrafficData[[#This Row],[disposedCourt]]&lt;=TrafficData[[#This Row],[totalCourt]])</f>
        <v>1</v>
      </c>
    </row>
    <row r="3377" spans="1:16">
      <c r="A3377" s="1">
        <v>45381</v>
      </c>
      <c r="B3377">
        <v>227159</v>
      </c>
      <c r="C3377">
        <v>77887</v>
      </c>
      <c r="D3377">
        <v>149272</v>
      </c>
      <c r="E3377">
        <v>230210817</v>
      </c>
      <c r="F3377">
        <v>107378678</v>
      </c>
      <c r="G3377">
        <v>337589495</v>
      </c>
      <c r="H3377">
        <v>73124</v>
      </c>
      <c r="I3377">
        <v>11195</v>
      </c>
      <c r="J3377">
        <v>84319</v>
      </c>
      <c r="K3377" t="b">
        <f>TrafficData[[#This Row],[disposedChallan]]+TrafficData[[#This Row],[pendingChallan]]=TrafficData[[#This Row],[totalChallan]]</f>
        <v>1</v>
      </c>
      <c r="L3377" t="b">
        <f>TrafficData[[#This Row],[pendingAmount]]+TrafficData[[#This Row],[disposedAmount]]=TrafficData[[#This Row],[totalAmount]]</f>
        <v>1</v>
      </c>
      <c r="M3377" t="b">
        <f>TrafficData[[#This Row],[pendingCourt]]+TrafficData[[#This Row],[disposedCourt]]=TrafficData[[#This Row],[totalCourt]]</f>
        <v>1</v>
      </c>
      <c r="N3377" s="8" t="b">
        <f>AND(TrafficData[[#This Row],[disposedChallan]]&lt;=TrafficData[[#This Row],[totalChallan]],TrafficData[[#This Row],[pendingChallan]]&lt;=TrafficData[[#This Row],[totalChallan]])</f>
        <v>1</v>
      </c>
      <c r="O3377" s="8" t="b">
        <f>AND(TrafficData[[#This Row],[pendingAmount]]&lt;=TrafficData[[#This Row],[totalAmount]],TrafficData[[#This Row],[disposedAmount]]&lt;=TrafficData[[#This Row],[totalAmount]])</f>
        <v>1</v>
      </c>
      <c r="P3377" s="8" t="b">
        <f>AND(TrafficData[[#This Row],[pendingCourt]]&lt;=TrafficData[[#This Row],[totalCourt]],TrafficData[[#This Row],[disposedCourt]]&lt;=TrafficData[[#This Row],[totalCourt]])</f>
        <v>1</v>
      </c>
    </row>
    <row r="3378" spans="1:16">
      <c r="A3378" s="1">
        <v>45382</v>
      </c>
      <c r="B3378">
        <v>206483</v>
      </c>
      <c r="C3378">
        <v>69515</v>
      </c>
      <c r="D3378">
        <v>136968</v>
      </c>
      <c r="E3378">
        <v>193639700</v>
      </c>
      <c r="F3378">
        <v>84504835</v>
      </c>
      <c r="G3378">
        <v>278144535</v>
      </c>
      <c r="H3378">
        <v>65377</v>
      </c>
      <c r="I3378">
        <v>9798</v>
      </c>
      <c r="J3378">
        <v>75175</v>
      </c>
      <c r="K3378" t="b">
        <f>TrafficData[[#This Row],[disposedChallan]]+TrafficData[[#This Row],[pendingChallan]]=TrafficData[[#This Row],[totalChallan]]</f>
        <v>1</v>
      </c>
      <c r="L3378" t="b">
        <f>TrafficData[[#This Row],[pendingAmount]]+TrafficData[[#This Row],[disposedAmount]]=TrafficData[[#This Row],[totalAmount]]</f>
        <v>1</v>
      </c>
      <c r="M3378" t="b">
        <f>TrafficData[[#This Row],[pendingCourt]]+TrafficData[[#This Row],[disposedCourt]]=TrafficData[[#This Row],[totalCourt]]</f>
        <v>1</v>
      </c>
      <c r="N3378" s="8" t="b">
        <f>AND(TrafficData[[#This Row],[disposedChallan]]&lt;=TrafficData[[#This Row],[totalChallan]],TrafficData[[#This Row],[pendingChallan]]&lt;=TrafficData[[#This Row],[totalChallan]])</f>
        <v>1</v>
      </c>
      <c r="O3378" s="8" t="b">
        <f>AND(TrafficData[[#This Row],[pendingAmount]]&lt;=TrafficData[[#This Row],[totalAmount]],TrafficData[[#This Row],[disposedAmount]]&lt;=TrafficData[[#This Row],[totalAmount]])</f>
        <v>1</v>
      </c>
      <c r="P3378" s="8" t="b">
        <f>AND(TrafficData[[#This Row],[pendingCourt]]&lt;=TrafficData[[#This Row],[totalCourt]],TrafficData[[#This Row],[disposedCourt]]&lt;=TrafficData[[#This Row],[totalCourt]])</f>
        <v>1</v>
      </c>
    </row>
    <row r="3379" spans="1:16">
      <c r="A3379" s="1">
        <v>45383</v>
      </c>
      <c r="B3379">
        <v>228485</v>
      </c>
      <c r="C3379">
        <v>79202</v>
      </c>
      <c r="D3379">
        <v>149283</v>
      </c>
      <c r="E3379">
        <v>217695195</v>
      </c>
      <c r="F3379">
        <v>106517796</v>
      </c>
      <c r="G3379">
        <v>324212991</v>
      </c>
      <c r="H3379">
        <v>76975</v>
      </c>
      <c r="I3379">
        <v>11004</v>
      </c>
      <c r="J3379">
        <v>87979</v>
      </c>
      <c r="K3379" t="b">
        <f>TrafficData[[#This Row],[disposedChallan]]+TrafficData[[#This Row],[pendingChallan]]=TrafficData[[#This Row],[totalChallan]]</f>
        <v>1</v>
      </c>
      <c r="L3379" t="b">
        <f>TrafficData[[#This Row],[pendingAmount]]+TrafficData[[#This Row],[disposedAmount]]=TrafficData[[#This Row],[totalAmount]]</f>
        <v>1</v>
      </c>
      <c r="M3379" t="b">
        <f>TrafficData[[#This Row],[pendingCourt]]+TrafficData[[#This Row],[disposedCourt]]=TrafficData[[#This Row],[totalCourt]]</f>
        <v>1</v>
      </c>
      <c r="N3379" s="8" t="b">
        <f>AND(TrafficData[[#This Row],[disposedChallan]]&lt;=TrafficData[[#This Row],[totalChallan]],TrafficData[[#This Row],[pendingChallan]]&lt;=TrafficData[[#This Row],[totalChallan]])</f>
        <v>1</v>
      </c>
      <c r="O3379" s="8" t="b">
        <f>AND(TrafficData[[#This Row],[pendingAmount]]&lt;=TrafficData[[#This Row],[totalAmount]],TrafficData[[#This Row],[disposedAmount]]&lt;=TrafficData[[#This Row],[totalAmount]])</f>
        <v>1</v>
      </c>
      <c r="P3379" s="8" t="b">
        <f>AND(TrafficData[[#This Row],[pendingCourt]]&lt;=TrafficData[[#This Row],[totalCourt]],TrafficData[[#This Row],[disposedCourt]]&lt;=TrafficData[[#This Row],[totalCourt]])</f>
        <v>1</v>
      </c>
    </row>
    <row r="3380" spans="1:16">
      <c r="A3380" s="1">
        <v>45384</v>
      </c>
      <c r="B3380">
        <v>227837</v>
      </c>
      <c r="C3380">
        <v>77650</v>
      </c>
      <c r="D3380">
        <v>150187</v>
      </c>
      <c r="E3380">
        <v>231761203</v>
      </c>
      <c r="F3380">
        <v>120171582</v>
      </c>
      <c r="G3380">
        <v>351932785</v>
      </c>
      <c r="H3380">
        <v>76230</v>
      </c>
      <c r="I3380">
        <v>10789</v>
      </c>
      <c r="J3380">
        <v>87019</v>
      </c>
      <c r="K3380" t="b">
        <f>TrafficData[[#This Row],[disposedChallan]]+TrafficData[[#This Row],[pendingChallan]]=TrafficData[[#This Row],[totalChallan]]</f>
        <v>1</v>
      </c>
      <c r="L3380" t="b">
        <f>TrafficData[[#This Row],[pendingAmount]]+TrafficData[[#This Row],[disposedAmount]]=TrafficData[[#This Row],[totalAmount]]</f>
        <v>1</v>
      </c>
      <c r="M3380" t="b">
        <f>TrafficData[[#This Row],[pendingCourt]]+TrafficData[[#This Row],[disposedCourt]]=TrafficData[[#This Row],[totalCourt]]</f>
        <v>1</v>
      </c>
      <c r="N3380" s="8" t="b">
        <f>AND(TrafficData[[#This Row],[disposedChallan]]&lt;=TrafficData[[#This Row],[totalChallan]],TrafficData[[#This Row],[pendingChallan]]&lt;=TrafficData[[#This Row],[totalChallan]])</f>
        <v>1</v>
      </c>
      <c r="O3380" s="8" t="b">
        <f>AND(TrafficData[[#This Row],[pendingAmount]]&lt;=TrafficData[[#This Row],[totalAmount]],TrafficData[[#This Row],[disposedAmount]]&lt;=TrafficData[[#This Row],[totalAmount]])</f>
        <v>1</v>
      </c>
      <c r="P3380" s="8" t="b">
        <f>AND(TrafficData[[#This Row],[pendingCourt]]&lt;=TrafficData[[#This Row],[totalCourt]],TrafficData[[#This Row],[disposedCourt]]&lt;=TrafficData[[#This Row],[totalCourt]])</f>
        <v>1</v>
      </c>
    </row>
    <row r="3381" spans="1:16">
      <c r="A3381" s="1">
        <v>45385</v>
      </c>
      <c r="B3381">
        <v>224668</v>
      </c>
      <c r="C3381">
        <v>79167</v>
      </c>
      <c r="D3381">
        <v>145501</v>
      </c>
      <c r="E3381">
        <v>216061500</v>
      </c>
      <c r="F3381">
        <v>119529082</v>
      </c>
      <c r="G3381">
        <v>335590582</v>
      </c>
      <c r="H3381">
        <v>72489</v>
      </c>
      <c r="I3381">
        <v>10403</v>
      </c>
      <c r="J3381">
        <v>82892</v>
      </c>
      <c r="K3381" t="b">
        <f>TrafficData[[#This Row],[disposedChallan]]+TrafficData[[#This Row],[pendingChallan]]=TrafficData[[#This Row],[totalChallan]]</f>
        <v>1</v>
      </c>
      <c r="L3381" t="b">
        <f>TrafficData[[#This Row],[pendingAmount]]+TrafficData[[#This Row],[disposedAmount]]=TrafficData[[#This Row],[totalAmount]]</f>
        <v>1</v>
      </c>
      <c r="M3381" t="b">
        <f>TrafficData[[#This Row],[pendingCourt]]+TrafficData[[#This Row],[disposedCourt]]=TrafficData[[#This Row],[totalCourt]]</f>
        <v>1</v>
      </c>
      <c r="N3381" s="8" t="b">
        <f>AND(TrafficData[[#This Row],[disposedChallan]]&lt;=TrafficData[[#This Row],[totalChallan]],TrafficData[[#This Row],[pendingChallan]]&lt;=TrafficData[[#This Row],[totalChallan]])</f>
        <v>1</v>
      </c>
      <c r="O3381" s="8" t="b">
        <f>AND(TrafficData[[#This Row],[pendingAmount]]&lt;=TrafficData[[#This Row],[totalAmount]],TrafficData[[#This Row],[disposedAmount]]&lt;=TrafficData[[#This Row],[totalAmount]])</f>
        <v>1</v>
      </c>
      <c r="P3381" s="8" t="b">
        <f>AND(TrafficData[[#This Row],[pendingCourt]]&lt;=TrafficData[[#This Row],[totalCourt]],TrafficData[[#This Row],[disposedCourt]]&lt;=TrafficData[[#This Row],[totalCourt]])</f>
        <v>1</v>
      </c>
    </row>
    <row r="3382" spans="1:16">
      <c r="A3382" s="1">
        <v>45386</v>
      </c>
      <c r="B3382">
        <v>235750</v>
      </c>
      <c r="C3382">
        <v>79291</v>
      </c>
      <c r="D3382">
        <v>156459</v>
      </c>
      <c r="E3382">
        <v>238739113</v>
      </c>
      <c r="F3382">
        <v>123081861</v>
      </c>
      <c r="G3382">
        <v>361820974</v>
      </c>
      <c r="H3382">
        <v>83143</v>
      </c>
      <c r="I3382">
        <v>11614</v>
      </c>
      <c r="J3382">
        <v>94757</v>
      </c>
      <c r="K3382" t="b">
        <f>TrafficData[[#This Row],[disposedChallan]]+TrafficData[[#This Row],[pendingChallan]]=TrafficData[[#This Row],[totalChallan]]</f>
        <v>1</v>
      </c>
      <c r="L3382" t="b">
        <f>TrafficData[[#This Row],[pendingAmount]]+TrafficData[[#This Row],[disposedAmount]]=TrafficData[[#This Row],[totalAmount]]</f>
        <v>1</v>
      </c>
      <c r="M3382" t="b">
        <f>TrafficData[[#This Row],[pendingCourt]]+TrafficData[[#This Row],[disposedCourt]]=TrafficData[[#This Row],[totalCourt]]</f>
        <v>1</v>
      </c>
      <c r="N3382" s="8" t="b">
        <f>AND(TrafficData[[#This Row],[disposedChallan]]&lt;=TrafficData[[#This Row],[totalChallan]],TrafficData[[#This Row],[pendingChallan]]&lt;=TrafficData[[#This Row],[totalChallan]])</f>
        <v>1</v>
      </c>
      <c r="O3382" s="8" t="b">
        <f>AND(TrafficData[[#This Row],[pendingAmount]]&lt;=TrafficData[[#This Row],[totalAmount]],TrafficData[[#This Row],[disposedAmount]]&lt;=TrafficData[[#This Row],[totalAmount]])</f>
        <v>1</v>
      </c>
      <c r="P3382" s="8" t="b">
        <f>AND(TrafficData[[#This Row],[pendingCourt]]&lt;=TrafficData[[#This Row],[totalCourt]],TrafficData[[#This Row],[disposedCourt]]&lt;=TrafficData[[#This Row],[totalCourt]])</f>
        <v>1</v>
      </c>
    </row>
    <row r="3383" spans="1:16">
      <c r="A3383" s="1">
        <v>45387</v>
      </c>
      <c r="B3383">
        <v>232486</v>
      </c>
      <c r="C3383">
        <v>77687</v>
      </c>
      <c r="D3383">
        <v>154799</v>
      </c>
      <c r="E3383">
        <v>232461342</v>
      </c>
      <c r="F3383">
        <v>113442285</v>
      </c>
      <c r="G3383">
        <v>345903627</v>
      </c>
      <c r="H3383">
        <v>77276</v>
      </c>
      <c r="I3383">
        <v>10626</v>
      </c>
      <c r="J3383">
        <v>87902</v>
      </c>
      <c r="K3383" t="b">
        <f>TrafficData[[#This Row],[disposedChallan]]+TrafficData[[#This Row],[pendingChallan]]=TrafficData[[#This Row],[totalChallan]]</f>
        <v>1</v>
      </c>
      <c r="L3383" t="b">
        <f>TrafficData[[#This Row],[pendingAmount]]+TrafficData[[#This Row],[disposedAmount]]=TrafficData[[#This Row],[totalAmount]]</f>
        <v>1</v>
      </c>
      <c r="M3383" t="b">
        <f>TrafficData[[#This Row],[pendingCourt]]+TrafficData[[#This Row],[disposedCourt]]=TrafficData[[#This Row],[totalCourt]]</f>
        <v>1</v>
      </c>
      <c r="N3383" s="8" t="b">
        <f>AND(TrafficData[[#This Row],[disposedChallan]]&lt;=TrafficData[[#This Row],[totalChallan]],TrafficData[[#This Row],[pendingChallan]]&lt;=TrafficData[[#This Row],[totalChallan]])</f>
        <v>1</v>
      </c>
      <c r="O3383" s="8" t="b">
        <f>AND(TrafficData[[#This Row],[pendingAmount]]&lt;=TrafficData[[#This Row],[totalAmount]],TrafficData[[#This Row],[disposedAmount]]&lt;=TrafficData[[#This Row],[totalAmount]])</f>
        <v>1</v>
      </c>
      <c r="P3383" s="8" t="b">
        <f>AND(TrafficData[[#This Row],[pendingCourt]]&lt;=TrafficData[[#This Row],[totalCourt]],TrafficData[[#This Row],[disposedCourt]]&lt;=TrafficData[[#This Row],[totalCourt]])</f>
        <v>1</v>
      </c>
    </row>
    <row r="3384" spans="1:16">
      <c r="A3384" s="1">
        <v>45388</v>
      </c>
      <c r="B3384">
        <v>231392</v>
      </c>
      <c r="C3384">
        <v>78514</v>
      </c>
      <c r="D3384">
        <v>152878</v>
      </c>
      <c r="E3384">
        <v>233445135</v>
      </c>
      <c r="F3384">
        <v>109073582</v>
      </c>
      <c r="G3384">
        <v>342518717</v>
      </c>
      <c r="H3384">
        <v>74799</v>
      </c>
      <c r="I3384">
        <v>10857</v>
      </c>
      <c r="J3384">
        <v>85656</v>
      </c>
      <c r="K3384" t="b">
        <f>TrafficData[[#This Row],[disposedChallan]]+TrafficData[[#This Row],[pendingChallan]]=TrafficData[[#This Row],[totalChallan]]</f>
        <v>1</v>
      </c>
      <c r="L3384" t="b">
        <f>TrafficData[[#This Row],[pendingAmount]]+TrafficData[[#This Row],[disposedAmount]]=TrafficData[[#This Row],[totalAmount]]</f>
        <v>1</v>
      </c>
      <c r="M3384" t="b">
        <f>TrafficData[[#This Row],[pendingCourt]]+TrafficData[[#This Row],[disposedCourt]]=TrafficData[[#This Row],[totalCourt]]</f>
        <v>1</v>
      </c>
      <c r="N3384" s="8" t="b">
        <f>AND(TrafficData[[#This Row],[disposedChallan]]&lt;=TrafficData[[#This Row],[totalChallan]],TrafficData[[#This Row],[pendingChallan]]&lt;=TrafficData[[#This Row],[totalChallan]])</f>
        <v>1</v>
      </c>
      <c r="O3384" s="8" t="b">
        <f>AND(TrafficData[[#This Row],[pendingAmount]]&lt;=TrafficData[[#This Row],[totalAmount]],TrafficData[[#This Row],[disposedAmount]]&lt;=TrafficData[[#This Row],[totalAmount]])</f>
        <v>1</v>
      </c>
      <c r="P3384" s="8" t="b">
        <f>AND(TrafficData[[#This Row],[pendingCourt]]&lt;=TrafficData[[#This Row],[totalCourt]],TrafficData[[#This Row],[disposedCourt]]&lt;=TrafficData[[#This Row],[totalCourt]])</f>
        <v>1</v>
      </c>
    </row>
    <row r="3385" spans="1:16">
      <c r="A3385" s="1">
        <v>45389</v>
      </c>
      <c r="B3385">
        <v>203991</v>
      </c>
      <c r="C3385">
        <v>68330</v>
      </c>
      <c r="D3385">
        <v>135661</v>
      </c>
      <c r="E3385">
        <v>196278914</v>
      </c>
      <c r="F3385">
        <v>81435087</v>
      </c>
      <c r="G3385">
        <v>277714001</v>
      </c>
      <c r="H3385">
        <v>65236</v>
      </c>
      <c r="I3385">
        <v>9316</v>
      </c>
      <c r="J3385">
        <v>74552</v>
      </c>
      <c r="K3385" t="b">
        <f>TrafficData[[#This Row],[disposedChallan]]+TrafficData[[#This Row],[pendingChallan]]=TrafficData[[#This Row],[totalChallan]]</f>
        <v>1</v>
      </c>
      <c r="L3385" t="b">
        <f>TrafficData[[#This Row],[pendingAmount]]+TrafficData[[#This Row],[disposedAmount]]=TrafficData[[#This Row],[totalAmount]]</f>
        <v>1</v>
      </c>
      <c r="M3385" t="b">
        <f>TrafficData[[#This Row],[pendingCourt]]+TrafficData[[#This Row],[disposedCourt]]=TrafficData[[#This Row],[totalCourt]]</f>
        <v>1</v>
      </c>
      <c r="N3385" s="8" t="b">
        <f>AND(TrafficData[[#This Row],[disposedChallan]]&lt;=TrafficData[[#This Row],[totalChallan]],TrafficData[[#This Row],[pendingChallan]]&lt;=TrafficData[[#This Row],[totalChallan]])</f>
        <v>1</v>
      </c>
      <c r="O3385" s="8" t="b">
        <f>AND(TrafficData[[#This Row],[pendingAmount]]&lt;=TrafficData[[#This Row],[totalAmount]],TrafficData[[#This Row],[disposedAmount]]&lt;=TrafficData[[#This Row],[totalAmount]])</f>
        <v>1</v>
      </c>
      <c r="P3385" s="8" t="b">
        <f>AND(TrafficData[[#This Row],[pendingCourt]]&lt;=TrafficData[[#This Row],[totalCourt]],TrafficData[[#This Row],[disposedCourt]]&lt;=TrafficData[[#This Row],[totalCourt]])</f>
        <v>1</v>
      </c>
    </row>
    <row r="3386" spans="1:16">
      <c r="A3386" s="1">
        <v>45390</v>
      </c>
      <c r="B3386">
        <v>230204</v>
      </c>
      <c r="C3386">
        <v>75279</v>
      </c>
      <c r="D3386">
        <v>154925</v>
      </c>
      <c r="E3386">
        <v>233493763</v>
      </c>
      <c r="F3386">
        <v>102822555</v>
      </c>
      <c r="G3386">
        <v>336316318</v>
      </c>
      <c r="H3386">
        <v>80154</v>
      </c>
      <c r="I3386">
        <v>11479</v>
      </c>
      <c r="J3386">
        <v>91633</v>
      </c>
      <c r="K3386" t="b">
        <f>TrafficData[[#This Row],[disposedChallan]]+TrafficData[[#This Row],[pendingChallan]]=TrafficData[[#This Row],[totalChallan]]</f>
        <v>1</v>
      </c>
      <c r="L3386" t="b">
        <f>TrafficData[[#This Row],[pendingAmount]]+TrafficData[[#This Row],[disposedAmount]]=TrafficData[[#This Row],[totalAmount]]</f>
        <v>1</v>
      </c>
      <c r="M3386" t="b">
        <f>TrafficData[[#This Row],[pendingCourt]]+TrafficData[[#This Row],[disposedCourt]]=TrafficData[[#This Row],[totalCourt]]</f>
        <v>1</v>
      </c>
      <c r="N3386" s="8" t="b">
        <f>AND(TrafficData[[#This Row],[disposedChallan]]&lt;=TrafficData[[#This Row],[totalChallan]],TrafficData[[#This Row],[pendingChallan]]&lt;=TrafficData[[#This Row],[totalChallan]])</f>
        <v>1</v>
      </c>
      <c r="O3386" s="8" t="b">
        <f>AND(TrafficData[[#This Row],[pendingAmount]]&lt;=TrafficData[[#This Row],[totalAmount]],TrafficData[[#This Row],[disposedAmount]]&lt;=TrafficData[[#This Row],[totalAmount]])</f>
        <v>1</v>
      </c>
      <c r="P3386" s="8" t="b">
        <f>AND(TrafficData[[#This Row],[pendingCourt]]&lt;=TrafficData[[#This Row],[totalCourt]],TrafficData[[#This Row],[disposedCourt]]&lt;=TrafficData[[#This Row],[totalCourt]])</f>
        <v>1</v>
      </c>
    </row>
    <row r="3387" spans="1:16">
      <c r="A3387" s="1">
        <v>45391</v>
      </c>
      <c r="B3387">
        <v>212631</v>
      </c>
      <c r="C3387">
        <v>70629</v>
      </c>
      <c r="D3387">
        <v>142002</v>
      </c>
      <c r="E3387">
        <v>226224534</v>
      </c>
      <c r="F3387">
        <v>97207703</v>
      </c>
      <c r="G3387">
        <v>323432237</v>
      </c>
      <c r="H3387">
        <v>74443</v>
      </c>
      <c r="I3387">
        <v>10995</v>
      </c>
      <c r="J3387">
        <v>85438</v>
      </c>
      <c r="K3387" t="b">
        <f>TrafficData[[#This Row],[disposedChallan]]+TrafficData[[#This Row],[pendingChallan]]=TrafficData[[#This Row],[totalChallan]]</f>
        <v>1</v>
      </c>
      <c r="L3387" t="b">
        <f>TrafficData[[#This Row],[pendingAmount]]+TrafficData[[#This Row],[disposedAmount]]=TrafficData[[#This Row],[totalAmount]]</f>
        <v>1</v>
      </c>
      <c r="M3387" t="b">
        <f>TrafficData[[#This Row],[pendingCourt]]+TrafficData[[#This Row],[disposedCourt]]=TrafficData[[#This Row],[totalCourt]]</f>
        <v>1</v>
      </c>
      <c r="N3387" s="8" t="b">
        <f>AND(TrafficData[[#This Row],[disposedChallan]]&lt;=TrafficData[[#This Row],[totalChallan]],TrafficData[[#This Row],[pendingChallan]]&lt;=TrafficData[[#This Row],[totalChallan]])</f>
        <v>1</v>
      </c>
      <c r="O3387" s="8" t="b">
        <f>AND(TrafficData[[#This Row],[pendingAmount]]&lt;=TrafficData[[#This Row],[totalAmount]],TrafficData[[#This Row],[disposedAmount]]&lt;=TrafficData[[#This Row],[totalAmount]])</f>
        <v>1</v>
      </c>
      <c r="P3387" s="8" t="b">
        <f>AND(TrafficData[[#This Row],[pendingCourt]]&lt;=TrafficData[[#This Row],[totalCourt]],TrafficData[[#This Row],[disposedCourt]]&lt;=TrafficData[[#This Row],[totalCourt]])</f>
        <v>1</v>
      </c>
    </row>
    <row r="3388" spans="1:16">
      <c r="A3388" s="1">
        <v>45392</v>
      </c>
      <c r="B3388">
        <v>222867</v>
      </c>
      <c r="C3388">
        <v>70485</v>
      </c>
      <c r="D3388">
        <v>152382</v>
      </c>
      <c r="E3388">
        <v>231221264</v>
      </c>
      <c r="F3388">
        <v>103757278</v>
      </c>
      <c r="G3388">
        <v>334978542</v>
      </c>
      <c r="H3388">
        <v>73990</v>
      </c>
      <c r="I3388">
        <v>10163</v>
      </c>
      <c r="J3388">
        <v>84153</v>
      </c>
      <c r="K3388" t="b">
        <f>TrafficData[[#This Row],[disposedChallan]]+TrafficData[[#This Row],[pendingChallan]]=TrafficData[[#This Row],[totalChallan]]</f>
        <v>1</v>
      </c>
      <c r="L3388" t="b">
        <f>TrafficData[[#This Row],[pendingAmount]]+TrafficData[[#This Row],[disposedAmount]]=TrafficData[[#This Row],[totalAmount]]</f>
        <v>1</v>
      </c>
      <c r="M3388" t="b">
        <f>TrafficData[[#This Row],[pendingCourt]]+TrafficData[[#This Row],[disposedCourt]]=TrafficData[[#This Row],[totalCourt]]</f>
        <v>1</v>
      </c>
      <c r="N3388" s="8" t="b">
        <f>AND(TrafficData[[#This Row],[disposedChallan]]&lt;=TrafficData[[#This Row],[totalChallan]],TrafficData[[#This Row],[pendingChallan]]&lt;=TrafficData[[#This Row],[totalChallan]])</f>
        <v>1</v>
      </c>
      <c r="O3388" s="8" t="b">
        <f>AND(TrafficData[[#This Row],[pendingAmount]]&lt;=TrafficData[[#This Row],[totalAmount]],TrafficData[[#This Row],[disposedAmount]]&lt;=TrafficData[[#This Row],[totalAmount]])</f>
        <v>1</v>
      </c>
      <c r="P3388" s="8" t="b">
        <f>AND(TrafficData[[#This Row],[pendingCourt]]&lt;=TrafficData[[#This Row],[totalCourt]],TrafficData[[#This Row],[disposedCourt]]&lt;=TrafficData[[#This Row],[totalCourt]])</f>
        <v>1</v>
      </c>
    </row>
    <row r="3389" spans="1:16">
      <c r="A3389" s="1">
        <v>45393</v>
      </c>
      <c r="B3389">
        <v>199840</v>
      </c>
      <c r="C3389">
        <v>64730</v>
      </c>
      <c r="D3389">
        <v>135110</v>
      </c>
      <c r="E3389">
        <v>193338955</v>
      </c>
      <c r="F3389">
        <v>83447483</v>
      </c>
      <c r="G3389">
        <v>276786438</v>
      </c>
      <c r="H3389">
        <v>69701</v>
      </c>
      <c r="I3389">
        <v>9078</v>
      </c>
      <c r="J3389">
        <v>78779</v>
      </c>
      <c r="K3389" t="b">
        <f>TrafficData[[#This Row],[disposedChallan]]+TrafficData[[#This Row],[pendingChallan]]=TrafficData[[#This Row],[totalChallan]]</f>
        <v>1</v>
      </c>
      <c r="L3389" t="b">
        <f>TrafficData[[#This Row],[pendingAmount]]+TrafficData[[#This Row],[disposedAmount]]=TrafficData[[#This Row],[totalAmount]]</f>
        <v>1</v>
      </c>
      <c r="M3389" t="b">
        <f>TrafficData[[#This Row],[pendingCourt]]+TrafficData[[#This Row],[disposedCourt]]=TrafficData[[#This Row],[totalCourt]]</f>
        <v>1</v>
      </c>
      <c r="N3389" s="8" t="b">
        <f>AND(TrafficData[[#This Row],[disposedChallan]]&lt;=TrafficData[[#This Row],[totalChallan]],TrafficData[[#This Row],[pendingChallan]]&lt;=TrafficData[[#This Row],[totalChallan]])</f>
        <v>1</v>
      </c>
      <c r="O3389" s="8" t="b">
        <f>AND(TrafficData[[#This Row],[pendingAmount]]&lt;=TrafficData[[#This Row],[totalAmount]],TrafficData[[#This Row],[disposedAmount]]&lt;=TrafficData[[#This Row],[totalAmount]])</f>
        <v>1</v>
      </c>
      <c r="P3389" s="8" t="b">
        <f>AND(TrafficData[[#This Row],[pendingCourt]]&lt;=TrafficData[[#This Row],[totalCourt]],TrafficData[[#This Row],[disposedCourt]]&lt;=TrafficData[[#This Row],[totalCourt]])</f>
        <v>1</v>
      </c>
    </row>
    <row r="3390" spans="1:16">
      <c r="A3390" s="1">
        <v>45394</v>
      </c>
      <c r="B3390">
        <v>228401</v>
      </c>
      <c r="C3390">
        <v>74822</v>
      </c>
      <c r="D3390">
        <v>153579</v>
      </c>
      <c r="E3390">
        <v>235792128</v>
      </c>
      <c r="F3390">
        <v>98887295</v>
      </c>
      <c r="G3390">
        <v>334679423</v>
      </c>
      <c r="H3390">
        <v>84352</v>
      </c>
      <c r="I3390">
        <v>11243</v>
      </c>
      <c r="J3390">
        <v>95595</v>
      </c>
      <c r="K3390" t="b">
        <f>TrafficData[[#This Row],[disposedChallan]]+TrafficData[[#This Row],[pendingChallan]]=TrafficData[[#This Row],[totalChallan]]</f>
        <v>1</v>
      </c>
      <c r="L3390" t="b">
        <f>TrafficData[[#This Row],[pendingAmount]]+TrafficData[[#This Row],[disposedAmount]]=TrafficData[[#This Row],[totalAmount]]</f>
        <v>1</v>
      </c>
      <c r="M3390" t="b">
        <f>TrafficData[[#This Row],[pendingCourt]]+TrafficData[[#This Row],[disposedCourt]]=TrafficData[[#This Row],[totalCourt]]</f>
        <v>1</v>
      </c>
      <c r="N3390" s="8" t="b">
        <f>AND(TrafficData[[#This Row],[disposedChallan]]&lt;=TrafficData[[#This Row],[totalChallan]],TrafficData[[#This Row],[pendingChallan]]&lt;=TrafficData[[#This Row],[totalChallan]])</f>
        <v>1</v>
      </c>
      <c r="O3390" s="8" t="b">
        <f>AND(TrafficData[[#This Row],[pendingAmount]]&lt;=TrafficData[[#This Row],[totalAmount]],TrafficData[[#This Row],[disposedAmount]]&lt;=TrafficData[[#This Row],[totalAmount]])</f>
        <v>1</v>
      </c>
      <c r="P3390" s="8" t="b">
        <f>AND(TrafficData[[#This Row],[pendingCourt]]&lt;=TrafficData[[#This Row],[totalCourt]],TrafficData[[#This Row],[disposedCourt]]&lt;=TrafficData[[#This Row],[totalCourt]])</f>
        <v>1</v>
      </c>
    </row>
    <row r="3391" spans="1:16">
      <c r="A3391" s="1">
        <v>45395</v>
      </c>
      <c r="B3391">
        <v>216143</v>
      </c>
      <c r="C3391">
        <v>72812</v>
      </c>
      <c r="D3391">
        <v>143331</v>
      </c>
      <c r="E3391">
        <v>205509665</v>
      </c>
      <c r="F3391">
        <v>92315605</v>
      </c>
      <c r="G3391">
        <v>297825270</v>
      </c>
      <c r="H3391">
        <v>76910</v>
      </c>
      <c r="I3391">
        <v>10420</v>
      </c>
      <c r="J3391">
        <v>87330</v>
      </c>
      <c r="K3391" t="b">
        <f>TrafficData[[#This Row],[disposedChallan]]+TrafficData[[#This Row],[pendingChallan]]=TrafficData[[#This Row],[totalChallan]]</f>
        <v>1</v>
      </c>
      <c r="L3391" t="b">
        <f>TrafficData[[#This Row],[pendingAmount]]+TrafficData[[#This Row],[disposedAmount]]=TrafficData[[#This Row],[totalAmount]]</f>
        <v>1</v>
      </c>
      <c r="M3391" t="b">
        <f>TrafficData[[#This Row],[pendingCourt]]+TrafficData[[#This Row],[disposedCourt]]=TrafficData[[#This Row],[totalCourt]]</f>
        <v>1</v>
      </c>
      <c r="N3391" s="8" t="b">
        <f>AND(TrafficData[[#This Row],[disposedChallan]]&lt;=TrafficData[[#This Row],[totalChallan]],TrafficData[[#This Row],[pendingChallan]]&lt;=TrafficData[[#This Row],[totalChallan]])</f>
        <v>1</v>
      </c>
      <c r="O3391" s="8" t="b">
        <f>AND(TrafficData[[#This Row],[pendingAmount]]&lt;=TrafficData[[#This Row],[totalAmount]],TrafficData[[#This Row],[disposedAmount]]&lt;=TrafficData[[#This Row],[totalAmount]])</f>
        <v>1</v>
      </c>
      <c r="P3391" s="8" t="b">
        <f>AND(TrafficData[[#This Row],[pendingCourt]]&lt;=TrafficData[[#This Row],[totalCourt]],TrafficData[[#This Row],[disposedCourt]]&lt;=TrafficData[[#This Row],[totalCourt]])</f>
        <v>1</v>
      </c>
    </row>
    <row r="3392" spans="1:16">
      <c r="A3392" s="1">
        <v>45396</v>
      </c>
      <c r="B3392">
        <v>184113</v>
      </c>
      <c r="C3392">
        <v>60182</v>
      </c>
      <c r="D3392">
        <v>123931</v>
      </c>
      <c r="E3392">
        <v>169762963</v>
      </c>
      <c r="F3392">
        <v>67619547</v>
      </c>
      <c r="G3392">
        <v>237382510</v>
      </c>
      <c r="H3392">
        <v>64648</v>
      </c>
      <c r="I3392">
        <v>8818</v>
      </c>
      <c r="J3392">
        <v>73466</v>
      </c>
      <c r="K3392" t="b">
        <f>TrafficData[[#This Row],[disposedChallan]]+TrafficData[[#This Row],[pendingChallan]]=TrafficData[[#This Row],[totalChallan]]</f>
        <v>1</v>
      </c>
      <c r="L3392" t="b">
        <f>TrafficData[[#This Row],[pendingAmount]]+TrafficData[[#This Row],[disposedAmount]]=TrafficData[[#This Row],[totalAmount]]</f>
        <v>1</v>
      </c>
      <c r="M3392" t="b">
        <f>TrafficData[[#This Row],[pendingCourt]]+TrafficData[[#This Row],[disposedCourt]]=TrafficData[[#This Row],[totalCourt]]</f>
        <v>1</v>
      </c>
      <c r="N3392" s="8" t="b">
        <f>AND(TrafficData[[#This Row],[disposedChallan]]&lt;=TrafficData[[#This Row],[totalChallan]],TrafficData[[#This Row],[pendingChallan]]&lt;=TrafficData[[#This Row],[totalChallan]])</f>
        <v>1</v>
      </c>
      <c r="O3392" s="8" t="b">
        <f>AND(TrafficData[[#This Row],[pendingAmount]]&lt;=TrafficData[[#This Row],[totalAmount]],TrafficData[[#This Row],[disposedAmount]]&lt;=TrafficData[[#This Row],[totalAmount]])</f>
        <v>1</v>
      </c>
      <c r="P3392" s="8" t="b">
        <f>AND(TrafficData[[#This Row],[pendingCourt]]&lt;=TrafficData[[#This Row],[totalCourt]],TrafficData[[#This Row],[disposedCourt]]&lt;=TrafficData[[#This Row],[totalCourt]])</f>
        <v>1</v>
      </c>
    </row>
    <row r="3393" spans="1:16">
      <c r="A3393" s="1">
        <v>45397</v>
      </c>
      <c r="B3393">
        <v>220333</v>
      </c>
      <c r="C3393">
        <v>69584</v>
      </c>
      <c r="D3393">
        <v>150749</v>
      </c>
      <c r="E3393">
        <v>220915487</v>
      </c>
      <c r="F3393">
        <v>89602137</v>
      </c>
      <c r="G3393">
        <v>310517624</v>
      </c>
      <c r="H3393">
        <v>83777</v>
      </c>
      <c r="I3393">
        <v>10881</v>
      </c>
      <c r="J3393">
        <v>94658</v>
      </c>
      <c r="K3393" t="b">
        <f>TrafficData[[#This Row],[disposedChallan]]+TrafficData[[#This Row],[pendingChallan]]=TrafficData[[#This Row],[totalChallan]]</f>
        <v>1</v>
      </c>
      <c r="L3393" t="b">
        <f>TrafficData[[#This Row],[pendingAmount]]+TrafficData[[#This Row],[disposedAmount]]=TrafficData[[#This Row],[totalAmount]]</f>
        <v>1</v>
      </c>
      <c r="M3393" t="b">
        <f>TrafficData[[#This Row],[pendingCourt]]+TrafficData[[#This Row],[disposedCourt]]=TrafficData[[#This Row],[totalCourt]]</f>
        <v>1</v>
      </c>
      <c r="N3393" s="8" t="b">
        <f>AND(TrafficData[[#This Row],[disposedChallan]]&lt;=TrafficData[[#This Row],[totalChallan]],TrafficData[[#This Row],[pendingChallan]]&lt;=TrafficData[[#This Row],[totalChallan]])</f>
        <v>1</v>
      </c>
      <c r="O3393" s="8" t="b">
        <f>AND(TrafficData[[#This Row],[pendingAmount]]&lt;=TrafficData[[#This Row],[totalAmount]],TrafficData[[#This Row],[disposedAmount]]&lt;=TrafficData[[#This Row],[totalAmount]])</f>
        <v>1</v>
      </c>
      <c r="P3393" s="8" t="b">
        <f>AND(TrafficData[[#This Row],[pendingCourt]]&lt;=TrafficData[[#This Row],[totalCourt]],TrafficData[[#This Row],[disposedCourt]]&lt;=TrafficData[[#This Row],[totalCourt]])</f>
        <v>1</v>
      </c>
    </row>
    <row r="3394" spans="1:16">
      <c r="A3394" s="1">
        <v>45398</v>
      </c>
      <c r="B3394">
        <v>211004</v>
      </c>
      <c r="C3394">
        <v>67728</v>
      </c>
      <c r="D3394">
        <v>143276</v>
      </c>
      <c r="E3394">
        <v>215519847</v>
      </c>
      <c r="F3394">
        <v>93117711</v>
      </c>
      <c r="G3394">
        <v>308637558</v>
      </c>
      <c r="H3394">
        <v>79259</v>
      </c>
      <c r="I3394">
        <v>10439</v>
      </c>
      <c r="J3394">
        <v>89698</v>
      </c>
      <c r="K3394" t="b">
        <f>TrafficData[[#This Row],[disposedChallan]]+TrafficData[[#This Row],[pendingChallan]]=TrafficData[[#This Row],[totalChallan]]</f>
        <v>1</v>
      </c>
      <c r="L3394" t="b">
        <f>TrafficData[[#This Row],[pendingAmount]]+TrafficData[[#This Row],[disposedAmount]]=TrafficData[[#This Row],[totalAmount]]</f>
        <v>1</v>
      </c>
      <c r="M3394" t="b">
        <f>TrafficData[[#This Row],[pendingCourt]]+TrafficData[[#This Row],[disposedCourt]]=TrafficData[[#This Row],[totalCourt]]</f>
        <v>1</v>
      </c>
      <c r="N3394" s="8" t="b">
        <f>AND(TrafficData[[#This Row],[disposedChallan]]&lt;=TrafficData[[#This Row],[totalChallan]],TrafficData[[#This Row],[pendingChallan]]&lt;=TrafficData[[#This Row],[totalChallan]])</f>
        <v>1</v>
      </c>
      <c r="O3394" s="8" t="b">
        <f>AND(TrafficData[[#This Row],[pendingAmount]]&lt;=TrafficData[[#This Row],[totalAmount]],TrafficData[[#This Row],[disposedAmount]]&lt;=TrafficData[[#This Row],[totalAmount]])</f>
        <v>1</v>
      </c>
      <c r="P3394" s="8" t="b">
        <f>AND(TrafficData[[#This Row],[pendingCourt]]&lt;=TrafficData[[#This Row],[totalCourt]],TrafficData[[#This Row],[disposedCourt]]&lt;=TrafficData[[#This Row],[totalCourt]])</f>
        <v>1</v>
      </c>
    </row>
    <row r="3395" spans="1:16">
      <c r="A3395" s="1">
        <v>45399</v>
      </c>
      <c r="B3395">
        <v>180366</v>
      </c>
      <c r="C3395">
        <v>57610</v>
      </c>
      <c r="D3395">
        <v>122756</v>
      </c>
      <c r="E3395">
        <v>183396170</v>
      </c>
      <c r="F3395">
        <v>74433376</v>
      </c>
      <c r="G3395">
        <v>257829546</v>
      </c>
      <c r="H3395">
        <v>69455</v>
      </c>
      <c r="I3395">
        <v>9309</v>
      </c>
      <c r="J3395">
        <v>78764</v>
      </c>
      <c r="K3395" t="b">
        <f>TrafficData[[#This Row],[disposedChallan]]+TrafficData[[#This Row],[pendingChallan]]=TrafficData[[#This Row],[totalChallan]]</f>
        <v>1</v>
      </c>
      <c r="L3395" t="b">
        <f>TrafficData[[#This Row],[pendingAmount]]+TrafficData[[#This Row],[disposedAmount]]=TrafficData[[#This Row],[totalAmount]]</f>
        <v>1</v>
      </c>
      <c r="M3395" t="b">
        <f>TrafficData[[#This Row],[pendingCourt]]+TrafficData[[#This Row],[disposedCourt]]=TrafficData[[#This Row],[totalCourt]]</f>
        <v>1</v>
      </c>
      <c r="N3395" s="8" t="b">
        <f>AND(TrafficData[[#This Row],[disposedChallan]]&lt;=TrafficData[[#This Row],[totalChallan]],TrafficData[[#This Row],[pendingChallan]]&lt;=TrafficData[[#This Row],[totalChallan]])</f>
        <v>1</v>
      </c>
      <c r="O3395" s="8" t="b">
        <f>AND(TrafficData[[#This Row],[pendingAmount]]&lt;=TrafficData[[#This Row],[totalAmount]],TrafficData[[#This Row],[disposedAmount]]&lt;=TrafficData[[#This Row],[totalAmount]])</f>
        <v>1</v>
      </c>
      <c r="P3395" s="8" t="b">
        <f>AND(TrafficData[[#This Row],[pendingCourt]]&lt;=TrafficData[[#This Row],[totalCourt]],TrafficData[[#This Row],[disposedCourt]]&lt;=TrafficData[[#This Row],[totalCourt]])</f>
        <v>1</v>
      </c>
    </row>
    <row r="3396" spans="1:16">
      <c r="A3396" s="1">
        <v>45400</v>
      </c>
      <c r="B3396">
        <v>180317</v>
      </c>
      <c r="C3396">
        <v>57959</v>
      </c>
      <c r="D3396">
        <v>122358</v>
      </c>
      <c r="E3396">
        <v>191813776</v>
      </c>
      <c r="F3396">
        <v>85149338</v>
      </c>
      <c r="G3396">
        <v>276963114</v>
      </c>
      <c r="H3396">
        <v>75308</v>
      </c>
      <c r="I3396">
        <v>10088</v>
      </c>
      <c r="J3396">
        <v>85396</v>
      </c>
      <c r="K3396" t="b">
        <f>TrafficData[[#This Row],[disposedChallan]]+TrafficData[[#This Row],[pendingChallan]]=TrafficData[[#This Row],[totalChallan]]</f>
        <v>1</v>
      </c>
      <c r="L3396" t="b">
        <f>TrafficData[[#This Row],[pendingAmount]]+TrafficData[[#This Row],[disposedAmount]]=TrafficData[[#This Row],[totalAmount]]</f>
        <v>1</v>
      </c>
      <c r="M3396" t="b">
        <f>TrafficData[[#This Row],[pendingCourt]]+TrafficData[[#This Row],[disposedCourt]]=TrafficData[[#This Row],[totalCourt]]</f>
        <v>1</v>
      </c>
      <c r="N3396" s="8" t="b">
        <f>AND(TrafficData[[#This Row],[disposedChallan]]&lt;=TrafficData[[#This Row],[totalChallan]],TrafficData[[#This Row],[pendingChallan]]&lt;=TrafficData[[#This Row],[totalChallan]])</f>
        <v>1</v>
      </c>
      <c r="O3396" s="8" t="b">
        <f>AND(TrafficData[[#This Row],[pendingAmount]]&lt;=TrafficData[[#This Row],[totalAmount]],TrafficData[[#This Row],[disposedAmount]]&lt;=TrafficData[[#This Row],[totalAmount]])</f>
        <v>1</v>
      </c>
      <c r="P3396" s="8" t="b">
        <f>AND(TrafficData[[#This Row],[pendingCourt]]&lt;=TrafficData[[#This Row],[totalCourt]],TrafficData[[#This Row],[disposedCourt]]&lt;=TrafficData[[#This Row],[totalCourt]])</f>
        <v>1</v>
      </c>
    </row>
    <row r="3397" spans="1:16">
      <c r="A3397" s="1">
        <v>45401</v>
      </c>
      <c r="B3397">
        <v>175461</v>
      </c>
      <c r="C3397">
        <v>57276</v>
      </c>
      <c r="D3397">
        <v>118185</v>
      </c>
      <c r="E3397">
        <v>183555325</v>
      </c>
      <c r="F3397">
        <v>82085260</v>
      </c>
      <c r="G3397">
        <v>265640585</v>
      </c>
      <c r="H3397">
        <v>73709</v>
      </c>
      <c r="I3397">
        <v>9952</v>
      </c>
      <c r="J3397">
        <v>83661</v>
      </c>
      <c r="K3397" t="b">
        <f>TrafficData[[#This Row],[disposedChallan]]+TrafficData[[#This Row],[pendingChallan]]=TrafficData[[#This Row],[totalChallan]]</f>
        <v>1</v>
      </c>
      <c r="L3397" t="b">
        <f>TrafficData[[#This Row],[pendingAmount]]+TrafficData[[#This Row],[disposedAmount]]=TrafficData[[#This Row],[totalAmount]]</f>
        <v>1</v>
      </c>
      <c r="M3397" t="b">
        <f>TrafficData[[#This Row],[pendingCourt]]+TrafficData[[#This Row],[disposedCourt]]=TrafficData[[#This Row],[totalCourt]]</f>
        <v>1</v>
      </c>
      <c r="N3397" s="8" t="b">
        <f>AND(TrafficData[[#This Row],[disposedChallan]]&lt;=TrafficData[[#This Row],[totalChallan]],TrafficData[[#This Row],[pendingChallan]]&lt;=TrafficData[[#This Row],[totalChallan]])</f>
        <v>1</v>
      </c>
      <c r="O3397" s="8" t="b">
        <f>AND(TrafficData[[#This Row],[pendingAmount]]&lt;=TrafficData[[#This Row],[totalAmount]],TrafficData[[#This Row],[disposedAmount]]&lt;=TrafficData[[#This Row],[totalAmount]])</f>
        <v>1</v>
      </c>
      <c r="P3397" s="8" t="b">
        <f>AND(TrafficData[[#This Row],[pendingCourt]]&lt;=TrafficData[[#This Row],[totalCourt]],TrafficData[[#This Row],[disposedCourt]]&lt;=TrafficData[[#This Row],[totalCourt]])</f>
        <v>1</v>
      </c>
    </row>
    <row r="3398" spans="1:16">
      <c r="A3398" s="1">
        <v>45402</v>
      </c>
      <c r="B3398">
        <v>196695</v>
      </c>
      <c r="C3398">
        <v>65487</v>
      </c>
      <c r="D3398">
        <v>131208</v>
      </c>
      <c r="E3398">
        <v>193312601</v>
      </c>
      <c r="F3398">
        <v>82650707</v>
      </c>
      <c r="G3398">
        <v>275963308</v>
      </c>
      <c r="H3398">
        <v>75007</v>
      </c>
      <c r="I3398">
        <v>10625</v>
      </c>
      <c r="J3398">
        <v>85632</v>
      </c>
      <c r="K3398" t="b">
        <f>TrafficData[[#This Row],[disposedChallan]]+TrafficData[[#This Row],[pendingChallan]]=TrafficData[[#This Row],[totalChallan]]</f>
        <v>1</v>
      </c>
      <c r="L3398" t="b">
        <f>TrafficData[[#This Row],[pendingAmount]]+TrafficData[[#This Row],[disposedAmount]]=TrafficData[[#This Row],[totalAmount]]</f>
        <v>1</v>
      </c>
      <c r="M3398" t="b">
        <f>TrafficData[[#This Row],[pendingCourt]]+TrafficData[[#This Row],[disposedCourt]]=TrafficData[[#This Row],[totalCourt]]</f>
        <v>1</v>
      </c>
      <c r="N3398" s="8" t="b">
        <f>AND(TrafficData[[#This Row],[disposedChallan]]&lt;=TrafficData[[#This Row],[totalChallan]],TrafficData[[#This Row],[pendingChallan]]&lt;=TrafficData[[#This Row],[totalChallan]])</f>
        <v>1</v>
      </c>
      <c r="O3398" s="8" t="b">
        <f>AND(TrafficData[[#This Row],[pendingAmount]]&lt;=TrafficData[[#This Row],[totalAmount]],TrafficData[[#This Row],[disposedAmount]]&lt;=TrafficData[[#This Row],[totalAmount]])</f>
        <v>1</v>
      </c>
      <c r="P3398" s="8" t="b">
        <f>AND(TrafficData[[#This Row],[pendingCourt]]&lt;=TrafficData[[#This Row],[totalCourt]],TrafficData[[#This Row],[disposedCourt]]&lt;=TrafficData[[#This Row],[totalCourt]])</f>
        <v>1</v>
      </c>
    </row>
    <row r="3399" spans="1:16">
      <c r="A3399" s="1">
        <v>45403</v>
      </c>
      <c r="B3399">
        <v>198948</v>
      </c>
      <c r="C3399">
        <v>63626</v>
      </c>
      <c r="D3399">
        <v>135322</v>
      </c>
      <c r="E3399">
        <v>185988610</v>
      </c>
      <c r="F3399">
        <v>71492894</v>
      </c>
      <c r="G3399">
        <v>257481504</v>
      </c>
      <c r="H3399">
        <v>72132</v>
      </c>
      <c r="I3399">
        <v>9232</v>
      </c>
      <c r="J3399">
        <v>81364</v>
      </c>
      <c r="K3399" t="b">
        <f>TrafficData[[#This Row],[disposedChallan]]+TrafficData[[#This Row],[pendingChallan]]=TrafficData[[#This Row],[totalChallan]]</f>
        <v>1</v>
      </c>
      <c r="L3399" t="b">
        <f>TrafficData[[#This Row],[pendingAmount]]+TrafficData[[#This Row],[disposedAmount]]=TrafficData[[#This Row],[totalAmount]]</f>
        <v>1</v>
      </c>
      <c r="M3399" t="b">
        <f>TrafficData[[#This Row],[pendingCourt]]+TrafficData[[#This Row],[disposedCourt]]=TrafficData[[#This Row],[totalCourt]]</f>
        <v>1</v>
      </c>
      <c r="N3399" s="8" t="b">
        <f>AND(TrafficData[[#This Row],[disposedChallan]]&lt;=TrafficData[[#This Row],[totalChallan]],TrafficData[[#This Row],[pendingChallan]]&lt;=TrafficData[[#This Row],[totalChallan]])</f>
        <v>1</v>
      </c>
      <c r="O3399" s="8" t="b">
        <f>AND(TrafficData[[#This Row],[pendingAmount]]&lt;=TrafficData[[#This Row],[totalAmount]],TrafficData[[#This Row],[disposedAmount]]&lt;=TrafficData[[#This Row],[totalAmount]])</f>
        <v>1</v>
      </c>
      <c r="P3399" s="8" t="b">
        <f>AND(TrafficData[[#This Row],[pendingCourt]]&lt;=TrafficData[[#This Row],[totalCourt]],TrafficData[[#This Row],[disposedCourt]]&lt;=TrafficData[[#This Row],[totalCourt]])</f>
        <v>1</v>
      </c>
    </row>
    <row r="3400" spans="1:16">
      <c r="A3400" s="1">
        <v>45404</v>
      </c>
      <c r="B3400">
        <v>204012</v>
      </c>
      <c r="C3400">
        <v>69819</v>
      </c>
      <c r="D3400">
        <v>134193</v>
      </c>
      <c r="E3400">
        <v>197839657</v>
      </c>
      <c r="F3400">
        <v>88569326</v>
      </c>
      <c r="G3400">
        <v>286408983</v>
      </c>
      <c r="H3400">
        <v>71351</v>
      </c>
      <c r="I3400">
        <v>10137</v>
      </c>
      <c r="J3400">
        <v>81488</v>
      </c>
      <c r="K3400" t="b">
        <f>TrafficData[[#This Row],[disposedChallan]]+TrafficData[[#This Row],[pendingChallan]]=TrafficData[[#This Row],[totalChallan]]</f>
        <v>1</v>
      </c>
      <c r="L3400" t="b">
        <f>TrafficData[[#This Row],[pendingAmount]]+TrafficData[[#This Row],[disposedAmount]]=TrafficData[[#This Row],[totalAmount]]</f>
        <v>1</v>
      </c>
      <c r="M3400" t="b">
        <f>TrafficData[[#This Row],[pendingCourt]]+TrafficData[[#This Row],[disposedCourt]]=TrafficData[[#This Row],[totalCourt]]</f>
        <v>1</v>
      </c>
      <c r="N3400" s="8" t="b">
        <f>AND(TrafficData[[#This Row],[disposedChallan]]&lt;=TrafficData[[#This Row],[totalChallan]],TrafficData[[#This Row],[pendingChallan]]&lt;=TrafficData[[#This Row],[totalChallan]])</f>
        <v>1</v>
      </c>
      <c r="O3400" s="8" t="b">
        <f>AND(TrafficData[[#This Row],[pendingAmount]]&lt;=TrafficData[[#This Row],[totalAmount]],TrafficData[[#This Row],[disposedAmount]]&lt;=TrafficData[[#This Row],[totalAmount]])</f>
        <v>1</v>
      </c>
      <c r="P3400" s="8" t="b">
        <f>AND(TrafficData[[#This Row],[pendingCourt]]&lt;=TrafficData[[#This Row],[totalCourt]],TrafficData[[#This Row],[disposedCourt]]&lt;=TrafficData[[#This Row],[totalCourt]])</f>
        <v>1</v>
      </c>
    </row>
    <row r="3401" spans="1:16">
      <c r="A3401" s="1">
        <v>45405</v>
      </c>
      <c r="B3401">
        <v>193995</v>
      </c>
      <c r="C3401">
        <v>64373</v>
      </c>
      <c r="D3401">
        <v>129622</v>
      </c>
      <c r="E3401">
        <v>197991532</v>
      </c>
      <c r="F3401">
        <v>90430815</v>
      </c>
      <c r="G3401">
        <v>288422347</v>
      </c>
      <c r="H3401">
        <v>69589</v>
      </c>
      <c r="I3401">
        <v>9527</v>
      </c>
      <c r="J3401">
        <v>79116</v>
      </c>
      <c r="K3401" t="b">
        <f>TrafficData[[#This Row],[disposedChallan]]+TrafficData[[#This Row],[pendingChallan]]=TrafficData[[#This Row],[totalChallan]]</f>
        <v>1</v>
      </c>
      <c r="L3401" t="b">
        <f>TrafficData[[#This Row],[pendingAmount]]+TrafficData[[#This Row],[disposedAmount]]=TrafficData[[#This Row],[totalAmount]]</f>
        <v>1</v>
      </c>
      <c r="M3401" t="b">
        <f>TrafficData[[#This Row],[pendingCourt]]+TrafficData[[#This Row],[disposedCourt]]=TrafficData[[#This Row],[totalCourt]]</f>
        <v>1</v>
      </c>
      <c r="N3401" s="8" t="b">
        <f>AND(TrafficData[[#This Row],[disposedChallan]]&lt;=TrafficData[[#This Row],[totalChallan]],TrafficData[[#This Row],[pendingChallan]]&lt;=TrafficData[[#This Row],[totalChallan]])</f>
        <v>1</v>
      </c>
      <c r="O3401" s="8" t="b">
        <f>AND(TrafficData[[#This Row],[pendingAmount]]&lt;=TrafficData[[#This Row],[totalAmount]],TrafficData[[#This Row],[disposedAmount]]&lt;=TrafficData[[#This Row],[totalAmount]])</f>
        <v>1</v>
      </c>
      <c r="P3401" s="8" t="b">
        <f>AND(TrafficData[[#This Row],[pendingCourt]]&lt;=TrafficData[[#This Row],[totalCourt]],TrafficData[[#This Row],[disposedCourt]]&lt;=TrafficData[[#This Row],[totalCourt]])</f>
        <v>1</v>
      </c>
    </row>
    <row r="3402" spans="1:16">
      <c r="A3402" s="1">
        <v>45406</v>
      </c>
      <c r="B3402">
        <v>197572</v>
      </c>
      <c r="C3402">
        <v>63612</v>
      </c>
      <c r="D3402">
        <v>133960</v>
      </c>
      <c r="E3402">
        <v>203843968</v>
      </c>
      <c r="F3402">
        <v>93879017</v>
      </c>
      <c r="G3402">
        <v>297722985</v>
      </c>
      <c r="H3402">
        <v>69609</v>
      </c>
      <c r="I3402">
        <v>9806</v>
      </c>
      <c r="J3402">
        <v>79415</v>
      </c>
      <c r="K3402" t="b">
        <f>TrafficData[[#This Row],[disposedChallan]]+TrafficData[[#This Row],[pendingChallan]]=TrafficData[[#This Row],[totalChallan]]</f>
        <v>1</v>
      </c>
      <c r="L3402" t="b">
        <f>TrafficData[[#This Row],[pendingAmount]]+TrafficData[[#This Row],[disposedAmount]]=TrafficData[[#This Row],[totalAmount]]</f>
        <v>1</v>
      </c>
      <c r="M3402" t="b">
        <f>TrafficData[[#This Row],[pendingCourt]]+TrafficData[[#This Row],[disposedCourt]]=TrafficData[[#This Row],[totalCourt]]</f>
        <v>1</v>
      </c>
      <c r="N3402" s="8" t="b">
        <f>AND(TrafficData[[#This Row],[disposedChallan]]&lt;=TrafficData[[#This Row],[totalChallan]],TrafficData[[#This Row],[pendingChallan]]&lt;=TrafficData[[#This Row],[totalChallan]])</f>
        <v>1</v>
      </c>
      <c r="O3402" s="8" t="b">
        <f>AND(TrafficData[[#This Row],[pendingAmount]]&lt;=TrafficData[[#This Row],[totalAmount]],TrafficData[[#This Row],[disposedAmount]]&lt;=TrafficData[[#This Row],[totalAmount]])</f>
        <v>1</v>
      </c>
      <c r="P3402" s="8" t="b">
        <f>AND(TrafficData[[#This Row],[pendingCourt]]&lt;=TrafficData[[#This Row],[totalCourt]],TrafficData[[#This Row],[disposedCourt]]&lt;=TrafficData[[#This Row],[totalCourt]])</f>
        <v>1</v>
      </c>
    </row>
    <row r="3403" spans="1:16">
      <c r="A3403" s="1">
        <v>45407</v>
      </c>
      <c r="B3403">
        <v>193973</v>
      </c>
      <c r="C3403">
        <v>60637</v>
      </c>
      <c r="D3403">
        <v>133336</v>
      </c>
      <c r="E3403">
        <v>198099700</v>
      </c>
      <c r="F3403">
        <v>86948366</v>
      </c>
      <c r="G3403">
        <v>285048066</v>
      </c>
      <c r="H3403">
        <v>67212</v>
      </c>
      <c r="I3403">
        <v>9501</v>
      </c>
      <c r="J3403">
        <v>76713</v>
      </c>
      <c r="K3403" t="b">
        <f>TrafficData[[#This Row],[disposedChallan]]+TrafficData[[#This Row],[pendingChallan]]=TrafficData[[#This Row],[totalChallan]]</f>
        <v>1</v>
      </c>
      <c r="L3403" t="b">
        <f>TrafficData[[#This Row],[pendingAmount]]+TrafficData[[#This Row],[disposedAmount]]=TrafficData[[#This Row],[totalAmount]]</f>
        <v>1</v>
      </c>
      <c r="M3403" t="b">
        <f>TrafficData[[#This Row],[pendingCourt]]+TrafficData[[#This Row],[disposedCourt]]=TrafficData[[#This Row],[totalCourt]]</f>
        <v>1</v>
      </c>
      <c r="N3403" s="8" t="b">
        <f>AND(TrafficData[[#This Row],[disposedChallan]]&lt;=TrafficData[[#This Row],[totalChallan]],TrafficData[[#This Row],[pendingChallan]]&lt;=TrafficData[[#This Row],[totalChallan]])</f>
        <v>1</v>
      </c>
      <c r="O3403" s="8" t="b">
        <f>AND(TrafficData[[#This Row],[pendingAmount]]&lt;=TrafficData[[#This Row],[totalAmount]],TrafficData[[#This Row],[disposedAmount]]&lt;=TrafficData[[#This Row],[totalAmount]])</f>
        <v>1</v>
      </c>
      <c r="P3403" s="8" t="b">
        <f>AND(TrafficData[[#This Row],[pendingCourt]]&lt;=TrafficData[[#This Row],[totalCourt]],TrafficData[[#This Row],[disposedCourt]]&lt;=TrafficData[[#This Row],[totalCourt]])</f>
        <v>1</v>
      </c>
    </row>
    <row r="3404" spans="1:16">
      <c r="A3404" s="1">
        <v>45408</v>
      </c>
      <c r="B3404">
        <v>184708</v>
      </c>
      <c r="C3404">
        <v>58532</v>
      </c>
      <c r="D3404">
        <v>126176</v>
      </c>
      <c r="E3404">
        <v>193407115</v>
      </c>
      <c r="F3404">
        <v>87085656</v>
      </c>
      <c r="G3404">
        <v>280492771</v>
      </c>
      <c r="H3404">
        <v>59094</v>
      </c>
      <c r="I3404">
        <v>8489</v>
      </c>
      <c r="J3404">
        <v>67583</v>
      </c>
      <c r="K3404" t="b">
        <f>TrafficData[[#This Row],[disposedChallan]]+TrafficData[[#This Row],[pendingChallan]]=TrafficData[[#This Row],[totalChallan]]</f>
        <v>1</v>
      </c>
      <c r="L3404" t="b">
        <f>TrafficData[[#This Row],[pendingAmount]]+TrafficData[[#This Row],[disposedAmount]]=TrafficData[[#This Row],[totalAmount]]</f>
        <v>1</v>
      </c>
      <c r="M3404" t="b">
        <f>TrafficData[[#This Row],[pendingCourt]]+TrafficData[[#This Row],[disposedCourt]]=TrafficData[[#This Row],[totalCourt]]</f>
        <v>1</v>
      </c>
      <c r="N3404" s="8" t="b">
        <f>AND(TrafficData[[#This Row],[disposedChallan]]&lt;=TrafficData[[#This Row],[totalChallan]],TrafficData[[#This Row],[pendingChallan]]&lt;=TrafficData[[#This Row],[totalChallan]])</f>
        <v>1</v>
      </c>
      <c r="O3404" s="8" t="b">
        <f>AND(TrafficData[[#This Row],[pendingAmount]]&lt;=TrafficData[[#This Row],[totalAmount]],TrafficData[[#This Row],[disposedAmount]]&lt;=TrafficData[[#This Row],[totalAmount]])</f>
        <v>1</v>
      </c>
      <c r="P3404" s="8" t="b">
        <f>AND(TrafficData[[#This Row],[pendingCourt]]&lt;=TrafficData[[#This Row],[totalCourt]],TrafficData[[#This Row],[disposedCourt]]&lt;=TrafficData[[#This Row],[totalCourt]])</f>
        <v>1</v>
      </c>
    </row>
    <row r="3405" spans="1:16">
      <c r="A3405" s="1">
        <v>45409</v>
      </c>
      <c r="B3405">
        <v>207419</v>
      </c>
      <c r="C3405">
        <v>66833</v>
      </c>
      <c r="D3405">
        <v>140586</v>
      </c>
      <c r="E3405">
        <v>210823915</v>
      </c>
      <c r="F3405">
        <v>86950784</v>
      </c>
      <c r="G3405">
        <v>297774699</v>
      </c>
      <c r="H3405">
        <v>70012</v>
      </c>
      <c r="I3405">
        <v>9955</v>
      </c>
      <c r="J3405">
        <v>79967</v>
      </c>
      <c r="K3405" t="b">
        <f>TrafficData[[#This Row],[disposedChallan]]+TrafficData[[#This Row],[pendingChallan]]=TrafficData[[#This Row],[totalChallan]]</f>
        <v>1</v>
      </c>
      <c r="L3405" t="b">
        <f>TrafficData[[#This Row],[pendingAmount]]+TrafficData[[#This Row],[disposedAmount]]=TrafficData[[#This Row],[totalAmount]]</f>
        <v>1</v>
      </c>
      <c r="M3405" t="b">
        <f>TrafficData[[#This Row],[pendingCourt]]+TrafficData[[#This Row],[disposedCourt]]=TrafficData[[#This Row],[totalCourt]]</f>
        <v>1</v>
      </c>
      <c r="N3405" s="8" t="b">
        <f>AND(TrafficData[[#This Row],[disposedChallan]]&lt;=TrafficData[[#This Row],[totalChallan]],TrafficData[[#This Row],[pendingChallan]]&lt;=TrafficData[[#This Row],[totalChallan]])</f>
        <v>1</v>
      </c>
      <c r="O3405" s="8" t="b">
        <f>AND(TrafficData[[#This Row],[pendingAmount]]&lt;=TrafficData[[#This Row],[totalAmount]],TrafficData[[#This Row],[disposedAmount]]&lt;=TrafficData[[#This Row],[totalAmount]])</f>
        <v>1</v>
      </c>
      <c r="P3405" s="8" t="b">
        <f>AND(TrafficData[[#This Row],[pendingCourt]]&lt;=TrafficData[[#This Row],[totalCourt]],TrafficData[[#This Row],[disposedCourt]]&lt;=TrafficData[[#This Row],[totalCourt]])</f>
        <v>1</v>
      </c>
    </row>
    <row r="3406" spans="1:16">
      <c r="A3406" s="1">
        <v>45410</v>
      </c>
      <c r="B3406">
        <v>198604</v>
      </c>
      <c r="C3406">
        <v>64475</v>
      </c>
      <c r="D3406">
        <v>134129</v>
      </c>
      <c r="E3406">
        <v>197793238</v>
      </c>
      <c r="F3406">
        <v>73433875</v>
      </c>
      <c r="G3406">
        <v>271227113</v>
      </c>
      <c r="H3406">
        <v>67548</v>
      </c>
      <c r="I3406">
        <v>9238</v>
      </c>
      <c r="J3406">
        <v>76786</v>
      </c>
      <c r="K3406" t="b">
        <f>TrafficData[[#This Row],[disposedChallan]]+TrafficData[[#This Row],[pendingChallan]]=TrafficData[[#This Row],[totalChallan]]</f>
        <v>1</v>
      </c>
      <c r="L3406" t="b">
        <f>TrafficData[[#This Row],[pendingAmount]]+TrafficData[[#This Row],[disposedAmount]]=TrafficData[[#This Row],[totalAmount]]</f>
        <v>1</v>
      </c>
      <c r="M3406" t="b">
        <f>TrafficData[[#This Row],[pendingCourt]]+TrafficData[[#This Row],[disposedCourt]]=TrafficData[[#This Row],[totalCourt]]</f>
        <v>1</v>
      </c>
      <c r="N3406" s="8" t="b">
        <f>AND(TrafficData[[#This Row],[disposedChallan]]&lt;=TrafficData[[#This Row],[totalChallan]],TrafficData[[#This Row],[pendingChallan]]&lt;=TrafficData[[#This Row],[totalChallan]])</f>
        <v>1</v>
      </c>
      <c r="O3406" s="8" t="b">
        <f>AND(TrafficData[[#This Row],[pendingAmount]]&lt;=TrafficData[[#This Row],[totalAmount]],TrafficData[[#This Row],[disposedAmount]]&lt;=TrafficData[[#This Row],[totalAmount]])</f>
        <v>1</v>
      </c>
      <c r="P3406" s="8" t="b">
        <f>AND(TrafficData[[#This Row],[pendingCourt]]&lt;=TrafficData[[#This Row],[totalCourt]],TrafficData[[#This Row],[disposedCourt]]&lt;=TrafficData[[#This Row],[totalCourt]])</f>
        <v>1</v>
      </c>
    </row>
    <row r="3407" spans="1:16">
      <c r="A3407" s="1">
        <v>45411</v>
      </c>
      <c r="B3407">
        <v>205484</v>
      </c>
      <c r="C3407">
        <v>69192</v>
      </c>
      <c r="D3407">
        <v>136292</v>
      </c>
      <c r="E3407">
        <v>195616904</v>
      </c>
      <c r="F3407">
        <v>83064701</v>
      </c>
      <c r="G3407">
        <v>278681605</v>
      </c>
      <c r="H3407">
        <v>71420</v>
      </c>
      <c r="I3407">
        <v>9866</v>
      </c>
      <c r="J3407">
        <v>81286</v>
      </c>
      <c r="K3407" t="b">
        <f>TrafficData[[#This Row],[disposedChallan]]+TrafficData[[#This Row],[pendingChallan]]=TrafficData[[#This Row],[totalChallan]]</f>
        <v>1</v>
      </c>
      <c r="L3407" t="b">
        <f>TrafficData[[#This Row],[pendingAmount]]+TrafficData[[#This Row],[disposedAmount]]=TrafficData[[#This Row],[totalAmount]]</f>
        <v>1</v>
      </c>
      <c r="M3407" t="b">
        <f>TrafficData[[#This Row],[pendingCourt]]+TrafficData[[#This Row],[disposedCourt]]=TrafficData[[#This Row],[totalCourt]]</f>
        <v>1</v>
      </c>
      <c r="N3407" s="8" t="b">
        <f>AND(TrafficData[[#This Row],[disposedChallan]]&lt;=TrafficData[[#This Row],[totalChallan]],TrafficData[[#This Row],[pendingChallan]]&lt;=TrafficData[[#This Row],[totalChallan]])</f>
        <v>1</v>
      </c>
      <c r="O3407" s="8" t="b">
        <f>AND(TrafficData[[#This Row],[pendingAmount]]&lt;=TrafficData[[#This Row],[totalAmount]],TrafficData[[#This Row],[disposedAmount]]&lt;=TrafficData[[#This Row],[totalAmount]])</f>
        <v>1</v>
      </c>
      <c r="P3407" s="8" t="b">
        <f>AND(TrafficData[[#This Row],[pendingCourt]]&lt;=TrafficData[[#This Row],[totalCourt]],TrafficData[[#This Row],[disposedCourt]]&lt;=TrafficData[[#This Row],[totalCourt]])</f>
        <v>1</v>
      </c>
    </row>
    <row r="3408" spans="1:16">
      <c r="A3408" s="1">
        <v>45412</v>
      </c>
      <c r="B3408">
        <v>217052</v>
      </c>
      <c r="C3408">
        <v>71989</v>
      </c>
      <c r="D3408">
        <v>145063</v>
      </c>
      <c r="E3408">
        <v>223303984</v>
      </c>
      <c r="F3408">
        <v>92467988</v>
      </c>
      <c r="G3408">
        <v>315771972</v>
      </c>
      <c r="H3408">
        <v>72011</v>
      </c>
      <c r="I3408">
        <v>10363</v>
      </c>
      <c r="J3408">
        <v>82374</v>
      </c>
      <c r="K3408" t="b">
        <f>TrafficData[[#This Row],[disposedChallan]]+TrafficData[[#This Row],[pendingChallan]]=TrafficData[[#This Row],[totalChallan]]</f>
        <v>1</v>
      </c>
      <c r="L3408" t="b">
        <f>TrafficData[[#This Row],[pendingAmount]]+TrafficData[[#This Row],[disposedAmount]]=TrafficData[[#This Row],[totalAmount]]</f>
        <v>1</v>
      </c>
      <c r="M3408" t="b">
        <f>TrafficData[[#This Row],[pendingCourt]]+TrafficData[[#This Row],[disposedCourt]]=TrafficData[[#This Row],[totalCourt]]</f>
        <v>1</v>
      </c>
      <c r="N3408" s="8" t="b">
        <f>AND(TrafficData[[#This Row],[disposedChallan]]&lt;=TrafficData[[#This Row],[totalChallan]],TrafficData[[#This Row],[pendingChallan]]&lt;=TrafficData[[#This Row],[totalChallan]])</f>
        <v>1</v>
      </c>
      <c r="O3408" s="8" t="b">
        <f>AND(TrafficData[[#This Row],[pendingAmount]]&lt;=TrafficData[[#This Row],[totalAmount]],TrafficData[[#This Row],[disposedAmount]]&lt;=TrafficData[[#This Row],[totalAmount]])</f>
        <v>1</v>
      </c>
      <c r="P3408" s="8" t="b">
        <f>AND(TrafficData[[#This Row],[pendingCourt]]&lt;=TrafficData[[#This Row],[totalCourt]],TrafficData[[#This Row],[disposedCourt]]&lt;=TrafficData[[#This Row],[totalCourt]])</f>
        <v>1</v>
      </c>
    </row>
    <row r="3409" spans="1:16">
      <c r="A3409" s="1">
        <v>45413</v>
      </c>
      <c r="B3409">
        <v>227166</v>
      </c>
      <c r="C3409">
        <v>75834</v>
      </c>
      <c r="D3409">
        <v>151332</v>
      </c>
      <c r="E3409">
        <v>220621694</v>
      </c>
      <c r="F3409">
        <v>99806340</v>
      </c>
      <c r="G3409">
        <v>320428034</v>
      </c>
      <c r="H3409">
        <v>80379</v>
      </c>
      <c r="I3409">
        <v>10481</v>
      </c>
      <c r="J3409">
        <v>90860</v>
      </c>
      <c r="K3409" t="b">
        <f>TrafficData[[#This Row],[disposedChallan]]+TrafficData[[#This Row],[pendingChallan]]=TrafficData[[#This Row],[totalChallan]]</f>
        <v>1</v>
      </c>
      <c r="L3409" t="b">
        <f>TrafficData[[#This Row],[pendingAmount]]+TrafficData[[#This Row],[disposedAmount]]=TrafficData[[#This Row],[totalAmount]]</f>
        <v>1</v>
      </c>
      <c r="M3409" t="b">
        <f>TrafficData[[#This Row],[pendingCourt]]+TrafficData[[#This Row],[disposedCourt]]=TrafficData[[#This Row],[totalCourt]]</f>
        <v>1</v>
      </c>
      <c r="N3409" s="8" t="b">
        <f>AND(TrafficData[[#This Row],[disposedChallan]]&lt;=TrafficData[[#This Row],[totalChallan]],TrafficData[[#This Row],[pendingChallan]]&lt;=TrafficData[[#This Row],[totalChallan]])</f>
        <v>1</v>
      </c>
      <c r="O3409" s="8" t="b">
        <f>AND(TrafficData[[#This Row],[pendingAmount]]&lt;=TrafficData[[#This Row],[totalAmount]],TrafficData[[#This Row],[disposedAmount]]&lt;=TrafficData[[#This Row],[totalAmount]])</f>
        <v>1</v>
      </c>
      <c r="P3409" s="8" t="b">
        <f>AND(TrafficData[[#This Row],[pendingCourt]]&lt;=TrafficData[[#This Row],[totalCourt]],TrafficData[[#This Row],[disposedCourt]]&lt;=TrafficData[[#This Row],[totalCourt]])</f>
        <v>1</v>
      </c>
    </row>
    <row r="3410" spans="1:16">
      <c r="A3410" s="1">
        <v>45414</v>
      </c>
      <c r="B3410">
        <v>232056</v>
      </c>
      <c r="C3410">
        <v>78461</v>
      </c>
      <c r="D3410">
        <v>153595</v>
      </c>
      <c r="E3410">
        <v>226651097</v>
      </c>
      <c r="F3410">
        <v>110673484</v>
      </c>
      <c r="G3410">
        <v>337324581</v>
      </c>
      <c r="H3410">
        <v>74591</v>
      </c>
      <c r="I3410">
        <v>10555</v>
      </c>
      <c r="J3410">
        <v>85146</v>
      </c>
      <c r="K3410" t="b">
        <f>TrafficData[[#This Row],[disposedChallan]]+TrafficData[[#This Row],[pendingChallan]]=TrafficData[[#This Row],[totalChallan]]</f>
        <v>1</v>
      </c>
      <c r="L3410" t="b">
        <f>TrafficData[[#This Row],[pendingAmount]]+TrafficData[[#This Row],[disposedAmount]]=TrafficData[[#This Row],[totalAmount]]</f>
        <v>1</v>
      </c>
      <c r="M3410" t="b">
        <f>TrafficData[[#This Row],[pendingCourt]]+TrafficData[[#This Row],[disposedCourt]]=TrafficData[[#This Row],[totalCourt]]</f>
        <v>1</v>
      </c>
      <c r="N3410" s="8" t="b">
        <f>AND(TrafficData[[#This Row],[disposedChallan]]&lt;=TrafficData[[#This Row],[totalChallan]],TrafficData[[#This Row],[pendingChallan]]&lt;=TrafficData[[#This Row],[totalChallan]])</f>
        <v>1</v>
      </c>
      <c r="O3410" s="8" t="b">
        <f>AND(TrafficData[[#This Row],[pendingAmount]]&lt;=TrafficData[[#This Row],[totalAmount]],TrafficData[[#This Row],[disposedAmount]]&lt;=TrafficData[[#This Row],[totalAmount]])</f>
        <v>1</v>
      </c>
      <c r="P3410" s="8" t="b">
        <f>AND(TrafficData[[#This Row],[pendingCourt]]&lt;=TrafficData[[#This Row],[totalCourt]],TrafficData[[#This Row],[disposedCourt]]&lt;=TrafficData[[#This Row],[totalCourt]])</f>
        <v>1</v>
      </c>
    </row>
    <row r="3411" spans="1:16">
      <c r="A3411" s="1">
        <v>45415</v>
      </c>
      <c r="B3411">
        <v>228813</v>
      </c>
      <c r="C3411">
        <v>77133</v>
      </c>
      <c r="D3411">
        <v>151680</v>
      </c>
      <c r="E3411">
        <v>220557486</v>
      </c>
      <c r="F3411">
        <v>115435429</v>
      </c>
      <c r="G3411">
        <v>335992915</v>
      </c>
      <c r="H3411">
        <v>77058</v>
      </c>
      <c r="I3411">
        <v>10552</v>
      </c>
      <c r="J3411">
        <v>87610</v>
      </c>
      <c r="K3411" t="b">
        <f>TrafficData[[#This Row],[disposedChallan]]+TrafficData[[#This Row],[pendingChallan]]=TrafficData[[#This Row],[totalChallan]]</f>
        <v>1</v>
      </c>
      <c r="L3411" t="b">
        <f>TrafficData[[#This Row],[pendingAmount]]+TrafficData[[#This Row],[disposedAmount]]=TrafficData[[#This Row],[totalAmount]]</f>
        <v>1</v>
      </c>
      <c r="M3411" t="b">
        <f>TrafficData[[#This Row],[pendingCourt]]+TrafficData[[#This Row],[disposedCourt]]=TrafficData[[#This Row],[totalCourt]]</f>
        <v>1</v>
      </c>
      <c r="N3411" s="8" t="b">
        <f>AND(TrafficData[[#This Row],[disposedChallan]]&lt;=TrafficData[[#This Row],[totalChallan]],TrafficData[[#This Row],[pendingChallan]]&lt;=TrafficData[[#This Row],[totalChallan]])</f>
        <v>1</v>
      </c>
      <c r="O3411" s="8" t="b">
        <f>AND(TrafficData[[#This Row],[pendingAmount]]&lt;=TrafficData[[#This Row],[totalAmount]],TrafficData[[#This Row],[disposedAmount]]&lt;=TrafficData[[#This Row],[totalAmount]])</f>
        <v>1</v>
      </c>
      <c r="P3411" s="8" t="b">
        <f>AND(TrafficData[[#This Row],[pendingCourt]]&lt;=TrafficData[[#This Row],[totalCourt]],TrafficData[[#This Row],[disposedCourt]]&lt;=TrafficData[[#This Row],[totalCourt]])</f>
        <v>1</v>
      </c>
    </row>
    <row r="3412" spans="1:16">
      <c r="A3412" s="1">
        <v>45416</v>
      </c>
      <c r="B3412">
        <v>224717</v>
      </c>
      <c r="C3412">
        <v>76227</v>
      </c>
      <c r="D3412">
        <v>148490</v>
      </c>
      <c r="E3412">
        <v>230000877</v>
      </c>
      <c r="F3412">
        <v>102617112</v>
      </c>
      <c r="G3412">
        <v>332617989</v>
      </c>
      <c r="H3412">
        <v>69096</v>
      </c>
      <c r="I3412">
        <v>10896</v>
      </c>
      <c r="J3412">
        <v>79992</v>
      </c>
      <c r="K3412" t="b">
        <f>TrafficData[[#This Row],[disposedChallan]]+TrafficData[[#This Row],[pendingChallan]]=TrafficData[[#This Row],[totalChallan]]</f>
        <v>1</v>
      </c>
      <c r="L3412" t="b">
        <f>TrafficData[[#This Row],[pendingAmount]]+TrafficData[[#This Row],[disposedAmount]]=TrafficData[[#This Row],[totalAmount]]</f>
        <v>1</v>
      </c>
      <c r="M3412" t="b">
        <f>TrafficData[[#This Row],[pendingCourt]]+TrafficData[[#This Row],[disposedCourt]]=TrafficData[[#This Row],[totalCourt]]</f>
        <v>1</v>
      </c>
      <c r="N3412" s="8" t="b">
        <f>AND(TrafficData[[#This Row],[disposedChallan]]&lt;=TrafficData[[#This Row],[totalChallan]],TrafficData[[#This Row],[pendingChallan]]&lt;=TrafficData[[#This Row],[totalChallan]])</f>
        <v>1</v>
      </c>
      <c r="O3412" s="8" t="b">
        <f>AND(TrafficData[[#This Row],[pendingAmount]]&lt;=TrafficData[[#This Row],[totalAmount]],TrafficData[[#This Row],[disposedAmount]]&lt;=TrafficData[[#This Row],[totalAmount]])</f>
        <v>1</v>
      </c>
      <c r="P3412" s="8" t="b">
        <f>AND(TrafficData[[#This Row],[pendingCourt]]&lt;=TrafficData[[#This Row],[totalCourt]],TrafficData[[#This Row],[disposedCourt]]&lt;=TrafficData[[#This Row],[totalCourt]])</f>
        <v>1</v>
      </c>
    </row>
    <row r="3413" spans="1:16">
      <c r="A3413" s="1">
        <v>45417</v>
      </c>
      <c r="B3413">
        <v>195774</v>
      </c>
      <c r="C3413">
        <v>62923</v>
      </c>
      <c r="D3413">
        <v>132851</v>
      </c>
      <c r="E3413">
        <v>178796472</v>
      </c>
      <c r="F3413">
        <v>135710584</v>
      </c>
      <c r="G3413">
        <v>314507056</v>
      </c>
      <c r="H3413">
        <v>60710</v>
      </c>
      <c r="I3413">
        <v>8661</v>
      </c>
      <c r="J3413">
        <v>69371</v>
      </c>
      <c r="K3413" t="b">
        <f>TrafficData[[#This Row],[disposedChallan]]+TrafficData[[#This Row],[pendingChallan]]=TrafficData[[#This Row],[totalChallan]]</f>
        <v>1</v>
      </c>
      <c r="L3413" t="b">
        <f>TrafficData[[#This Row],[pendingAmount]]+TrafficData[[#This Row],[disposedAmount]]=TrafficData[[#This Row],[totalAmount]]</f>
        <v>1</v>
      </c>
      <c r="M3413" t="b">
        <f>TrafficData[[#This Row],[pendingCourt]]+TrafficData[[#This Row],[disposedCourt]]=TrafficData[[#This Row],[totalCourt]]</f>
        <v>1</v>
      </c>
      <c r="N3413" s="8" t="b">
        <f>AND(TrafficData[[#This Row],[disposedChallan]]&lt;=TrafficData[[#This Row],[totalChallan]],TrafficData[[#This Row],[pendingChallan]]&lt;=TrafficData[[#This Row],[totalChallan]])</f>
        <v>1</v>
      </c>
      <c r="O3413" s="8" t="b">
        <f>AND(TrafficData[[#This Row],[pendingAmount]]&lt;=TrafficData[[#This Row],[totalAmount]],TrafficData[[#This Row],[disposedAmount]]&lt;=TrafficData[[#This Row],[totalAmount]])</f>
        <v>1</v>
      </c>
      <c r="P3413" s="8" t="b">
        <f>AND(TrafficData[[#This Row],[pendingCourt]]&lt;=TrafficData[[#This Row],[totalCourt]],TrafficData[[#This Row],[disposedCourt]]&lt;=TrafficData[[#This Row],[totalCourt]])</f>
        <v>1</v>
      </c>
    </row>
    <row r="3414" spans="1:16">
      <c r="A3414" s="1">
        <v>45418</v>
      </c>
      <c r="B3414">
        <v>200134</v>
      </c>
      <c r="C3414">
        <v>65907</v>
      </c>
      <c r="D3414">
        <v>134227</v>
      </c>
      <c r="E3414">
        <v>199319296</v>
      </c>
      <c r="F3414">
        <v>95838369</v>
      </c>
      <c r="G3414">
        <v>295157665</v>
      </c>
      <c r="H3414">
        <v>61247</v>
      </c>
      <c r="I3414">
        <v>9020</v>
      </c>
      <c r="J3414">
        <v>70267</v>
      </c>
      <c r="K3414" t="b">
        <f>TrafficData[[#This Row],[disposedChallan]]+TrafficData[[#This Row],[pendingChallan]]=TrafficData[[#This Row],[totalChallan]]</f>
        <v>1</v>
      </c>
      <c r="L3414" t="b">
        <f>TrafficData[[#This Row],[pendingAmount]]+TrafficData[[#This Row],[disposedAmount]]=TrafficData[[#This Row],[totalAmount]]</f>
        <v>1</v>
      </c>
      <c r="M3414" t="b">
        <f>TrafficData[[#This Row],[pendingCourt]]+TrafficData[[#This Row],[disposedCourt]]=TrafficData[[#This Row],[totalCourt]]</f>
        <v>1</v>
      </c>
      <c r="N3414" s="8" t="b">
        <f>AND(TrafficData[[#This Row],[disposedChallan]]&lt;=TrafficData[[#This Row],[totalChallan]],TrafficData[[#This Row],[pendingChallan]]&lt;=TrafficData[[#This Row],[totalChallan]])</f>
        <v>1</v>
      </c>
      <c r="O3414" s="8" t="b">
        <f>AND(TrafficData[[#This Row],[pendingAmount]]&lt;=TrafficData[[#This Row],[totalAmount]],TrafficData[[#This Row],[disposedAmount]]&lt;=TrafficData[[#This Row],[totalAmount]])</f>
        <v>1</v>
      </c>
      <c r="P3414" s="8" t="b">
        <f>AND(TrafficData[[#This Row],[pendingCourt]]&lt;=TrafficData[[#This Row],[totalCourt]],TrafficData[[#This Row],[disposedCourt]]&lt;=TrafficData[[#This Row],[totalCourt]])</f>
        <v>1</v>
      </c>
    </row>
    <row r="3415" spans="1:16">
      <c r="A3415" s="1">
        <v>45419</v>
      </c>
      <c r="B3415">
        <v>193230</v>
      </c>
      <c r="C3415">
        <v>63783</v>
      </c>
      <c r="D3415">
        <v>129447</v>
      </c>
      <c r="E3415">
        <v>189632503</v>
      </c>
      <c r="F3415">
        <v>99905349</v>
      </c>
      <c r="G3415">
        <v>289537852</v>
      </c>
      <c r="H3415">
        <v>59616</v>
      </c>
      <c r="I3415">
        <v>8399</v>
      </c>
      <c r="J3415">
        <v>68015</v>
      </c>
      <c r="K3415" t="b">
        <f>TrafficData[[#This Row],[disposedChallan]]+TrafficData[[#This Row],[pendingChallan]]=TrafficData[[#This Row],[totalChallan]]</f>
        <v>1</v>
      </c>
      <c r="L3415" t="b">
        <f>TrafficData[[#This Row],[pendingAmount]]+TrafficData[[#This Row],[disposedAmount]]=TrafficData[[#This Row],[totalAmount]]</f>
        <v>1</v>
      </c>
      <c r="M3415" t="b">
        <f>TrafficData[[#This Row],[pendingCourt]]+TrafficData[[#This Row],[disposedCourt]]=TrafficData[[#This Row],[totalCourt]]</f>
        <v>1</v>
      </c>
      <c r="N3415" s="8" t="b">
        <f>AND(TrafficData[[#This Row],[disposedChallan]]&lt;=TrafficData[[#This Row],[totalChallan]],TrafficData[[#This Row],[pendingChallan]]&lt;=TrafficData[[#This Row],[totalChallan]])</f>
        <v>1</v>
      </c>
      <c r="O3415" s="8" t="b">
        <f>AND(TrafficData[[#This Row],[pendingAmount]]&lt;=TrafficData[[#This Row],[totalAmount]],TrafficData[[#This Row],[disposedAmount]]&lt;=TrafficData[[#This Row],[totalAmount]])</f>
        <v>1</v>
      </c>
      <c r="P3415" s="8" t="b">
        <f>AND(TrafficData[[#This Row],[pendingCourt]]&lt;=TrafficData[[#This Row],[totalCourt]],TrafficData[[#This Row],[disposedCourt]]&lt;=TrafficData[[#This Row],[totalCourt]])</f>
        <v>1</v>
      </c>
    </row>
    <row r="3416" spans="1:16">
      <c r="A3416" s="1">
        <v>45420</v>
      </c>
      <c r="B3416">
        <v>211449</v>
      </c>
      <c r="C3416">
        <v>69883</v>
      </c>
      <c r="D3416">
        <v>141566</v>
      </c>
      <c r="E3416">
        <v>212114953</v>
      </c>
      <c r="F3416">
        <v>104117248</v>
      </c>
      <c r="G3416">
        <v>316232201</v>
      </c>
      <c r="H3416">
        <v>67686</v>
      </c>
      <c r="I3416">
        <v>9529</v>
      </c>
      <c r="J3416">
        <v>77215</v>
      </c>
      <c r="K3416" t="b">
        <f>TrafficData[[#This Row],[disposedChallan]]+TrafficData[[#This Row],[pendingChallan]]=TrafficData[[#This Row],[totalChallan]]</f>
        <v>1</v>
      </c>
      <c r="L3416" t="b">
        <f>TrafficData[[#This Row],[pendingAmount]]+TrafficData[[#This Row],[disposedAmount]]=TrafficData[[#This Row],[totalAmount]]</f>
        <v>1</v>
      </c>
      <c r="M3416" t="b">
        <f>TrafficData[[#This Row],[pendingCourt]]+TrafficData[[#This Row],[disposedCourt]]=TrafficData[[#This Row],[totalCourt]]</f>
        <v>1</v>
      </c>
      <c r="N3416" s="8" t="b">
        <f>AND(TrafficData[[#This Row],[disposedChallan]]&lt;=TrafficData[[#This Row],[totalChallan]],TrafficData[[#This Row],[pendingChallan]]&lt;=TrafficData[[#This Row],[totalChallan]])</f>
        <v>1</v>
      </c>
      <c r="O3416" s="8" t="b">
        <f>AND(TrafficData[[#This Row],[pendingAmount]]&lt;=TrafficData[[#This Row],[totalAmount]],TrafficData[[#This Row],[disposedAmount]]&lt;=TrafficData[[#This Row],[totalAmount]])</f>
        <v>1</v>
      </c>
      <c r="P3416" s="8" t="b">
        <f>AND(TrafficData[[#This Row],[pendingCourt]]&lt;=TrafficData[[#This Row],[totalCourt]],TrafficData[[#This Row],[disposedCourt]]&lt;=TrafficData[[#This Row],[totalCourt]])</f>
        <v>1</v>
      </c>
    </row>
    <row r="3417" spans="1:16">
      <c r="A3417" s="1">
        <v>45421</v>
      </c>
      <c r="B3417">
        <v>211348</v>
      </c>
      <c r="C3417">
        <v>71868</v>
      </c>
      <c r="D3417">
        <v>139480</v>
      </c>
      <c r="E3417">
        <v>210815977</v>
      </c>
      <c r="F3417">
        <v>111728685</v>
      </c>
      <c r="G3417">
        <v>322544662</v>
      </c>
      <c r="H3417">
        <v>67848</v>
      </c>
      <c r="I3417">
        <v>9493</v>
      </c>
      <c r="J3417">
        <v>77341</v>
      </c>
      <c r="K3417" t="b">
        <f>TrafficData[[#This Row],[disposedChallan]]+TrafficData[[#This Row],[pendingChallan]]=TrafficData[[#This Row],[totalChallan]]</f>
        <v>1</v>
      </c>
      <c r="L3417" t="b">
        <f>TrafficData[[#This Row],[pendingAmount]]+TrafficData[[#This Row],[disposedAmount]]=TrafficData[[#This Row],[totalAmount]]</f>
        <v>1</v>
      </c>
      <c r="M3417" t="b">
        <f>TrafficData[[#This Row],[pendingCourt]]+TrafficData[[#This Row],[disposedCourt]]=TrafficData[[#This Row],[totalCourt]]</f>
        <v>1</v>
      </c>
      <c r="N3417" s="8" t="b">
        <f>AND(TrafficData[[#This Row],[disposedChallan]]&lt;=TrafficData[[#This Row],[totalChallan]],TrafficData[[#This Row],[pendingChallan]]&lt;=TrafficData[[#This Row],[totalChallan]])</f>
        <v>1</v>
      </c>
      <c r="O3417" s="8" t="b">
        <f>AND(TrafficData[[#This Row],[pendingAmount]]&lt;=TrafficData[[#This Row],[totalAmount]],TrafficData[[#This Row],[disposedAmount]]&lt;=TrafficData[[#This Row],[totalAmount]])</f>
        <v>1</v>
      </c>
      <c r="P3417" s="8" t="b">
        <f>AND(TrafficData[[#This Row],[pendingCourt]]&lt;=TrafficData[[#This Row],[totalCourt]],TrafficData[[#This Row],[disposedCourt]]&lt;=TrafficData[[#This Row],[totalCourt]])</f>
        <v>1</v>
      </c>
    </row>
    <row r="3418" spans="1:16">
      <c r="A3418" s="1">
        <v>45422</v>
      </c>
      <c r="B3418">
        <v>199226</v>
      </c>
      <c r="C3418">
        <v>67206</v>
      </c>
      <c r="D3418">
        <v>132020</v>
      </c>
      <c r="E3418">
        <v>196889727</v>
      </c>
      <c r="F3418">
        <v>101260779</v>
      </c>
      <c r="G3418">
        <v>298150506</v>
      </c>
      <c r="H3418">
        <v>61137</v>
      </c>
      <c r="I3418">
        <v>8905</v>
      </c>
      <c r="J3418">
        <v>70042</v>
      </c>
      <c r="K3418" t="b">
        <f>TrafficData[[#This Row],[disposedChallan]]+TrafficData[[#This Row],[pendingChallan]]=TrafficData[[#This Row],[totalChallan]]</f>
        <v>1</v>
      </c>
      <c r="L3418" t="b">
        <f>TrafficData[[#This Row],[pendingAmount]]+TrafficData[[#This Row],[disposedAmount]]=TrafficData[[#This Row],[totalAmount]]</f>
        <v>1</v>
      </c>
      <c r="M3418" t="b">
        <f>TrafficData[[#This Row],[pendingCourt]]+TrafficData[[#This Row],[disposedCourt]]=TrafficData[[#This Row],[totalCourt]]</f>
        <v>1</v>
      </c>
      <c r="N3418" s="8" t="b">
        <f>AND(TrafficData[[#This Row],[disposedChallan]]&lt;=TrafficData[[#This Row],[totalChallan]],TrafficData[[#This Row],[pendingChallan]]&lt;=TrafficData[[#This Row],[totalChallan]])</f>
        <v>1</v>
      </c>
      <c r="O3418" s="8" t="b">
        <f>AND(TrafficData[[#This Row],[pendingAmount]]&lt;=TrafficData[[#This Row],[totalAmount]],TrafficData[[#This Row],[disposedAmount]]&lt;=TrafficData[[#This Row],[totalAmount]])</f>
        <v>1</v>
      </c>
      <c r="P3418" s="8" t="b">
        <f>AND(TrafficData[[#This Row],[pendingCourt]]&lt;=TrafficData[[#This Row],[totalCourt]],TrafficData[[#This Row],[disposedCourt]]&lt;=TrafficData[[#This Row],[totalCourt]])</f>
        <v>1</v>
      </c>
    </row>
    <row r="3419" spans="1:16">
      <c r="A3419" s="1">
        <v>45423</v>
      </c>
      <c r="B3419">
        <v>197613</v>
      </c>
      <c r="C3419">
        <v>67697</v>
      </c>
      <c r="D3419">
        <v>129916</v>
      </c>
      <c r="E3419">
        <v>183247155</v>
      </c>
      <c r="F3419">
        <v>89399249</v>
      </c>
      <c r="G3419">
        <v>272646404</v>
      </c>
      <c r="H3419">
        <v>62072</v>
      </c>
      <c r="I3419">
        <v>8563</v>
      </c>
      <c r="J3419">
        <v>70635</v>
      </c>
      <c r="K3419" t="b">
        <f>TrafficData[[#This Row],[disposedChallan]]+TrafficData[[#This Row],[pendingChallan]]=TrafficData[[#This Row],[totalChallan]]</f>
        <v>1</v>
      </c>
      <c r="L3419" t="b">
        <f>TrafficData[[#This Row],[pendingAmount]]+TrafficData[[#This Row],[disposedAmount]]=TrafficData[[#This Row],[totalAmount]]</f>
        <v>1</v>
      </c>
      <c r="M3419" t="b">
        <f>TrafficData[[#This Row],[pendingCourt]]+TrafficData[[#This Row],[disposedCourt]]=TrafficData[[#This Row],[totalCourt]]</f>
        <v>1</v>
      </c>
      <c r="N3419" s="8" t="b">
        <f>AND(TrafficData[[#This Row],[disposedChallan]]&lt;=TrafficData[[#This Row],[totalChallan]],TrafficData[[#This Row],[pendingChallan]]&lt;=TrafficData[[#This Row],[totalChallan]])</f>
        <v>1</v>
      </c>
      <c r="O3419" s="8" t="b">
        <f>AND(TrafficData[[#This Row],[pendingAmount]]&lt;=TrafficData[[#This Row],[totalAmount]],TrafficData[[#This Row],[disposedAmount]]&lt;=TrafficData[[#This Row],[totalAmount]])</f>
        <v>1</v>
      </c>
      <c r="P3419" s="8" t="b">
        <f>AND(TrafficData[[#This Row],[pendingCourt]]&lt;=TrafficData[[#This Row],[totalCourt]],TrafficData[[#This Row],[disposedCourt]]&lt;=TrafficData[[#This Row],[totalCourt]])</f>
        <v>1</v>
      </c>
    </row>
    <row r="3420" spans="1:16">
      <c r="A3420" s="1">
        <v>45424</v>
      </c>
      <c r="B3420">
        <v>190959</v>
      </c>
      <c r="C3420">
        <v>61557</v>
      </c>
      <c r="D3420">
        <v>129402</v>
      </c>
      <c r="E3420">
        <v>183983962</v>
      </c>
      <c r="F3420">
        <v>74932400</v>
      </c>
      <c r="G3420">
        <v>258916362</v>
      </c>
      <c r="H3420">
        <v>61632</v>
      </c>
      <c r="I3420">
        <v>8608</v>
      </c>
      <c r="J3420">
        <v>70240</v>
      </c>
      <c r="K3420" t="b">
        <f>TrafficData[[#This Row],[disposedChallan]]+TrafficData[[#This Row],[pendingChallan]]=TrafficData[[#This Row],[totalChallan]]</f>
        <v>1</v>
      </c>
      <c r="L3420" t="b">
        <f>TrafficData[[#This Row],[pendingAmount]]+TrafficData[[#This Row],[disposedAmount]]=TrafficData[[#This Row],[totalAmount]]</f>
        <v>1</v>
      </c>
      <c r="M3420" t="b">
        <f>TrafficData[[#This Row],[pendingCourt]]+TrafficData[[#This Row],[disposedCourt]]=TrafficData[[#This Row],[totalCourt]]</f>
        <v>1</v>
      </c>
      <c r="N3420" s="8" t="b">
        <f>AND(TrafficData[[#This Row],[disposedChallan]]&lt;=TrafficData[[#This Row],[totalChallan]],TrafficData[[#This Row],[pendingChallan]]&lt;=TrafficData[[#This Row],[totalChallan]])</f>
        <v>1</v>
      </c>
      <c r="O3420" s="8" t="b">
        <f>AND(TrafficData[[#This Row],[pendingAmount]]&lt;=TrafficData[[#This Row],[totalAmount]],TrafficData[[#This Row],[disposedAmount]]&lt;=TrafficData[[#This Row],[totalAmount]])</f>
        <v>1</v>
      </c>
      <c r="P3420" s="8" t="b">
        <f>AND(TrafficData[[#This Row],[pendingCourt]]&lt;=TrafficData[[#This Row],[totalCourt]],TrafficData[[#This Row],[disposedCourt]]&lt;=TrafficData[[#This Row],[totalCourt]])</f>
        <v>1</v>
      </c>
    </row>
    <row r="3421" spans="1:16">
      <c r="A3421" s="1">
        <v>45425</v>
      </c>
      <c r="B3421">
        <v>202256</v>
      </c>
      <c r="C3421">
        <v>68227</v>
      </c>
      <c r="D3421">
        <v>134029</v>
      </c>
      <c r="E3421">
        <v>209284181</v>
      </c>
      <c r="F3421">
        <v>98771430</v>
      </c>
      <c r="G3421">
        <v>308055611</v>
      </c>
      <c r="H3421">
        <v>67498</v>
      </c>
      <c r="I3421">
        <v>9410</v>
      </c>
      <c r="J3421">
        <v>76908</v>
      </c>
      <c r="K3421" t="b">
        <f>TrafficData[[#This Row],[disposedChallan]]+TrafficData[[#This Row],[pendingChallan]]=TrafficData[[#This Row],[totalChallan]]</f>
        <v>1</v>
      </c>
      <c r="L3421" t="b">
        <f>TrafficData[[#This Row],[pendingAmount]]+TrafficData[[#This Row],[disposedAmount]]=TrafficData[[#This Row],[totalAmount]]</f>
        <v>1</v>
      </c>
      <c r="M3421" t="b">
        <f>TrafficData[[#This Row],[pendingCourt]]+TrafficData[[#This Row],[disposedCourt]]=TrafficData[[#This Row],[totalCourt]]</f>
        <v>1</v>
      </c>
      <c r="N3421" s="8" t="b">
        <f>AND(TrafficData[[#This Row],[disposedChallan]]&lt;=TrafficData[[#This Row],[totalChallan]],TrafficData[[#This Row],[pendingChallan]]&lt;=TrafficData[[#This Row],[totalChallan]])</f>
        <v>1</v>
      </c>
      <c r="O3421" s="8" t="b">
        <f>AND(TrafficData[[#This Row],[pendingAmount]]&lt;=TrafficData[[#This Row],[totalAmount]],TrafficData[[#This Row],[disposedAmount]]&lt;=TrafficData[[#This Row],[totalAmount]])</f>
        <v>1</v>
      </c>
      <c r="P3421" s="8" t="b">
        <f>AND(TrafficData[[#This Row],[pendingCourt]]&lt;=TrafficData[[#This Row],[totalCourt]],TrafficData[[#This Row],[disposedCourt]]&lt;=TrafficData[[#This Row],[totalCourt]])</f>
        <v>1</v>
      </c>
    </row>
    <row r="3422" spans="1:16">
      <c r="A3422" s="1">
        <v>45426</v>
      </c>
      <c r="B3422">
        <v>203640</v>
      </c>
      <c r="C3422">
        <v>68581</v>
      </c>
      <c r="D3422">
        <v>135059</v>
      </c>
      <c r="E3422">
        <v>217983897</v>
      </c>
      <c r="F3422">
        <v>106844023</v>
      </c>
      <c r="G3422">
        <v>324827920</v>
      </c>
      <c r="H3422">
        <v>68388</v>
      </c>
      <c r="I3422">
        <v>9318</v>
      </c>
      <c r="J3422">
        <v>77706</v>
      </c>
      <c r="K3422" t="b">
        <f>TrafficData[[#This Row],[disposedChallan]]+TrafficData[[#This Row],[pendingChallan]]=TrafficData[[#This Row],[totalChallan]]</f>
        <v>1</v>
      </c>
      <c r="L3422" t="b">
        <f>TrafficData[[#This Row],[pendingAmount]]+TrafficData[[#This Row],[disposedAmount]]=TrafficData[[#This Row],[totalAmount]]</f>
        <v>1</v>
      </c>
      <c r="M3422" t="b">
        <f>TrafficData[[#This Row],[pendingCourt]]+TrafficData[[#This Row],[disposedCourt]]=TrafficData[[#This Row],[totalCourt]]</f>
        <v>1</v>
      </c>
      <c r="N3422" s="8" t="b">
        <f>AND(TrafficData[[#This Row],[disposedChallan]]&lt;=TrafficData[[#This Row],[totalChallan]],TrafficData[[#This Row],[pendingChallan]]&lt;=TrafficData[[#This Row],[totalChallan]])</f>
        <v>1</v>
      </c>
      <c r="O3422" s="8" t="b">
        <f>AND(TrafficData[[#This Row],[pendingAmount]]&lt;=TrafficData[[#This Row],[totalAmount]],TrafficData[[#This Row],[disposedAmount]]&lt;=TrafficData[[#This Row],[totalAmount]])</f>
        <v>1</v>
      </c>
      <c r="P3422" s="8" t="b">
        <f>AND(TrafficData[[#This Row],[pendingCourt]]&lt;=TrafficData[[#This Row],[totalCourt]],TrafficData[[#This Row],[disposedCourt]]&lt;=TrafficData[[#This Row],[totalCourt]])</f>
        <v>1</v>
      </c>
    </row>
    <row r="3423" spans="1:16">
      <c r="A3423" s="1">
        <v>45427</v>
      </c>
      <c r="B3423">
        <v>217485</v>
      </c>
      <c r="C3423">
        <v>71845</v>
      </c>
      <c r="D3423">
        <v>145640</v>
      </c>
      <c r="E3423">
        <v>227055479</v>
      </c>
      <c r="F3423">
        <v>110454176</v>
      </c>
      <c r="G3423">
        <v>337509655</v>
      </c>
      <c r="H3423">
        <v>70521</v>
      </c>
      <c r="I3423">
        <v>9598</v>
      </c>
      <c r="J3423">
        <v>80119</v>
      </c>
      <c r="K3423" t="b">
        <f>TrafficData[[#This Row],[disposedChallan]]+TrafficData[[#This Row],[pendingChallan]]=TrafficData[[#This Row],[totalChallan]]</f>
        <v>1</v>
      </c>
      <c r="L3423" t="b">
        <f>TrafficData[[#This Row],[pendingAmount]]+TrafficData[[#This Row],[disposedAmount]]=TrafficData[[#This Row],[totalAmount]]</f>
        <v>1</v>
      </c>
      <c r="M3423" t="b">
        <f>TrafficData[[#This Row],[pendingCourt]]+TrafficData[[#This Row],[disposedCourt]]=TrafficData[[#This Row],[totalCourt]]</f>
        <v>1</v>
      </c>
      <c r="N3423" s="8" t="b">
        <f>AND(TrafficData[[#This Row],[disposedChallan]]&lt;=TrafficData[[#This Row],[totalChallan]],TrafficData[[#This Row],[pendingChallan]]&lt;=TrafficData[[#This Row],[totalChallan]])</f>
        <v>1</v>
      </c>
      <c r="O3423" s="8" t="b">
        <f>AND(TrafficData[[#This Row],[pendingAmount]]&lt;=TrafficData[[#This Row],[totalAmount]],TrafficData[[#This Row],[disposedAmount]]&lt;=TrafficData[[#This Row],[totalAmount]])</f>
        <v>1</v>
      </c>
      <c r="P3423" s="8" t="b">
        <f>AND(TrafficData[[#This Row],[pendingCourt]]&lt;=TrafficData[[#This Row],[totalCourt]],TrafficData[[#This Row],[disposedCourt]]&lt;=TrafficData[[#This Row],[totalCourt]])</f>
        <v>1</v>
      </c>
    </row>
    <row r="3424" spans="1:16">
      <c r="A3424" s="1">
        <v>45428</v>
      </c>
      <c r="B3424">
        <v>215396</v>
      </c>
      <c r="C3424">
        <v>72108</v>
      </c>
      <c r="D3424">
        <v>143288</v>
      </c>
      <c r="E3424">
        <v>215944543</v>
      </c>
      <c r="F3424">
        <v>105823756</v>
      </c>
      <c r="G3424">
        <v>321768299</v>
      </c>
      <c r="H3424">
        <v>68563</v>
      </c>
      <c r="I3424">
        <v>9138</v>
      </c>
      <c r="J3424">
        <v>77701</v>
      </c>
      <c r="K3424" t="b">
        <f>TrafficData[[#This Row],[disposedChallan]]+TrafficData[[#This Row],[pendingChallan]]=TrafficData[[#This Row],[totalChallan]]</f>
        <v>1</v>
      </c>
      <c r="L3424" t="b">
        <f>TrafficData[[#This Row],[pendingAmount]]+TrafficData[[#This Row],[disposedAmount]]=TrafficData[[#This Row],[totalAmount]]</f>
        <v>1</v>
      </c>
      <c r="M3424" t="b">
        <f>TrafficData[[#This Row],[pendingCourt]]+TrafficData[[#This Row],[disposedCourt]]=TrafficData[[#This Row],[totalCourt]]</f>
        <v>1</v>
      </c>
      <c r="N3424" s="8" t="b">
        <f>AND(TrafficData[[#This Row],[disposedChallan]]&lt;=TrafficData[[#This Row],[totalChallan]],TrafficData[[#This Row],[pendingChallan]]&lt;=TrafficData[[#This Row],[totalChallan]])</f>
        <v>1</v>
      </c>
      <c r="O3424" s="8" t="b">
        <f>AND(TrafficData[[#This Row],[pendingAmount]]&lt;=TrafficData[[#This Row],[totalAmount]],TrafficData[[#This Row],[disposedAmount]]&lt;=TrafficData[[#This Row],[totalAmount]])</f>
        <v>1</v>
      </c>
      <c r="P3424" s="8" t="b">
        <f>AND(TrafficData[[#This Row],[pendingCourt]]&lt;=TrafficData[[#This Row],[totalCourt]],TrafficData[[#This Row],[disposedCourt]]&lt;=TrafficData[[#This Row],[totalCourt]])</f>
        <v>1</v>
      </c>
    </row>
    <row r="3425" spans="1:16">
      <c r="A3425" s="1">
        <v>45429</v>
      </c>
      <c r="B3425">
        <v>208622</v>
      </c>
      <c r="C3425">
        <v>71672</v>
      </c>
      <c r="D3425">
        <v>136950</v>
      </c>
      <c r="E3425">
        <v>207108170</v>
      </c>
      <c r="F3425">
        <v>108700333</v>
      </c>
      <c r="G3425">
        <v>315808503</v>
      </c>
      <c r="H3425">
        <v>64501</v>
      </c>
      <c r="I3425">
        <v>8425</v>
      </c>
      <c r="J3425">
        <v>72926</v>
      </c>
      <c r="K3425" t="b">
        <f>TrafficData[[#This Row],[disposedChallan]]+TrafficData[[#This Row],[pendingChallan]]=TrafficData[[#This Row],[totalChallan]]</f>
        <v>1</v>
      </c>
      <c r="L3425" t="b">
        <f>TrafficData[[#This Row],[pendingAmount]]+TrafficData[[#This Row],[disposedAmount]]=TrafficData[[#This Row],[totalAmount]]</f>
        <v>1</v>
      </c>
      <c r="M3425" t="b">
        <f>TrafficData[[#This Row],[pendingCourt]]+TrafficData[[#This Row],[disposedCourt]]=TrafficData[[#This Row],[totalCourt]]</f>
        <v>1</v>
      </c>
      <c r="N3425" s="8" t="b">
        <f>AND(TrafficData[[#This Row],[disposedChallan]]&lt;=TrafficData[[#This Row],[totalChallan]],TrafficData[[#This Row],[pendingChallan]]&lt;=TrafficData[[#This Row],[totalChallan]])</f>
        <v>1</v>
      </c>
      <c r="O3425" s="8" t="b">
        <f>AND(TrafficData[[#This Row],[pendingAmount]]&lt;=TrafficData[[#This Row],[totalAmount]],TrafficData[[#This Row],[disposedAmount]]&lt;=TrafficData[[#This Row],[totalAmount]])</f>
        <v>1</v>
      </c>
      <c r="P3425" s="8" t="b">
        <f>AND(TrafficData[[#This Row],[pendingCourt]]&lt;=TrafficData[[#This Row],[totalCourt]],TrafficData[[#This Row],[disposedCourt]]&lt;=TrafficData[[#This Row],[totalCourt]])</f>
        <v>1</v>
      </c>
    </row>
    <row r="3426" spans="1:16">
      <c r="A3426" s="1">
        <v>45430</v>
      </c>
      <c r="B3426">
        <v>208494</v>
      </c>
      <c r="C3426">
        <v>72958</v>
      </c>
      <c r="D3426">
        <v>135536</v>
      </c>
      <c r="E3426">
        <v>206316608</v>
      </c>
      <c r="F3426">
        <v>99645511</v>
      </c>
      <c r="G3426">
        <v>305962119</v>
      </c>
      <c r="H3426">
        <v>62316</v>
      </c>
      <c r="I3426">
        <v>9149</v>
      </c>
      <c r="J3426">
        <v>71465</v>
      </c>
      <c r="K3426" t="b">
        <f>TrafficData[[#This Row],[disposedChallan]]+TrafficData[[#This Row],[pendingChallan]]=TrafficData[[#This Row],[totalChallan]]</f>
        <v>1</v>
      </c>
      <c r="L3426" t="b">
        <f>TrafficData[[#This Row],[pendingAmount]]+TrafficData[[#This Row],[disposedAmount]]=TrafficData[[#This Row],[totalAmount]]</f>
        <v>1</v>
      </c>
      <c r="M3426" t="b">
        <f>TrafficData[[#This Row],[pendingCourt]]+TrafficData[[#This Row],[disposedCourt]]=TrafficData[[#This Row],[totalCourt]]</f>
        <v>1</v>
      </c>
      <c r="N3426" s="8" t="b">
        <f>AND(TrafficData[[#This Row],[disposedChallan]]&lt;=TrafficData[[#This Row],[totalChallan]],TrafficData[[#This Row],[pendingChallan]]&lt;=TrafficData[[#This Row],[totalChallan]])</f>
        <v>1</v>
      </c>
      <c r="O3426" s="8" t="b">
        <f>AND(TrafficData[[#This Row],[pendingAmount]]&lt;=TrafficData[[#This Row],[totalAmount]],TrafficData[[#This Row],[disposedAmount]]&lt;=TrafficData[[#This Row],[totalAmount]])</f>
        <v>1</v>
      </c>
      <c r="P3426" s="8" t="b">
        <f>AND(TrafficData[[#This Row],[pendingCourt]]&lt;=TrafficData[[#This Row],[totalCourt]],TrafficData[[#This Row],[disposedCourt]]&lt;=TrafficData[[#This Row],[totalCourt]])</f>
        <v>1</v>
      </c>
    </row>
    <row r="3427" spans="1:16">
      <c r="A3427" s="1">
        <v>45431</v>
      </c>
      <c r="B3427">
        <v>188899</v>
      </c>
      <c r="C3427">
        <v>64754</v>
      </c>
      <c r="D3427">
        <v>124145</v>
      </c>
      <c r="E3427">
        <v>174673187</v>
      </c>
      <c r="F3427">
        <v>77490435</v>
      </c>
      <c r="G3427">
        <v>252163622</v>
      </c>
      <c r="H3427">
        <v>54179</v>
      </c>
      <c r="I3427">
        <v>7397</v>
      </c>
      <c r="J3427">
        <v>61576</v>
      </c>
      <c r="K3427" t="b">
        <f>TrafficData[[#This Row],[disposedChallan]]+TrafficData[[#This Row],[pendingChallan]]=TrafficData[[#This Row],[totalChallan]]</f>
        <v>1</v>
      </c>
      <c r="L3427" t="b">
        <f>TrafficData[[#This Row],[pendingAmount]]+TrafficData[[#This Row],[disposedAmount]]=TrafficData[[#This Row],[totalAmount]]</f>
        <v>1</v>
      </c>
      <c r="M3427" t="b">
        <f>TrafficData[[#This Row],[pendingCourt]]+TrafficData[[#This Row],[disposedCourt]]=TrafficData[[#This Row],[totalCourt]]</f>
        <v>1</v>
      </c>
      <c r="N3427" s="8" t="b">
        <f>AND(TrafficData[[#This Row],[disposedChallan]]&lt;=TrafficData[[#This Row],[totalChallan]],TrafficData[[#This Row],[pendingChallan]]&lt;=TrafficData[[#This Row],[totalChallan]])</f>
        <v>1</v>
      </c>
      <c r="O3427" s="8" t="b">
        <f>AND(TrafficData[[#This Row],[pendingAmount]]&lt;=TrafficData[[#This Row],[totalAmount]],TrafficData[[#This Row],[disposedAmount]]&lt;=TrafficData[[#This Row],[totalAmount]])</f>
        <v>1</v>
      </c>
      <c r="P3427" s="8" t="b">
        <f>AND(TrafficData[[#This Row],[pendingCourt]]&lt;=TrafficData[[#This Row],[totalCourt]],TrafficData[[#This Row],[disposedCourt]]&lt;=TrafficData[[#This Row],[totalCourt]])</f>
        <v>1</v>
      </c>
    </row>
    <row r="3428" spans="1:16">
      <c r="A3428" s="1">
        <v>45432</v>
      </c>
      <c r="B3428">
        <v>186945</v>
      </c>
      <c r="C3428">
        <v>64676</v>
      </c>
      <c r="D3428">
        <v>122269</v>
      </c>
      <c r="E3428">
        <v>181224970</v>
      </c>
      <c r="F3428">
        <v>89555534</v>
      </c>
      <c r="G3428">
        <v>270780504</v>
      </c>
      <c r="H3428">
        <v>56150</v>
      </c>
      <c r="I3428">
        <v>8080</v>
      </c>
      <c r="J3428">
        <v>64230</v>
      </c>
      <c r="K3428" t="b">
        <f>TrafficData[[#This Row],[disposedChallan]]+TrafficData[[#This Row],[pendingChallan]]=TrafficData[[#This Row],[totalChallan]]</f>
        <v>1</v>
      </c>
      <c r="L3428" t="b">
        <f>TrafficData[[#This Row],[pendingAmount]]+TrafficData[[#This Row],[disposedAmount]]=TrafficData[[#This Row],[totalAmount]]</f>
        <v>1</v>
      </c>
      <c r="M3428" t="b">
        <f>TrafficData[[#This Row],[pendingCourt]]+TrafficData[[#This Row],[disposedCourt]]=TrafficData[[#This Row],[totalCourt]]</f>
        <v>1</v>
      </c>
      <c r="N3428" s="8" t="b">
        <f>AND(TrafficData[[#This Row],[disposedChallan]]&lt;=TrafficData[[#This Row],[totalChallan]],TrafficData[[#This Row],[pendingChallan]]&lt;=TrafficData[[#This Row],[totalChallan]])</f>
        <v>1</v>
      </c>
      <c r="O3428" s="8" t="b">
        <f>AND(TrafficData[[#This Row],[pendingAmount]]&lt;=TrafficData[[#This Row],[totalAmount]],TrafficData[[#This Row],[disposedAmount]]&lt;=TrafficData[[#This Row],[totalAmount]])</f>
        <v>1</v>
      </c>
      <c r="P3428" s="8" t="b">
        <f>AND(TrafficData[[#This Row],[pendingCourt]]&lt;=TrafficData[[#This Row],[totalCourt]],TrafficData[[#This Row],[disposedCourt]]&lt;=TrafficData[[#This Row],[totalCourt]])</f>
        <v>1</v>
      </c>
    </row>
    <row r="3429" spans="1:16">
      <c r="A3429" s="1">
        <v>45433</v>
      </c>
      <c r="B3429">
        <v>204550</v>
      </c>
      <c r="C3429">
        <v>68740</v>
      </c>
      <c r="D3429">
        <v>135810</v>
      </c>
      <c r="E3429">
        <v>203515973</v>
      </c>
      <c r="F3429">
        <v>105324089</v>
      </c>
      <c r="G3429">
        <v>308840062</v>
      </c>
      <c r="H3429">
        <v>66529</v>
      </c>
      <c r="I3429">
        <v>9072</v>
      </c>
      <c r="J3429">
        <v>75601</v>
      </c>
      <c r="K3429" t="b">
        <f>TrafficData[[#This Row],[disposedChallan]]+TrafficData[[#This Row],[pendingChallan]]=TrafficData[[#This Row],[totalChallan]]</f>
        <v>1</v>
      </c>
      <c r="L3429" t="b">
        <f>TrafficData[[#This Row],[pendingAmount]]+TrafficData[[#This Row],[disposedAmount]]=TrafficData[[#This Row],[totalAmount]]</f>
        <v>1</v>
      </c>
      <c r="M3429" t="b">
        <f>TrafficData[[#This Row],[pendingCourt]]+TrafficData[[#This Row],[disposedCourt]]=TrafficData[[#This Row],[totalCourt]]</f>
        <v>1</v>
      </c>
      <c r="N3429" s="8" t="b">
        <f>AND(TrafficData[[#This Row],[disposedChallan]]&lt;=TrafficData[[#This Row],[totalChallan]],TrafficData[[#This Row],[pendingChallan]]&lt;=TrafficData[[#This Row],[totalChallan]])</f>
        <v>1</v>
      </c>
      <c r="O3429" s="8" t="b">
        <f>AND(TrafficData[[#This Row],[pendingAmount]]&lt;=TrafficData[[#This Row],[totalAmount]],TrafficData[[#This Row],[disposedAmount]]&lt;=TrafficData[[#This Row],[totalAmount]])</f>
        <v>1</v>
      </c>
      <c r="P3429" s="8" t="b">
        <f>AND(TrafficData[[#This Row],[pendingCourt]]&lt;=TrafficData[[#This Row],[totalCourt]],TrafficData[[#This Row],[disposedCourt]]&lt;=TrafficData[[#This Row],[totalCourt]])</f>
        <v>1</v>
      </c>
    </row>
    <row r="3430" spans="1:16">
      <c r="A3430" s="1">
        <v>45434</v>
      </c>
      <c r="B3430">
        <v>193450</v>
      </c>
      <c r="C3430">
        <v>67438</v>
      </c>
      <c r="D3430">
        <v>126012</v>
      </c>
      <c r="E3430">
        <v>185301913</v>
      </c>
      <c r="F3430">
        <v>100982596</v>
      </c>
      <c r="G3430">
        <v>286284509</v>
      </c>
      <c r="H3430">
        <v>63508</v>
      </c>
      <c r="I3430">
        <v>8369</v>
      </c>
      <c r="J3430">
        <v>71877</v>
      </c>
      <c r="K3430" t="b">
        <f>TrafficData[[#This Row],[disposedChallan]]+TrafficData[[#This Row],[pendingChallan]]=TrafficData[[#This Row],[totalChallan]]</f>
        <v>1</v>
      </c>
      <c r="L3430" t="b">
        <f>TrafficData[[#This Row],[pendingAmount]]+TrafficData[[#This Row],[disposedAmount]]=TrafficData[[#This Row],[totalAmount]]</f>
        <v>1</v>
      </c>
      <c r="M3430" t="b">
        <f>TrafficData[[#This Row],[pendingCourt]]+TrafficData[[#This Row],[disposedCourt]]=TrafficData[[#This Row],[totalCourt]]</f>
        <v>1</v>
      </c>
      <c r="N3430" s="8" t="b">
        <f>AND(TrafficData[[#This Row],[disposedChallan]]&lt;=TrafficData[[#This Row],[totalChallan]],TrafficData[[#This Row],[pendingChallan]]&lt;=TrafficData[[#This Row],[totalChallan]])</f>
        <v>1</v>
      </c>
      <c r="O3430" s="8" t="b">
        <f>AND(TrafficData[[#This Row],[pendingAmount]]&lt;=TrafficData[[#This Row],[totalAmount]],TrafficData[[#This Row],[disposedAmount]]&lt;=TrafficData[[#This Row],[totalAmount]])</f>
        <v>1</v>
      </c>
      <c r="P3430" s="8" t="b">
        <f>AND(TrafficData[[#This Row],[pendingCourt]]&lt;=TrafficData[[#This Row],[totalCourt]],TrafficData[[#This Row],[disposedCourt]]&lt;=TrafficData[[#This Row],[totalCourt]])</f>
        <v>1</v>
      </c>
    </row>
    <row r="3431" spans="1:16">
      <c r="A3431" s="1">
        <v>45435</v>
      </c>
      <c r="B3431">
        <v>181921</v>
      </c>
      <c r="C3431">
        <v>62764</v>
      </c>
      <c r="D3431">
        <v>119157</v>
      </c>
      <c r="E3431">
        <v>165485340</v>
      </c>
      <c r="F3431">
        <v>87726647</v>
      </c>
      <c r="G3431">
        <v>253211987</v>
      </c>
      <c r="H3431">
        <v>60689</v>
      </c>
      <c r="I3431">
        <v>7913</v>
      </c>
      <c r="J3431">
        <v>68602</v>
      </c>
      <c r="K3431" t="b">
        <f>TrafficData[[#This Row],[disposedChallan]]+TrafficData[[#This Row],[pendingChallan]]=TrafficData[[#This Row],[totalChallan]]</f>
        <v>1</v>
      </c>
      <c r="L3431" t="b">
        <f>TrafficData[[#This Row],[pendingAmount]]+TrafficData[[#This Row],[disposedAmount]]=TrafficData[[#This Row],[totalAmount]]</f>
        <v>1</v>
      </c>
      <c r="M3431" t="b">
        <f>TrafficData[[#This Row],[pendingCourt]]+TrafficData[[#This Row],[disposedCourt]]=TrafficData[[#This Row],[totalCourt]]</f>
        <v>1</v>
      </c>
      <c r="N3431" s="8" t="b">
        <f>AND(TrafficData[[#This Row],[disposedChallan]]&lt;=TrafficData[[#This Row],[totalChallan]],TrafficData[[#This Row],[pendingChallan]]&lt;=TrafficData[[#This Row],[totalChallan]])</f>
        <v>1</v>
      </c>
      <c r="O3431" s="8" t="b">
        <f>AND(TrafficData[[#This Row],[pendingAmount]]&lt;=TrafficData[[#This Row],[totalAmount]],TrafficData[[#This Row],[disposedAmount]]&lt;=TrafficData[[#This Row],[totalAmount]])</f>
        <v>1</v>
      </c>
      <c r="P3431" s="8" t="b">
        <f>AND(TrafficData[[#This Row],[pendingCourt]]&lt;=TrafficData[[#This Row],[totalCourt]],TrafficData[[#This Row],[disposedCourt]]&lt;=TrafficData[[#This Row],[totalCourt]])</f>
        <v>1</v>
      </c>
    </row>
    <row r="3432" spans="1:16">
      <c r="A3432" s="1">
        <v>45436</v>
      </c>
      <c r="B3432">
        <v>191063</v>
      </c>
      <c r="C3432">
        <v>63797</v>
      </c>
      <c r="D3432">
        <v>127266</v>
      </c>
      <c r="E3432">
        <v>177289248</v>
      </c>
      <c r="F3432">
        <v>92381733</v>
      </c>
      <c r="G3432">
        <v>269670981</v>
      </c>
      <c r="H3432">
        <v>61877</v>
      </c>
      <c r="I3432">
        <v>7997</v>
      </c>
      <c r="J3432">
        <v>69874</v>
      </c>
      <c r="K3432" t="b">
        <f>TrafficData[[#This Row],[disposedChallan]]+TrafficData[[#This Row],[pendingChallan]]=TrafficData[[#This Row],[totalChallan]]</f>
        <v>1</v>
      </c>
      <c r="L3432" t="b">
        <f>TrafficData[[#This Row],[pendingAmount]]+TrafficData[[#This Row],[disposedAmount]]=TrafficData[[#This Row],[totalAmount]]</f>
        <v>1</v>
      </c>
      <c r="M3432" t="b">
        <f>TrafficData[[#This Row],[pendingCourt]]+TrafficData[[#This Row],[disposedCourt]]=TrafficData[[#This Row],[totalCourt]]</f>
        <v>1</v>
      </c>
      <c r="N3432" s="8" t="b">
        <f>AND(TrafficData[[#This Row],[disposedChallan]]&lt;=TrafficData[[#This Row],[totalChallan]],TrafficData[[#This Row],[pendingChallan]]&lt;=TrafficData[[#This Row],[totalChallan]])</f>
        <v>1</v>
      </c>
      <c r="O3432" s="8" t="b">
        <f>AND(TrafficData[[#This Row],[pendingAmount]]&lt;=TrafficData[[#This Row],[totalAmount]],TrafficData[[#This Row],[disposedAmount]]&lt;=TrafficData[[#This Row],[totalAmount]])</f>
        <v>1</v>
      </c>
      <c r="P3432" s="8" t="b">
        <f>AND(TrafficData[[#This Row],[pendingCourt]]&lt;=TrafficData[[#This Row],[totalCourt]],TrafficData[[#This Row],[disposedCourt]]&lt;=TrafficData[[#This Row],[totalCourt]])</f>
        <v>1</v>
      </c>
    </row>
    <row r="3433" spans="1:16">
      <c r="A3433" s="1">
        <v>45437</v>
      </c>
      <c r="B3433">
        <v>195900</v>
      </c>
      <c r="C3433">
        <v>66882</v>
      </c>
      <c r="D3433">
        <v>129018</v>
      </c>
      <c r="E3433">
        <v>171174939</v>
      </c>
      <c r="F3433">
        <v>88556185</v>
      </c>
      <c r="G3433">
        <v>259731124</v>
      </c>
      <c r="H3433">
        <v>58014</v>
      </c>
      <c r="I3433">
        <v>7852</v>
      </c>
      <c r="J3433">
        <v>65866</v>
      </c>
      <c r="K3433" t="b">
        <f>TrafficData[[#This Row],[disposedChallan]]+TrafficData[[#This Row],[pendingChallan]]=TrafficData[[#This Row],[totalChallan]]</f>
        <v>1</v>
      </c>
      <c r="L3433" t="b">
        <f>TrafficData[[#This Row],[pendingAmount]]+TrafficData[[#This Row],[disposedAmount]]=TrafficData[[#This Row],[totalAmount]]</f>
        <v>1</v>
      </c>
      <c r="M3433" t="b">
        <f>TrafficData[[#This Row],[pendingCourt]]+TrafficData[[#This Row],[disposedCourt]]=TrafficData[[#This Row],[totalCourt]]</f>
        <v>1</v>
      </c>
      <c r="N3433" s="8" t="b">
        <f>AND(TrafficData[[#This Row],[disposedChallan]]&lt;=TrafficData[[#This Row],[totalChallan]],TrafficData[[#This Row],[pendingChallan]]&lt;=TrafficData[[#This Row],[totalChallan]])</f>
        <v>1</v>
      </c>
      <c r="O3433" s="8" t="b">
        <f>AND(TrafficData[[#This Row],[pendingAmount]]&lt;=TrafficData[[#This Row],[totalAmount]],TrafficData[[#This Row],[disposedAmount]]&lt;=TrafficData[[#This Row],[totalAmount]])</f>
        <v>1</v>
      </c>
      <c r="P3433" s="8" t="b">
        <f>AND(TrafficData[[#This Row],[pendingCourt]]&lt;=TrafficData[[#This Row],[totalCourt]],TrafficData[[#This Row],[disposedCourt]]&lt;=TrafficData[[#This Row],[totalCourt]])</f>
        <v>1</v>
      </c>
    </row>
    <row r="3434" spans="1:16">
      <c r="A3434" s="1">
        <v>45438</v>
      </c>
      <c r="B3434">
        <v>179508</v>
      </c>
      <c r="C3434">
        <v>59255</v>
      </c>
      <c r="D3434">
        <v>120253</v>
      </c>
      <c r="E3434">
        <v>156970054</v>
      </c>
      <c r="F3434">
        <v>70051354</v>
      </c>
      <c r="G3434">
        <v>227021408</v>
      </c>
      <c r="H3434">
        <v>53008</v>
      </c>
      <c r="I3434">
        <v>6748</v>
      </c>
      <c r="J3434">
        <v>59756</v>
      </c>
      <c r="K3434" t="b">
        <f>TrafficData[[#This Row],[disposedChallan]]+TrafficData[[#This Row],[pendingChallan]]=TrafficData[[#This Row],[totalChallan]]</f>
        <v>1</v>
      </c>
      <c r="L3434" t="b">
        <f>TrafficData[[#This Row],[pendingAmount]]+TrafficData[[#This Row],[disposedAmount]]=TrafficData[[#This Row],[totalAmount]]</f>
        <v>1</v>
      </c>
      <c r="M3434" t="b">
        <f>TrafficData[[#This Row],[pendingCourt]]+TrafficData[[#This Row],[disposedCourt]]=TrafficData[[#This Row],[totalCourt]]</f>
        <v>1</v>
      </c>
      <c r="N3434" s="8" t="b">
        <f>AND(TrafficData[[#This Row],[disposedChallan]]&lt;=TrafficData[[#This Row],[totalChallan]],TrafficData[[#This Row],[pendingChallan]]&lt;=TrafficData[[#This Row],[totalChallan]])</f>
        <v>1</v>
      </c>
      <c r="O3434" s="8" t="b">
        <f>AND(TrafficData[[#This Row],[pendingAmount]]&lt;=TrafficData[[#This Row],[totalAmount]],TrafficData[[#This Row],[disposedAmount]]&lt;=TrafficData[[#This Row],[totalAmount]])</f>
        <v>1</v>
      </c>
      <c r="P3434" s="8" t="b">
        <f>AND(TrafficData[[#This Row],[pendingCourt]]&lt;=TrafficData[[#This Row],[totalCourt]],TrafficData[[#This Row],[disposedCourt]]&lt;=TrafficData[[#This Row],[totalCourt]])</f>
        <v>1</v>
      </c>
    </row>
    <row r="3435" spans="1:16">
      <c r="A3435" s="1">
        <v>45439</v>
      </c>
      <c r="B3435">
        <v>205285</v>
      </c>
      <c r="C3435">
        <v>67925</v>
      </c>
      <c r="D3435">
        <v>137360</v>
      </c>
      <c r="E3435">
        <v>206238465</v>
      </c>
      <c r="F3435">
        <v>92894403</v>
      </c>
      <c r="G3435">
        <v>299132868</v>
      </c>
      <c r="H3435">
        <v>67927</v>
      </c>
      <c r="I3435">
        <v>8788</v>
      </c>
      <c r="J3435">
        <v>76715</v>
      </c>
      <c r="K3435" t="b">
        <f>TrafficData[[#This Row],[disposedChallan]]+TrafficData[[#This Row],[pendingChallan]]=TrafficData[[#This Row],[totalChallan]]</f>
        <v>1</v>
      </c>
      <c r="L3435" t="b">
        <f>TrafficData[[#This Row],[pendingAmount]]+TrafficData[[#This Row],[disposedAmount]]=TrafficData[[#This Row],[totalAmount]]</f>
        <v>1</v>
      </c>
      <c r="M3435" t="b">
        <f>TrafficData[[#This Row],[pendingCourt]]+TrafficData[[#This Row],[disposedCourt]]=TrafficData[[#This Row],[totalCourt]]</f>
        <v>1</v>
      </c>
      <c r="N3435" s="8" t="b">
        <f>AND(TrafficData[[#This Row],[disposedChallan]]&lt;=TrafficData[[#This Row],[totalChallan]],TrafficData[[#This Row],[pendingChallan]]&lt;=TrafficData[[#This Row],[totalChallan]])</f>
        <v>1</v>
      </c>
      <c r="O3435" s="8" t="b">
        <f>AND(TrafficData[[#This Row],[pendingAmount]]&lt;=TrafficData[[#This Row],[totalAmount]],TrafficData[[#This Row],[disposedAmount]]&lt;=TrafficData[[#This Row],[totalAmount]])</f>
        <v>1</v>
      </c>
      <c r="P3435" s="8" t="b">
        <f>AND(TrafficData[[#This Row],[pendingCourt]]&lt;=TrafficData[[#This Row],[totalCourt]],TrafficData[[#This Row],[disposedCourt]]&lt;=TrafficData[[#This Row],[totalCourt]])</f>
        <v>1</v>
      </c>
    </row>
    <row r="3436" spans="1:16">
      <c r="A3436" s="1">
        <v>45440</v>
      </c>
      <c r="B3436">
        <v>200270</v>
      </c>
      <c r="C3436">
        <v>67385</v>
      </c>
      <c r="D3436">
        <v>132885</v>
      </c>
      <c r="E3436">
        <v>209548782</v>
      </c>
      <c r="F3436">
        <v>104898679</v>
      </c>
      <c r="G3436">
        <v>314447461</v>
      </c>
      <c r="H3436">
        <v>69220</v>
      </c>
      <c r="I3436">
        <v>9138</v>
      </c>
      <c r="J3436">
        <v>78358</v>
      </c>
      <c r="K3436" t="b">
        <f>TrafficData[[#This Row],[disposedChallan]]+TrafficData[[#This Row],[pendingChallan]]=TrafficData[[#This Row],[totalChallan]]</f>
        <v>1</v>
      </c>
      <c r="L3436" t="b">
        <f>TrafficData[[#This Row],[pendingAmount]]+TrafficData[[#This Row],[disposedAmount]]=TrafficData[[#This Row],[totalAmount]]</f>
        <v>1</v>
      </c>
      <c r="M3436" t="b">
        <f>TrafficData[[#This Row],[pendingCourt]]+TrafficData[[#This Row],[disposedCourt]]=TrafficData[[#This Row],[totalCourt]]</f>
        <v>1</v>
      </c>
      <c r="N3436" s="8" t="b">
        <f>AND(TrafficData[[#This Row],[disposedChallan]]&lt;=TrafficData[[#This Row],[totalChallan]],TrafficData[[#This Row],[pendingChallan]]&lt;=TrafficData[[#This Row],[totalChallan]])</f>
        <v>1</v>
      </c>
      <c r="O3436" s="8" t="b">
        <f>AND(TrafficData[[#This Row],[pendingAmount]]&lt;=TrafficData[[#This Row],[totalAmount]],TrafficData[[#This Row],[disposedAmount]]&lt;=TrafficData[[#This Row],[totalAmount]])</f>
        <v>1</v>
      </c>
      <c r="P3436" s="8" t="b">
        <f>AND(TrafficData[[#This Row],[pendingCourt]]&lt;=TrafficData[[#This Row],[totalCourt]],TrafficData[[#This Row],[disposedCourt]]&lt;=TrafficData[[#This Row],[totalCourt]])</f>
        <v>1</v>
      </c>
    </row>
    <row r="3437" spans="1:16">
      <c r="A3437" s="1">
        <v>45441</v>
      </c>
      <c r="B3437">
        <v>199523</v>
      </c>
      <c r="C3437">
        <v>66649</v>
      </c>
      <c r="D3437">
        <v>132874</v>
      </c>
      <c r="E3437">
        <v>214685050</v>
      </c>
      <c r="F3437">
        <v>105047822</v>
      </c>
      <c r="G3437">
        <v>319732872</v>
      </c>
      <c r="H3437">
        <v>66492</v>
      </c>
      <c r="I3437">
        <v>9136</v>
      </c>
      <c r="J3437">
        <v>75628</v>
      </c>
      <c r="K3437" t="b">
        <f>TrafficData[[#This Row],[disposedChallan]]+TrafficData[[#This Row],[pendingChallan]]=TrafficData[[#This Row],[totalChallan]]</f>
        <v>1</v>
      </c>
      <c r="L3437" t="b">
        <f>TrafficData[[#This Row],[pendingAmount]]+TrafficData[[#This Row],[disposedAmount]]=TrafficData[[#This Row],[totalAmount]]</f>
        <v>1</v>
      </c>
      <c r="M3437" t="b">
        <f>TrafficData[[#This Row],[pendingCourt]]+TrafficData[[#This Row],[disposedCourt]]=TrafficData[[#This Row],[totalCourt]]</f>
        <v>1</v>
      </c>
      <c r="N3437" s="8" t="b">
        <f>AND(TrafficData[[#This Row],[disposedChallan]]&lt;=TrafficData[[#This Row],[totalChallan]],TrafficData[[#This Row],[pendingChallan]]&lt;=TrafficData[[#This Row],[totalChallan]])</f>
        <v>1</v>
      </c>
      <c r="O3437" s="8" t="b">
        <f>AND(TrafficData[[#This Row],[pendingAmount]]&lt;=TrafficData[[#This Row],[totalAmount]],TrafficData[[#This Row],[disposedAmount]]&lt;=TrafficData[[#This Row],[totalAmount]])</f>
        <v>1</v>
      </c>
      <c r="P3437" s="8" t="b">
        <f>AND(TrafficData[[#This Row],[pendingCourt]]&lt;=TrafficData[[#This Row],[totalCourt]],TrafficData[[#This Row],[disposedCourt]]&lt;=TrafficData[[#This Row],[totalCourt]])</f>
        <v>1</v>
      </c>
    </row>
    <row r="3438" spans="1:16">
      <c r="A3438" s="1">
        <v>45442</v>
      </c>
      <c r="B3438">
        <v>196841</v>
      </c>
      <c r="C3438">
        <v>66870</v>
      </c>
      <c r="D3438">
        <v>129971</v>
      </c>
      <c r="E3438">
        <v>206241190</v>
      </c>
      <c r="F3438">
        <v>104111099</v>
      </c>
      <c r="G3438">
        <v>310352289</v>
      </c>
      <c r="H3438">
        <v>65446</v>
      </c>
      <c r="I3438">
        <v>9216</v>
      </c>
      <c r="J3438">
        <v>74662</v>
      </c>
      <c r="K3438" t="b">
        <f>TrafficData[[#This Row],[disposedChallan]]+TrafficData[[#This Row],[pendingChallan]]=TrafficData[[#This Row],[totalChallan]]</f>
        <v>1</v>
      </c>
      <c r="L3438" t="b">
        <f>TrafficData[[#This Row],[pendingAmount]]+TrafficData[[#This Row],[disposedAmount]]=TrafficData[[#This Row],[totalAmount]]</f>
        <v>1</v>
      </c>
      <c r="M3438" t="b">
        <f>TrafficData[[#This Row],[pendingCourt]]+TrafficData[[#This Row],[disposedCourt]]=TrafficData[[#This Row],[totalCourt]]</f>
        <v>1</v>
      </c>
      <c r="N3438" s="8" t="b">
        <f>AND(TrafficData[[#This Row],[disposedChallan]]&lt;=TrafficData[[#This Row],[totalChallan]],TrafficData[[#This Row],[pendingChallan]]&lt;=TrafficData[[#This Row],[totalChallan]])</f>
        <v>1</v>
      </c>
      <c r="O3438" s="8" t="b">
        <f>AND(TrafficData[[#This Row],[pendingAmount]]&lt;=TrafficData[[#This Row],[totalAmount]],TrafficData[[#This Row],[disposedAmount]]&lt;=TrafficData[[#This Row],[totalAmount]])</f>
        <v>1</v>
      </c>
      <c r="P3438" s="8" t="b">
        <f>AND(TrafficData[[#This Row],[pendingCourt]]&lt;=TrafficData[[#This Row],[totalCourt]],TrafficData[[#This Row],[disposedCourt]]&lt;=TrafficData[[#This Row],[totalCourt]])</f>
        <v>1</v>
      </c>
    </row>
    <row r="3439" spans="1:16">
      <c r="A3439" s="1">
        <v>45443</v>
      </c>
      <c r="B3439">
        <v>198148</v>
      </c>
      <c r="C3439">
        <v>66115</v>
      </c>
      <c r="D3439">
        <v>132033</v>
      </c>
      <c r="E3439">
        <v>214651765</v>
      </c>
      <c r="F3439">
        <v>98421744</v>
      </c>
      <c r="G3439">
        <v>313073509</v>
      </c>
      <c r="H3439">
        <v>63790</v>
      </c>
      <c r="I3439">
        <v>8835</v>
      </c>
      <c r="J3439">
        <v>72625</v>
      </c>
      <c r="K3439" t="b">
        <f>TrafficData[[#This Row],[disposedChallan]]+TrafficData[[#This Row],[pendingChallan]]=TrafficData[[#This Row],[totalChallan]]</f>
        <v>1</v>
      </c>
      <c r="L3439" t="b">
        <f>TrafficData[[#This Row],[pendingAmount]]+TrafficData[[#This Row],[disposedAmount]]=TrafficData[[#This Row],[totalAmount]]</f>
        <v>1</v>
      </c>
      <c r="M3439" t="b">
        <f>TrafficData[[#This Row],[pendingCourt]]+TrafficData[[#This Row],[disposedCourt]]=TrafficData[[#This Row],[totalCourt]]</f>
        <v>1</v>
      </c>
      <c r="N3439" s="8" t="b">
        <f>AND(TrafficData[[#This Row],[disposedChallan]]&lt;=TrafficData[[#This Row],[totalChallan]],TrafficData[[#This Row],[pendingChallan]]&lt;=TrafficData[[#This Row],[totalChallan]])</f>
        <v>1</v>
      </c>
      <c r="O3439" s="8" t="b">
        <f>AND(TrafficData[[#This Row],[pendingAmount]]&lt;=TrafficData[[#This Row],[totalAmount]],TrafficData[[#This Row],[disposedAmount]]&lt;=TrafficData[[#This Row],[totalAmount]])</f>
        <v>1</v>
      </c>
      <c r="P3439" s="8" t="b">
        <f>AND(TrafficData[[#This Row],[pendingCourt]]&lt;=TrafficData[[#This Row],[totalCourt]],TrafficData[[#This Row],[disposedCourt]]&lt;=TrafficData[[#This Row],[totalCourt]])</f>
        <v>1</v>
      </c>
    </row>
    <row r="3440" spans="1:16">
      <c r="A3440" s="1">
        <v>45444</v>
      </c>
      <c r="B3440">
        <v>207246</v>
      </c>
      <c r="C3440">
        <v>72508</v>
      </c>
      <c r="D3440">
        <v>134738</v>
      </c>
      <c r="E3440">
        <v>213445476</v>
      </c>
      <c r="F3440">
        <v>106293867</v>
      </c>
      <c r="G3440">
        <v>319739343</v>
      </c>
      <c r="H3440">
        <v>69250</v>
      </c>
      <c r="I3440">
        <v>9114</v>
      </c>
      <c r="J3440">
        <v>78364</v>
      </c>
      <c r="K3440" t="b">
        <f>TrafficData[[#This Row],[disposedChallan]]+TrafficData[[#This Row],[pendingChallan]]=TrafficData[[#This Row],[totalChallan]]</f>
        <v>1</v>
      </c>
      <c r="L3440" t="b">
        <f>TrafficData[[#This Row],[pendingAmount]]+TrafficData[[#This Row],[disposedAmount]]=TrafficData[[#This Row],[totalAmount]]</f>
        <v>1</v>
      </c>
      <c r="M3440" t="b">
        <f>TrafficData[[#This Row],[pendingCourt]]+TrafficData[[#This Row],[disposedCourt]]=TrafficData[[#This Row],[totalCourt]]</f>
        <v>1</v>
      </c>
      <c r="N3440" s="8" t="b">
        <f>AND(TrafficData[[#This Row],[disposedChallan]]&lt;=TrafficData[[#This Row],[totalChallan]],TrafficData[[#This Row],[pendingChallan]]&lt;=TrafficData[[#This Row],[totalChallan]])</f>
        <v>1</v>
      </c>
      <c r="O3440" s="8" t="b">
        <f>AND(TrafficData[[#This Row],[pendingAmount]]&lt;=TrafficData[[#This Row],[totalAmount]],TrafficData[[#This Row],[disposedAmount]]&lt;=TrafficData[[#This Row],[totalAmount]])</f>
        <v>1</v>
      </c>
      <c r="P3440" s="8" t="b">
        <f>AND(TrafficData[[#This Row],[pendingCourt]]&lt;=TrafficData[[#This Row],[totalCourt]],TrafficData[[#This Row],[disposedCourt]]&lt;=TrafficData[[#This Row],[totalCourt]])</f>
        <v>1</v>
      </c>
    </row>
    <row r="3441" spans="1:16">
      <c r="A3441" s="1">
        <v>45445</v>
      </c>
      <c r="B3441">
        <v>209095</v>
      </c>
      <c r="C3441">
        <v>70501</v>
      </c>
      <c r="D3441">
        <v>138594</v>
      </c>
      <c r="E3441">
        <v>190345010</v>
      </c>
      <c r="F3441">
        <v>89488491</v>
      </c>
      <c r="G3441">
        <v>279833501</v>
      </c>
      <c r="H3441">
        <v>67228</v>
      </c>
      <c r="I3441">
        <v>8384</v>
      </c>
      <c r="J3441">
        <v>75612</v>
      </c>
      <c r="K3441" t="b">
        <f>TrafficData[[#This Row],[disposedChallan]]+TrafficData[[#This Row],[pendingChallan]]=TrafficData[[#This Row],[totalChallan]]</f>
        <v>1</v>
      </c>
      <c r="L3441" t="b">
        <f>TrafficData[[#This Row],[pendingAmount]]+TrafficData[[#This Row],[disposedAmount]]=TrafficData[[#This Row],[totalAmount]]</f>
        <v>1</v>
      </c>
      <c r="M3441" t="b">
        <f>TrafficData[[#This Row],[pendingCourt]]+TrafficData[[#This Row],[disposedCourt]]=TrafficData[[#This Row],[totalCourt]]</f>
        <v>1</v>
      </c>
      <c r="N3441" s="8" t="b">
        <f>AND(TrafficData[[#This Row],[disposedChallan]]&lt;=TrafficData[[#This Row],[totalChallan]],TrafficData[[#This Row],[pendingChallan]]&lt;=TrafficData[[#This Row],[totalChallan]])</f>
        <v>1</v>
      </c>
      <c r="O3441" s="8" t="b">
        <f>AND(TrafficData[[#This Row],[pendingAmount]]&lt;=TrafficData[[#This Row],[totalAmount]],TrafficData[[#This Row],[disposedAmount]]&lt;=TrafficData[[#This Row],[totalAmount]])</f>
        <v>1</v>
      </c>
      <c r="P3441" s="8" t="b">
        <f>AND(TrafficData[[#This Row],[pendingCourt]]&lt;=TrafficData[[#This Row],[totalCourt]],TrafficData[[#This Row],[disposedCourt]]&lt;=TrafficData[[#This Row],[totalCourt]])</f>
        <v>1</v>
      </c>
    </row>
    <row r="3442" spans="1:16">
      <c r="A3442" s="1">
        <v>45446</v>
      </c>
      <c r="B3442">
        <v>214961</v>
      </c>
      <c r="C3442">
        <v>71295</v>
      </c>
      <c r="D3442">
        <v>143666</v>
      </c>
      <c r="E3442">
        <v>222568709</v>
      </c>
      <c r="F3442">
        <v>102553780</v>
      </c>
      <c r="G3442">
        <v>325122489</v>
      </c>
      <c r="H3442">
        <v>73703</v>
      </c>
      <c r="I3442">
        <v>9431</v>
      </c>
      <c r="J3442">
        <v>83134</v>
      </c>
      <c r="K3442" t="b">
        <f>TrafficData[[#This Row],[disposedChallan]]+TrafficData[[#This Row],[pendingChallan]]=TrafficData[[#This Row],[totalChallan]]</f>
        <v>1</v>
      </c>
      <c r="L3442" t="b">
        <f>TrafficData[[#This Row],[pendingAmount]]+TrafficData[[#This Row],[disposedAmount]]=TrafficData[[#This Row],[totalAmount]]</f>
        <v>1</v>
      </c>
      <c r="M3442" t="b">
        <f>TrafficData[[#This Row],[pendingCourt]]+TrafficData[[#This Row],[disposedCourt]]=TrafficData[[#This Row],[totalCourt]]</f>
        <v>1</v>
      </c>
      <c r="N3442" s="8" t="b">
        <f>AND(TrafficData[[#This Row],[disposedChallan]]&lt;=TrafficData[[#This Row],[totalChallan]],TrafficData[[#This Row],[pendingChallan]]&lt;=TrafficData[[#This Row],[totalChallan]])</f>
        <v>1</v>
      </c>
      <c r="O3442" s="8" t="b">
        <f>AND(TrafficData[[#This Row],[pendingAmount]]&lt;=TrafficData[[#This Row],[totalAmount]],TrafficData[[#This Row],[disposedAmount]]&lt;=TrafficData[[#This Row],[totalAmount]])</f>
        <v>1</v>
      </c>
      <c r="P3442" s="8" t="b">
        <f>AND(TrafficData[[#This Row],[pendingCourt]]&lt;=TrafficData[[#This Row],[totalCourt]],TrafficData[[#This Row],[disposedCourt]]&lt;=TrafficData[[#This Row],[totalCourt]])</f>
        <v>1</v>
      </c>
    </row>
    <row r="3443" spans="1:16">
      <c r="A3443" s="1">
        <v>45447</v>
      </c>
      <c r="B3443">
        <v>155543</v>
      </c>
      <c r="C3443">
        <v>49435</v>
      </c>
      <c r="D3443">
        <v>106108</v>
      </c>
      <c r="E3443">
        <v>172222581</v>
      </c>
      <c r="F3443">
        <v>85054090</v>
      </c>
      <c r="G3443">
        <v>257276671</v>
      </c>
      <c r="H3443">
        <v>57259</v>
      </c>
      <c r="I3443">
        <v>7686</v>
      </c>
      <c r="J3443">
        <v>64945</v>
      </c>
      <c r="K3443" t="b">
        <f>TrafficData[[#This Row],[disposedChallan]]+TrafficData[[#This Row],[pendingChallan]]=TrafficData[[#This Row],[totalChallan]]</f>
        <v>1</v>
      </c>
      <c r="L3443" t="b">
        <f>TrafficData[[#This Row],[pendingAmount]]+TrafficData[[#This Row],[disposedAmount]]=TrafficData[[#This Row],[totalAmount]]</f>
        <v>1</v>
      </c>
      <c r="M3443" t="b">
        <f>TrafficData[[#This Row],[pendingCourt]]+TrafficData[[#This Row],[disposedCourt]]=TrafficData[[#This Row],[totalCourt]]</f>
        <v>1</v>
      </c>
      <c r="N3443" s="8" t="b">
        <f>AND(TrafficData[[#This Row],[disposedChallan]]&lt;=TrafficData[[#This Row],[totalChallan]],TrafficData[[#This Row],[pendingChallan]]&lt;=TrafficData[[#This Row],[totalChallan]])</f>
        <v>1</v>
      </c>
      <c r="O3443" s="8" t="b">
        <f>AND(TrafficData[[#This Row],[pendingAmount]]&lt;=TrafficData[[#This Row],[totalAmount]],TrafficData[[#This Row],[disposedAmount]]&lt;=TrafficData[[#This Row],[totalAmount]])</f>
        <v>1</v>
      </c>
      <c r="P3443" s="8" t="b">
        <f>AND(TrafficData[[#This Row],[pendingCourt]]&lt;=TrafficData[[#This Row],[totalCourt]],TrafficData[[#This Row],[disposedCourt]]&lt;=TrafficData[[#This Row],[totalCourt]])</f>
        <v>1</v>
      </c>
    </row>
    <row r="3444" spans="1:16">
      <c r="A3444" s="1">
        <v>45448</v>
      </c>
      <c r="B3444">
        <v>229610</v>
      </c>
      <c r="C3444">
        <v>76414</v>
      </c>
      <c r="D3444">
        <v>153196</v>
      </c>
      <c r="E3444">
        <v>240703501</v>
      </c>
      <c r="F3444">
        <v>120213063</v>
      </c>
      <c r="G3444">
        <v>360916564</v>
      </c>
      <c r="H3444">
        <v>76815</v>
      </c>
      <c r="I3444">
        <v>9833</v>
      </c>
      <c r="J3444">
        <v>86648</v>
      </c>
      <c r="K3444" t="b">
        <f>TrafficData[[#This Row],[disposedChallan]]+TrafficData[[#This Row],[pendingChallan]]=TrafficData[[#This Row],[totalChallan]]</f>
        <v>1</v>
      </c>
      <c r="L3444" t="b">
        <f>TrafficData[[#This Row],[pendingAmount]]+TrafficData[[#This Row],[disposedAmount]]=TrafficData[[#This Row],[totalAmount]]</f>
        <v>1</v>
      </c>
      <c r="M3444" t="b">
        <f>TrafficData[[#This Row],[pendingCourt]]+TrafficData[[#This Row],[disposedCourt]]=TrafficData[[#This Row],[totalCourt]]</f>
        <v>1</v>
      </c>
      <c r="N3444" s="8" t="b">
        <f>AND(TrafficData[[#This Row],[disposedChallan]]&lt;=TrafficData[[#This Row],[totalChallan]],TrafficData[[#This Row],[pendingChallan]]&lt;=TrafficData[[#This Row],[totalChallan]])</f>
        <v>1</v>
      </c>
      <c r="O3444" s="8" t="b">
        <f>AND(TrafficData[[#This Row],[pendingAmount]]&lt;=TrafficData[[#This Row],[totalAmount]],TrafficData[[#This Row],[disposedAmount]]&lt;=TrafficData[[#This Row],[totalAmount]])</f>
        <v>1</v>
      </c>
      <c r="P3444" s="8" t="b">
        <f>AND(TrafficData[[#This Row],[pendingCourt]]&lt;=TrafficData[[#This Row],[totalCourt]],TrafficData[[#This Row],[disposedCourt]]&lt;=TrafficData[[#This Row],[totalCourt]])</f>
        <v>1</v>
      </c>
    </row>
    <row r="3445" spans="1:16">
      <c r="A3445" s="1">
        <v>45449</v>
      </c>
      <c r="B3445">
        <v>234226</v>
      </c>
      <c r="C3445">
        <v>76865</v>
      </c>
      <c r="D3445">
        <v>157361</v>
      </c>
      <c r="E3445">
        <v>237964340</v>
      </c>
      <c r="F3445">
        <v>128326534</v>
      </c>
      <c r="G3445">
        <v>366290874</v>
      </c>
      <c r="H3445">
        <v>81187</v>
      </c>
      <c r="I3445">
        <v>9935</v>
      </c>
      <c r="J3445">
        <v>91122</v>
      </c>
      <c r="K3445" t="b">
        <f>TrafficData[[#This Row],[disposedChallan]]+TrafficData[[#This Row],[pendingChallan]]=TrafficData[[#This Row],[totalChallan]]</f>
        <v>1</v>
      </c>
      <c r="L3445" t="b">
        <f>TrafficData[[#This Row],[pendingAmount]]+TrafficData[[#This Row],[disposedAmount]]=TrafficData[[#This Row],[totalAmount]]</f>
        <v>1</v>
      </c>
      <c r="M3445" t="b">
        <f>TrafficData[[#This Row],[pendingCourt]]+TrafficData[[#This Row],[disposedCourt]]=TrafficData[[#This Row],[totalCourt]]</f>
        <v>1</v>
      </c>
      <c r="N3445" s="8" t="b">
        <f>AND(TrafficData[[#This Row],[disposedChallan]]&lt;=TrafficData[[#This Row],[totalChallan]],TrafficData[[#This Row],[pendingChallan]]&lt;=TrafficData[[#This Row],[totalChallan]])</f>
        <v>1</v>
      </c>
      <c r="O3445" s="8" t="b">
        <f>AND(TrafficData[[#This Row],[pendingAmount]]&lt;=TrafficData[[#This Row],[totalAmount]],TrafficData[[#This Row],[disposedAmount]]&lt;=TrafficData[[#This Row],[totalAmount]])</f>
        <v>1</v>
      </c>
      <c r="P3445" s="8" t="b">
        <f>AND(TrafficData[[#This Row],[pendingCourt]]&lt;=TrafficData[[#This Row],[totalCourt]],TrafficData[[#This Row],[disposedCourt]]&lt;=TrafficData[[#This Row],[totalCourt]])</f>
        <v>1</v>
      </c>
    </row>
    <row r="3446" spans="1:16">
      <c r="A3446" s="1">
        <v>45450</v>
      </c>
      <c r="B3446">
        <v>232412</v>
      </c>
      <c r="C3446">
        <v>78268</v>
      </c>
      <c r="D3446">
        <v>154144</v>
      </c>
      <c r="E3446">
        <v>233087352</v>
      </c>
      <c r="F3446">
        <v>126008401</v>
      </c>
      <c r="G3446">
        <v>359095753</v>
      </c>
      <c r="H3446">
        <v>76978</v>
      </c>
      <c r="I3446">
        <v>9397</v>
      </c>
      <c r="J3446">
        <v>86375</v>
      </c>
      <c r="K3446" t="b">
        <f>TrafficData[[#This Row],[disposedChallan]]+TrafficData[[#This Row],[pendingChallan]]=TrafficData[[#This Row],[totalChallan]]</f>
        <v>1</v>
      </c>
      <c r="L3446" t="b">
        <f>TrafficData[[#This Row],[pendingAmount]]+TrafficData[[#This Row],[disposedAmount]]=TrafficData[[#This Row],[totalAmount]]</f>
        <v>1</v>
      </c>
      <c r="M3446" t="b">
        <f>TrafficData[[#This Row],[pendingCourt]]+TrafficData[[#This Row],[disposedCourt]]=TrafficData[[#This Row],[totalCourt]]</f>
        <v>1</v>
      </c>
      <c r="N3446" s="8" t="b">
        <f>AND(TrafficData[[#This Row],[disposedChallan]]&lt;=TrafficData[[#This Row],[totalChallan]],TrafficData[[#This Row],[pendingChallan]]&lt;=TrafficData[[#This Row],[totalChallan]])</f>
        <v>1</v>
      </c>
      <c r="O3446" s="8" t="b">
        <f>AND(TrafficData[[#This Row],[pendingAmount]]&lt;=TrafficData[[#This Row],[totalAmount]],TrafficData[[#This Row],[disposedAmount]]&lt;=TrafficData[[#This Row],[totalAmount]])</f>
        <v>1</v>
      </c>
      <c r="P3446" s="8" t="b">
        <f>AND(TrafficData[[#This Row],[pendingCourt]]&lt;=TrafficData[[#This Row],[totalCourt]],TrafficData[[#This Row],[disposedCourt]]&lt;=TrafficData[[#This Row],[totalCourt]])</f>
        <v>1</v>
      </c>
    </row>
    <row r="3447" spans="1:16">
      <c r="A3447" s="1">
        <v>45451</v>
      </c>
      <c r="B3447">
        <v>223370</v>
      </c>
      <c r="C3447">
        <v>76521</v>
      </c>
      <c r="D3447">
        <v>146849</v>
      </c>
      <c r="E3447">
        <v>210169939</v>
      </c>
      <c r="F3447">
        <v>109940051</v>
      </c>
      <c r="G3447">
        <v>320109990</v>
      </c>
      <c r="H3447">
        <v>73197</v>
      </c>
      <c r="I3447">
        <v>9535</v>
      </c>
      <c r="J3447">
        <v>82732</v>
      </c>
      <c r="K3447" t="b">
        <f>TrafficData[[#This Row],[disposedChallan]]+TrafficData[[#This Row],[pendingChallan]]=TrafficData[[#This Row],[totalChallan]]</f>
        <v>1</v>
      </c>
      <c r="L3447" t="b">
        <f>TrafficData[[#This Row],[pendingAmount]]+TrafficData[[#This Row],[disposedAmount]]=TrafficData[[#This Row],[totalAmount]]</f>
        <v>1</v>
      </c>
      <c r="M3447" t="b">
        <f>TrafficData[[#This Row],[pendingCourt]]+TrafficData[[#This Row],[disposedCourt]]=TrafficData[[#This Row],[totalCourt]]</f>
        <v>1</v>
      </c>
      <c r="N3447" s="8" t="b">
        <f>AND(TrafficData[[#This Row],[disposedChallan]]&lt;=TrafficData[[#This Row],[totalChallan]],TrafficData[[#This Row],[pendingChallan]]&lt;=TrafficData[[#This Row],[totalChallan]])</f>
        <v>1</v>
      </c>
      <c r="O3447" s="8" t="b">
        <f>AND(TrafficData[[#This Row],[pendingAmount]]&lt;=TrafficData[[#This Row],[totalAmount]],TrafficData[[#This Row],[disposedAmount]]&lt;=TrafficData[[#This Row],[totalAmount]])</f>
        <v>1</v>
      </c>
      <c r="P3447" s="8" t="b">
        <f>AND(TrafficData[[#This Row],[pendingCourt]]&lt;=TrafficData[[#This Row],[totalCourt]],TrafficData[[#This Row],[disposedCourt]]&lt;=TrafficData[[#This Row],[totalCourt]])</f>
        <v>1</v>
      </c>
    </row>
    <row r="3448" spans="1:16">
      <c r="A3448" s="1">
        <v>45452</v>
      </c>
      <c r="B3448">
        <v>190880</v>
      </c>
      <c r="C3448">
        <v>64655</v>
      </c>
      <c r="D3448">
        <v>126225</v>
      </c>
      <c r="E3448">
        <v>168293786</v>
      </c>
      <c r="F3448">
        <v>84143358</v>
      </c>
      <c r="G3448">
        <v>252437144</v>
      </c>
      <c r="H3448">
        <v>58758</v>
      </c>
      <c r="I3448">
        <v>7370</v>
      </c>
      <c r="J3448">
        <v>66128</v>
      </c>
      <c r="K3448" t="b">
        <f>TrafficData[[#This Row],[disposedChallan]]+TrafficData[[#This Row],[pendingChallan]]=TrafficData[[#This Row],[totalChallan]]</f>
        <v>1</v>
      </c>
      <c r="L3448" t="b">
        <f>TrafficData[[#This Row],[pendingAmount]]+TrafficData[[#This Row],[disposedAmount]]=TrafficData[[#This Row],[totalAmount]]</f>
        <v>1</v>
      </c>
      <c r="M3448" t="b">
        <f>TrafficData[[#This Row],[pendingCourt]]+TrafficData[[#This Row],[disposedCourt]]=TrafficData[[#This Row],[totalCourt]]</f>
        <v>1</v>
      </c>
      <c r="N3448" s="8" t="b">
        <f>AND(TrafficData[[#This Row],[disposedChallan]]&lt;=TrafficData[[#This Row],[totalChallan]],TrafficData[[#This Row],[pendingChallan]]&lt;=TrafficData[[#This Row],[totalChallan]])</f>
        <v>1</v>
      </c>
      <c r="O3448" s="8" t="b">
        <f>AND(TrafficData[[#This Row],[pendingAmount]]&lt;=TrafficData[[#This Row],[totalAmount]],TrafficData[[#This Row],[disposedAmount]]&lt;=TrafficData[[#This Row],[totalAmount]])</f>
        <v>1</v>
      </c>
      <c r="P3448" s="8" t="b">
        <f>AND(TrafficData[[#This Row],[pendingCourt]]&lt;=TrafficData[[#This Row],[totalCourt]],TrafficData[[#This Row],[disposedCourt]]&lt;=TrafficData[[#This Row],[totalCourt]])</f>
        <v>1</v>
      </c>
    </row>
    <row r="3449" spans="1:16">
      <c r="A3449" s="1">
        <v>45453</v>
      </c>
      <c r="B3449">
        <v>220884</v>
      </c>
      <c r="C3449">
        <v>72459</v>
      </c>
      <c r="D3449">
        <v>148425</v>
      </c>
      <c r="E3449">
        <v>224604419</v>
      </c>
      <c r="F3449">
        <v>109432472</v>
      </c>
      <c r="G3449">
        <v>334036891</v>
      </c>
      <c r="H3449">
        <v>75451</v>
      </c>
      <c r="I3449">
        <v>9218</v>
      </c>
      <c r="J3449">
        <v>84669</v>
      </c>
      <c r="K3449" t="b">
        <f>TrafficData[[#This Row],[disposedChallan]]+TrafficData[[#This Row],[pendingChallan]]=TrafficData[[#This Row],[totalChallan]]</f>
        <v>1</v>
      </c>
      <c r="L3449" t="b">
        <f>TrafficData[[#This Row],[pendingAmount]]+TrafficData[[#This Row],[disposedAmount]]=TrafficData[[#This Row],[totalAmount]]</f>
        <v>1</v>
      </c>
      <c r="M3449" t="b">
        <f>TrafficData[[#This Row],[pendingCourt]]+TrafficData[[#This Row],[disposedCourt]]=TrafficData[[#This Row],[totalCourt]]</f>
        <v>1</v>
      </c>
      <c r="N3449" s="8" t="b">
        <f>AND(TrafficData[[#This Row],[disposedChallan]]&lt;=TrafficData[[#This Row],[totalChallan]],TrafficData[[#This Row],[pendingChallan]]&lt;=TrafficData[[#This Row],[totalChallan]])</f>
        <v>1</v>
      </c>
      <c r="O3449" s="8" t="b">
        <f>AND(TrafficData[[#This Row],[pendingAmount]]&lt;=TrafficData[[#This Row],[totalAmount]],TrafficData[[#This Row],[disposedAmount]]&lt;=TrafficData[[#This Row],[totalAmount]])</f>
        <v>1</v>
      </c>
      <c r="P3449" s="8" t="b">
        <f>AND(TrafficData[[#This Row],[pendingCourt]]&lt;=TrafficData[[#This Row],[totalCourt]],TrafficData[[#This Row],[disposedCourt]]&lt;=TrafficData[[#This Row],[totalCourt]])</f>
        <v>1</v>
      </c>
    </row>
    <row r="3450" spans="1:16">
      <c r="A3450" s="1">
        <v>45454</v>
      </c>
      <c r="B3450">
        <v>236392</v>
      </c>
      <c r="C3450">
        <v>75819</v>
      </c>
      <c r="D3450">
        <v>160573</v>
      </c>
      <c r="E3450">
        <v>252638105</v>
      </c>
      <c r="F3450">
        <v>126098511</v>
      </c>
      <c r="G3450">
        <v>378736616</v>
      </c>
      <c r="H3450">
        <v>85398</v>
      </c>
      <c r="I3450">
        <v>10219</v>
      </c>
      <c r="J3450">
        <v>95617</v>
      </c>
      <c r="K3450" t="b">
        <f>TrafficData[[#This Row],[disposedChallan]]+TrafficData[[#This Row],[pendingChallan]]=TrafficData[[#This Row],[totalChallan]]</f>
        <v>1</v>
      </c>
      <c r="L3450" t="b">
        <f>TrafficData[[#This Row],[pendingAmount]]+TrafficData[[#This Row],[disposedAmount]]=TrafficData[[#This Row],[totalAmount]]</f>
        <v>1</v>
      </c>
      <c r="M3450" t="b">
        <f>TrafficData[[#This Row],[pendingCourt]]+TrafficData[[#This Row],[disposedCourt]]=TrafficData[[#This Row],[totalCourt]]</f>
        <v>1</v>
      </c>
      <c r="N3450" s="8" t="b">
        <f>AND(TrafficData[[#This Row],[disposedChallan]]&lt;=TrafficData[[#This Row],[totalChallan]],TrafficData[[#This Row],[pendingChallan]]&lt;=TrafficData[[#This Row],[totalChallan]])</f>
        <v>1</v>
      </c>
      <c r="O3450" s="8" t="b">
        <f>AND(TrafficData[[#This Row],[pendingAmount]]&lt;=TrafficData[[#This Row],[totalAmount]],TrafficData[[#This Row],[disposedAmount]]&lt;=TrafficData[[#This Row],[totalAmount]])</f>
        <v>1</v>
      </c>
      <c r="P3450" s="8" t="b">
        <f>AND(TrafficData[[#This Row],[pendingCourt]]&lt;=TrafficData[[#This Row],[totalCourt]],TrafficData[[#This Row],[disposedCourt]]&lt;=TrafficData[[#This Row],[totalCourt]])</f>
        <v>1</v>
      </c>
    </row>
    <row r="3451" spans="1:16">
      <c r="A3451" s="1">
        <v>45455</v>
      </c>
      <c r="B3451">
        <v>233007</v>
      </c>
      <c r="C3451">
        <v>75161</v>
      </c>
      <c r="D3451">
        <v>157846</v>
      </c>
      <c r="E3451">
        <v>250841997</v>
      </c>
      <c r="F3451">
        <v>126960084</v>
      </c>
      <c r="G3451">
        <v>377802081</v>
      </c>
      <c r="H3451">
        <v>83749</v>
      </c>
      <c r="I3451">
        <v>10182</v>
      </c>
      <c r="J3451">
        <v>93931</v>
      </c>
      <c r="K3451" t="b">
        <f>TrafficData[[#This Row],[disposedChallan]]+TrafficData[[#This Row],[pendingChallan]]=TrafficData[[#This Row],[totalChallan]]</f>
        <v>1</v>
      </c>
      <c r="L3451" t="b">
        <f>TrafficData[[#This Row],[pendingAmount]]+TrafficData[[#This Row],[disposedAmount]]=TrafficData[[#This Row],[totalAmount]]</f>
        <v>1</v>
      </c>
      <c r="M3451" t="b">
        <f>TrafficData[[#This Row],[pendingCourt]]+TrafficData[[#This Row],[disposedCourt]]=TrafficData[[#This Row],[totalCourt]]</f>
        <v>1</v>
      </c>
      <c r="N3451" s="8" t="b">
        <f>AND(TrafficData[[#This Row],[disposedChallan]]&lt;=TrafficData[[#This Row],[totalChallan]],TrafficData[[#This Row],[pendingChallan]]&lt;=TrafficData[[#This Row],[totalChallan]])</f>
        <v>1</v>
      </c>
      <c r="O3451" s="8" t="b">
        <f>AND(TrafficData[[#This Row],[pendingAmount]]&lt;=TrafficData[[#This Row],[totalAmount]],TrafficData[[#This Row],[disposedAmount]]&lt;=TrafficData[[#This Row],[totalAmount]])</f>
        <v>1</v>
      </c>
      <c r="P3451" s="8" t="b">
        <f>AND(TrafficData[[#This Row],[pendingCourt]]&lt;=TrafficData[[#This Row],[totalCourt]],TrafficData[[#This Row],[disposedCourt]]&lt;=TrafficData[[#This Row],[totalCourt]])</f>
        <v>1</v>
      </c>
    </row>
    <row r="3452" spans="1:16">
      <c r="A3452" s="1">
        <v>45456</v>
      </c>
      <c r="B3452">
        <v>237233</v>
      </c>
      <c r="C3452">
        <v>75041</v>
      </c>
      <c r="D3452">
        <v>162192</v>
      </c>
      <c r="E3452">
        <v>255516920</v>
      </c>
      <c r="F3452">
        <v>127305048</v>
      </c>
      <c r="G3452">
        <v>382821968</v>
      </c>
      <c r="H3452">
        <v>83428</v>
      </c>
      <c r="I3452">
        <v>10111</v>
      </c>
      <c r="J3452">
        <v>93539</v>
      </c>
      <c r="K3452" t="b">
        <f>TrafficData[[#This Row],[disposedChallan]]+TrafficData[[#This Row],[pendingChallan]]=TrafficData[[#This Row],[totalChallan]]</f>
        <v>1</v>
      </c>
      <c r="L3452" t="b">
        <f>TrafficData[[#This Row],[pendingAmount]]+TrafficData[[#This Row],[disposedAmount]]=TrafficData[[#This Row],[totalAmount]]</f>
        <v>1</v>
      </c>
      <c r="M3452" t="b">
        <f>TrafficData[[#This Row],[pendingCourt]]+TrafficData[[#This Row],[disposedCourt]]=TrafficData[[#This Row],[totalCourt]]</f>
        <v>1</v>
      </c>
      <c r="N3452" s="8" t="b">
        <f>AND(TrafficData[[#This Row],[disposedChallan]]&lt;=TrafficData[[#This Row],[totalChallan]],TrafficData[[#This Row],[pendingChallan]]&lt;=TrafficData[[#This Row],[totalChallan]])</f>
        <v>1</v>
      </c>
      <c r="O3452" s="8" t="b">
        <f>AND(TrafficData[[#This Row],[pendingAmount]]&lt;=TrafficData[[#This Row],[totalAmount]],TrafficData[[#This Row],[disposedAmount]]&lt;=TrafficData[[#This Row],[totalAmount]])</f>
        <v>1</v>
      </c>
      <c r="P3452" s="8" t="b">
        <f>AND(TrafficData[[#This Row],[pendingCourt]]&lt;=TrafficData[[#This Row],[totalCourt]],TrafficData[[#This Row],[disposedCourt]]&lt;=TrafficData[[#This Row],[totalCourt]])</f>
        <v>1</v>
      </c>
    </row>
    <row r="3453" spans="1:16">
      <c r="A3453" s="1">
        <v>45457</v>
      </c>
      <c r="B3453">
        <v>237095</v>
      </c>
      <c r="C3453">
        <v>76282</v>
      </c>
      <c r="D3453">
        <v>160813</v>
      </c>
      <c r="E3453">
        <v>248744647</v>
      </c>
      <c r="F3453">
        <v>125186983</v>
      </c>
      <c r="G3453">
        <v>373931630</v>
      </c>
      <c r="H3453">
        <v>83400</v>
      </c>
      <c r="I3453">
        <v>9685</v>
      </c>
      <c r="J3453">
        <v>93085</v>
      </c>
      <c r="K3453" t="b">
        <f>TrafficData[[#This Row],[disposedChallan]]+TrafficData[[#This Row],[pendingChallan]]=TrafficData[[#This Row],[totalChallan]]</f>
        <v>1</v>
      </c>
      <c r="L3453" t="b">
        <f>TrafficData[[#This Row],[pendingAmount]]+TrafficData[[#This Row],[disposedAmount]]=TrafficData[[#This Row],[totalAmount]]</f>
        <v>1</v>
      </c>
      <c r="M3453" t="b">
        <f>TrafficData[[#This Row],[pendingCourt]]+TrafficData[[#This Row],[disposedCourt]]=TrafficData[[#This Row],[totalCourt]]</f>
        <v>1</v>
      </c>
      <c r="N3453" s="8" t="b">
        <f>AND(TrafficData[[#This Row],[disposedChallan]]&lt;=TrafficData[[#This Row],[totalChallan]],TrafficData[[#This Row],[pendingChallan]]&lt;=TrafficData[[#This Row],[totalChallan]])</f>
        <v>1</v>
      </c>
      <c r="O3453" s="8" t="b">
        <f>AND(TrafficData[[#This Row],[pendingAmount]]&lt;=TrafficData[[#This Row],[totalAmount]],TrafficData[[#This Row],[disposedAmount]]&lt;=TrafficData[[#This Row],[totalAmount]])</f>
        <v>1</v>
      </c>
      <c r="P3453" s="8" t="b">
        <f>AND(TrafficData[[#This Row],[pendingCourt]]&lt;=TrafficData[[#This Row],[totalCourt]],TrafficData[[#This Row],[disposedCourt]]&lt;=TrafficData[[#This Row],[totalCourt]])</f>
        <v>1</v>
      </c>
    </row>
    <row r="3454" spans="1:16">
      <c r="A3454" s="1">
        <v>45458</v>
      </c>
      <c r="B3454">
        <v>241666</v>
      </c>
      <c r="C3454">
        <v>78431</v>
      </c>
      <c r="D3454">
        <v>163235</v>
      </c>
      <c r="E3454">
        <v>235194796</v>
      </c>
      <c r="F3454">
        <v>111413959</v>
      </c>
      <c r="G3454">
        <v>346608755</v>
      </c>
      <c r="H3454">
        <v>81409</v>
      </c>
      <c r="I3454">
        <v>10107</v>
      </c>
      <c r="J3454">
        <v>91516</v>
      </c>
      <c r="K3454" t="b">
        <f>TrafficData[[#This Row],[disposedChallan]]+TrafficData[[#This Row],[pendingChallan]]=TrafficData[[#This Row],[totalChallan]]</f>
        <v>1</v>
      </c>
      <c r="L3454" t="b">
        <f>TrafficData[[#This Row],[pendingAmount]]+TrafficData[[#This Row],[disposedAmount]]=TrafficData[[#This Row],[totalAmount]]</f>
        <v>1</v>
      </c>
      <c r="M3454" t="b">
        <f>TrafficData[[#This Row],[pendingCourt]]+TrafficData[[#This Row],[disposedCourt]]=TrafficData[[#This Row],[totalCourt]]</f>
        <v>1</v>
      </c>
      <c r="N3454" s="8" t="b">
        <f>AND(TrafficData[[#This Row],[disposedChallan]]&lt;=TrafficData[[#This Row],[totalChallan]],TrafficData[[#This Row],[pendingChallan]]&lt;=TrafficData[[#This Row],[totalChallan]])</f>
        <v>1</v>
      </c>
      <c r="O3454" s="8" t="b">
        <f>AND(TrafficData[[#This Row],[pendingAmount]]&lt;=TrafficData[[#This Row],[totalAmount]],TrafficData[[#This Row],[disposedAmount]]&lt;=TrafficData[[#This Row],[totalAmount]])</f>
        <v>1</v>
      </c>
      <c r="P3454" s="8" t="b">
        <f>AND(TrafficData[[#This Row],[pendingCourt]]&lt;=TrafficData[[#This Row],[totalCourt]],TrafficData[[#This Row],[disposedCourt]]&lt;=TrafficData[[#This Row],[totalCourt]])</f>
        <v>1</v>
      </c>
    </row>
    <row r="3455" spans="1:16">
      <c r="A3455" s="1">
        <v>45459</v>
      </c>
      <c r="B3455">
        <v>209973</v>
      </c>
      <c r="C3455">
        <v>66440</v>
      </c>
      <c r="D3455">
        <v>143533</v>
      </c>
      <c r="E3455">
        <v>196999294</v>
      </c>
      <c r="F3455">
        <v>142035443</v>
      </c>
      <c r="G3455">
        <v>339034737</v>
      </c>
      <c r="H3455">
        <v>69260</v>
      </c>
      <c r="I3455">
        <v>8279</v>
      </c>
      <c r="J3455">
        <v>77539</v>
      </c>
      <c r="K3455" t="b">
        <f>TrafficData[[#This Row],[disposedChallan]]+TrafficData[[#This Row],[pendingChallan]]=TrafficData[[#This Row],[totalChallan]]</f>
        <v>1</v>
      </c>
      <c r="L3455" t="b">
        <f>TrafficData[[#This Row],[pendingAmount]]+TrafficData[[#This Row],[disposedAmount]]=TrafficData[[#This Row],[totalAmount]]</f>
        <v>1</v>
      </c>
      <c r="M3455" t="b">
        <f>TrafficData[[#This Row],[pendingCourt]]+TrafficData[[#This Row],[disposedCourt]]=TrafficData[[#This Row],[totalCourt]]</f>
        <v>1</v>
      </c>
      <c r="N3455" s="8" t="b">
        <f>AND(TrafficData[[#This Row],[disposedChallan]]&lt;=TrafficData[[#This Row],[totalChallan]],TrafficData[[#This Row],[pendingChallan]]&lt;=TrafficData[[#This Row],[totalChallan]])</f>
        <v>1</v>
      </c>
      <c r="O3455" s="8" t="b">
        <f>AND(TrafficData[[#This Row],[pendingAmount]]&lt;=TrafficData[[#This Row],[totalAmount]],TrafficData[[#This Row],[disposedAmount]]&lt;=TrafficData[[#This Row],[totalAmount]])</f>
        <v>1</v>
      </c>
      <c r="P3455" s="8" t="b">
        <f>AND(TrafficData[[#This Row],[pendingCourt]]&lt;=TrafficData[[#This Row],[totalCourt]],TrafficData[[#This Row],[disposedCourt]]&lt;=TrafficData[[#This Row],[totalCourt]])</f>
        <v>1</v>
      </c>
    </row>
    <row r="3456" spans="1:16">
      <c r="A3456" s="1">
        <v>45460</v>
      </c>
      <c r="B3456">
        <v>204682</v>
      </c>
      <c r="C3456">
        <v>61460</v>
      </c>
      <c r="D3456">
        <v>143222</v>
      </c>
      <c r="E3456">
        <v>202111725</v>
      </c>
      <c r="F3456">
        <v>75911426</v>
      </c>
      <c r="G3456">
        <v>278023151</v>
      </c>
      <c r="H3456">
        <v>53177</v>
      </c>
      <c r="I3456">
        <v>7640</v>
      </c>
      <c r="J3456">
        <v>60817</v>
      </c>
      <c r="K3456" t="b">
        <f>TrafficData[[#This Row],[disposedChallan]]+TrafficData[[#This Row],[pendingChallan]]=TrafficData[[#This Row],[totalChallan]]</f>
        <v>1</v>
      </c>
      <c r="L3456" t="b">
        <f>TrafficData[[#This Row],[pendingAmount]]+TrafficData[[#This Row],[disposedAmount]]=TrafficData[[#This Row],[totalAmount]]</f>
        <v>1</v>
      </c>
      <c r="M3456" t="b">
        <f>TrafficData[[#This Row],[pendingCourt]]+TrafficData[[#This Row],[disposedCourt]]=TrafficData[[#This Row],[totalCourt]]</f>
        <v>1</v>
      </c>
      <c r="N3456" s="8" t="b">
        <f>AND(TrafficData[[#This Row],[disposedChallan]]&lt;=TrafficData[[#This Row],[totalChallan]],TrafficData[[#This Row],[pendingChallan]]&lt;=TrafficData[[#This Row],[totalChallan]])</f>
        <v>1</v>
      </c>
      <c r="O3456" s="8" t="b">
        <f>AND(TrafficData[[#This Row],[pendingAmount]]&lt;=TrafficData[[#This Row],[totalAmount]],TrafficData[[#This Row],[disposedAmount]]&lt;=TrafficData[[#This Row],[totalAmount]])</f>
        <v>1</v>
      </c>
      <c r="P3456" s="8" t="b">
        <f>AND(TrafficData[[#This Row],[pendingCourt]]&lt;=TrafficData[[#This Row],[totalCourt]],TrafficData[[#This Row],[disposedCourt]]&lt;=TrafficData[[#This Row],[totalCourt]])</f>
        <v>1</v>
      </c>
    </row>
    <row r="3457" spans="1:16">
      <c r="A3457" s="1">
        <v>45461</v>
      </c>
      <c r="B3457">
        <v>223850</v>
      </c>
      <c r="C3457">
        <v>71429</v>
      </c>
      <c r="D3457">
        <v>152421</v>
      </c>
      <c r="E3457">
        <v>226705583</v>
      </c>
      <c r="F3457">
        <v>105661967</v>
      </c>
      <c r="G3457">
        <v>332367550</v>
      </c>
      <c r="H3457">
        <v>74898</v>
      </c>
      <c r="I3457">
        <v>8871</v>
      </c>
      <c r="J3457">
        <v>83769</v>
      </c>
      <c r="K3457" t="b">
        <f>TrafficData[[#This Row],[disposedChallan]]+TrafficData[[#This Row],[pendingChallan]]=TrafficData[[#This Row],[totalChallan]]</f>
        <v>1</v>
      </c>
      <c r="L3457" t="b">
        <f>TrafficData[[#This Row],[pendingAmount]]+TrafficData[[#This Row],[disposedAmount]]=TrafficData[[#This Row],[totalAmount]]</f>
        <v>1</v>
      </c>
      <c r="M3457" t="b">
        <f>TrafficData[[#This Row],[pendingCourt]]+TrafficData[[#This Row],[disposedCourt]]=TrafficData[[#This Row],[totalCourt]]</f>
        <v>1</v>
      </c>
      <c r="N3457" s="8" t="b">
        <f>AND(TrafficData[[#This Row],[disposedChallan]]&lt;=TrafficData[[#This Row],[totalChallan]],TrafficData[[#This Row],[pendingChallan]]&lt;=TrafficData[[#This Row],[totalChallan]])</f>
        <v>1</v>
      </c>
      <c r="O3457" s="8" t="b">
        <f>AND(TrafficData[[#This Row],[pendingAmount]]&lt;=TrafficData[[#This Row],[totalAmount]],TrafficData[[#This Row],[disposedAmount]]&lt;=TrafficData[[#This Row],[totalAmount]])</f>
        <v>1</v>
      </c>
      <c r="P3457" s="8" t="b">
        <f>AND(TrafficData[[#This Row],[pendingCourt]]&lt;=TrafficData[[#This Row],[totalCourt]],TrafficData[[#This Row],[disposedCourt]]&lt;=TrafficData[[#This Row],[totalCourt]])</f>
        <v>1</v>
      </c>
    </row>
    <row r="3458" spans="1:16">
      <c r="A3458" s="1">
        <v>45462</v>
      </c>
      <c r="B3458">
        <v>228091</v>
      </c>
      <c r="C3458">
        <v>73985</v>
      </c>
      <c r="D3458">
        <v>154106</v>
      </c>
      <c r="E3458">
        <v>240535402</v>
      </c>
      <c r="F3458">
        <v>121937766</v>
      </c>
      <c r="G3458">
        <v>362473168</v>
      </c>
      <c r="H3458">
        <v>80214</v>
      </c>
      <c r="I3458">
        <v>9572</v>
      </c>
      <c r="J3458">
        <v>89786</v>
      </c>
      <c r="K3458" t="b">
        <f>TrafficData[[#This Row],[disposedChallan]]+TrafficData[[#This Row],[pendingChallan]]=TrafficData[[#This Row],[totalChallan]]</f>
        <v>1</v>
      </c>
      <c r="L3458" t="b">
        <f>TrafficData[[#This Row],[pendingAmount]]+TrafficData[[#This Row],[disposedAmount]]=TrafficData[[#This Row],[totalAmount]]</f>
        <v>1</v>
      </c>
      <c r="M3458" t="b">
        <f>TrafficData[[#This Row],[pendingCourt]]+TrafficData[[#This Row],[disposedCourt]]=TrafficData[[#This Row],[totalCourt]]</f>
        <v>1</v>
      </c>
      <c r="N3458" s="8" t="b">
        <f>AND(TrafficData[[#This Row],[disposedChallan]]&lt;=TrafficData[[#This Row],[totalChallan]],TrafficData[[#This Row],[pendingChallan]]&lt;=TrafficData[[#This Row],[totalChallan]])</f>
        <v>1</v>
      </c>
      <c r="O3458" s="8" t="b">
        <f>AND(TrafficData[[#This Row],[pendingAmount]]&lt;=TrafficData[[#This Row],[totalAmount]],TrafficData[[#This Row],[disposedAmount]]&lt;=TrafficData[[#This Row],[totalAmount]])</f>
        <v>1</v>
      </c>
      <c r="P3458" s="8" t="b">
        <f>AND(TrafficData[[#This Row],[pendingCourt]]&lt;=TrafficData[[#This Row],[totalCourt]],TrafficData[[#This Row],[disposedCourt]]&lt;=TrafficData[[#This Row],[totalCourt]])</f>
        <v>1</v>
      </c>
    </row>
    <row r="3459" spans="1:16">
      <c r="A3459" s="1">
        <v>45463</v>
      </c>
      <c r="B3459">
        <v>230905</v>
      </c>
      <c r="C3459">
        <v>73778</v>
      </c>
      <c r="D3459">
        <v>157127</v>
      </c>
      <c r="E3459">
        <v>241306350</v>
      </c>
      <c r="F3459">
        <v>116205239</v>
      </c>
      <c r="G3459">
        <v>357511589</v>
      </c>
      <c r="H3459">
        <v>83845</v>
      </c>
      <c r="I3459">
        <v>9801</v>
      </c>
      <c r="J3459">
        <v>93646</v>
      </c>
      <c r="K3459" t="b">
        <f>TrafficData[[#This Row],[disposedChallan]]+TrafficData[[#This Row],[pendingChallan]]=TrafficData[[#This Row],[totalChallan]]</f>
        <v>1</v>
      </c>
      <c r="L3459" t="b">
        <f>TrafficData[[#This Row],[pendingAmount]]+TrafficData[[#This Row],[disposedAmount]]=TrafficData[[#This Row],[totalAmount]]</f>
        <v>1</v>
      </c>
      <c r="M3459" t="b">
        <f>TrafficData[[#This Row],[pendingCourt]]+TrafficData[[#This Row],[disposedCourt]]=TrafficData[[#This Row],[totalCourt]]</f>
        <v>1</v>
      </c>
      <c r="N3459" s="8" t="b">
        <f>AND(TrafficData[[#This Row],[disposedChallan]]&lt;=TrafficData[[#This Row],[totalChallan]],TrafficData[[#This Row],[pendingChallan]]&lt;=TrafficData[[#This Row],[totalChallan]])</f>
        <v>1</v>
      </c>
      <c r="O3459" s="8" t="b">
        <f>AND(TrafficData[[#This Row],[pendingAmount]]&lt;=TrafficData[[#This Row],[totalAmount]],TrafficData[[#This Row],[disposedAmount]]&lt;=TrafficData[[#This Row],[totalAmount]])</f>
        <v>1</v>
      </c>
      <c r="P3459" s="8" t="b">
        <f>AND(TrafficData[[#This Row],[pendingCourt]]&lt;=TrafficData[[#This Row],[totalCourt]],TrafficData[[#This Row],[disposedCourt]]&lt;=TrafficData[[#This Row],[totalCourt]])</f>
        <v>1</v>
      </c>
    </row>
    <row r="3460" spans="1:16">
      <c r="A3460" s="1">
        <v>45464</v>
      </c>
      <c r="B3460">
        <v>215160</v>
      </c>
      <c r="C3460">
        <v>68873</v>
      </c>
      <c r="D3460">
        <v>146287</v>
      </c>
      <c r="E3460">
        <v>222768037</v>
      </c>
      <c r="F3460">
        <v>116231168</v>
      </c>
      <c r="G3460">
        <v>338999205</v>
      </c>
      <c r="H3460">
        <v>76410</v>
      </c>
      <c r="I3460">
        <v>9060</v>
      </c>
      <c r="J3460">
        <v>85470</v>
      </c>
      <c r="K3460" t="b">
        <f>TrafficData[[#This Row],[disposedChallan]]+TrafficData[[#This Row],[pendingChallan]]=TrafficData[[#This Row],[totalChallan]]</f>
        <v>1</v>
      </c>
      <c r="L3460" t="b">
        <f>TrafficData[[#This Row],[pendingAmount]]+TrafficData[[#This Row],[disposedAmount]]=TrafficData[[#This Row],[totalAmount]]</f>
        <v>1</v>
      </c>
      <c r="M3460" t="b">
        <f>TrafficData[[#This Row],[pendingCourt]]+TrafficData[[#This Row],[disposedCourt]]=TrafficData[[#This Row],[totalCourt]]</f>
        <v>1</v>
      </c>
      <c r="N3460" s="8" t="b">
        <f>AND(TrafficData[[#This Row],[disposedChallan]]&lt;=TrafficData[[#This Row],[totalChallan]],TrafficData[[#This Row],[pendingChallan]]&lt;=TrafficData[[#This Row],[totalChallan]])</f>
        <v>1</v>
      </c>
      <c r="O3460" s="8" t="b">
        <f>AND(TrafficData[[#This Row],[pendingAmount]]&lt;=TrafficData[[#This Row],[totalAmount]],TrafficData[[#This Row],[disposedAmount]]&lt;=TrafficData[[#This Row],[totalAmount]])</f>
        <v>1</v>
      </c>
      <c r="P3460" s="8" t="b">
        <f>AND(TrafficData[[#This Row],[pendingCourt]]&lt;=TrafficData[[#This Row],[totalCourt]],TrafficData[[#This Row],[disposedCourt]]&lt;=TrafficData[[#This Row],[totalCourt]])</f>
        <v>1</v>
      </c>
    </row>
    <row r="3461" spans="1:16">
      <c r="A3461" s="1">
        <v>45465</v>
      </c>
      <c r="B3461">
        <v>232213</v>
      </c>
      <c r="C3461">
        <v>74707</v>
      </c>
      <c r="D3461">
        <v>157506</v>
      </c>
      <c r="E3461">
        <v>232384063</v>
      </c>
      <c r="F3461">
        <v>110412644</v>
      </c>
      <c r="G3461">
        <v>342796707</v>
      </c>
      <c r="H3461">
        <v>85299</v>
      </c>
      <c r="I3461">
        <v>10210</v>
      </c>
      <c r="J3461">
        <v>95509</v>
      </c>
      <c r="K3461" t="b">
        <f>TrafficData[[#This Row],[disposedChallan]]+TrafficData[[#This Row],[pendingChallan]]=TrafficData[[#This Row],[totalChallan]]</f>
        <v>1</v>
      </c>
      <c r="L3461" t="b">
        <f>TrafficData[[#This Row],[pendingAmount]]+TrafficData[[#This Row],[disposedAmount]]=TrafficData[[#This Row],[totalAmount]]</f>
        <v>1</v>
      </c>
      <c r="M3461" t="b">
        <f>TrafficData[[#This Row],[pendingCourt]]+TrafficData[[#This Row],[disposedCourt]]=TrafficData[[#This Row],[totalCourt]]</f>
        <v>1</v>
      </c>
      <c r="N3461" s="8" t="b">
        <f>AND(TrafficData[[#This Row],[disposedChallan]]&lt;=TrafficData[[#This Row],[totalChallan]],TrafficData[[#This Row],[pendingChallan]]&lt;=TrafficData[[#This Row],[totalChallan]])</f>
        <v>1</v>
      </c>
      <c r="O3461" s="8" t="b">
        <f>AND(TrafficData[[#This Row],[pendingAmount]]&lt;=TrafficData[[#This Row],[totalAmount]],TrafficData[[#This Row],[disposedAmount]]&lt;=TrafficData[[#This Row],[totalAmount]])</f>
        <v>1</v>
      </c>
      <c r="P3461" s="8" t="b">
        <f>AND(TrafficData[[#This Row],[pendingCourt]]&lt;=TrafficData[[#This Row],[totalCourt]],TrafficData[[#This Row],[disposedCourt]]&lt;=TrafficData[[#This Row],[totalCourt]])</f>
        <v>1</v>
      </c>
    </row>
    <row r="3462" spans="1:16">
      <c r="A3462" s="1">
        <v>45466</v>
      </c>
      <c r="B3462">
        <v>215403</v>
      </c>
      <c r="C3462">
        <v>67287</v>
      </c>
      <c r="D3462">
        <v>148116</v>
      </c>
      <c r="E3462">
        <v>206267836</v>
      </c>
      <c r="F3462">
        <v>83295137</v>
      </c>
      <c r="G3462">
        <v>289562973</v>
      </c>
      <c r="H3462">
        <v>78416</v>
      </c>
      <c r="I3462">
        <v>9241</v>
      </c>
      <c r="J3462">
        <v>87657</v>
      </c>
      <c r="K3462" t="b">
        <f>TrafficData[[#This Row],[disposedChallan]]+TrafficData[[#This Row],[pendingChallan]]=TrafficData[[#This Row],[totalChallan]]</f>
        <v>1</v>
      </c>
      <c r="L3462" t="b">
        <f>TrafficData[[#This Row],[pendingAmount]]+TrafficData[[#This Row],[disposedAmount]]=TrafficData[[#This Row],[totalAmount]]</f>
        <v>1</v>
      </c>
      <c r="M3462" t="b">
        <f>TrafficData[[#This Row],[pendingCourt]]+TrafficData[[#This Row],[disposedCourt]]=TrafficData[[#This Row],[totalCourt]]</f>
        <v>1</v>
      </c>
      <c r="N3462" s="8" t="b">
        <f>AND(TrafficData[[#This Row],[disposedChallan]]&lt;=TrafficData[[#This Row],[totalChallan]],TrafficData[[#This Row],[pendingChallan]]&lt;=TrafficData[[#This Row],[totalChallan]])</f>
        <v>1</v>
      </c>
      <c r="O3462" s="8" t="b">
        <f>AND(TrafficData[[#This Row],[pendingAmount]]&lt;=TrafficData[[#This Row],[totalAmount]],TrafficData[[#This Row],[disposedAmount]]&lt;=TrafficData[[#This Row],[totalAmount]])</f>
        <v>1</v>
      </c>
      <c r="P3462" s="8" t="b">
        <f>AND(TrafficData[[#This Row],[pendingCourt]]&lt;=TrafficData[[#This Row],[totalCourt]],TrafficData[[#This Row],[disposedCourt]]&lt;=TrafficData[[#This Row],[totalCourt]])</f>
        <v>1</v>
      </c>
    </row>
    <row r="3463" spans="1:16">
      <c r="A3463" s="1">
        <v>45467</v>
      </c>
      <c r="B3463">
        <v>231327</v>
      </c>
      <c r="C3463">
        <v>71823</v>
      </c>
      <c r="D3463">
        <v>159504</v>
      </c>
      <c r="E3463">
        <v>234213594</v>
      </c>
      <c r="F3463">
        <v>106532082</v>
      </c>
      <c r="G3463">
        <v>340745676</v>
      </c>
      <c r="H3463">
        <v>85439</v>
      </c>
      <c r="I3463">
        <v>10181</v>
      </c>
      <c r="J3463">
        <v>95620</v>
      </c>
      <c r="K3463" t="b">
        <f>TrafficData[[#This Row],[disposedChallan]]+TrafficData[[#This Row],[pendingChallan]]=TrafficData[[#This Row],[totalChallan]]</f>
        <v>1</v>
      </c>
      <c r="L3463" t="b">
        <f>TrafficData[[#This Row],[pendingAmount]]+TrafficData[[#This Row],[disposedAmount]]=TrafficData[[#This Row],[totalAmount]]</f>
        <v>1</v>
      </c>
      <c r="M3463" t="b">
        <f>TrafficData[[#This Row],[pendingCourt]]+TrafficData[[#This Row],[disposedCourt]]=TrafficData[[#This Row],[totalCourt]]</f>
        <v>1</v>
      </c>
      <c r="N3463" s="8" t="b">
        <f>AND(TrafficData[[#This Row],[disposedChallan]]&lt;=TrafficData[[#This Row],[totalChallan]],TrafficData[[#This Row],[pendingChallan]]&lt;=TrafficData[[#This Row],[totalChallan]])</f>
        <v>1</v>
      </c>
      <c r="O3463" s="8" t="b">
        <f>AND(TrafficData[[#This Row],[pendingAmount]]&lt;=TrafficData[[#This Row],[totalAmount]],TrafficData[[#This Row],[disposedAmount]]&lt;=TrafficData[[#This Row],[totalAmount]])</f>
        <v>1</v>
      </c>
      <c r="P3463" s="8" t="b">
        <f>AND(TrafficData[[#This Row],[pendingCourt]]&lt;=TrafficData[[#This Row],[totalCourt]],TrafficData[[#This Row],[disposedCourt]]&lt;=TrafficData[[#This Row],[totalCourt]])</f>
        <v>1</v>
      </c>
    </row>
    <row r="3464" spans="1:16">
      <c r="A3464" s="1">
        <v>45468</v>
      </c>
      <c r="B3464">
        <v>231698</v>
      </c>
      <c r="C3464">
        <v>70733</v>
      </c>
      <c r="D3464">
        <v>160965</v>
      </c>
      <c r="E3464">
        <v>245034402</v>
      </c>
      <c r="F3464">
        <v>112715944</v>
      </c>
      <c r="G3464">
        <v>357750346</v>
      </c>
      <c r="H3464">
        <v>88388</v>
      </c>
      <c r="I3464">
        <v>10213</v>
      </c>
      <c r="J3464">
        <v>98601</v>
      </c>
      <c r="K3464" t="b">
        <f>TrafficData[[#This Row],[disposedChallan]]+TrafficData[[#This Row],[pendingChallan]]=TrafficData[[#This Row],[totalChallan]]</f>
        <v>1</v>
      </c>
      <c r="L3464" t="b">
        <f>TrafficData[[#This Row],[pendingAmount]]+TrafficData[[#This Row],[disposedAmount]]=TrafficData[[#This Row],[totalAmount]]</f>
        <v>1</v>
      </c>
      <c r="M3464" t="b">
        <f>TrafficData[[#This Row],[pendingCourt]]+TrafficData[[#This Row],[disposedCourt]]=TrafficData[[#This Row],[totalCourt]]</f>
        <v>1</v>
      </c>
      <c r="N3464" s="8" t="b">
        <f>AND(TrafficData[[#This Row],[disposedChallan]]&lt;=TrafficData[[#This Row],[totalChallan]],TrafficData[[#This Row],[pendingChallan]]&lt;=TrafficData[[#This Row],[totalChallan]])</f>
        <v>1</v>
      </c>
      <c r="O3464" s="8" t="b">
        <f>AND(TrafficData[[#This Row],[pendingAmount]]&lt;=TrafficData[[#This Row],[totalAmount]],TrafficData[[#This Row],[disposedAmount]]&lt;=TrafficData[[#This Row],[totalAmount]])</f>
        <v>1</v>
      </c>
      <c r="P3464" s="8" t="b">
        <f>AND(TrafficData[[#This Row],[pendingCourt]]&lt;=TrafficData[[#This Row],[totalCourt]],TrafficData[[#This Row],[disposedCourt]]&lt;=TrafficData[[#This Row],[totalCourt]])</f>
        <v>1</v>
      </c>
    </row>
    <row r="3465" spans="1:16">
      <c r="A3465" s="1">
        <v>45469</v>
      </c>
      <c r="B3465">
        <v>215474</v>
      </c>
      <c r="C3465">
        <v>68607</v>
      </c>
      <c r="D3465">
        <v>146867</v>
      </c>
      <c r="E3465">
        <v>224095202</v>
      </c>
      <c r="F3465">
        <v>110615419</v>
      </c>
      <c r="G3465">
        <v>334710621</v>
      </c>
      <c r="H3465">
        <v>74872</v>
      </c>
      <c r="I3465">
        <v>9060</v>
      </c>
      <c r="J3465">
        <v>83932</v>
      </c>
      <c r="K3465" t="b">
        <f>TrafficData[[#This Row],[disposedChallan]]+TrafficData[[#This Row],[pendingChallan]]=TrafficData[[#This Row],[totalChallan]]</f>
        <v>1</v>
      </c>
      <c r="L3465" t="b">
        <f>TrafficData[[#This Row],[pendingAmount]]+TrafficData[[#This Row],[disposedAmount]]=TrafficData[[#This Row],[totalAmount]]</f>
        <v>1</v>
      </c>
      <c r="M3465" t="b">
        <f>TrafficData[[#This Row],[pendingCourt]]+TrafficData[[#This Row],[disposedCourt]]=TrafficData[[#This Row],[totalCourt]]</f>
        <v>1</v>
      </c>
      <c r="N3465" s="8" t="b">
        <f>AND(TrafficData[[#This Row],[disposedChallan]]&lt;=TrafficData[[#This Row],[totalChallan]],TrafficData[[#This Row],[pendingChallan]]&lt;=TrafficData[[#This Row],[totalChallan]])</f>
        <v>1</v>
      </c>
      <c r="O3465" s="8" t="b">
        <f>AND(TrafficData[[#This Row],[pendingAmount]]&lt;=TrafficData[[#This Row],[totalAmount]],TrafficData[[#This Row],[disposedAmount]]&lt;=TrafficData[[#This Row],[totalAmount]])</f>
        <v>1</v>
      </c>
      <c r="P3465" s="8" t="b">
        <f>AND(TrafficData[[#This Row],[pendingCourt]]&lt;=TrafficData[[#This Row],[totalCourt]],TrafficData[[#This Row],[disposedCourt]]&lt;=TrafficData[[#This Row],[totalCourt]])</f>
        <v>1</v>
      </c>
    </row>
    <row r="3466" spans="1:16">
      <c r="A3466" s="1">
        <v>45470</v>
      </c>
      <c r="B3466">
        <v>224925</v>
      </c>
      <c r="C3466">
        <v>70335</v>
      </c>
      <c r="D3466">
        <v>154590</v>
      </c>
      <c r="E3466">
        <v>226170213</v>
      </c>
      <c r="F3466">
        <v>107518287</v>
      </c>
      <c r="G3466">
        <v>333688500</v>
      </c>
      <c r="H3466">
        <v>77889</v>
      </c>
      <c r="I3466">
        <v>9382</v>
      </c>
      <c r="J3466">
        <v>87271</v>
      </c>
      <c r="K3466" t="b">
        <f>TrafficData[[#This Row],[disposedChallan]]+TrafficData[[#This Row],[pendingChallan]]=TrafficData[[#This Row],[totalChallan]]</f>
        <v>1</v>
      </c>
      <c r="L3466" t="b">
        <f>TrafficData[[#This Row],[pendingAmount]]+TrafficData[[#This Row],[disposedAmount]]=TrafficData[[#This Row],[totalAmount]]</f>
        <v>1</v>
      </c>
      <c r="M3466" t="b">
        <f>TrafficData[[#This Row],[pendingCourt]]+TrafficData[[#This Row],[disposedCourt]]=TrafficData[[#This Row],[totalCourt]]</f>
        <v>1</v>
      </c>
      <c r="N3466" s="8" t="b">
        <f>AND(TrafficData[[#This Row],[disposedChallan]]&lt;=TrafficData[[#This Row],[totalChallan]],TrafficData[[#This Row],[pendingChallan]]&lt;=TrafficData[[#This Row],[totalChallan]])</f>
        <v>1</v>
      </c>
      <c r="O3466" s="8" t="b">
        <f>AND(TrafficData[[#This Row],[pendingAmount]]&lt;=TrafficData[[#This Row],[totalAmount]],TrafficData[[#This Row],[disposedAmount]]&lt;=TrafficData[[#This Row],[totalAmount]])</f>
        <v>1</v>
      </c>
      <c r="P3466" s="8" t="b">
        <f>AND(TrafficData[[#This Row],[pendingCourt]]&lt;=TrafficData[[#This Row],[totalCourt]],TrafficData[[#This Row],[disposedCourt]]&lt;=TrafficData[[#This Row],[totalCourt]])</f>
        <v>1</v>
      </c>
    </row>
    <row r="3467" spans="1:16">
      <c r="A3467" s="1">
        <v>45471</v>
      </c>
      <c r="B3467">
        <v>213887</v>
      </c>
      <c r="C3467">
        <v>68143</v>
      </c>
      <c r="D3467">
        <v>145744</v>
      </c>
      <c r="E3467">
        <v>202169222</v>
      </c>
      <c r="F3467">
        <v>94801793</v>
      </c>
      <c r="G3467">
        <v>296971015</v>
      </c>
      <c r="H3467">
        <v>68301</v>
      </c>
      <c r="I3467">
        <v>8228</v>
      </c>
      <c r="J3467">
        <v>76529</v>
      </c>
      <c r="K3467" t="b">
        <f>TrafficData[[#This Row],[disposedChallan]]+TrafficData[[#This Row],[pendingChallan]]=TrafficData[[#This Row],[totalChallan]]</f>
        <v>1</v>
      </c>
      <c r="L3467" t="b">
        <f>TrafficData[[#This Row],[pendingAmount]]+TrafficData[[#This Row],[disposedAmount]]=TrafficData[[#This Row],[totalAmount]]</f>
        <v>1</v>
      </c>
      <c r="M3467" t="b">
        <f>TrafficData[[#This Row],[pendingCourt]]+TrafficData[[#This Row],[disposedCourt]]=TrafficData[[#This Row],[totalCourt]]</f>
        <v>1</v>
      </c>
      <c r="N3467" s="8" t="b">
        <f>AND(TrafficData[[#This Row],[disposedChallan]]&lt;=TrafficData[[#This Row],[totalChallan]],TrafficData[[#This Row],[pendingChallan]]&lt;=TrafficData[[#This Row],[totalChallan]])</f>
        <v>1</v>
      </c>
      <c r="O3467" s="8" t="b">
        <f>AND(TrafficData[[#This Row],[pendingAmount]]&lt;=TrafficData[[#This Row],[totalAmount]],TrafficData[[#This Row],[disposedAmount]]&lt;=TrafficData[[#This Row],[totalAmount]])</f>
        <v>1</v>
      </c>
      <c r="P3467" s="8" t="b">
        <f>AND(TrafficData[[#This Row],[pendingCourt]]&lt;=TrafficData[[#This Row],[totalCourt]],TrafficData[[#This Row],[disposedCourt]]&lt;=TrafficData[[#This Row],[totalCourt]])</f>
        <v>1</v>
      </c>
    </row>
    <row r="3468" spans="1:16">
      <c r="A3468" s="1">
        <v>45472</v>
      </c>
      <c r="B3468">
        <v>226458</v>
      </c>
      <c r="C3468">
        <v>71419</v>
      </c>
      <c r="D3468">
        <v>155039</v>
      </c>
      <c r="E3468">
        <v>216502789</v>
      </c>
      <c r="F3468">
        <v>91513034</v>
      </c>
      <c r="G3468">
        <v>308015823</v>
      </c>
      <c r="H3468">
        <v>79334</v>
      </c>
      <c r="I3468">
        <v>9342</v>
      </c>
      <c r="J3468">
        <v>88676</v>
      </c>
      <c r="K3468" t="b">
        <f>TrafficData[[#This Row],[disposedChallan]]+TrafficData[[#This Row],[pendingChallan]]=TrafficData[[#This Row],[totalChallan]]</f>
        <v>1</v>
      </c>
      <c r="L3468" t="b">
        <f>TrafficData[[#This Row],[pendingAmount]]+TrafficData[[#This Row],[disposedAmount]]=TrafficData[[#This Row],[totalAmount]]</f>
        <v>1</v>
      </c>
      <c r="M3468" t="b">
        <f>TrafficData[[#This Row],[pendingCourt]]+TrafficData[[#This Row],[disposedCourt]]=TrafficData[[#This Row],[totalCourt]]</f>
        <v>1</v>
      </c>
      <c r="N3468" s="8" t="b">
        <f>AND(TrafficData[[#This Row],[disposedChallan]]&lt;=TrafficData[[#This Row],[totalChallan]],TrafficData[[#This Row],[pendingChallan]]&lt;=TrafficData[[#This Row],[totalChallan]])</f>
        <v>1</v>
      </c>
      <c r="O3468" s="8" t="b">
        <f>AND(TrafficData[[#This Row],[pendingAmount]]&lt;=TrafficData[[#This Row],[totalAmount]],TrafficData[[#This Row],[disposedAmount]]&lt;=TrafficData[[#This Row],[totalAmount]])</f>
        <v>1</v>
      </c>
      <c r="P3468" s="8" t="b">
        <f>AND(TrafficData[[#This Row],[pendingCourt]]&lt;=TrafficData[[#This Row],[totalCourt]],TrafficData[[#This Row],[disposedCourt]]&lt;=TrafficData[[#This Row],[totalCourt]])</f>
        <v>1</v>
      </c>
    </row>
    <row r="3469" spans="1:16">
      <c r="A3469" s="1">
        <v>45473</v>
      </c>
      <c r="B3469">
        <v>205914</v>
      </c>
      <c r="C3469">
        <v>61889</v>
      </c>
      <c r="D3469">
        <v>144025</v>
      </c>
      <c r="E3469">
        <v>186587715</v>
      </c>
      <c r="F3469">
        <v>70057735</v>
      </c>
      <c r="G3469">
        <v>256645450</v>
      </c>
      <c r="H3469">
        <v>72746</v>
      </c>
      <c r="I3469">
        <v>8325</v>
      </c>
      <c r="J3469">
        <v>81071</v>
      </c>
      <c r="K3469" t="b">
        <f>TrafficData[[#This Row],[disposedChallan]]+TrafficData[[#This Row],[pendingChallan]]=TrafficData[[#This Row],[totalChallan]]</f>
        <v>1</v>
      </c>
      <c r="L3469" t="b">
        <f>TrafficData[[#This Row],[pendingAmount]]+TrafficData[[#This Row],[disposedAmount]]=TrafficData[[#This Row],[totalAmount]]</f>
        <v>1</v>
      </c>
      <c r="M3469" t="b">
        <f>TrafficData[[#This Row],[pendingCourt]]+TrafficData[[#This Row],[disposedCourt]]=TrafficData[[#This Row],[totalCourt]]</f>
        <v>1</v>
      </c>
      <c r="N3469" s="8" t="b">
        <f>AND(TrafficData[[#This Row],[disposedChallan]]&lt;=TrafficData[[#This Row],[totalChallan]],TrafficData[[#This Row],[pendingChallan]]&lt;=TrafficData[[#This Row],[totalChallan]])</f>
        <v>1</v>
      </c>
      <c r="O3469" s="8" t="b">
        <f>AND(TrafficData[[#This Row],[pendingAmount]]&lt;=TrafficData[[#This Row],[totalAmount]],TrafficData[[#This Row],[disposedAmount]]&lt;=TrafficData[[#This Row],[totalAmount]])</f>
        <v>1</v>
      </c>
      <c r="P3469" s="8" t="b">
        <f>AND(TrafficData[[#This Row],[pendingCourt]]&lt;=TrafficData[[#This Row],[totalCourt]],TrafficData[[#This Row],[disposedCourt]]&lt;=TrafficData[[#This Row],[totalCourt]])</f>
        <v>1</v>
      </c>
    </row>
    <row r="3470" spans="1:16">
      <c r="A3470" s="1">
        <v>45474</v>
      </c>
      <c r="B3470">
        <v>228507</v>
      </c>
      <c r="C3470">
        <v>71759</v>
      </c>
      <c r="D3470">
        <v>156748</v>
      </c>
      <c r="E3470">
        <v>209386805</v>
      </c>
      <c r="F3470">
        <v>98788095</v>
      </c>
      <c r="G3470">
        <v>308174900</v>
      </c>
      <c r="H3470">
        <v>81707</v>
      </c>
      <c r="I3470">
        <v>9245</v>
      </c>
      <c r="J3470">
        <v>90952</v>
      </c>
      <c r="K3470" t="b">
        <f>TrafficData[[#This Row],[disposedChallan]]+TrafficData[[#This Row],[pendingChallan]]=TrafficData[[#This Row],[totalChallan]]</f>
        <v>1</v>
      </c>
      <c r="L3470" t="b">
        <f>TrafficData[[#This Row],[pendingAmount]]+TrafficData[[#This Row],[disposedAmount]]=TrafficData[[#This Row],[totalAmount]]</f>
        <v>1</v>
      </c>
      <c r="M3470" t="b">
        <f>TrafficData[[#This Row],[pendingCourt]]+TrafficData[[#This Row],[disposedCourt]]=TrafficData[[#This Row],[totalCourt]]</f>
        <v>1</v>
      </c>
      <c r="N3470" s="8" t="b">
        <f>AND(TrafficData[[#This Row],[disposedChallan]]&lt;=TrafficData[[#This Row],[totalChallan]],TrafficData[[#This Row],[pendingChallan]]&lt;=TrafficData[[#This Row],[totalChallan]])</f>
        <v>1</v>
      </c>
      <c r="O3470" s="8" t="b">
        <f>AND(TrafficData[[#This Row],[pendingAmount]]&lt;=TrafficData[[#This Row],[totalAmount]],TrafficData[[#This Row],[disposedAmount]]&lt;=TrafficData[[#This Row],[totalAmount]])</f>
        <v>1</v>
      </c>
      <c r="P3470" s="8" t="b">
        <f>AND(TrafficData[[#This Row],[pendingCourt]]&lt;=TrafficData[[#This Row],[totalCourt]],TrafficData[[#This Row],[disposedCourt]]&lt;=TrafficData[[#This Row],[totalCourt]])</f>
        <v>1</v>
      </c>
    </row>
    <row r="3471" spans="1:16">
      <c r="A3471" s="1">
        <v>45475</v>
      </c>
      <c r="B3471">
        <v>228468</v>
      </c>
      <c r="C3471">
        <v>75488</v>
      </c>
      <c r="D3471">
        <v>152980</v>
      </c>
      <c r="E3471">
        <v>220221020</v>
      </c>
      <c r="F3471">
        <v>115445766</v>
      </c>
      <c r="G3471">
        <v>335666786</v>
      </c>
      <c r="H3471">
        <v>78137</v>
      </c>
      <c r="I3471">
        <v>9113</v>
      </c>
      <c r="J3471">
        <v>87250</v>
      </c>
      <c r="K3471" t="b">
        <f>TrafficData[[#This Row],[disposedChallan]]+TrafficData[[#This Row],[pendingChallan]]=TrafficData[[#This Row],[totalChallan]]</f>
        <v>1</v>
      </c>
      <c r="L3471" t="b">
        <f>TrafficData[[#This Row],[pendingAmount]]+TrafficData[[#This Row],[disposedAmount]]=TrafficData[[#This Row],[totalAmount]]</f>
        <v>1</v>
      </c>
      <c r="M3471" t="b">
        <f>TrafficData[[#This Row],[pendingCourt]]+TrafficData[[#This Row],[disposedCourt]]=TrafficData[[#This Row],[totalCourt]]</f>
        <v>1</v>
      </c>
      <c r="N3471" s="8" t="b">
        <f>AND(TrafficData[[#This Row],[disposedChallan]]&lt;=TrafficData[[#This Row],[totalChallan]],TrafficData[[#This Row],[pendingChallan]]&lt;=TrafficData[[#This Row],[totalChallan]])</f>
        <v>1</v>
      </c>
      <c r="O3471" s="8" t="b">
        <f>AND(TrafficData[[#This Row],[pendingAmount]]&lt;=TrafficData[[#This Row],[totalAmount]],TrafficData[[#This Row],[disposedAmount]]&lt;=TrafficData[[#This Row],[totalAmount]])</f>
        <v>1</v>
      </c>
      <c r="P3471" s="8" t="b">
        <f>AND(TrafficData[[#This Row],[pendingCourt]]&lt;=TrafficData[[#This Row],[totalCourt]],TrafficData[[#This Row],[disposedCourt]]&lt;=TrafficData[[#This Row],[totalCourt]])</f>
        <v>1</v>
      </c>
    </row>
    <row r="3472" spans="1:16">
      <c r="A3472" s="1">
        <v>45476</v>
      </c>
      <c r="B3472">
        <v>230802</v>
      </c>
      <c r="C3472">
        <v>75902</v>
      </c>
      <c r="D3472">
        <v>154900</v>
      </c>
      <c r="E3472">
        <v>219109235</v>
      </c>
      <c r="F3472">
        <v>119579380</v>
      </c>
      <c r="G3472">
        <v>338688615</v>
      </c>
      <c r="H3472">
        <v>80350</v>
      </c>
      <c r="I3472">
        <v>9481</v>
      </c>
      <c r="J3472">
        <v>89831</v>
      </c>
      <c r="K3472" t="b">
        <f>TrafficData[[#This Row],[disposedChallan]]+TrafficData[[#This Row],[pendingChallan]]=TrafficData[[#This Row],[totalChallan]]</f>
        <v>1</v>
      </c>
      <c r="L3472" t="b">
        <f>TrafficData[[#This Row],[pendingAmount]]+TrafficData[[#This Row],[disposedAmount]]=TrafficData[[#This Row],[totalAmount]]</f>
        <v>1</v>
      </c>
      <c r="M3472" t="b">
        <f>TrafficData[[#This Row],[pendingCourt]]+TrafficData[[#This Row],[disposedCourt]]=TrafficData[[#This Row],[totalCourt]]</f>
        <v>1</v>
      </c>
      <c r="N3472" s="8" t="b">
        <f>AND(TrafficData[[#This Row],[disposedChallan]]&lt;=TrafficData[[#This Row],[totalChallan]],TrafficData[[#This Row],[pendingChallan]]&lt;=TrafficData[[#This Row],[totalChallan]])</f>
        <v>1</v>
      </c>
      <c r="O3472" s="8" t="b">
        <f>AND(TrafficData[[#This Row],[pendingAmount]]&lt;=TrafficData[[#This Row],[totalAmount]],TrafficData[[#This Row],[disposedAmount]]&lt;=TrafficData[[#This Row],[totalAmount]])</f>
        <v>1</v>
      </c>
      <c r="P3472" s="8" t="b">
        <f>AND(TrafficData[[#This Row],[pendingCourt]]&lt;=TrafficData[[#This Row],[totalCourt]],TrafficData[[#This Row],[disposedCourt]]&lt;=TrafficData[[#This Row],[totalCourt]])</f>
        <v>1</v>
      </c>
    </row>
    <row r="3473" spans="1:16">
      <c r="A3473" s="1">
        <v>45477</v>
      </c>
      <c r="B3473">
        <v>238333</v>
      </c>
      <c r="C3473">
        <v>75558</v>
      </c>
      <c r="D3473">
        <v>162775</v>
      </c>
      <c r="E3473">
        <v>241583570</v>
      </c>
      <c r="F3473">
        <v>118575690</v>
      </c>
      <c r="G3473">
        <v>360159260</v>
      </c>
      <c r="H3473">
        <v>82331</v>
      </c>
      <c r="I3473">
        <v>9423</v>
      </c>
      <c r="J3473">
        <v>91754</v>
      </c>
      <c r="K3473" t="b">
        <f>TrafficData[[#This Row],[disposedChallan]]+TrafficData[[#This Row],[pendingChallan]]=TrafficData[[#This Row],[totalChallan]]</f>
        <v>1</v>
      </c>
      <c r="L3473" t="b">
        <f>TrafficData[[#This Row],[pendingAmount]]+TrafficData[[#This Row],[disposedAmount]]=TrafficData[[#This Row],[totalAmount]]</f>
        <v>1</v>
      </c>
      <c r="M3473" t="b">
        <f>TrafficData[[#This Row],[pendingCourt]]+TrafficData[[#This Row],[disposedCourt]]=TrafficData[[#This Row],[totalCourt]]</f>
        <v>1</v>
      </c>
      <c r="N3473" s="8" t="b">
        <f>AND(TrafficData[[#This Row],[disposedChallan]]&lt;=TrafficData[[#This Row],[totalChallan]],TrafficData[[#This Row],[pendingChallan]]&lt;=TrafficData[[#This Row],[totalChallan]])</f>
        <v>1</v>
      </c>
      <c r="O3473" s="8" t="b">
        <f>AND(TrafficData[[#This Row],[pendingAmount]]&lt;=TrafficData[[#This Row],[totalAmount]],TrafficData[[#This Row],[disposedAmount]]&lt;=TrafficData[[#This Row],[totalAmount]])</f>
        <v>1</v>
      </c>
      <c r="P3473" s="8" t="b">
        <f>AND(TrafficData[[#This Row],[pendingCourt]]&lt;=TrafficData[[#This Row],[totalCourt]],TrafficData[[#This Row],[disposedCourt]]&lt;=TrafficData[[#This Row],[totalCourt]])</f>
        <v>1</v>
      </c>
    </row>
    <row r="3474" spans="1:16">
      <c r="A3474" s="1">
        <v>45478</v>
      </c>
      <c r="B3474">
        <v>230206</v>
      </c>
      <c r="C3474">
        <v>71805</v>
      </c>
      <c r="D3474">
        <v>158401</v>
      </c>
      <c r="E3474">
        <v>235486811</v>
      </c>
      <c r="F3474">
        <v>110549336</v>
      </c>
      <c r="G3474">
        <v>346036147</v>
      </c>
      <c r="H3474">
        <v>78020</v>
      </c>
      <c r="I3474">
        <v>9160</v>
      </c>
      <c r="J3474">
        <v>87180</v>
      </c>
      <c r="K3474" t="b">
        <f>TrafficData[[#This Row],[disposedChallan]]+TrafficData[[#This Row],[pendingChallan]]=TrafficData[[#This Row],[totalChallan]]</f>
        <v>1</v>
      </c>
      <c r="L3474" t="b">
        <f>TrafficData[[#This Row],[pendingAmount]]+TrafficData[[#This Row],[disposedAmount]]=TrafficData[[#This Row],[totalAmount]]</f>
        <v>1</v>
      </c>
      <c r="M3474" t="b">
        <f>TrafficData[[#This Row],[pendingCourt]]+TrafficData[[#This Row],[disposedCourt]]=TrafficData[[#This Row],[totalCourt]]</f>
        <v>1</v>
      </c>
      <c r="N3474" s="8" t="b">
        <f>AND(TrafficData[[#This Row],[disposedChallan]]&lt;=TrafficData[[#This Row],[totalChallan]],TrafficData[[#This Row],[pendingChallan]]&lt;=TrafficData[[#This Row],[totalChallan]])</f>
        <v>1</v>
      </c>
      <c r="O3474" s="8" t="b">
        <f>AND(TrafficData[[#This Row],[pendingAmount]]&lt;=TrafficData[[#This Row],[totalAmount]],TrafficData[[#This Row],[disposedAmount]]&lt;=TrafficData[[#This Row],[totalAmount]])</f>
        <v>1</v>
      </c>
      <c r="P3474" s="8" t="b">
        <f>AND(TrafficData[[#This Row],[pendingCourt]]&lt;=TrafficData[[#This Row],[totalCourt]],TrafficData[[#This Row],[disposedCourt]]&lt;=TrafficData[[#This Row],[totalCourt]])</f>
        <v>1</v>
      </c>
    </row>
    <row r="3475" spans="1:16">
      <c r="A3475" s="1">
        <v>45479</v>
      </c>
      <c r="B3475">
        <v>227235</v>
      </c>
      <c r="C3475">
        <v>71813</v>
      </c>
      <c r="D3475">
        <v>155422</v>
      </c>
      <c r="E3475">
        <v>226988131</v>
      </c>
      <c r="F3475">
        <v>99832474</v>
      </c>
      <c r="G3475">
        <v>326820605</v>
      </c>
      <c r="H3475">
        <v>82937</v>
      </c>
      <c r="I3475">
        <v>9392</v>
      </c>
      <c r="J3475">
        <v>92329</v>
      </c>
      <c r="K3475" t="b">
        <f>TrafficData[[#This Row],[disposedChallan]]+TrafficData[[#This Row],[pendingChallan]]=TrafficData[[#This Row],[totalChallan]]</f>
        <v>1</v>
      </c>
      <c r="L3475" t="b">
        <f>TrafficData[[#This Row],[pendingAmount]]+TrafficData[[#This Row],[disposedAmount]]=TrafficData[[#This Row],[totalAmount]]</f>
        <v>1</v>
      </c>
      <c r="M3475" t="b">
        <f>TrafficData[[#This Row],[pendingCourt]]+TrafficData[[#This Row],[disposedCourt]]=TrafficData[[#This Row],[totalCourt]]</f>
        <v>1</v>
      </c>
      <c r="N3475" s="8" t="b">
        <f>AND(TrafficData[[#This Row],[disposedChallan]]&lt;=TrafficData[[#This Row],[totalChallan]],TrafficData[[#This Row],[pendingChallan]]&lt;=TrafficData[[#This Row],[totalChallan]])</f>
        <v>1</v>
      </c>
      <c r="O3475" s="8" t="b">
        <f>AND(TrafficData[[#This Row],[pendingAmount]]&lt;=TrafficData[[#This Row],[totalAmount]],TrafficData[[#This Row],[disposedAmount]]&lt;=TrafficData[[#This Row],[totalAmount]])</f>
        <v>1</v>
      </c>
      <c r="P3475" s="8" t="b">
        <f>AND(TrafficData[[#This Row],[pendingCourt]]&lt;=TrafficData[[#This Row],[totalCourt]],TrafficData[[#This Row],[disposedCourt]]&lt;=TrafficData[[#This Row],[totalCourt]])</f>
        <v>1</v>
      </c>
    </row>
    <row r="3476" spans="1:16">
      <c r="A3476" s="1">
        <v>45480</v>
      </c>
      <c r="B3476">
        <v>203253</v>
      </c>
      <c r="C3476">
        <v>60184</v>
      </c>
      <c r="D3476">
        <v>143069</v>
      </c>
      <c r="E3476">
        <v>198285763</v>
      </c>
      <c r="F3476">
        <v>73787629</v>
      </c>
      <c r="G3476">
        <v>272073392</v>
      </c>
      <c r="H3476">
        <v>75444</v>
      </c>
      <c r="I3476">
        <v>8174</v>
      </c>
      <c r="J3476">
        <v>83618</v>
      </c>
      <c r="K3476" t="b">
        <f>TrafficData[[#This Row],[disposedChallan]]+TrafficData[[#This Row],[pendingChallan]]=TrafficData[[#This Row],[totalChallan]]</f>
        <v>1</v>
      </c>
      <c r="L3476" t="b">
        <f>TrafficData[[#This Row],[pendingAmount]]+TrafficData[[#This Row],[disposedAmount]]=TrafficData[[#This Row],[totalAmount]]</f>
        <v>1</v>
      </c>
      <c r="M3476" t="b">
        <f>TrafficData[[#This Row],[pendingCourt]]+TrafficData[[#This Row],[disposedCourt]]=TrafficData[[#This Row],[totalCourt]]</f>
        <v>1</v>
      </c>
      <c r="N3476" s="8" t="b">
        <f>AND(TrafficData[[#This Row],[disposedChallan]]&lt;=TrafficData[[#This Row],[totalChallan]],TrafficData[[#This Row],[pendingChallan]]&lt;=TrafficData[[#This Row],[totalChallan]])</f>
        <v>1</v>
      </c>
      <c r="O3476" s="8" t="b">
        <f>AND(TrafficData[[#This Row],[pendingAmount]]&lt;=TrafficData[[#This Row],[totalAmount]],TrafficData[[#This Row],[disposedAmount]]&lt;=TrafficData[[#This Row],[totalAmount]])</f>
        <v>1</v>
      </c>
      <c r="P3476" s="8" t="b">
        <f>AND(TrafficData[[#This Row],[pendingCourt]]&lt;=TrafficData[[#This Row],[totalCourt]],TrafficData[[#This Row],[disposedCourt]]&lt;=TrafficData[[#This Row],[totalCourt]])</f>
        <v>1</v>
      </c>
    </row>
    <row r="3477" spans="1:16">
      <c r="A3477" s="1">
        <v>45481</v>
      </c>
      <c r="B3477">
        <v>244221</v>
      </c>
      <c r="C3477">
        <v>72592</v>
      </c>
      <c r="D3477">
        <v>171629</v>
      </c>
      <c r="E3477">
        <v>256487680</v>
      </c>
      <c r="F3477">
        <v>106059886</v>
      </c>
      <c r="G3477">
        <v>362547566</v>
      </c>
      <c r="H3477">
        <v>93497</v>
      </c>
      <c r="I3477">
        <v>10260</v>
      </c>
      <c r="J3477">
        <v>103757</v>
      </c>
      <c r="K3477" t="b">
        <f>TrafficData[[#This Row],[disposedChallan]]+TrafficData[[#This Row],[pendingChallan]]=TrafficData[[#This Row],[totalChallan]]</f>
        <v>1</v>
      </c>
      <c r="L3477" t="b">
        <f>TrafficData[[#This Row],[pendingAmount]]+TrafficData[[#This Row],[disposedAmount]]=TrafficData[[#This Row],[totalAmount]]</f>
        <v>1</v>
      </c>
      <c r="M3477" t="b">
        <f>TrafficData[[#This Row],[pendingCourt]]+TrafficData[[#This Row],[disposedCourt]]=TrafficData[[#This Row],[totalCourt]]</f>
        <v>1</v>
      </c>
      <c r="N3477" s="8" t="b">
        <f>AND(TrafficData[[#This Row],[disposedChallan]]&lt;=TrafficData[[#This Row],[totalChallan]],TrafficData[[#This Row],[pendingChallan]]&lt;=TrafficData[[#This Row],[totalChallan]])</f>
        <v>1</v>
      </c>
      <c r="O3477" s="8" t="b">
        <f>AND(TrafficData[[#This Row],[pendingAmount]]&lt;=TrafficData[[#This Row],[totalAmount]],TrafficData[[#This Row],[disposedAmount]]&lt;=TrafficData[[#This Row],[totalAmount]])</f>
        <v>1</v>
      </c>
      <c r="P3477" s="8" t="b">
        <f>AND(TrafficData[[#This Row],[pendingCourt]]&lt;=TrafficData[[#This Row],[totalCourt]],TrafficData[[#This Row],[disposedCourt]]&lt;=TrafficData[[#This Row],[totalCourt]])</f>
        <v>1</v>
      </c>
    </row>
    <row r="3478" spans="1:16">
      <c r="A3478" s="1">
        <v>45482</v>
      </c>
      <c r="B3478">
        <v>230801</v>
      </c>
      <c r="C3478">
        <v>71268</v>
      </c>
      <c r="D3478">
        <v>159533</v>
      </c>
      <c r="E3478">
        <v>247292863</v>
      </c>
      <c r="F3478">
        <v>115817086</v>
      </c>
      <c r="G3478">
        <v>363109949</v>
      </c>
      <c r="H3478">
        <v>82356</v>
      </c>
      <c r="I3478">
        <v>9435</v>
      </c>
      <c r="J3478">
        <v>91791</v>
      </c>
      <c r="K3478" t="b">
        <f>TrafficData[[#This Row],[disposedChallan]]+TrafficData[[#This Row],[pendingChallan]]=TrafficData[[#This Row],[totalChallan]]</f>
        <v>1</v>
      </c>
      <c r="L3478" t="b">
        <f>TrafficData[[#This Row],[pendingAmount]]+TrafficData[[#This Row],[disposedAmount]]=TrafficData[[#This Row],[totalAmount]]</f>
        <v>1</v>
      </c>
      <c r="M3478" t="b">
        <f>TrafficData[[#This Row],[pendingCourt]]+TrafficData[[#This Row],[disposedCourt]]=TrafficData[[#This Row],[totalCourt]]</f>
        <v>1</v>
      </c>
      <c r="N3478" s="8" t="b">
        <f>AND(TrafficData[[#This Row],[disposedChallan]]&lt;=TrafficData[[#This Row],[totalChallan]],TrafficData[[#This Row],[pendingChallan]]&lt;=TrafficData[[#This Row],[totalChallan]])</f>
        <v>1</v>
      </c>
      <c r="O3478" s="8" t="b">
        <f>AND(TrafficData[[#This Row],[pendingAmount]]&lt;=TrafficData[[#This Row],[totalAmount]],TrafficData[[#This Row],[disposedAmount]]&lt;=TrafficData[[#This Row],[totalAmount]])</f>
        <v>1</v>
      </c>
      <c r="P3478" s="8" t="b">
        <f>AND(TrafficData[[#This Row],[pendingCourt]]&lt;=TrafficData[[#This Row],[totalCourt]],TrafficData[[#This Row],[disposedCourt]]&lt;=TrafficData[[#This Row],[totalCourt]])</f>
        <v>1</v>
      </c>
    </row>
    <row r="3479" spans="1:16">
      <c r="A3479" s="1">
        <v>45483</v>
      </c>
      <c r="B3479">
        <v>224599</v>
      </c>
      <c r="C3479">
        <v>69541</v>
      </c>
      <c r="D3479">
        <v>155058</v>
      </c>
      <c r="E3479">
        <v>246730123</v>
      </c>
      <c r="F3479">
        <v>112707201</v>
      </c>
      <c r="G3479">
        <v>359437324</v>
      </c>
      <c r="H3479">
        <v>88209</v>
      </c>
      <c r="I3479">
        <v>9549</v>
      </c>
      <c r="J3479">
        <v>97758</v>
      </c>
      <c r="K3479" t="b">
        <f>TrafficData[[#This Row],[disposedChallan]]+TrafficData[[#This Row],[pendingChallan]]=TrafficData[[#This Row],[totalChallan]]</f>
        <v>1</v>
      </c>
      <c r="L3479" t="b">
        <f>TrafficData[[#This Row],[pendingAmount]]+TrafficData[[#This Row],[disposedAmount]]=TrafficData[[#This Row],[totalAmount]]</f>
        <v>1</v>
      </c>
      <c r="M3479" t="b">
        <f>TrafficData[[#This Row],[pendingCourt]]+TrafficData[[#This Row],[disposedCourt]]=TrafficData[[#This Row],[totalCourt]]</f>
        <v>1</v>
      </c>
      <c r="N3479" s="8" t="b">
        <f>AND(TrafficData[[#This Row],[disposedChallan]]&lt;=TrafficData[[#This Row],[totalChallan]],TrafficData[[#This Row],[pendingChallan]]&lt;=TrafficData[[#This Row],[totalChallan]])</f>
        <v>1</v>
      </c>
      <c r="O3479" s="8" t="b">
        <f>AND(TrafficData[[#This Row],[pendingAmount]]&lt;=TrafficData[[#This Row],[totalAmount]],TrafficData[[#This Row],[disposedAmount]]&lt;=TrafficData[[#This Row],[totalAmount]])</f>
        <v>1</v>
      </c>
      <c r="P3479" s="8" t="b">
        <f>AND(TrafficData[[#This Row],[pendingCourt]]&lt;=TrafficData[[#This Row],[totalCourt]],TrafficData[[#This Row],[disposedCourt]]&lt;=TrafficData[[#This Row],[totalCourt]])</f>
        <v>1</v>
      </c>
    </row>
    <row r="3480" spans="1:16">
      <c r="A3480" s="1">
        <v>45484</v>
      </c>
      <c r="B3480">
        <v>216531</v>
      </c>
      <c r="C3480">
        <v>67390</v>
      </c>
      <c r="D3480">
        <v>149141</v>
      </c>
      <c r="E3480">
        <v>237042021</v>
      </c>
      <c r="F3480">
        <v>110830393</v>
      </c>
      <c r="G3480">
        <v>347872414</v>
      </c>
      <c r="H3480">
        <v>82103</v>
      </c>
      <c r="I3480">
        <v>9211</v>
      </c>
      <c r="J3480">
        <v>91314</v>
      </c>
      <c r="K3480" t="b">
        <f>TrafficData[[#This Row],[disposedChallan]]+TrafficData[[#This Row],[pendingChallan]]=TrafficData[[#This Row],[totalChallan]]</f>
        <v>1</v>
      </c>
      <c r="L3480" t="b">
        <f>TrafficData[[#This Row],[pendingAmount]]+TrafficData[[#This Row],[disposedAmount]]=TrafficData[[#This Row],[totalAmount]]</f>
        <v>1</v>
      </c>
      <c r="M3480" t="b">
        <f>TrafficData[[#This Row],[pendingCourt]]+TrafficData[[#This Row],[disposedCourt]]=TrafficData[[#This Row],[totalCourt]]</f>
        <v>1</v>
      </c>
      <c r="N3480" s="8" t="b">
        <f>AND(TrafficData[[#This Row],[disposedChallan]]&lt;=TrafficData[[#This Row],[totalChallan]],TrafficData[[#This Row],[pendingChallan]]&lt;=TrafficData[[#This Row],[totalChallan]])</f>
        <v>1</v>
      </c>
      <c r="O3480" s="8" t="b">
        <f>AND(TrafficData[[#This Row],[pendingAmount]]&lt;=TrafficData[[#This Row],[totalAmount]],TrafficData[[#This Row],[disposedAmount]]&lt;=TrafficData[[#This Row],[totalAmount]])</f>
        <v>1</v>
      </c>
      <c r="P3480" s="8" t="b">
        <f>AND(TrafficData[[#This Row],[pendingCourt]]&lt;=TrafficData[[#This Row],[totalCourt]],TrafficData[[#This Row],[disposedCourt]]&lt;=TrafficData[[#This Row],[totalCourt]])</f>
        <v>1</v>
      </c>
    </row>
    <row r="3481" spans="1:16">
      <c r="A3481" s="1">
        <v>45485</v>
      </c>
      <c r="B3481">
        <v>241900</v>
      </c>
      <c r="C3481">
        <v>73697</v>
      </c>
      <c r="D3481">
        <v>168203</v>
      </c>
      <c r="E3481">
        <v>265568788</v>
      </c>
      <c r="F3481">
        <v>111629689</v>
      </c>
      <c r="G3481">
        <v>377198477</v>
      </c>
      <c r="H3481">
        <v>92177</v>
      </c>
      <c r="I3481">
        <v>10312</v>
      </c>
      <c r="J3481">
        <v>102489</v>
      </c>
      <c r="K3481" t="b">
        <f>TrafficData[[#This Row],[disposedChallan]]+TrafficData[[#This Row],[pendingChallan]]=TrafficData[[#This Row],[totalChallan]]</f>
        <v>1</v>
      </c>
      <c r="L3481" t="b">
        <f>TrafficData[[#This Row],[pendingAmount]]+TrafficData[[#This Row],[disposedAmount]]=TrafficData[[#This Row],[totalAmount]]</f>
        <v>1</v>
      </c>
      <c r="M3481" t="b">
        <f>TrafficData[[#This Row],[pendingCourt]]+TrafficData[[#This Row],[disposedCourt]]=TrafficData[[#This Row],[totalCourt]]</f>
        <v>1</v>
      </c>
      <c r="N3481" s="8" t="b">
        <f>AND(TrafficData[[#This Row],[disposedChallan]]&lt;=TrafficData[[#This Row],[totalChallan]],TrafficData[[#This Row],[pendingChallan]]&lt;=TrafficData[[#This Row],[totalChallan]])</f>
        <v>1</v>
      </c>
      <c r="O3481" s="8" t="b">
        <f>AND(TrafficData[[#This Row],[pendingAmount]]&lt;=TrafficData[[#This Row],[totalAmount]],TrafficData[[#This Row],[disposedAmount]]&lt;=TrafficData[[#This Row],[totalAmount]])</f>
        <v>1</v>
      </c>
      <c r="P3481" s="8" t="b">
        <f>AND(TrafficData[[#This Row],[pendingCourt]]&lt;=TrafficData[[#This Row],[totalCourt]],TrafficData[[#This Row],[disposedCourt]]&lt;=TrafficData[[#This Row],[totalCourt]])</f>
        <v>1</v>
      </c>
    </row>
    <row r="3482" spans="1:16">
      <c r="A3482" s="1">
        <v>45486</v>
      </c>
      <c r="B3482">
        <v>230660</v>
      </c>
      <c r="C3482">
        <v>73020</v>
      </c>
      <c r="D3482">
        <v>157640</v>
      </c>
      <c r="E3482">
        <v>244138412</v>
      </c>
      <c r="F3482">
        <v>107166464</v>
      </c>
      <c r="G3482">
        <v>351304876</v>
      </c>
      <c r="H3482">
        <v>83935</v>
      </c>
      <c r="I3482">
        <v>9470</v>
      </c>
      <c r="J3482">
        <v>93405</v>
      </c>
      <c r="K3482" t="b">
        <f>TrafficData[[#This Row],[disposedChallan]]+TrafficData[[#This Row],[pendingChallan]]=TrafficData[[#This Row],[totalChallan]]</f>
        <v>1</v>
      </c>
      <c r="L3482" t="b">
        <f>TrafficData[[#This Row],[pendingAmount]]+TrafficData[[#This Row],[disposedAmount]]=TrafficData[[#This Row],[totalAmount]]</f>
        <v>1</v>
      </c>
      <c r="M3482" t="b">
        <f>TrafficData[[#This Row],[pendingCourt]]+TrafficData[[#This Row],[disposedCourt]]=TrafficData[[#This Row],[totalCourt]]</f>
        <v>1</v>
      </c>
      <c r="N3482" s="8" t="b">
        <f>AND(TrafficData[[#This Row],[disposedChallan]]&lt;=TrafficData[[#This Row],[totalChallan]],TrafficData[[#This Row],[pendingChallan]]&lt;=TrafficData[[#This Row],[totalChallan]])</f>
        <v>1</v>
      </c>
      <c r="O3482" s="8" t="b">
        <f>AND(TrafficData[[#This Row],[pendingAmount]]&lt;=TrafficData[[#This Row],[totalAmount]],TrafficData[[#This Row],[disposedAmount]]&lt;=TrafficData[[#This Row],[totalAmount]])</f>
        <v>1</v>
      </c>
      <c r="P3482" s="8" t="b">
        <f>AND(TrafficData[[#This Row],[pendingCourt]]&lt;=TrafficData[[#This Row],[totalCourt]],TrafficData[[#This Row],[disposedCourt]]&lt;=TrafficData[[#This Row],[totalCourt]])</f>
        <v>1</v>
      </c>
    </row>
    <row r="3483" spans="1:16">
      <c r="A3483" s="1">
        <v>45487</v>
      </c>
      <c r="B3483">
        <v>215975</v>
      </c>
      <c r="C3483">
        <v>64623</v>
      </c>
      <c r="D3483">
        <v>151352</v>
      </c>
      <c r="E3483">
        <v>208875678</v>
      </c>
      <c r="F3483">
        <v>81026116</v>
      </c>
      <c r="G3483">
        <v>289901794</v>
      </c>
      <c r="H3483">
        <v>78342</v>
      </c>
      <c r="I3483">
        <v>8690</v>
      </c>
      <c r="J3483">
        <v>87032</v>
      </c>
      <c r="K3483" t="b">
        <f>TrafficData[[#This Row],[disposedChallan]]+TrafficData[[#This Row],[pendingChallan]]=TrafficData[[#This Row],[totalChallan]]</f>
        <v>1</v>
      </c>
      <c r="L3483" t="b">
        <f>TrafficData[[#This Row],[pendingAmount]]+TrafficData[[#This Row],[disposedAmount]]=TrafficData[[#This Row],[totalAmount]]</f>
        <v>1</v>
      </c>
      <c r="M3483" t="b">
        <f>TrafficData[[#This Row],[pendingCourt]]+TrafficData[[#This Row],[disposedCourt]]=TrafficData[[#This Row],[totalCourt]]</f>
        <v>1</v>
      </c>
      <c r="N3483" s="8" t="b">
        <f>AND(TrafficData[[#This Row],[disposedChallan]]&lt;=TrafficData[[#This Row],[totalChallan]],TrafficData[[#This Row],[pendingChallan]]&lt;=TrafficData[[#This Row],[totalChallan]])</f>
        <v>1</v>
      </c>
      <c r="O3483" s="8" t="b">
        <f>AND(TrafficData[[#This Row],[pendingAmount]]&lt;=TrafficData[[#This Row],[totalAmount]],TrafficData[[#This Row],[disposedAmount]]&lt;=TrafficData[[#This Row],[totalAmount]])</f>
        <v>1</v>
      </c>
      <c r="P3483" s="8" t="b">
        <f>AND(TrafficData[[#This Row],[pendingCourt]]&lt;=TrafficData[[#This Row],[totalCourt]],TrafficData[[#This Row],[disposedCourt]]&lt;=TrafficData[[#This Row],[totalCourt]])</f>
        <v>1</v>
      </c>
    </row>
    <row r="3484" spans="1:16">
      <c r="A3484" s="1">
        <v>45488</v>
      </c>
      <c r="B3484">
        <v>217947</v>
      </c>
      <c r="C3484">
        <v>64940</v>
      </c>
      <c r="D3484">
        <v>153007</v>
      </c>
      <c r="E3484">
        <v>234356642</v>
      </c>
      <c r="F3484">
        <v>101442105</v>
      </c>
      <c r="G3484">
        <v>335798747</v>
      </c>
      <c r="H3484">
        <v>87967</v>
      </c>
      <c r="I3484">
        <v>9419</v>
      </c>
      <c r="J3484">
        <v>97386</v>
      </c>
      <c r="K3484" t="b">
        <f>TrafficData[[#This Row],[disposedChallan]]+TrafficData[[#This Row],[pendingChallan]]=TrafficData[[#This Row],[totalChallan]]</f>
        <v>1</v>
      </c>
      <c r="L3484" t="b">
        <f>TrafficData[[#This Row],[pendingAmount]]+TrafficData[[#This Row],[disposedAmount]]=TrafficData[[#This Row],[totalAmount]]</f>
        <v>1</v>
      </c>
      <c r="M3484" t="b">
        <f>TrafficData[[#This Row],[pendingCourt]]+TrafficData[[#This Row],[disposedCourt]]=TrafficData[[#This Row],[totalCourt]]</f>
        <v>1</v>
      </c>
      <c r="N3484" s="8" t="b">
        <f>AND(TrafficData[[#This Row],[disposedChallan]]&lt;=TrafficData[[#This Row],[totalChallan]],TrafficData[[#This Row],[pendingChallan]]&lt;=TrafficData[[#This Row],[totalChallan]])</f>
        <v>1</v>
      </c>
      <c r="O3484" s="8" t="b">
        <f>AND(TrafficData[[#This Row],[pendingAmount]]&lt;=TrafficData[[#This Row],[totalAmount]],TrafficData[[#This Row],[disposedAmount]]&lt;=TrafficData[[#This Row],[totalAmount]])</f>
        <v>1</v>
      </c>
      <c r="P3484" s="8" t="b">
        <f>AND(TrafficData[[#This Row],[pendingCourt]]&lt;=TrafficData[[#This Row],[totalCourt]],TrafficData[[#This Row],[disposedCourt]]&lt;=TrafficData[[#This Row],[totalCourt]])</f>
        <v>1</v>
      </c>
    </row>
    <row r="3485" spans="1:16">
      <c r="A3485" s="1">
        <v>45489</v>
      </c>
      <c r="B3485">
        <v>228031</v>
      </c>
      <c r="C3485">
        <v>67525</v>
      </c>
      <c r="D3485">
        <v>160506</v>
      </c>
      <c r="E3485">
        <v>247988626</v>
      </c>
      <c r="F3485">
        <v>105512415</v>
      </c>
      <c r="G3485">
        <v>353501041</v>
      </c>
      <c r="H3485">
        <v>87109</v>
      </c>
      <c r="I3485">
        <v>9458</v>
      </c>
      <c r="J3485">
        <v>96567</v>
      </c>
      <c r="K3485" t="b">
        <f>TrafficData[[#This Row],[disposedChallan]]+TrafficData[[#This Row],[pendingChallan]]=TrafficData[[#This Row],[totalChallan]]</f>
        <v>1</v>
      </c>
      <c r="L3485" t="b">
        <f>TrafficData[[#This Row],[pendingAmount]]+TrafficData[[#This Row],[disposedAmount]]=TrafficData[[#This Row],[totalAmount]]</f>
        <v>1</v>
      </c>
      <c r="M3485" t="b">
        <f>TrafficData[[#This Row],[pendingCourt]]+TrafficData[[#This Row],[disposedCourt]]=TrafficData[[#This Row],[totalCourt]]</f>
        <v>1</v>
      </c>
      <c r="N3485" s="8" t="b">
        <f>AND(TrafficData[[#This Row],[disposedChallan]]&lt;=TrafficData[[#This Row],[totalChallan]],TrafficData[[#This Row],[pendingChallan]]&lt;=TrafficData[[#This Row],[totalChallan]])</f>
        <v>1</v>
      </c>
      <c r="O3485" s="8" t="b">
        <f>AND(TrafficData[[#This Row],[pendingAmount]]&lt;=TrafficData[[#This Row],[totalAmount]],TrafficData[[#This Row],[disposedAmount]]&lt;=TrafficData[[#This Row],[totalAmount]])</f>
        <v>1</v>
      </c>
      <c r="P3485" s="8" t="b">
        <f>AND(TrafficData[[#This Row],[pendingCourt]]&lt;=TrafficData[[#This Row],[totalCourt]],TrafficData[[#This Row],[disposedCourt]]&lt;=TrafficData[[#This Row],[totalCourt]])</f>
        <v>1</v>
      </c>
    </row>
    <row r="3486" spans="1:16">
      <c r="A3486" s="1">
        <v>45490</v>
      </c>
      <c r="B3486">
        <v>210676</v>
      </c>
      <c r="C3486">
        <v>61959</v>
      </c>
      <c r="D3486">
        <v>148717</v>
      </c>
      <c r="E3486">
        <v>215633996</v>
      </c>
      <c r="F3486">
        <v>90531680</v>
      </c>
      <c r="G3486">
        <v>306165676</v>
      </c>
      <c r="H3486">
        <v>65639</v>
      </c>
      <c r="I3486">
        <v>8630</v>
      </c>
      <c r="J3486">
        <v>74269</v>
      </c>
      <c r="K3486" t="b">
        <f>TrafficData[[#This Row],[disposedChallan]]+TrafficData[[#This Row],[pendingChallan]]=TrafficData[[#This Row],[totalChallan]]</f>
        <v>1</v>
      </c>
      <c r="L3486" t="b">
        <f>TrafficData[[#This Row],[pendingAmount]]+TrafficData[[#This Row],[disposedAmount]]=TrafficData[[#This Row],[totalAmount]]</f>
        <v>1</v>
      </c>
      <c r="M3486" t="b">
        <f>TrafficData[[#This Row],[pendingCourt]]+TrafficData[[#This Row],[disposedCourt]]=TrafficData[[#This Row],[totalCourt]]</f>
        <v>1</v>
      </c>
      <c r="N3486" s="8" t="b">
        <f>AND(TrafficData[[#This Row],[disposedChallan]]&lt;=TrafficData[[#This Row],[totalChallan]],TrafficData[[#This Row],[pendingChallan]]&lt;=TrafficData[[#This Row],[totalChallan]])</f>
        <v>1</v>
      </c>
      <c r="O3486" s="8" t="b">
        <f>AND(TrafficData[[#This Row],[pendingAmount]]&lt;=TrafficData[[#This Row],[totalAmount]],TrafficData[[#This Row],[disposedAmount]]&lt;=TrafficData[[#This Row],[totalAmount]])</f>
        <v>1</v>
      </c>
      <c r="P3486" s="8" t="b">
        <f>AND(TrafficData[[#This Row],[pendingCourt]]&lt;=TrafficData[[#This Row],[totalCourt]],TrafficData[[#This Row],[disposedCourt]]&lt;=TrafficData[[#This Row],[totalCourt]])</f>
        <v>1</v>
      </c>
    </row>
    <row r="3487" spans="1:16">
      <c r="A3487" s="1">
        <v>45491</v>
      </c>
      <c r="B3487">
        <v>226981</v>
      </c>
      <c r="C3487">
        <v>68967</v>
      </c>
      <c r="D3487">
        <v>158014</v>
      </c>
      <c r="E3487">
        <v>246821389</v>
      </c>
      <c r="F3487">
        <v>109469215</v>
      </c>
      <c r="G3487">
        <v>356290604</v>
      </c>
      <c r="H3487">
        <v>83420</v>
      </c>
      <c r="I3487">
        <v>9274</v>
      </c>
      <c r="J3487">
        <v>92694</v>
      </c>
      <c r="K3487" t="b">
        <f>TrafficData[[#This Row],[disposedChallan]]+TrafficData[[#This Row],[pendingChallan]]=TrafficData[[#This Row],[totalChallan]]</f>
        <v>1</v>
      </c>
      <c r="L3487" t="b">
        <f>TrafficData[[#This Row],[pendingAmount]]+TrafficData[[#This Row],[disposedAmount]]=TrafficData[[#This Row],[totalAmount]]</f>
        <v>1</v>
      </c>
      <c r="M3487" t="b">
        <f>TrafficData[[#This Row],[pendingCourt]]+TrafficData[[#This Row],[disposedCourt]]=TrafficData[[#This Row],[totalCourt]]</f>
        <v>1</v>
      </c>
      <c r="N3487" s="8" t="b">
        <f>AND(TrafficData[[#This Row],[disposedChallan]]&lt;=TrafficData[[#This Row],[totalChallan]],TrafficData[[#This Row],[pendingChallan]]&lt;=TrafficData[[#This Row],[totalChallan]])</f>
        <v>1</v>
      </c>
      <c r="O3487" s="8" t="b">
        <f>AND(TrafficData[[#This Row],[pendingAmount]]&lt;=TrafficData[[#This Row],[totalAmount]],TrafficData[[#This Row],[disposedAmount]]&lt;=TrafficData[[#This Row],[totalAmount]])</f>
        <v>1</v>
      </c>
      <c r="P3487" s="8" t="b">
        <f>AND(TrafficData[[#This Row],[pendingCourt]]&lt;=TrafficData[[#This Row],[totalCourt]],TrafficData[[#This Row],[disposedCourt]]&lt;=TrafficData[[#This Row],[totalCourt]])</f>
        <v>1</v>
      </c>
    </row>
    <row r="3488" spans="1:16">
      <c r="A3488" s="1">
        <v>45492</v>
      </c>
      <c r="B3488">
        <v>248437</v>
      </c>
      <c r="C3488">
        <v>74874</v>
      </c>
      <c r="D3488">
        <v>173563</v>
      </c>
      <c r="E3488">
        <v>260595266</v>
      </c>
      <c r="F3488">
        <v>118356568</v>
      </c>
      <c r="G3488">
        <v>378951834</v>
      </c>
      <c r="H3488">
        <v>85102</v>
      </c>
      <c r="I3488">
        <v>9197</v>
      </c>
      <c r="J3488">
        <v>94299</v>
      </c>
      <c r="K3488" t="b">
        <f>TrafficData[[#This Row],[disposedChallan]]+TrafficData[[#This Row],[pendingChallan]]=TrafficData[[#This Row],[totalChallan]]</f>
        <v>1</v>
      </c>
      <c r="L3488" t="b">
        <f>TrafficData[[#This Row],[pendingAmount]]+TrafficData[[#This Row],[disposedAmount]]=TrafficData[[#This Row],[totalAmount]]</f>
        <v>1</v>
      </c>
      <c r="M3488" t="b">
        <f>TrafficData[[#This Row],[pendingCourt]]+TrafficData[[#This Row],[disposedCourt]]=TrafficData[[#This Row],[totalCourt]]</f>
        <v>1</v>
      </c>
      <c r="N3488" s="8" t="b">
        <f>AND(TrafficData[[#This Row],[disposedChallan]]&lt;=TrafficData[[#This Row],[totalChallan]],TrafficData[[#This Row],[pendingChallan]]&lt;=TrafficData[[#This Row],[totalChallan]])</f>
        <v>1</v>
      </c>
      <c r="O3488" s="8" t="b">
        <f>AND(TrafficData[[#This Row],[pendingAmount]]&lt;=TrafficData[[#This Row],[totalAmount]],TrafficData[[#This Row],[disposedAmount]]&lt;=TrafficData[[#This Row],[totalAmount]])</f>
        <v>1</v>
      </c>
      <c r="P3488" s="8" t="b">
        <f>AND(TrafficData[[#This Row],[pendingCourt]]&lt;=TrafficData[[#This Row],[totalCourt]],TrafficData[[#This Row],[disposedCourt]]&lt;=TrafficData[[#This Row],[totalCourt]])</f>
        <v>1</v>
      </c>
    </row>
    <row r="3489" spans="1:16">
      <c r="A3489" s="1">
        <v>45493</v>
      </c>
      <c r="B3489">
        <v>254859</v>
      </c>
      <c r="C3489">
        <v>79252</v>
      </c>
      <c r="D3489">
        <v>175607</v>
      </c>
      <c r="E3489">
        <v>259417816</v>
      </c>
      <c r="F3489">
        <v>108643903</v>
      </c>
      <c r="G3489">
        <v>368061719</v>
      </c>
      <c r="H3489">
        <v>85917</v>
      </c>
      <c r="I3489">
        <v>9528</v>
      </c>
      <c r="J3489">
        <v>95445</v>
      </c>
      <c r="K3489" t="b">
        <f>TrafficData[[#This Row],[disposedChallan]]+TrafficData[[#This Row],[pendingChallan]]=TrafficData[[#This Row],[totalChallan]]</f>
        <v>1</v>
      </c>
      <c r="L3489" t="b">
        <f>TrafficData[[#This Row],[pendingAmount]]+TrafficData[[#This Row],[disposedAmount]]=TrafficData[[#This Row],[totalAmount]]</f>
        <v>1</v>
      </c>
      <c r="M3489" t="b">
        <f>TrafficData[[#This Row],[pendingCourt]]+TrafficData[[#This Row],[disposedCourt]]=TrafficData[[#This Row],[totalCourt]]</f>
        <v>1</v>
      </c>
      <c r="N3489" s="8" t="b">
        <f>AND(TrafficData[[#This Row],[disposedChallan]]&lt;=TrafficData[[#This Row],[totalChallan]],TrafficData[[#This Row],[pendingChallan]]&lt;=TrafficData[[#This Row],[totalChallan]])</f>
        <v>1</v>
      </c>
      <c r="O3489" s="8" t="b">
        <f>AND(TrafficData[[#This Row],[pendingAmount]]&lt;=TrafficData[[#This Row],[totalAmount]],TrafficData[[#This Row],[disposedAmount]]&lt;=TrafficData[[#This Row],[totalAmount]])</f>
        <v>1</v>
      </c>
      <c r="P3489" s="8" t="b">
        <f>AND(TrafficData[[#This Row],[pendingCourt]]&lt;=TrafficData[[#This Row],[totalCourt]],TrafficData[[#This Row],[disposedCourt]]&lt;=TrafficData[[#This Row],[totalCourt]])</f>
        <v>1</v>
      </c>
    </row>
    <row r="3490" spans="1:16">
      <c r="A3490" s="1">
        <v>45494</v>
      </c>
      <c r="B3490">
        <v>214032</v>
      </c>
      <c r="C3490">
        <v>65117</v>
      </c>
      <c r="D3490">
        <v>148915</v>
      </c>
      <c r="E3490">
        <v>202746186</v>
      </c>
      <c r="F3490">
        <v>78545036</v>
      </c>
      <c r="G3490">
        <v>281291222</v>
      </c>
      <c r="H3490">
        <v>71283</v>
      </c>
      <c r="I3490">
        <v>7723</v>
      </c>
      <c r="J3490">
        <v>79006</v>
      </c>
      <c r="K3490" t="b">
        <f>TrafficData[[#This Row],[disposedChallan]]+TrafficData[[#This Row],[pendingChallan]]=TrafficData[[#This Row],[totalChallan]]</f>
        <v>1</v>
      </c>
      <c r="L3490" t="b">
        <f>TrafficData[[#This Row],[pendingAmount]]+TrafficData[[#This Row],[disposedAmount]]=TrafficData[[#This Row],[totalAmount]]</f>
        <v>1</v>
      </c>
      <c r="M3490" t="b">
        <f>TrafficData[[#This Row],[pendingCourt]]+TrafficData[[#This Row],[disposedCourt]]=TrafficData[[#This Row],[totalCourt]]</f>
        <v>1</v>
      </c>
      <c r="N3490" s="8" t="b">
        <f>AND(TrafficData[[#This Row],[disposedChallan]]&lt;=TrafficData[[#This Row],[totalChallan]],TrafficData[[#This Row],[pendingChallan]]&lt;=TrafficData[[#This Row],[totalChallan]])</f>
        <v>1</v>
      </c>
      <c r="O3490" s="8" t="b">
        <f>AND(TrafficData[[#This Row],[pendingAmount]]&lt;=TrafficData[[#This Row],[totalAmount]],TrafficData[[#This Row],[disposedAmount]]&lt;=TrafficData[[#This Row],[totalAmount]])</f>
        <v>1</v>
      </c>
      <c r="P3490" s="8" t="b">
        <f>AND(TrafficData[[#This Row],[pendingCourt]]&lt;=TrafficData[[#This Row],[totalCourt]],TrafficData[[#This Row],[disposedCourt]]&lt;=TrafficData[[#This Row],[totalCourt]])</f>
        <v>1</v>
      </c>
    </row>
    <row r="3491" spans="1:16">
      <c r="A3491" s="1">
        <v>45495</v>
      </c>
      <c r="B3491">
        <v>225823</v>
      </c>
      <c r="C3491">
        <v>69342</v>
      </c>
      <c r="D3491">
        <v>156481</v>
      </c>
      <c r="E3491">
        <v>219949383</v>
      </c>
      <c r="F3491">
        <v>100022643</v>
      </c>
      <c r="G3491">
        <v>319972026</v>
      </c>
      <c r="H3491">
        <v>74028</v>
      </c>
      <c r="I3491">
        <v>7840</v>
      </c>
      <c r="J3491">
        <v>81868</v>
      </c>
      <c r="K3491" t="b">
        <f>TrafficData[[#This Row],[disposedChallan]]+TrafficData[[#This Row],[pendingChallan]]=TrafficData[[#This Row],[totalChallan]]</f>
        <v>1</v>
      </c>
      <c r="L3491" t="b">
        <f>TrafficData[[#This Row],[pendingAmount]]+TrafficData[[#This Row],[disposedAmount]]=TrafficData[[#This Row],[totalAmount]]</f>
        <v>1</v>
      </c>
      <c r="M3491" t="b">
        <f>TrafficData[[#This Row],[pendingCourt]]+TrafficData[[#This Row],[disposedCourt]]=TrafficData[[#This Row],[totalCourt]]</f>
        <v>1</v>
      </c>
      <c r="N3491" s="8" t="b">
        <f>AND(TrafficData[[#This Row],[disposedChallan]]&lt;=TrafficData[[#This Row],[totalChallan]],TrafficData[[#This Row],[pendingChallan]]&lt;=TrafficData[[#This Row],[totalChallan]])</f>
        <v>1</v>
      </c>
      <c r="O3491" s="8" t="b">
        <f>AND(TrafficData[[#This Row],[pendingAmount]]&lt;=TrafficData[[#This Row],[totalAmount]],TrafficData[[#This Row],[disposedAmount]]&lt;=TrafficData[[#This Row],[totalAmount]])</f>
        <v>1</v>
      </c>
      <c r="P3491" s="8" t="b">
        <f>AND(TrafficData[[#This Row],[pendingCourt]]&lt;=TrafficData[[#This Row],[totalCourt]],TrafficData[[#This Row],[disposedCourt]]&lt;=TrafficData[[#This Row],[totalCourt]])</f>
        <v>1</v>
      </c>
    </row>
    <row r="3492" spans="1:16">
      <c r="A3492" s="1">
        <v>45496</v>
      </c>
      <c r="B3492">
        <v>224452</v>
      </c>
      <c r="C3492">
        <v>71718</v>
      </c>
      <c r="D3492">
        <v>152734</v>
      </c>
      <c r="E3492">
        <v>234068369</v>
      </c>
      <c r="F3492">
        <v>113034273</v>
      </c>
      <c r="G3492">
        <v>347102642</v>
      </c>
      <c r="H3492">
        <v>71658</v>
      </c>
      <c r="I3492">
        <v>7901</v>
      </c>
      <c r="J3492">
        <v>79559</v>
      </c>
      <c r="K3492" t="b">
        <f>TrafficData[[#This Row],[disposedChallan]]+TrafficData[[#This Row],[pendingChallan]]=TrafficData[[#This Row],[totalChallan]]</f>
        <v>1</v>
      </c>
      <c r="L3492" t="b">
        <f>TrafficData[[#This Row],[pendingAmount]]+TrafficData[[#This Row],[disposedAmount]]=TrafficData[[#This Row],[totalAmount]]</f>
        <v>1</v>
      </c>
      <c r="M3492" t="b">
        <f>TrafficData[[#This Row],[pendingCourt]]+TrafficData[[#This Row],[disposedCourt]]=TrafficData[[#This Row],[totalCourt]]</f>
        <v>1</v>
      </c>
      <c r="N3492" s="8" t="b">
        <f>AND(TrafficData[[#This Row],[disposedChallan]]&lt;=TrafficData[[#This Row],[totalChallan]],TrafficData[[#This Row],[pendingChallan]]&lt;=TrafficData[[#This Row],[totalChallan]])</f>
        <v>1</v>
      </c>
      <c r="O3492" s="8" t="b">
        <f>AND(TrafficData[[#This Row],[pendingAmount]]&lt;=TrafficData[[#This Row],[totalAmount]],TrafficData[[#This Row],[disposedAmount]]&lt;=TrafficData[[#This Row],[totalAmount]])</f>
        <v>1</v>
      </c>
      <c r="P3492" s="8" t="b">
        <f>AND(TrafficData[[#This Row],[pendingCourt]]&lt;=TrafficData[[#This Row],[totalCourt]],TrafficData[[#This Row],[disposedCourt]]&lt;=TrafficData[[#This Row],[totalCourt]])</f>
        <v>1</v>
      </c>
    </row>
    <row r="3493" spans="1:16">
      <c r="A3493" s="1">
        <v>45497</v>
      </c>
      <c r="B3493">
        <v>226802</v>
      </c>
      <c r="C3493">
        <v>72602</v>
      </c>
      <c r="D3493">
        <v>154200</v>
      </c>
      <c r="E3493">
        <v>230964503</v>
      </c>
      <c r="F3493">
        <v>113131140</v>
      </c>
      <c r="G3493">
        <v>344095643</v>
      </c>
      <c r="H3493">
        <v>71904</v>
      </c>
      <c r="I3493">
        <v>8025</v>
      </c>
      <c r="J3493">
        <v>79929</v>
      </c>
      <c r="K3493" t="b">
        <f>TrafficData[[#This Row],[disposedChallan]]+TrafficData[[#This Row],[pendingChallan]]=TrafficData[[#This Row],[totalChallan]]</f>
        <v>1</v>
      </c>
      <c r="L3493" t="b">
        <f>TrafficData[[#This Row],[pendingAmount]]+TrafficData[[#This Row],[disposedAmount]]=TrafficData[[#This Row],[totalAmount]]</f>
        <v>1</v>
      </c>
      <c r="M3493" t="b">
        <f>TrafficData[[#This Row],[pendingCourt]]+TrafficData[[#This Row],[disposedCourt]]=TrafficData[[#This Row],[totalCourt]]</f>
        <v>1</v>
      </c>
      <c r="N3493" s="8" t="b">
        <f>AND(TrafficData[[#This Row],[disposedChallan]]&lt;=TrafficData[[#This Row],[totalChallan]],TrafficData[[#This Row],[pendingChallan]]&lt;=TrafficData[[#This Row],[totalChallan]])</f>
        <v>1</v>
      </c>
      <c r="O3493" s="8" t="b">
        <f>AND(TrafficData[[#This Row],[pendingAmount]]&lt;=TrafficData[[#This Row],[totalAmount]],TrafficData[[#This Row],[disposedAmount]]&lt;=TrafficData[[#This Row],[totalAmount]])</f>
        <v>1</v>
      </c>
      <c r="P3493" s="8" t="b">
        <f>AND(TrafficData[[#This Row],[pendingCourt]]&lt;=TrafficData[[#This Row],[totalCourt]],TrafficData[[#This Row],[disposedCourt]]&lt;=TrafficData[[#This Row],[totalCourt]])</f>
        <v>1</v>
      </c>
    </row>
    <row r="3494" spans="1:16">
      <c r="A3494" s="1">
        <v>45498</v>
      </c>
      <c r="B3494">
        <v>226107</v>
      </c>
      <c r="C3494">
        <v>71804</v>
      </c>
      <c r="D3494">
        <v>154303</v>
      </c>
      <c r="E3494">
        <v>236434100</v>
      </c>
      <c r="F3494">
        <v>108045372</v>
      </c>
      <c r="G3494">
        <v>344479472</v>
      </c>
      <c r="H3494">
        <v>76309</v>
      </c>
      <c r="I3494">
        <v>8350</v>
      </c>
      <c r="J3494">
        <v>84659</v>
      </c>
      <c r="K3494" t="b">
        <f>TrafficData[[#This Row],[disposedChallan]]+TrafficData[[#This Row],[pendingChallan]]=TrafficData[[#This Row],[totalChallan]]</f>
        <v>1</v>
      </c>
      <c r="L3494" t="b">
        <f>TrafficData[[#This Row],[pendingAmount]]+TrafficData[[#This Row],[disposedAmount]]=TrafficData[[#This Row],[totalAmount]]</f>
        <v>1</v>
      </c>
      <c r="M3494" t="b">
        <f>TrafficData[[#This Row],[pendingCourt]]+TrafficData[[#This Row],[disposedCourt]]=TrafficData[[#This Row],[totalCourt]]</f>
        <v>1</v>
      </c>
      <c r="N3494" s="8" t="b">
        <f>AND(TrafficData[[#This Row],[disposedChallan]]&lt;=TrafficData[[#This Row],[totalChallan]],TrafficData[[#This Row],[pendingChallan]]&lt;=TrafficData[[#This Row],[totalChallan]])</f>
        <v>1</v>
      </c>
      <c r="O3494" s="8" t="b">
        <f>AND(TrafficData[[#This Row],[pendingAmount]]&lt;=TrafficData[[#This Row],[totalAmount]],TrafficData[[#This Row],[disposedAmount]]&lt;=TrafficData[[#This Row],[totalAmount]])</f>
        <v>1</v>
      </c>
      <c r="P3494" s="8" t="b">
        <f>AND(TrafficData[[#This Row],[pendingCourt]]&lt;=TrafficData[[#This Row],[totalCourt]],TrafficData[[#This Row],[disposedCourt]]&lt;=TrafficData[[#This Row],[totalCourt]])</f>
        <v>1</v>
      </c>
    </row>
    <row r="3495" spans="1:16">
      <c r="A3495" s="1">
        <v>45499</v>
      </c>
      <c r="B3495">
        <v>225340</v>
      </c>
      <c r="C3495">
        <v>70931</v>
      </c>
      <c r="D3495">
        <v>154409</v>
      </c>
      <c r="E3495">
        <v>228882311</v>
      </c>
      <c r="F3495">
        <v>105404247</v>
      </c>
      <c r="G3495">
        <v>334286558</v>
      </c>
      <c r="H3495">
        <v>73415</v>
      </c>
      <c r="I3495">
        <v>8080</v>
      </c>
      <c r="J3495">
        <v>81495</v>
      </c>
      <c r="K3495" t="b">
        <f>TrafficData[[#This Row],[disposedChallan]]+TrafficData[[#This Row],[pendingChallan]]=TrafficData[[#This Row],[totalChallan]]</f>
        <v>1</v>
      </c>
      <c r="L3495" t="b">
        <f>TrafficData[[#This Row],[pendingAmount]]+TrafficData[[#This Row],[disposedAmount]]=TrafficData[[#This Row],[totalAmount]]</f>
        <v>1</v>
      </c>
      <c r="M3495" t="b">
        <f>TrafficData[[#This Row],[pendingCourt]]+TrafficData[[#This Row],[disposedCourt]]=TrafficData[[#This Row],[totalCourt]]</f>
        <v>1</v>
      </c>
      <c r="N3495" s="8" t="b">
        <f>AND(TrafficData[[#This Row],[disposedChallan]]&lt;=TrafficData[[#This Row],[totalChallan]],TrafficData[[#This Row],[pendingChallan]]&lt;=TrafficData[[#This Row],[totalChallan]])</f>
        <v>1</v>
      </c>
      <c r="O3495" s="8" t="b">
        <f>AND(TrafficData[[#This Row],[pendingAmount]]&lt;=TrafficData[[#This Row],[totalAmount]],TrafficData[[#This Row],[disposedAmount]]&lt;=TrafficData[[#This Row],[totalAmount]])</f>
        <v>1</v>
      </c>
      <c r="P3495" s="8" t="b">
        <f>AND(TrafficData[[#This Row],[pendingCourt]]&lt;=TrafficData[[#This Row],[totalCourt]],TrafficData[[#This Row],[disposedCourt]]&lt;=TrafficData[[#This Row],[totalCourt]])</f>
        <v>1</v>
      </c>
    </row>
    <row r="3496" spans="1:16">
      <c r="A3496" s="1">
        <v>45500</v>
      </c>
      <c r="B3496">
        <v>223895</v>
      </c>
      <c r="C3496">
        <v>72211</v>
      </c>
      <c r="D3496">
        <v>151684</v>
      </c>
      <c r="E3496">
        <v>213946354</v>
      </c>
      <c r="F3496">
        <v>93710449</v>
      </c>
      <c r="G3496">
        <v>307656803</v>
      </c>
      <c r="H3496">
        <v>70806</v>
      </c>
      <c r="I3496">
        <v>8015</v>
      </c>
      <c r="J3496">
        <v>78821</v>
      </c>
      <c r="K3496" t="b">
        <f>TrafficData[[#This Row],[disposedChallan]]+TrafficData[[#This Row],[pendingChallan]]=TrafficData[[#This Row],[totalChallan]]</f>
        <v>1</v>
      </c>
      <c r="L3496" t="b">
        <f>TrafficData[[#This Row],[pendingAmount]]+TrafficData[[#This Row],[disposedAmount]]=TrafficData[[#This Row],[totalAmount]]</f>
        <v>1</v>
      </c>
      <c r="M3496" t="b">
        <f>TrafficData[[#This Row],[pendingCourt]]+TrafficData[[#This Row],[disposedCourt]]=TrafficData[[#This Row],[totalCourt]]</f>
        <v>1</v>
      </c>
      <c r="N3496" s="8" t="b">
        <f>AND(TrafficData[[#This Row],[disposedChallan]]&lt;=TrafficData[[#This Row],[totalChallan]],TrafficData[[#This Row],[pendingChallan]]&lt;=TrafficData[[#This Row],[totalChallan]])</f>
        <v>1</v>
      </c>
      <c r="O3496" s="8" t="b">
        <f>AND(TrafficData[[#This Row],[pendingAmount]]&lt;=TrafficData[[#This Row],[totalAmount]],TrafficData[[#This Row],[disposedAmount]]&lt;=TrafficData[[#This Row],[totalAmount]])</f>
        <v>1</v>
      </c>
      <c r="P3496" s="8" t="b">
        <f>AND(TrafficData[[#This Row],[pendingCourt]]&lt;=TrafficData[[#This Row],[totalCourt]],TrafficData[[#This Row],[disposedCourt]]&lt;=TrafficData[[#This Row],[totalCourt]])</f>
        <v>1</v>
      </c>
    </row>
    <row r="3497" spans="1:16">
      <c r="A3497" s="1">
        <v>45501</v>
      </c>
      <c r="B3497">
        <v>211907</v>
      </c>
      <c r="C3497">
        <v>66025</v>
      </c>
      <c r="D3497">
        <v>145882</v>
      </c>
      <c r="E3497">
        <v>189734559</v>
      </c>
      <c r="F3497">
        <v>77360108</v>
      </c>
      <c r="G3497">
        <v>267094667</v>
      </c>
      <c r="H3497">
        <v>60849</v>
      </c>
      <c r="I3497">
        <v>6983</v>
      </c>
      <c r="J3497">
        <v>67832</v>
      </c>
      <c r="K3497" t="b">
        <f>TrafficData[[#This Row],[disposedChallan]]+TrafficData[[#This Row],[pendingChallan]]=TrafficData[[#This Row],[totalChallan]]</f>
        <v>1</v>
      </c>
      <c r="L3497" t="b">
        <f>TrafficData[[#This Row],[pendingAmount]]+TrafficData[[#This Row],[disposedAmount]]=TrafficData[[#This Row],[totalAmount]]</f>
        <v>1</v>
      </c>
      <c r="M3497" t="b">
        <f>TrafficData[[#This Row],[pendingCourt]]+TrafficData[[#This Row],[disposedCourt]]=TrafficData[[#This Row],[totalCourt]]</f>
        <v>1</v>
      </c>
      <c r="N3497" s="8" t="b">
        <f>AND(TrafficData[[#This Row],[disposedChallan]]&lt;=TrafficData[[#This Row],[totalChallan]],TrafficData[[#This Row],[pendingChallan]]&lt;=TrafficData[[#This Row],[totalChallan]])</f>
        <v>1</v>
      </c>
      <c r="O3497" s="8" t="b">
        <f>AND(TrafficData[[#This Row],[pendingAmount]]&lt;=TrafficData[[#This Row],[totalAmount]],TrafficData[[#This Row],[disposedAmount]]&lt;=TrafficData[[#This Row],[totalAmount]])</f>
        <v>1</v>
      </c>
      <c r="P3497" s="8" t="b">
        <f>AND(TrafficData[[#This Row],[pendingCourt]]&lt;=TrafficData[[#This Row],[totalCourt]],TrafficData[[#This Row],[disposedCourt]]&lt;=TrafficData[[#This Row],[totalCourt]])</f>
        <v>1</v>
      </c>
    </row>
    <row r="3498" spans="1:16">
      <c r="A3498" s="1">
        <v>45502</v>
      </c>
      <c r="B3498">
        <v>208593</v>
      </c>
      <c r="C3498">
        <v>65023</v>
      </c>
      <c r="D3498">
        <v>143570</v>
      </c>
      <c r="E3498">
        <v>208749656</v>
      </c>
      <c r="F3498">
        <v>89042454</v>
      </c>
      <c r="G3498">
        <v>297792110</v>
      </c>
      <c r="H3498">
        <v>66991</v>
      </c>
      <c r="I3498">
        <v>7416</v>
      </c>
      <c r="J3498">
        <v>74407</v>
      </c>
      <c r="K3498" t="b">
        <f>TrafficData[[#This Row],[disposedChallan]]+TrafficData[[#This Row],[pendingChallan]]=TrafficData[[#This Row],[totalChallan]]</f>
        <v>1</v>
      </c>
      <c r="L3498" t="b">
        <f>TrafficData[[#This Row],[pendingAmount]]+TrafficData[[#This Row],[disposedAmount]]=TrafficData[[#This Row],[totalAmount]]</f>
        <v>1</v>
      </c>
      <c r="M3498" t="b">
        <f>TrafficData[[#This Row],[pendingCourt]]+TrafficData[[#This Row],[disposedCourt]]=TrafficData[[#This Row],[totalCourt]]</f>
        <v>1</v>
      </c>
      <c r="N3498" s="8" t="b">
        <f>AND(TrafficData[[#This Row],[disposedChallan]]&lt;=TrafficData[[#This Row],[totalChallan]],TrafficData[[#This Row],[pendingChallan]]&lt;=TrafficData[[#This Row],[totalChallan]])</f>
        <v>1</v>
      </c>
      <c r="O3498" s="8" t="b">
        <f>AND(TrafficData[[#This Row],[pendingAmount]]&lt;=TrafficData[[#This Row],[totalAmount]],TrafficData[[#This Row],[disposedAmount]]&lt;=TrafficData[[#This Row],[totalAmount]])</f>
        <v>1</v>
      </c>
      <c r="P3498" s="8" t="b">
        <f>AND(TrafficData[[#This Row],[pendingCourt]]&lt;=TrafficData[[#This Row],[totalCourt]],TrafficData[[#This Row],[disposedCourt]]&lt;=TrafficData[[#This Row],[totalCourt]])</f>
        <v>1</v>
      </c>
    </row>
    <row r="3499" spans="1:16">
      <c r="A3499" s="1">
        <v>45503</v>
      </c>
      <c r="B3499">
        <v>215061</v>
      </c>
      <c r="C3499">
        <v>65986</v>
      </c>
      <c r="D3499">
        <v>149075</v>
      </c>
      <c r="E3499">
        <v>228368110</v>
      </c>
      <c r="F3499">
        <v>98440731</v>
      </c>
      <c r="G3499">
        <v>326808841</v>
      </c>
      <c r="H3499">
        <v>66920</v>
      </c>
      <c r="I3499">
        <v>7342</v>
      </c>
      <c r="J3499">
        <v>74262</v>
      </c>
      <c r="K3499" t="b">
        <f>TrafficData[[#This Row],[disposedChallan]]+TrafficData[[#This Row],[pendingChallan]]=TrafficData[[#This Row],[totalChallan]]</f>
        <v>1</v>
      </c>
      <c r="L3499" t="b">
        <f>TrafficData[[#This Row],[pendingAmount]]+TrafficData[[#This Row],[disposedAmount]]=TrafficData[[#This Row],[totalAmount]]</f>
        <v>1</v>
      </c>
      <c r="M3499" t="b">
        <f>TrafficData[[#This Row],[pendingCourt]]+TrafficData[[#This Row],[disposedCourt]]=TrafficData[[#This Row],[totalCourt]]</f>
        <v>1</v>
      </c>
      <c r="N3499" s="8" t="b">
        <f>AND(TrafficData[[#This Row],[disposedChallan]]&lt;=TrafficData[[#This Row],[totalChallan]],TrafficData[[#This Row],[pendingChallan]]&lt;=TrafficData[[#This Row],[totalChallan]])</f>
        <v>1</v>
      </c>
      <c r="O3499" s="8" t="b">
        <f>AND(TrafficData[[#This Row],[pendingAmount]]&lt;=TrafficData[[#This Row],[totalAmount]],TrafficData[[#This Row],[disposedAmount]]&lt;=TrafficData[[#This Row],[totalAmount]])</f>
        <v>1</v>
      </c>
      <c r="P3499" s="8" t="b">
        <f>AND(TrafficData[[#This Row],[pendingCourt]]&lt;=TrafficData[[#This Row],[totalCourt]],TrafficData[[#This Row],[disposedCourt]]&lt;=TrafficData[[#This Row],[totalCourt]])</f>
        <v>1</v>
      </c>
    </row>
    <row r="3500" spans="1:16">
      <c r="A3500" s="1">
        <v>45504</v>
      </c>
      <c r="B3500">
        <v>190247</v>
      </c>
      <c r="C3500">
        <v>60385</v>
      </c>
      <c r="D3500">
        <v>129862</v>
      </c>
      <c r="E3500">
        <v>182335746</v>
      </c>
      <c r="F3500">
        <v>87721251</v>
      </c>
      <c r="G3500">
        <v>270056997</v>
      </c>
      <c r="H3500">
        <v>56475</v>
      </c>
      <c r="I3500">
        <v>6451</v>
      </c>
      <c r="J3500">
        <v>62926</v>
      </c>
      <c r="K3500" t="b">
        <f>TrafficData[[#This Row],[disposedChallan]]+TrafficData[[#This Row],[pendingChallan]]=TrafficData[[#This Row],[totalChallan]]</f>
        <v>1</v>
      </c>
      <c r="L3500" t="b">
        <f>TrafficData[[#This Row],[pendingAmount]]+TrafficData[[#This Row],[disposedAmount]]=TrafficData[[#This Row],[totalAmount]]</f>
        <v>1</v>
      </c>
      <c r="M3500" t="b">
        <f>TrafficData[[#This Row],[pendingCourt]]+TrafficData[[#This Row],[disposedCourt]]=TrafficData[[#This Row],[totalCourt]]</f>
        <v>1</v>
      </c>
      <c r="N3500" s="8" t="b">
        <f>AND(TrafficData[[#This Row],[disposedChallan]]&lt;=TrafficData[[#This Row],[totalChallan]],TrafficData[[#This Row],[pendingChallan]]&lt;=TrafficData[[#This Row],[totalChallan]])</f>
        <v>1</v>
      </c>
      <c r="O3500" s="8" t="b">
        <f>AND(TrafficData[[#This Row],[pendingAmount]]&lt;=TrafficData[[#This Row],[totalAmount]],TrafficData[[#This Row],[disposedAmount]]&lt;=TrafficData[[#This Row],[totalAmount]])</f>
        <v>1</v>
      </c>
      <c r="P3500" s="8" t="b">
        <f>AND(TrafficData[[#This Row],[pendingCourt]]&lt;=TrafficData[[#This Row],[totalCourt]],TrafficData[[#This Row],[disposedCourt]]&lt;=TrafficData[[#This Row],[totalCourt]])</f>
        <v>1</v>
      </c>
    </row>
    <row r="3501" spans="1:16">
      <c r="A3501" s="1">
        <v>45505</v>
      </c>
      <c r="B3501">
        <v>215563</v>
      </c>
      <c r="C3501">
        <v>69389</v>
      </c>
      <c r="D3501">
        <v>146174</v>
      </c>
      <c r="E3501">
        <v>206702213</v>
      </c>
      <c r="F3501">
        <v>108019420</v>
      </c>
      <c r="G3501">
        <v>314721633</v>
      </c>
      <c r="H3501">
        <v>65183</v>
      </c>
      <c r="I3501">
        <v>6853</v>
      </c>
      <c r="J3501">
        <v>72036</v>
      </c>
      <c r="K3501" t="b">
        <f>TrafficData[[#This Row],[disposedChallan]]+TrafficData[[#This Row],[pendingChallan]]=TrafficData[[#This Row],[totalChallan]]</f>
        <v>1</v>
      </c>
      <c r="L3501" t="b">
        <f>TrafficData[[#This Row],[pendingAmount]]+TrafficData[[#This Row],[disposedAmount]]=TrafficData[[#This Row],[totalAmount]]</f>
        <v>1</v>
      </c>
      <c r="M3501" t="b">
        <f>TrafficData[[#This Row],[pendingCourt]]+TrafficData[[#This Row],[disposedCourt]]=TrafficData[[#This Row],[totalCourt]]</f>
        <v>1</v>
      </c>
      <c r="N3501" s="8" t="b">
        <f>AND(TrafficData[[#This Row],[disposedChallan]]&lt;=TrafficData[[#This Row],[totalChallan]],TrafficData[[#This Row],[pendingChallan]]&lt;=TrafficData[[#This Row],[totalChallan]])</f>
        <v>1</v>
      </c>
      <c r="O3501" s="8" t="b">
        <f>AND(TrafficData[[#This Row],[pendingAmount]]&lt;=TrafficData[[#This Row],[totalAmount]],TrafficData[[#This Row],[disposedAmount]]&lt;=TrafficData[[#This Row],[totalAmount]])</f>
        <v>1</v>
      </c>
      <c r="P3501" s="8" t="b">
        <f>AND(TrafficData[[#This Row],[pendingCourt]]&lt;=TrafficData[[#This Row],[totalCourt]],TrafficData[[#This Row],[disposedCourt]]&lt;=TrafficData[[#This Row],[totalCourt]])</f>
        <v>1</v>
      </c>
    </row>
    <row r="3502" spans="1:16">
      <c r="A3502" s="1">
        <v>45506</v>
      </c>
      <c r="B3502">
        <v>222431</v>
      </c>
      <c r="C3502">
        <v>71006</v>
      </c>
      <c r="D3502">
        <v>151425</v>
      </c>
      <c r="E3502">
        <v>216186510</v>
      </c>
      <c r="F3502">
        <v>113140407</v>
      </c>
      <c r="G3502">
        <v>329326917</v>
      </c>
      <c r="H3502">
        <v>68712</v>
      </c>
      <c r="I3502">
        <v>7147</v>
      </c>
      <c r="J3502">
        <v>75859</v>
      </c>
      <c r="K3502" t="b">
        <f>TrafficData[[#This Row],[disposedChallan]]+TrafficData[[#This Row],[pendingChallan]]=TrafficData[[#This Row],[totalChallan]]</f>
        <v>1</v>
      </c>
      <c r="L3502" t="b">
        <f>TrafficData[[#This Row],[pendingAmount]]+TrafficData[[#This Row],[disposedAmount]]=TrafficData[[#This Row],[totalAmount]]</f>
        <v>1</v>
      </c>
      <c r="M3502" t="b">
        <f>TrafficData[[#This Row],[pendingCourt]]+TrafficData[[#This Row],[disposedCourt]]=TrafficData[[#This Row],[totalCourt]]</f>
        <v>1</v>
      </c>
      <c r="N3502" s="8" t="b">
        <f>AND(TrafficData[[#This Row],[disposedChallan]]&lt;=TrafficData[[#This Row],[totalChallan]],TrafficData[[#This Row],[pendingChallan]]&lt;=TrafficData[[#This Row],[totalChallan]])</f>
        <v>1</v>
      </c>
      <c r="O3502" s="8" t="b">
        <f>AND(TrafficData[[#This Row],[pendingAmount]]&lt;=TrafficData[[#This Row],[totalAmount]],TrafficData[[#This Row],[disposedAmount]]&lt;=TrafficData[[#This Row],[totalAmount]])</f>
        <v>1</v>
      </c>
      <c r="P3502" s="8" t="b">
        <f>AND(TrafficData[[#This Row],[pendingCourt]]&lt;=TrafficData[[#This Row],[totalCourt]],TrafficData[[#This Row],[disposedCourt]]&lt;=TrafficData[[#This Row],[totalCourt]])</f>
        <v>1</v>
      </c>
    </row>
    <row r="3503" spans="1:16">
      <c r="A3503" s="1">
        <v>45507</v>
      </c>
      <c r="B3503">
        <v>222234</v>
      </c>
      <c r="C3503">
        <v>73180</v>
      </c>
      <c r="D3503">
        <v>149054</v>
      </c>
      <c r="E3503">
        <v>218235786</v>
      </c>
      <c r="F3503">
        <v>342038216</v>
      </c>
      <c r="G3503">
        <v>560274002</v>
      </c>
      <c r="H3503">
        <v>68015</v>
      </c>
      <c r="I3503">
        <v>7724</v>
      </c>
      <c r="J3503">
        <v>75739</v>
      </c>
      <c r="K3503" t="b">
        <f>TrafficData[[#This Row],[disposedChallan]]+TrafficData[[#This Row],[pendingChallan]]=TrafficData[[#This Row],[totalChallan]]</f>
        <v>1</v>
      </c>
      <c r="L3503" t="b">
        <f>TrafficData[[#This Row],[pendingAmount]]+TrafficData[[#This Row],[disposedAmount]]=TrafficData[[#This Row],[totalAmount]]</f>
        <v>1</v>
      </c>
      <c r="M3503" t="b">
        <f>TrafficData[[#This Row],[pendingCourt]]+TrafficData[[#This Row],[disposedCourt]]=TrafficData[[#This Row],[totalCourt]]</f>
        <v>1</v>
      </c>
      <c r="N3503" s="8" t="b">
        <f>AND(TrafficData[[#This Row],[disposedChallan]]&lt;=TrafficData[[#This Row],[totalChallan]],TrafficData[[#This Row],[pendingChallan]]&lt;=TrafficData[[#This Row],[totalChallan]])</f>
        <v>1</v>
      </c>
      <c r="O3503" s="8" t="b">
        <f>AND(TrafficData[[#This Row],[pendingAmount]]&lt;=TrafficData[[#This Row],[totalAmount]],TrafficData[[#This Row],[disposedAmount]]&lt;=TrafficData[[#This Row],[totalAmount]])</f>
        <v>1</v>
      </c>
      <c r="P3503" s="8" t="b">
        <f>AND(TrafficData[[#This Row],[pendingCourt]]&lt;=TrafficData[[#This Row],[totalCourt]],TrafficData[[#This Row],[disposedCourt]]&lt;=TrafficData[[#This Row],[totalCourt]])</f>
        <v>1</v>
      </c>
    </row>
    <row r="3504" spans="1:16">
      <c r="A3504" s="1">
        <v>45508</v>
      </c>
      <c r="B3504">
        <v>205533</v>
      </c>
      <c r="C3504">
        <v>65895</v>
      </c>
      <c r="D3504">
        <v>139638</v>
      </c>
      <c r="E3504">
        <v>191768234</v>
      </c>
      <c r="F3504">
        <v>84769102</v>
      </c>
      <c r="G3504">
        <v>276537336</v>
      </c>
      <c r="H3504">
        <v>62316</v>
      </c>
      <c r="I3504">
        <v>6956</v>
      </c>
      <c r="J3504">
        <v>69272</v>
      </c>
      <c r="K3504" t="b">
        <f>TrafficData[[#This Row],[disposedChallan]]+TrafficData[[#This Row],[pendingChallan]]=TrafficData[[#This Row],[totalChallan]]</f>
        <v>1</v>
      </c>
      <c r="L3504" t="b">
        <f>TrafficData[[#This Row],[pendingAmount]]+TrafficData[[#This Row],[disposedAmount]]=TrafficData[[#This Row],[totalAmount]]</f>
        <v>1</v>
      </c>
      <c r="M3504" t="b">
        <f>TrafficData[[#This Row],[pendingCourt]]+TrafficData[[#This Row],[disposedCourt]]=TrafficData[[#This Row],[totalCourt]]</f>
        <v>1</v>
      </c>
      <c r="N3504" s="8" t="b">
        <f>AND(TrafficData[[#This Row],[disposedChallan]]&lt;=TrafficData[[#This Row],[totalChallan]],TrafficData[[#This Row],[pendingChallan]]&lt;=TrafficData[[#This Row],[totalChallan]])</f>
        <v>1</v>
      </c>
      <c r="O3504" s="8" t="b">
        <f>AND(TrafficData[[#This Row],[pendingAmount]]&lt;=TrafficData[[#This Row],[totalAmount]],TrafficData[[#This Row],[disposedAmount]]&lt;=TrafficData[[#This Row],[totalAmount]])</f>
        <v>1</v>
      </c>
      <c r="P3504" s="8" t="b">
        <f>AND(TrafficData[[#This Row],[pendingCourt]]&lt;=TrafficData[[#This Row],[totalCourt]],TrafficData[[#This Row],[disposedCourt]]&lt;=TrafficData[[#This Row],[totalCourt]])</f>
        <v>1</v>
      </c>
    </row>
    <row r="3505" spans="1:16">
      <c r="A3505" s="1">
        <v>45509</v>
      </c>
      <c r="B3505">
        <v>229105</v>
      </c>
      <c r="C3505">
        <v>73344</v>
      </c>
      <c r="D3505">
        <v>155761</v>
      </c>
      <c r="E3505">
        <v>242068816</v>
      </c>
      <c r="F3505">
        <v>114573864</v>
      </c>
      <c r="G3505">
        <v>356642680</v>
      </c>
      <c r="H3505">
        <v>71268</v>
      </c>
      <c r="I3505">
        <v>7753</v>
      </c>
      <c r="J3505">
        <v>79021</v>
      </c>
      <c r="K3505" t="b">
        <f>TrafficData[[#This Row],[disposedChallan]]+TrafficData[[#This Row],[pendingChallan]]=TrafficData[[#This Row],[totalChallan]]</f>
        <v>1</v>
      </c>
      <c r="L3505" t="b">
        <f>TrafficData[[#This Row],[pendingAmount]]+TrafficData[[#This Row],[disposedAmount]]=TrafficData[[#This Row],[totalAmount]]</f>
        <v>1</v>
      </c>
      <c r="M3505" t="b">
        <f>TrafficData[[#This Row],[pendingCourt]]+TrafficData[[#This Row],[disposedCourt]]=TrafficData[[#This Row],[totalCourt]]</f>
        <v>1</v>
      </c>
      <c r="N3505" s="8" t="b">
        <f>AND(TrafficData[[#This Row],[disposedChallan]]&lt;=TrafficData[[#This Row],[totalChallan]],TrafficData[[#This Row],[pendingChallan]]&lt;=TrafficData[[#This Row],[totalChallan]])</f>
        <v>1</v>
      </c>
      <c r="O3505" s="8" t="b">
        <f>AND(TrafficData[[#This Row],[pendingAmount]]&lt;=TrafficData[[#This Row],[totalAmount]],TrafficData[[#This Row],[disposedAmount]]&lt;=TrafficData[[#This Row],[totalAmount]])</f>
        <v>1</v>
      </c>
      <c r="P3505" s="8" t="b">
        <f>AND(TrafficData[[#This Row],[pendingCourt]]&lt;=TrafficData[[#This Row],[totalCourt]],TrafficData[[#This Row],[disposedCourt]]&lt;=TrafficData[[#This Row],[totalCourt]])</f>
        <v>1</v>
      </c>
    </row>
    <row r="3506" spans="1:16">
      <c r="A3506" s="1">
        <v>45510</v>
      </c>
      <c r="B3506">
        <v>233952</v>
      </c>
      <c r="C3506">
        <v>75803</v>
      </c>
      <c r="D3506">
        <v>158149</v>
      </c>
      <c r="E3506">
        <v>254013488</v>
      </c>
      <c r="F3506">
        <v>124681408</v>
      </c>
      <c r="G3506">
        <v>378694896</v>
      </c>
      <c r="H3506">
        <v>79715</v>
      </c>
      <c r="I3506">
        <v>8495</v>
      </c>
      <c r="J3506">
        <v>88210</v>
      </c>
      <c r="K3506" t="b">
        <f>TrafficData[[#This Row],[disposedChallan]]+TrafficData[[#This Row],[pendingChallan]]=TrafficData[[#This Row],[totalChallan]]</f>
        <v>1</v>
      </c>
      <c r="L3506" t="b">
        <f>TrafficData[[#This Row],[pendingAmount]]+TrafficData[[#This Row],[disposedAmount]]=TrafficData[[#This Row],[totalAmount]]</f>
        <v>1</v>
      </c>
      <c r="M3506" t="b">
        <f>TrafficData[[#This Row],[pendingCourt]]+TrafficData[[#This Row],[disposedCourt]]=TrafficData[[#This Row],[totalCourt]]</f>
        <v>1</v>
      </c>
      <c r="N3506" s="8" t="b">
        <f>AND(TrafficData[[#This Row],[disposedChallan]]&lt;=TrafficData[[#This Row],[totalChallan]],TrafficData[[#This Row],[pendingChallan]]&lt;=TrafficData[[#This Row],[totalChallan]])</f>
        <v>1</v>
      </c>
      <c r="O3506" s="8" t="b">
        <f>AND(TrafficData[[#This Row],[pendingAmount]]&lt;=TrafficData[[#This Row],[totalAmount]],TrafficData[[#This Row],[disposedAmount]]&lt;=TrafficData[[#This Row],[totalAmount]])</f>
        <v>1</v>
      </c>
      <c r="P3506" s="8" t="b">
        <f>AND(TrafficData[[#This Row],[pendingCourt]]&lt;=TrafficData[[#This Row],[totalCourt]],TrafficData[[#This Row],[disposedCourt]]&lt;=TrafficData[[#This Row],[totalCourt]])</f>
        <v>1</v>
      </c>
    </row>
    <row r="3507" spans="1:16">
      <c r="A3507" s="1">
        <v>45511</v>
      </c>
      <c r="B3507">
        <v>237687</v>
      </c>
      <c r="C3507">
        <v>76407</v>
      </c>
      <c r="D3507">
        <v>161280</v>
      </c>
      <c r="E3507">
        <v>262195043</v>
      </c>
      <c r="F3507">
        <v>133888155</v>
      </c>
      <c r="G3507">
        <v>396083198</v>
      </c>
      <c r="H3507">
        <v>77978</v>
      </c>
      <c r="I3507">
        <v>8274</v>
      </c>
      <c r="J3507">
        <v>86252</v>
      </c>
      <c r="K3507" t="b">
        <f>TrafficData[[#This Row],[disposedChallan]]+TrafficData[[#This Row],[pendingChallan]]=TrafficData[[#This Row],[totalChallan]]</f>
        <v>1</v>
      </c>
      <c r="L3507" t="b">
        <f>TrafficData[[#This Row],[pendingAmount]]+TrafficData[[#This Row],[disposedAmount]]=TrafficData[[#This Row],[totalAmount]]</f>
        <v>1</v>
      </c>
      <c r="M3507" t="b">
        <f>TrafficData[[#This Row],[pendingCourt]]+TrafficData[[#This Row],[disposedCourt]]=TrafficData[[#This Row],[totalCourt]]</f>
        <v>1</v>
      </c>
      <c r="N3507" s="8" t="b">
        <f>AND(TrafficData[[#This Row],[disposedChallan]]&lt;=TrafficData[[#This Row],[totalChallan]],TrafficData[[#This Row],[pendingChallan]]&lt;=TrafficData[[#This Row],[totalChallan]])</f>
        <v>1</v>
      </c>
      <c r="O3507" s="8" t="b">
        <f>AND(TrafficData[[#This Row],[pendingAmount]]&lt;=TrafficData[[#This Row],[totalAmount]],TrafficData[[#This Row],[disposedAmount]]&lt;=TrafficData[[#This Row],[totalAmount]])</f>
        <v>1</v>
      </c>
      <c r="P3507" s="8" t="b">
        <f>AND(TrafficData[[#This Row],[pendingCourt]]&lt;=TrafficData[[#This Row],[totalCourt]],TrafficData[[#This Row],[disposedCourt]]&lt;=TrafficData[[#This Row],[totalCourt]])</f>
        <v>1</v>
      </c>
    </row>
    <row r="3508" spans="1:16">
      <c r="A3508" s="1">
        <v>45512</v>
      </c>
      <c r="B3508">
        <v>246650</v>
      </c>
      <c r="C3508">
        <v>76628</v>
      </c>
      <c r="D3508">
        <v>170022</v>
      </c>
      <c r="E3508">
        <v>273862145</v>
      </c>
      <c r="F3508">
        <v>128128426</v>
      </c>
      <c r="G3508">
        <v>401990571</v>
      </c>
      <c r="H3508">
        <v>85975</v>
      </c>
      <c r="I3508">
        <v>9113</v>
      </c>
      <c r="J3508">
        <v>95088</v>
      </c>
      <c r="K3508" t="b">
        <f>TrafficData[[#This Row],[disposedChallan]]+TrafficData[[#This Row],[pendingChallan]]=TrafficData[[#This Row],[totalChallan]]</f>
        <v>1</v>
      </c>
      <c r="L3508" t="b">
        <f>TrafficData[[#This Row],[pendingAmount]]+TrafficData[[#This Row],[disposedAmount]]=TrafficData[[#This Row],[totalAmount]]</f>
        <v>1</v>
      </c>
      <c r="M3508" t="b">
        <f>TrafficData[[#This Row],[pendingCourt]]+TrafficData[[#This Row],[disposedCourt]]=TrafficData[[#This Row],[totalCourt]]</f>
        <v>1</v>
      </c>
      <c r="N3508" s="8" t="b">
        <f>AND(TrafficData[[#This Row],[disposedChallan]]&lt;=TrafficData[[#This Row],[totalChallan]],TrafficData[[#This Row],[pendingChallan]]&lt;=TrafficData[[#This Row],[totalChallan]])</f>
        <v>1</v>
      </c>
      <c r="O3508" s="8" t="b">
        <f>AND(TrafficData[[#This Row],[pendingAmount]]&lt;=TrafficData[[#This Row],[totalAmount]],TrafficData[[#This Row],[disposedAmount]]&lt;=TrafficData[[#This Row],[totalAmount]])</f>
        <v>1</v>
      </c>
      <c r="P3508" s="8" t="b">
        <f>AND(TrafficData[[#This Row],[pendingCourt]]&lt;=TrafficData[[#This Row],[totalCourt]],TrafficData[[#This Row],[disposedCourt]]&lt;=TrafficData[[#This Row],[totalCourt]])</f>
        <v>1</v>
      </c>
    </row>
    <row r="3509" spans="1:16">
      <c r="A3509" s="1">
        <v>45513</v>
      </c>
      <c r="B3509">
        <v>231599</v>
      </c>
      <c r="C3509">
        <v>73570</v>
      </c>
      <c r="D3509">
        <v>158029</v>
      </c>
      <c r="E3509">
        <v>253780297</v>
      </c>
      <c r="F3509">
        <v>120575452</v>
      </c>
      <c r="G3509">
        <v>374355749</v>
      </c>
      <c r="H3509">
        <v>82081</v>
      </c>
      <c r="I3509">
        <v>8724</v>
      </c>
      <c r="J3509">
        <v>90805</v>
      </c>
      <c r="K3509" t="b">
        <f>TrafficData[[#This Row],[disposedChallan]]+TrafficData[[#This Row],[pendingChallan]]=TrafficData[[#This Row],[totalChallan]]</f>
        <v>1</v>
      </c>
      <c r="L3509" t="b">
        <f>TrafficData[[#This Row],[pendingAmount]]+TrafficData[[#This Row],[disposedAmount]]=TrafficData[[#This Row],[totalAmount]]</f>
        <v>1</v>
      </c>
      <c r="M3509" t="b">
        <f>TrafficData[[#This Row],[pendingCourt]]+TrafficData[[#This Row],[disposedCourt]]=TrafficData[[#This Row],[totalCourt]]</f>
        <v>1</v>
      </c>
      <c r="N3509" s="8" t="b">
        <f>AND(TrafficData[[#This Row],[disposedChallan]]&lt;=TrafficData[[#This Row],[totalChallan]],TrafficData[[#This Row],[pendingChallan]]&lt;=TrafficData[[#This Row],[totalChallan]])</f>
        <v>1</v>
      </c>
      <c r="O3509" s="8" t="b">
        <f>AND(TrafficData[[#This Row],[pendingAmount]]&lt;=TrafficData[[#This Row],[totalAmount]],TrafficData[[#This Row],[disposedAmount]]&lt;=TrafficData[[#This Row],[totalAmount]])</f>
        <v>1</v>
      </c>
      <c r="P3509" s="8" t="b">
        <f>AND(TrafficData[[#This Row],[pendingCourt]]&lt;=TrafficData[[#This Row],[totalCourt]],TrafficData[[#This Row],[disposedCourt]]&lt;=TrafficData[[#This Row],[totalCourt]])</f>
        <v>1</v>
      </c>
    </row>
    <row r="3510" spans="1:16">
      <c r="A3510" s="1">
        <v>45514</v>
      </c>
      <c r="B3510">
        <v>247726</v>
      </c>
      <c r="C3510">
        <v>76871</v>
      </c>
      <c r="D3510">
        <v>170855</v>
      </c>
      <c r="E3510">
        <v>262693593</v>
      </c>
      <c r="F3510">
        <v>109275299</v>
      </c>
      <c r="G3510">
        <v>371968892</v>
      </c>
      <c r="H3510">
        <v>90738</v>
      </c>
      <c r="I3510">
        <v>9774</v>
      </c>
      <c r="J3510">
        <v>100512</v>
      </c>
      <c r="K3510" t="b">
        <f>TrafficData[[#This Row],[disposedChallan]]+TrafficData[[#This Row],[pendingChallan]]=TrafficData[[#This Row],[totalChallan]]</f>
        <v>1</v>
      </c>
      <c r="L3510" t="b">
        <f>TrafficData[[#This Row],[pendingAmount]]+TrafficData[[#This Row],[disposedAmount]]=TrafficData[[#This Row],[totalAmount]]</f>
        <v>1</v>
      </c>
      <c r="M3510" t="b">
        <f>TrafficData[[#This Row],[pendingCourt]]+TrafficData[[#This Row],[disposedCourt]]=TrafficData[[#This Row],[totalCourt]]</f>
        <v>1</v>
      </c>
      <c r="N3510" s="8" t="b">
        <f>AND(TrafficData[[#This Row],[disposedChallan]]&lt;=TrafficData[[#This Row],[totalChallan]],TrafficData[[#This Row],[pendingChallan]]&lt;=TrafficData[[#This Row],[totalChallan]])</f>
        <v>1</v>
      </c>
      <c r="O3510" s="8" t="b">
        <f>AND(TrafficData[[#This Row],[pendingAmount]]&lt;=TrafficData[[#This Row],[totalAmount]],TrafficData[[#This Row],[disposedAmount]]&lt;=TrafficData[[#This Row],[totalAmount]])</f>
        <v>1</v>
      </c>
      <c r="P3510" s="8" t="b">
        <f>AND(TrafficData[[#This Row],[pendingCourt]]&lt;=TrafficData[[#This Row],[totalCourt]],TrafficData[[#This Row],[disposedCourt]]&lt;=TrafficData[[#This Row],[totalCourt]])</f>
        <v>1</v>
      </c>
    </row>
    <row r="3511" spans="1:16">
      <c r="A3511" s="1">
        <v>45515</v>
      </c>
      <c r="B3511">
        <v>209663</v>
      </c>
      <c r="C3511">
        <v>65159</v>
      </c>
      <c r="D3511">
        <v>144504</v>
      </c>
      <c r="E3511">
        <v>200434658</v>
      </c>
      <c r="F3511">
        <v>84619843</v>
      </c>
      <c r="G3511">
        <v>285054501</v>
      </c>
      <c r="H3511">
        <v>67879</v>
      </c>
      <c r="I3511">
        <v>7215</v>
      </c>
      <c r="J3511">
        <v>75094</v>
      </c>
      <c r="K3511" t="b">
        <f>TrafficData[[#This Row],[disposedChallan]]+TrafficData[[#This Row],[pendingChallan]]=TrafficData[[#This Row],[totalChallan]]</f>
        <v>1</v>
      </c>
      <c r="L3511" t="b">
        <f>TrafficData[[#This Row],[pendingAmount]]+TrafficData[[#This Row],[disposedAmount]]=TrafficData[[#This Row],[totalAmount]]</f>
        <v>1</v>
      </c>
      <c r="M3511" t="b">
        <f>TrafficData[[#This Row],[pendingCourt]]+TrafficData[[#This Row],[disposedCourt]]=TrafficData[[#This Row],[totalCourt]]</f>
        <v>1</v>
      </c>
      <c r="N3511" s="8" t="b">
        <f>AND(TrafficData[[#This Row],[disposedChallan]]&lt;=TrafficData[[#This Row],[totalChallan]],TrafficData[[#This Row],[pendingChallan]]&lt;=TrafficData[[#This Row],[totalChallan]])</f>
        <v>1</v>
      </c>
      <c r="O3511" s="8" t="b">
        <f>AND(TrafficData[[#This Row],[pendingAmount]]&lt;=TrafficData[[#This Row],[totalAmount]],TrafficData[[#This Row],[disposedAmount]]&lt;=TrafficData[[#This Row],[totalAmount]])</f>
        <v>1</v>
      </c>
      <c r="P3511" s="8" t="b">
        <f>AND(TrafficData[[#This Row],[pendingCourt]]&lt;=TrafficData[[#This Row],[totalCourt]],TrafficData[[#This Row],[disposedCourt]]&lt;=TrafficData[[#This Row],[totalCourt]])</f>
        <v>1</v>
      </c>
    </row>
    <row r="3512" spans="1:16">
      <c r="A3512" s="1">
        <v>45516</v>
      </c>
      <c r="B3512">
        <v>227515</v>
      </c>
      <c r="C3512">
        <v>70370</v>
      </c>
      <c r="D3512">
        <v>157145</v>
      </c>
      <c r="E3512">
        <v>243252972</v>
      </c>
      <c r="F3512">
        <v>107736485</v>
      </c>
      <c r="G3512">
        <v>350989457</v>
      </c>
      <c r="H3512">
        <v>78187</v>
      </c>
      <c r="I3512">
        <v>8416</v>
      </c>
      <c r="J3512">
        <v>86603</v>
      </c>
      <c r="K3512" t="b">
        <f>TrafficData[[#This Row],[disposedChallan]]+TrafficData[[#This Row],[pendingChallan]]=TrafficData[[#This Row],[totalChallan]]</f>
        <v>1</v>
      </c>
      <c r="L3512" t="b">
        <f>TrafficData[[#This Row],[pendingAmount]]+TrafficData[[#This Row],[disposedAmount]]=TrafficData[[#This Row],[totalAmount]]</f>
        <v>1</v>
      </c>
      <c r="M3512" t="b">
        <f>TrafficData[[#This Row],[pendingCourt]]+TrafficData[[#This Row],[disposedCourt]]=TrafficData[[#This Row],[totalCourt]]</f>
        <v>1</v>
      </c>
      <c r="N3512" s="8" t="b">
        <f>AND(TrafficData[[#This Row],[disposedChallan]]&lt;=TrafficData[[#This Row],[totalChallan]],TrafficData[[#This Row],[pendingChallan]]&lt;=TrafficData[[#This Row],[totalChallan]])</f>
        <v>1</v>
      </c>
      <c r="O3512" s="8" t="b">
        <f>AND(TrafficData[[#This Row],[pendingAmount]]&lt;=TrafficData[[#This Row],[totalAmount]],TrafficData[[#This Row],[disposedAmount]]&lt;=TrafficData[[#This Row],[totalAmount]])</f>
        <v>1</v>
      </c>
      <c r="P3512" s="8" t="b">
        <f>AND(TrafficData[[#This Row],[pendingCourt]]&lt;=TrafficData[[#This Row],[totalCourt]],TrafficData[[#This Row],[disposedCourt]]&lt;=TrafficData[[#This Row],[totalCourt]])</f>
        <v>1</v>
      </c>
    </row>
    <row r="3513" spans="1:16">
      <c r="A3513" s="1">
        <v>45517</v>
      </c>
      <c r="B3513">
        <v>229670</v>
      </c>
      <c r="C3513">
        <v>72211</v>
      </c>
      <c r="D3513">
        <v>157459</v>
      </c>
      <c r="E3513">
        <v>243649563</v>
      </c>
      <c r="F3513">
        <v>131677252</v>
      </c>
      <c r="G3513">
        <v>375326815</v>
      </c>
      <c r="H3513">
        <v>81420</v>
      </c>
      <c r="I3513">
        <v>8477</v>
      </c>
      <c r="J3513">
        <v>89897</v>
      </c>
      <c r="K3513" t="b">
        <f>TrafficData[[#This Row],[disposedChallan]]+TrafficData[[#This Row],[pendingChallan]]=TrafficData[[#This Row],[totalChallan]]</f>
        <v>1</v>
      </c>
      <c r="L3513" t="b">
        <f>TrafficData[[#This Row],[pendingAmount]]+TrafficData[[#This Row],[disposedAmount]]=TrafficData[[#This Row],[totalAmount]]</f>
        <v>1</v>
      </c>
      <c r="M3513" t="b">
        <f>TrafficData[[#This Row],[pendingCourt]]+TrafficData[[#This Row],[disposedCourt]]=TrafficData[[#This Row],[totalCourt]]</f>
        <v>1</v>
      </c>
      <c r="N3513" s="8" t="b">
        <f>AND(TrafficData[[#This Row],[disposedChallan]]&lt;=TrafficData[[#This Row],[totalChallan]],TrafficData[[#This Row],[pendingChallan]]&lt;=TrafficData[[#This Row],[totalChallan]])</f>
        <v>1</v>
      </c>
      <c r="O3513" s="8" t="b">
        <f>AND(TrafficData[[#This Row],[pendingAmount]]&lt;=TrafficData[[#This Row],[totalAmount]],TrafficData[[#This Row],[disposedAmount]]&lt;=TrafficData[[#This Row],[totalAmount]])</f>
        <v>1</v>
      </c>
      <c r="P3513" s="8" t="b">
        <f>AND(TrafficData[[#This Row],[pendingCourt]]&lt;=TrafficData[[#This Row],[totalCourt]],TrafficData[[#This Row],[disposedCourt]]&lt;=TrafficData[[#This Row],[totalCourt]])</f>
        <v>1</v>
      </c>
    </row>
    <row r="3514" spans="1:16">
      <c r="A3514" s="1">
        <v>45518</v>
      </c>
      <c r="B3514">
        <v>228895</v>
      </c>
      <c r="C3514">
        <v>68903</v>
      </c>
      <c r="D3514">
        <v>159992</v>
      </c>
      <c r="E3514">
        <v>255235004</v>
      </c>
      <c r="F3514">
        <v>113526296</v>
      </c>
      <c r="G3514">
        <v>368761300</v>
      </c>
      <c r="H3514">
        <v>89713</v>
      </c>
      <c r="I3514">
        <v>9559</v>
      </c>
      <c r="J3514">
        <v>99272</v>
      </c>
      <c r="K3514" t="b">
        <f>TrafficData[[#This Row],[disposedChallan]]+TrafficData[[#This Row],[pendingChallan]]=TrafficData[[#This Row],[totalChallan]]</f>
        <v>1</v>
      </c>
      <c r="L3514" t="b">
        <f>TrafficData[[#This Row],[pendingAmount]]+TrafficData[[#This Row],[disposedAmount]]=TrafficData[[#This Row],[totalAmount]]</f>
        <v>1</v>
      </c>
      <c r="M3514" t="b">
        <f>TrafficData[[#This Row],[pendingCourt]]+TrafficData[[#This Row],[disposedCourt]]=TrafficData[[#This Row],[totalCourt]]</f>
        <v>1</v>
      </c>
      <c r="N3514" s="8" t="b">
        <f>AND(TrafficData[[#This Row],[disposedChallan]]&lt;=TrafficData[[#This Row],[totalChallan]],TrafficData[[#This Row],[pendingChallan]]&lt;=TrafficData[[#This Row],[totalChallan]])</f>
        <v>1</v>
      </c>
      <c r="O3514" s="8" t="b">
        <f>AND(TrafficData[[#This Row],[pendingAmount]]&lt;=TrafficData[[#This Row],[totalAmount]],TrafficData[[#This Row],[disposedAmount]]&lt;=TrafficData[[#This Row],[totalAmount]])</f>
        <v>1</v>
      </c>
      <c r="P3514" s="8" t="b">
        <f>AND(TrafficData[[#This Row],[pendingCourt]]&lt;=TrafficData[[#This Row],[totalCourt]],TrafficData[[#This Row],[disposedCourt]]&lt;=TrafficData[[#This Row],[totalCourt]])</f>
        <v>1</v>
      </c>
    </row>
    <row r="3515" spans="1:16">
      <c r="A3515" s="1">
        <v>45519</v>
      </c>
      <c r="B3515">
        <v>164153</v>
      </c>
      <c r="C3515">
        <v>48884</v>
      </c>
      <c r="D3515">
        <v>115269</v>
      </c>
      <c r="E3515">
        <v>148489440</v>
      </c>
      <c r="F3515">
        <v>57774602</v>
      </c>
      <c r="G3515">
        <v>206264042</v>
      </c>
      <c r="H3515">
        <v>55758</v>
      </c>
      <c r="I3515">
        <v>5419</v>
      </c>
      <c r="J3515">
        <v>61177</v>
      </c>
      <c r="K3515" t="b">
        <f>TrafficData[[#This Row],[disposedChallan]]+TrafficData[[#This Row],[pendingChallan]]=TrafficData[[#This Row],[totalChallan]]</f>
        <v>1</v>
      </c>
      <c r="L3515" t="b">
        <f>TrafficData[[#This Row],[pendingAmount]]+TrafficData[[#This Row],[disposedAmount]]=TrafficData[[#This Row],[totalAmount]]</f>
        <v>1</v>
      </c>
      <c r="M3515" t="b">
        <f>TrafficData[[#This Row],[pendingCourt]]+TrafficData[[#This Row],[disposedCourt]]=TrafficData[[#This Row],[totalCourt]]</f>
        <v>1</v>
      </c>
      <c r="N3515" s="8" t="b">
        <f>AND(TrafficData[[#This Row],[disposedChallan]]&lt;=TrafficData[[#This Row],[totalChallan]],TrafficData[[#This Row],[pendingChallan]]&lt;=TrafficData[[#This Row],[totalChallan]])</f>
        <v>1</v>
      </c>
      <c r="O3515" s="8" t="b">
        <f>AND(TrafficData[[#This Row],[pendingAmount]]&lt;=TrafficData[[#This Row],[totalAmount]],TrafficData[[#This Row],[disposedAmount]]&lt;=TrafficData[[#This Row],[totalAmount]])</f>
        <v>1</v>
      </c>
      <c r="P3515" s="8" t="b">
        <f>AND(TrafficData[[#This Row],[pendingCourt]]&lt;=TrafficData[[#This Row],[totalCourt]],TrafficData[[#This Row],[disposedCourt]]&lt;=TrafficData[[#This Row],[totalCourt]])</f>
        <v>1</v>
      </c>
    </row>
    <row r="3516" spans="1:16">
      <c r="A3516" s="1">
        <v>45520</v>
      </c>
      <c r="B3516">
        <v>245648</v>
      </c>
      <c r="C3516">
        <v>74988</v>
      </c>
      <c r="D3516">
        <v>170660</v>
      </c>
      <c r="E3516">
        <v>272434033</v>
      </c>
      <c r="F3516">
        <v>114038988</v>
      </c>
      <c r="G3516">
        <v>386473021</v>
      </c>
      <c r="H3516">
        <v>91968</v>
      </c>
      <c r="I3516">
        <v>9626</v>
      </c>
      <c r="J3516">
        <v>101594</v>
      </c>
      <c r="K3516" t="b">
        <f>TrafficData[[#This Row],[disposedChallan]]+TrafficData[[#This Row],[pendingChallan]]=TrafficData[[#This Row],[totalChallan]]</f>
        <v>1</v>
      </c>
      <c r="L3516" t="b">
        <f>TrafficData[[#This Row],[pendingAmount]]+TrafficData[[#This Row],[disposedAmount]]=TrafficData[[#This Row],[totalAmount]]</f>
        <v>1</v>
      </c>
      <c r="M3516" t="b">
        <f>TrafficData[[#This Row],[pendingCourt]]+TrafficData[[#This Row],[disposedCourt]]=TrafficData[[#This Row],[totalCourt]]</f>
        <v>1</v>
      </c>
      <c r="N3516" s="8" t="b">
        <f>AND(TrafficData[[#This Row],[disposedChallan]]&lt;=TrafficData[[#This Row],[totalChallan]],TrafficData[[#This Row],[pendingChallan]]&lt;=TrafficData[[#This Row],[totalChallan]])</f>
        <v>1</v>
      </c>
      <c r="O3516" s="8" t="b">
        <f>AND(TrafficData[[#This Row],[pendingAmount]]&lt;=TrafficData[[#This Row],[totalAmount]],TrafficData[[#This Row],[disposedAmount]]&lt;=TrafficData[[#This Row],[totalAmount]])</f>
        <v>1</v>
      </c>
      <c r="P3516" s="8" t="b">
        <f>AND(TrafficData[[#This Row],[pendingCourt]]&lt;=TrafficData[[#This Row],[totalCourt]],TrafficData[[#This Row],[disposedCourt]]&lt;=TrafficData[[#This Row],[totalCourt]])</f>
        <v>1</v>
      </c>
    </row>
    <row r="3517" spans="1:16">
      <c r="A3517" s="1">
        <v>45521</v>
      </c>
      <c r="B3517">
        <v>232773</v>
      </c>
      <c r="C3517">
        <v>73350</v>
      </c>
      <c r="D3517">
        <v>159423</v>
      </c>
      <c r="E3517">
        <v>255083122</v>
      </c>
      <c r="F3517">
        <v>104283464</v>
      </c>
      <c r="G3517">
        <v>359366586</v>
      </c>
      <c r="H3517">
        <v>83076</v>
      </c>
      <c r="I3517">
        <v>9081</v>
      </c>
      <c r="J3517">
        <v>92157</v>
      </c>
      <c r="K3517" t="b">
        <f>TrafficData[[#This Row],[disposedChallan]]+TrafficData[[#This Row],[pendingChallan]]=TrafficData[[#This Row],[totalChallan]]</f>
        <v>1</v>
      </c>
      <c r="L3517" t="b">
        <f>TrafficData[[#This Row],[pendingAmount]]+TrafficData[[#This Row],[disposedAmount]]=TrafficData[[#This Row],[totalAmount]]</f>
        <v>1</v>
      </c>
      <c r="M3517" t="b">
        <f>TrafficData[[#This Row],[pendingCourt]]+TrafficData[[#This Row],[disposedCourt]]=TrafficData[[#This Row],[totalCourt]]</f>
        <v>1</v>
      </c>
      <c r="N3517" s="8" t="b">
        <f>AND(TrafficData[[#This Row],[disposedChallan]]&lt;=TrafficData[[#This Row],[totalChallan]],TrafficData[[#This Row],[pendingChallan]]&lt;=TrafficData[[#This Row],[totalChallan]])</f>
        <v>1</v>
      </c>
      <c r="O3517" s="8" t="b">
        <f>AND(TrafficData[[#This Row],[pendingAmount]]&lt;=TrafficData[[#This Row],[totalAmount]],TrafficData[[#This Row],[disposedAmount]]&lt;=TrafficData[[#This Row],[totalAmount]])</f>
        <v>1</v>
      </c>
      <c r="P3517" s="8" t="b">
        <f>AND(TrafficData[[#This Row],[pendingCourt]]&lt;=TrafficData[[#This Row],[totalCourt]],TrafficData[[#This Row],[disposedCourt]]&lt;=TrafficData[[#This Row],[totalCourt]])</f>
        <v>1</v>
      </c>
    </row>
    <row r="3518" spans="1:16">
      <c r="A3518" s="1">
        <v>45522</v>
      </c>
      <c r="B3518">
        <v>216109</v>
      </c>
      <c r="C3518">
        <v>64682</v>
      </c>
      <c r="D3518">
        <v>151427</v>
      </c>
      <c r="E3518">
        <v>216852524</v>
      </c>
      <c r="F3518">
        <v>81766933</v>
      </c>
      <c r="G3518">
        <v>298619457</v>
      </c>
      <c r="H3518">
        <v>77958</v>
      </c>
      <c r="I3518">
        <v>8374</v>
      </c>
      <c r="J3518">
        <v>86332</v>
      </c>
      <c r="K3518" t="b">
        <f>TrafficData[[#This Row],[disposedChallan]]+TrafficData[[#This Row],[pendingChallan]]=TrafficData[[#This Row],[totalChallan]]</f>
        <v>1</v>
      </c>
      <c r="L3518" t="b">
        <f>TrafficData[[#This Row],[pendingAmount]]+TrafficData[[#This Row],[disposedAmount]]=TrafficData[[#This Row],[totalAmount]]</f>
        <v>1</v>
      </c>
      <c r="M3518" t="b">
        <f>TrafficData[[#This Row],[pendingCourt]]+TrafficData[[#This Row],[disposedCourt]]=TrafficData[[#This Row],[totalCourt]]</f>
        <v>1</v>
      </c>
      <c r="N3518" s="8" t="b">
        <f>AND(TrafficData[[#This Row],[disposedChallan]]&lt;=TrafficData[[#This Row],[totalChallan]],TrafficData[[#This Row],[pendingChallan]]&lt;=TrafficData[[#This Row],[totalChallan]])</f>
        <v>1</v>
      </c>
      <c r="O3518" s="8" t="b">
        <f>AND(TrafficData[[#This Row],[pendingAmount]]&lt;=TrafficData[[#This Row],[totalAmount]],TrafficData[[#This Row],[disposedAmount]]&lt;=TrafficData[[#This Row],[totalAmount]])</f>
        <v>1</v>
      </c>
      <c r="P3518" s="8" t="b">
        <f>AND(TrafficData[[#This Row],[pendingCourt]]&lt;=TrafficData[[#This Row],[totalCourt]],TrafficData[[#This Row],[disposedCourt]]&lt;=TrafficData[[#This Row],[totalCourt]])</f>
        <v>1</v>
      </c>
    </row>
    <row r="3519" spans="1:16">
      <c r="A3519" s="1">
        <v>45523</v>
      </c>
      <c r="B3519">
        <v>195626</v>
      </c>
      <c r="C3519">
        <v>57470</v>
      </c>
      <c r="D3519">
        <v>138156</v>
      </c>
      <c r="E3519">
        <v>190072417</v>
      </c>
      <c r="F3519">
        <v>67797152</v>
      </c>
      <c r="G3519">
        <v>257869569</v>
      </c>
      <c r="H3519">
        <v>68990</v>
      </c>
      <c r="I3519">
        <v>7730</v>
      </c>
      <c r="J3519">
        <v>76720</v>
      </c>
      <c r="K3519" t="b">
        <f>TrafficData[[#This Row],[disposedChallan]]+TrafficData[[#This Row],[pendingChallan]]=TrafficData[[#This Row],[totalChallan]]</f>
        <v>1</v>
      </c>
      <c r="L3519" t="b">
        <f>TrafficData[[#This Row],[pendingAmount]]+TrafficData[[#This Row],[disposedAmount]]=TrafficData[[#This Row],[totalAmount]]</f>
        <v>1</v>
      </c>
      <c r="M3519" t="b">
        <f>TrafficData[[#This Row],[pendingCourt]]+TrafficData[[#This Row],[disposedCourt]]=TrafficData[[#This Row],[totalCourt]]</f>
        <v>1</v>
      </c>
      <c r="N3519" s="8" t="b">
        <f>AND(TrafficData[[#This Row],[disposedChallan]]&lt;=TrafficData[[#This Row],[totalChallan]],TrafficData[[#This Row],[pendingChallan]]&lt;=TrafficData[[#This Row],[totalChallan]])</f>
        <v>1</v>
      </c>
      <c r="O3519" s="8" t="b">
        <f>AND(TrafficData[[#This Row],[pendingAmount]]&lt;=TrafficData[[#This Row],[totalAmount]],TrafficData[[#This Row],[disposedAmount]]&lt;=TrafficData[[#This Row],[totalAmount]])</f>
        <v>1</v>
      </c>
      <c r="P3519" s="8" t="b">
        <f>AND(TrafficData[[#This Row],[pendingCourt]]&lt;=TrafficData[[#This Row],[totalCourt]],TrafficData[[#This Row],[disposedCourt]]&lt;=TrafficData[[#This Row],[totalCourt]])</f>
        <v>1</v>
      </c>
    </row>
    <row r="3520" spans="1:16">
      <c r="A3520" s="1">
        <v>45524</v>
      </c>
      <c r="B3520">
        <v>232573</v>
      </c>
      <c r="C3520">
        <v>69109</v>
      </c>
      <c r="D3520">
        <v>163464</v>
      </c>
      <c r="E3520">
        <v>246840286</v>
      </c>
      <c r="F3520">
        <v>98456701</v>
      </c>
      <c r="G3520">
        <v>345296987</v>
      </c>
      <c r="H3520">
        <v>84841</v>
      </c>
      <c r="I3520">
        <v>9202</v>
      </c>
      <c r="J3520">
        <v>94043</v>
      </c>
      <c r="K3520" t="b">
        <f>TrafficData[[#This Row],[disposedChallan]]+TrafficData[[#This Row],[pendingChallan]]=TrafficData[[#This Row],[totalChallan]]</f>
        <v>1</v>
      </c>
      <c r="L3520" t="b">
        <f>TrafficData[[#This Row],[pendingAmount]]+TrafficData[[#This Row],[disposedAmount]]=TrafficData[[#This Row],[totalAmount]]</f>
        <v>1</v>
      </c>
      <c r="M3520" t="b">
        <f>TrafficData[[#This Row],[pendingCourt]]+TrafficData[[#This Row],[disposedCourt]]=TrafficData[[#This Row],[totalCourt]]</f>
        <v>1</v>
      </c>
      <c r="N3520" s="8" t="b">
        <f>AND(TrafficData[[#This Row],[disposedChallan]]&lt;=TrafficData[[#This Row],[totalChallan]],TrafficData[[#This Row],[pendingChallan]]&lt;=TrafficData[[#This Row],[totalChallan]])</f>
        <v>1</v>
      </c>
      <c r="O3520" s="8" t="b">
        <f>AND(TrafficData[[#This Row],[pendingAmount]]&lt;=TrafficData[[#This Row],[totalAmount]],TrafficData[[#This Row],[disposedAmount]]&lt;=TrafficData[[#This Row],[totalAmount]])</f>
        <v>1</v>
      </c>
      <c r="P3520" s="8" t="b">
        <f>AND(TrafficData[[#This Row],[pendingCourt]]&lt;=TrafficData[[#This Row],[totalCourt]],TrafficData[[#This Row],[disposedCourt]]&lt;=TrafficData[[#This Row],[totalCourt]])</f>
        <v>1</v>
      </c>
    </row>
    <row r="3521" spans="1:16">
      <c r="A3521" s="1">
        <v>45525</v>
      </c>
      <c r="B3521">
        <v>223640</v>
      </c>
      <c r="C3521">
        <v>66613</v>
      </c>
      <c r="D3521">
        <v>157027</v>
      </c>
      <c r="E3521">
        <v>250033138</v>
      </c>
      <c r="F3521">
        <v>109901999</v>
      </c>
      <c r="G3521">
        <v>359935137</v>
      </c>
      <c r="H3521">
        <v>80471</v>
      </c>
      <c r="I3521">
        <v>9064</v>
      </c>
      <c r="J3521">
        <v>89535</v>
      </c>
      <c r="K3521" t="b">
        <f>TrafficData[[#This Row],[disposedChallan]]+TrafficData[[#This Row],[pendingChallan]]=TrafficData[[#This Row],[totalChallan]]</f>
        <v>1</v>
      </c>
      <c r="L3521" t="b">
        <f>TrafficData[[#This Row],[pendingAmount]]+TrafficData[[#This Row],[disposedAmount]]=TrafficData[[#This Row],[totalAmount]]</f>
        <v>1</v>
      </c>
      <c r="M3521" t="b">
        <f>TrafficData[[#This Row],[pendingCourt]]+TrafficData[[#This Row],[disposedCourt]]=TrafficData[[#This Row],[totalCourt]]</f>
        <v>1</v>
      </c>
      <c r="N3521" s="8" t="b">
        <f>AND(TrafficData[[#This Row],[disposedChallan]]&lt;=TrafficData[[#This Row],[totalChallan]],TrafficData[[#This Row],[pendingChallan]]&lt;=TrafficData[[#This Row],[totalChallan]])</f>
        <v>1</v>
      </c>
      <c r="O3521" s="8" t="b">
        <f>AND(TrafficData[[#This Row],[pendingAmount]]&lt;=TrafficData[[#This Row],[totalAmount]],TrafficData[[#This Row],[disposedAmount]]&lt;=TrafficData[[#This Row],[totalAmount]])</f>
        <v>1</v>
      </c>
      <c r="P3521" s="8" t="b">
        <f>AND(TrafficData[[#This Row],[pendingCourt]]&lt;=TrafficData[[#This Row],[totalCourt]],TrafficData[[#This Row],[disposedCourt]]&lt;=TrafficData[[#This Row],[totalCourt]])</f>
        <v>1</v>
      </c>
    </row>
    <row r="3522" spans="1:16">
      <c r="A3522" s="1">
        <v>45526</v>
      </c>
      <c r="B3522">
        <v>243369</v>
      </c>
      <c r="C3522">
        <v>73232</v>
      </c>
      <c r="D3522">
        <v>170137</v>
      </c>
      <c r="E3522">
        <v>282287356</v>
      </c>
      <c r="F3522">
        <v>119384345</v>
      </c>
      <c r="G3522">
        <v>401671701</v>
      </c>
      <c r="H3522">
        <v>92003</v>
      </c>
      <c r="I3522">
        <v>10128</v>
      </c>
      <c r="J3522">
        <v>102131</v>
      </c>
      <c r="K3522" t="b">
        <f>TrafficData[[#This Row],[disposedChallan]]+TrafficData[[#This Row],[pendingChallan]]=TrafficData[[#This Row],[totalChallan]]</f>
        <v>1</v>
      </c>
      <c r="L3522" t="b">
        <f>TrafficData[[#This Row],[pendingAmount]]+TrafficData[[#This Row],[disposedAmount]]=TrafficData[[#This Row],[totalAmount]]</f>
        <v>1</v>
      </c>
      <c r="M3522" t="b">
        <f>TrafficData[[#This Row],[pendingCourt]]+TrafficData[[#This Row],[disposedCourt]]=TrafficData[[#This Row],[totalCourt]]</f>
        <v>1</v>
      </c>
      <c r="N3522" s="8" t="b">
        <f>AND(TrafficData[[#This Row],[disposedChallan]]&lt;=TrafficData[[#This Row],[totalChallan]],TrafficData[[#This Row],[pendingChallan]]&lt;=TrafficData[[#This Row],[totalChallan]])</f>
        <v>1</v>
      </c>
      <c r="O3522" s="8" t="b">
        <f>AND(TrafficData[[#This Row],[pendingAmount]]&lt;=TrafficData[[#This Row],[totalAmount]],TrafficData[[#This Row],[disposedAmount]]&lt;=TrafficData[[#This Row],[totalAmount]])</f>
        <v>1</v>
      </c>
      <c r="P3522" s="8" t="b">
        <f>AND(TrafficData[[#This Row],[pendingCourt]]&lt;=TrafficData[[#This Row],[totalCourt]],TrafficData[[#This Row],[disposedCourt]]&lt;=TrafficData[[#This Row],[totalCourt]])</f>
        <v>1</v>
      </c>
    </row>
    <row r="3523" spans="1:16">
      <c r="A3523" s="1">
        <v>45527</v>
      </c>
      <c r="B3523">
        <v>232912</v>
      </c>
      <c r="C3523">
        <v>71642</v>
      </c>
      <c r="D3523">
        <v>161270</v>
      </c>
      <c r="E3523">
        <v>255932398</v>
      </c>
      <c r="F3523">
        <v>116698656</v>
      </c>
      <c r="G3523">
        <v>372631054</v>
      </c>
      <c r="H3523">
        <v>81654</v>
      </c>
      <c r="I3523">
        <v>8942</v>
      </c>
      <c r="J3523">
        <v>90596</v>
      </c>
      <c r="K3523" t="b">
        <f>TrafficData[[#This Row],[disposedChallan]]+TrafficData[[#This Row],[pendingChallan]]=TrafficData[[#This Row],[totalChallan]]</f>
        <v>1</v>
      </c>
      <c r="L3523" t="b">
        <f>TrafficData[[#This Row],[pendingAmount]]+TrafficData[[#This Row],[disposedAmount]]=TrafficData[[#This Row],[totalAmount]]</f>
        <v>1</v>
      </c>
      <c r="M3523" t="b">
        <f>TrafficData[[#This Row],[pendingCourt]]+TrafficData[[#This Row],[disposedCourt]]=TrafficData[[#This Row],[totalCourt]]</f>
        <v>1</v>
      </c>
      <c r="N3523" s="8" t="b">
        <f>AND(TrafficData[[#This Row],[disposedChallan]]&lt;=TrafficData[[#This Row],[totalChallan]],TrafficData[[#This Row],[pendingChallan]]&lt;=TrafficData[[#This Row],[totalChallan]])</f>
        <v>1</v>
      </c>
      <c r="O3523" s="8" t="b">
        <f>AND(TrafficData[[#This Row],[pendingAmount]]&lt;=TrafficData[[#This Row],[totalAmount]],TrafficData[[#This Row],[disposedAmount]]&lt;=TrafficData[[#This Row],[totalAmount]])</f>
        <v>1</v>
      </c>
      <c r="P3523" s="8" t="b">
        <f>AND(TrafficData[[#This Row],[pendingCourt]]&lt;=TrafficData[[#This Row],[totalCourt]],TrafficData[[#This Row],[disposedCourt]]&lt;=TrafficData[[#This Row],[totalCourt]])</f>
        <v>1</v>
      </c>
    </row>
    <row r="3524" spans="1:16">
      <c r="A3524" s="1">
        <v>45528</v>
      </c>
      <c r="B3524">
        <v>236413</v>
      </c>
      <c r="C3524">
        <v>73344</v>
      </c>
      <c r="D3524">
        <v>163069</v>
      </c>
      <c r="E3524">
        <v>257348359</v>
      </c>
      <c r="F3524">
        <v>109640268</v>
      </c>
      <c r="G3524">
        <v>366988627</v>
      </c>
      <c r="H3524">
        <v>84090</v>
      </c>
      <c r="I3524">
        <v>10017</v>
      </c>
      <c r="J3524">
        <v>94107</v>
      </c>
      <c r="K3524" t="b">
        <f>TrafficData[[#This Row],[disposedChallan]]+TrafficData[[#This Row],[pendingChallan]]=TrafficData[[#This Row],[totalChallan]]</f>
        <v>1</v>
      </c>
      <c r="L3524" t="b">
        <f>TrafficData[[#This Row],[pendingAmount]]+TrafficData[[#This Row],[disposedAmount]]=TrafficData[[#This Row],[totalAmount]]</f>
        <v>1</v>
      </c>
      <c r="M3524" t="b">
        <f>TrafficData[[#This Row],[pendingCourt]]+TrafficData[[#This Row],[disposedCourt]]=TrafficData[[#This Row],[totalCourt]]</f>
        <v>1</v>
      </c>
      <c r="N3524" s="8" t="b">
        <f>AND(TrafficData[[#This Row],[disposedChallan]]&lt;=TrafficData[[#This Row],[totalChallan]],TrafficData[[#This Row],[pendingChallan]]&lt;=TrafficData[[#This Row],[totalChallan]])</f>
        <v>1</v>
      </c>
      <c r="O3524" s="8" t="b">
        <f>AND(TrafficData[[#This Row],[pendingAmount]]&lt;=TrafficData[[#This Row],[totalAmount]],TrafficData[[#This Row],[disposedAmount]]&lt;=TrafficData[[#This Row],[totalAmount]])</f>
        <v>1</v>
      </c>
      <c r="P3524" s="8" t="b">
        <f>AND(TrafficData[[#This Row],[pendingCourt]]&lt;=TrafficData[[#This Row],[totalCourt]],TrafficData[[#This Row],[disposedCourt]]&lt;=TrafficData[[#This Row],[totalCourt]])</f>
        <v>1</v>
      </c>
    </row>
    <row r="3525" spans="1:16">
      <c r="A3525" s="1">
        <v>45529</v>
      </c>
      <c r="B3525">
        <v>210314</v>
      </c>
      <c r="C3525">
        <v>65385</v>
      </c>
      <c r="D3525">
        <v>144929</v>
      </c>
      <c r="E3525">
        <v>209893137</v>
      </c>
      <c r="F3525">
        <v>83862316</v>
      </c>
      <c r="G3525">
        <v>293755453</v>
      </c>
      <c r="H3525">
        <v>73383</v>
      </c>
      <c r="I3525">
        <v>8021</v>
      </c>
      <c r="J3525">
        <v>81404</v>
      </c>
      <c r="K3525" t="b">
        <f>TrafficData[[#This Row],[disposedChallan]]+TrafficData[[#This Row],[pendingChallan]]=TrafficData[[#This Row],[totalChallan]]</f>
        <v>1</v>
      </c>
      <c r="L3525" t="b">
        <f>TrafficData[[#This Row],[pendingAmount]]+TrafficData[[#This Row],[disposedAmount]]=TrafficData[[#This Row],[totalAmount]]</f>
        <v>1</v>
      </c>
      <c r="M3525" t="b">
        <f>TrafficData[[#This Row],[pendingCourt]]+TrafficData[[#This Row],[disposedCourt]]=TrafficData[[#This Row],[totalCourt]]</f>
        <v>1</v>
      </c>
      <c r="N3525" s="8" t="b">
        <f>AND(TrafficData[[#This Row],[disposedChallan]]&lt;=TrafficData[[#This Row],[totalChallan]],TrafficData[[#This Row],[pendingChallan]]&lt;=TrafficData[[#This Row],[totalChallan]])</f>
        <v>1</v>
      </c>
      <c r="O3525" s="8" t="b">
        <f>AND(TrafficData[[#This Row],[pendingAmount]]&lt;=TrafficData[[#This Row],[totalAmount]],TrafficData[[#This Row],[disposedAmount]]&lt;=TrafficData[[#This Row],[totalAmount]])</f>
        <v>1</v>
      </c>
      <c r="P3525" s="8" t="b">
        <f>AND(TrafficData[[#This Row],[pendingCourt]]&lt;=TrafficData[[#This Row],[totalCourt]],TrafficData[[#This Row],[disposedCourt]]&lt;=TrafficData[[#This Row],[totalCourt]])</f>
        <v>1</v>
      </c>
    </row>
    <row r="3526" spans="1:16">
      <c r="A3526" s="1">
        <v>45530</v>
      </c>
      <c r="B3526">
        <v>200983</v>
      </c>
      <c r="C3526">
        <v>60549</v>
      </c>
      <c r="D3526">
        <v>140434</v>
      </c>
      <c r="E3526">
        <v>208804108</v>
      </c>
      <c r="F3526">
        <v>75107711</v>
      </c>
      <c r="G3526">
        <v>283911819</v>
      </c>
      <c r="H3526">
        <v>65473</v>
      </c>
      <c r="I3526">
        <v>7243</v>
      </c>
      <c r="J3526">
        <v>72716</v>
      </c>
      <c r="K3526" t="b">
        <f>TrafficData[[#This Row],[disposedChallan]]+TrafficData[[#This Row],[pendingChallan]]=TrafficData[[#This Row],[totalChallan]]</f>
        <v>1</v>
      </c>
      <c r="L3526" t="b">
        <f>TrafficData[[#This Row],[pendingAmount]]+TrafficData[[#This Row],[disposedAmount]]=TrafficData[[#This Row],[totalAmount]]</f>
        <v>1</v>
      </c>
      <c r="M3526" t="b">
        <f>TrafficData[[#This Row],[pendingCourt]]+TrafficData[[#This Row],[disposedCourt]]=TrafficData[[#This Row],[totalCourt]]</f>
        <v>1</v>
      </c>
      <c r="N3526" s="8" t="b">
        <f>AND(TrafficData[[#This Row],[disposedChallan]]&lt;=TrafficData[[#This Row],[totalChallan]],TrafficData[[#This Row],[pendingChallan]]&lt;=TrafficData[[#This Row],[totalChallan]])</f>
        <v>1</v>
      </c>
      <c r="O3526" s="8" t="b">
        <f>AND(TrafficData[[#This Row],[pendingAmount]]&lt;=TrafficData[[#This Row],[totalAmount]],TrafficData[[#This Row],[disposedAmount]]&lt;=TrafficData[[#This Row],[totalAmount]])</f>
        <v>1</v>
      </c>
      <c r="P3526" s="8" t="b">
        <f>AND(TrafficData[[#This Row],[pendingCourt]]&lt;=TrafficData[[#This Row],[totalCourt]],TrafficData[[#This Row],[disposedCourt]]&lt;=TrafficData[[#This Row],[totalCourt]])</f>
        <v>1</v>
      </c>
    </row>
    <row r="3527" spans="1:16">
      <c r="A3527" s="1">
        <v>45531</v>
      </c>
      <c r="B3527">
        <v>221095</v>
      </c>
      <c r="C3527">
        <v>66872</v>
      </c>
      <c r="D3527">
        <v>154223</v>
      </c>
      <c r="E3527">
        <v>239869538</v>
      </c>
      <c r="F3527">
        <v>97119341</v>
      </c>
      <c r="G3527">
        <v>336988879</v>
      </c>
      <c r="H3527">
        <v>72420</v>
      </c>
      <c r="I3527">
        <v>7956</v>
      </c>
      <c r="J3527">
        <v>80376</v>
      </c>
      <c r="K3527" t="b">
        <f>TrafficData[[#This Row],[disposedChallan]]+TrafficData[[#This Row],[pendingChallan]]=TrafficData[[#This Row],[totalChallan]]</f>
        <v>1</v>
      </c>
      <c r="L3527" t="b">
        <f>TrafficData[[#This Row],[pendingAmount]]+TrafficData[[#This Row],[disposedAmount]]=TrafficData[[#This Row],[totalAmount]]</f>
        <v>1</v>
      </c>
      <c r="M3527" t="b">
        <f>TrafficData[[#This Row],[pendingCourt]]+TrafficData[[#This Row],[disposedCourt]]=TrafficData[[#This Row],[totalCourt]]</f>
        <v>1</v>
      </c>
      <c r="N3527" s="8" t="b">
        <f>AND(TrafficData[[#This Row],[disposedChallan]]&lt;=TrafficData[[#This Row],[totalChallan]],TrafficData[[#This Row],[pendingChallan]]&lt;=TrafficData[[#This Row],[totalChallan]])</f>
        <v>1</v>
      </c>
      <c r="O3527" s="8" t="b">
        <f>AND(TrafficData[[#This Row],[pendingAmount]]&lt;=TrafficData[[#This Row],[totalAmount]],TrafficData[[#This Row],[disposedAmount]]&lt;=TrafficData[[#This Row],[totalAmount]])</f>
        <v>1</v>
      </c>
      <c r="P3527" s="8" t="b">
        <f>AND(TrafficData[[#This Row],[pendingCourt]]&lt;=TrafficData[[#This Row],[totalCourt]],TrafficData[[#This Row],[disposedCourt]]&lt;=TrafficData[[#This Row],[totalCourt]])</f>
        <v>1</v>
      </c>
    </row>
    <row r="3528" spans="1:16">
      <c r="A3528" s="1">
        <v>45532</v>
      </c>
      <c r="B3528">
        <v>217788</v>
      </c>
      <c r="C3528">
        <v>66791</v>
      </c>
      <c r="D3528">
        <v>150997</v>
      </c>
      <c r="E3528">
        <v>245405391</v>
      </c>
      <c r="F3528">
        <v>164382435</v>
      </c>
      <c r="G3528">
        <v>409787826</v>
      </c>
      <c r="H3528">
        <v>79845</v>
      </c>
      <c r="I3528">
        <v>8584</v>
      </c>
      <c r="J3528">
        <v>88429</v>
      </c>
      <c r="K3528" t="b">
        <f>TrafficData[[#This Row],[disposedChallan]]+TrafficData[[#This Row],[pendingChallan]]=TrafficData[[#This Row],[totalChallan]]</f>
        <v>1</v>
      </c>
      <c r="L3528" t="b">
        <f>TrafficData[[#This Row],[pendingAmount]]+TrafficData[[#This Row],[disposedAmount]]=TrafficData[[#This Row],[totalAmount]]</f>
        <v>1</v>
      </c>
      <c r="M3528" t="b">
        <f>TrafficData[[#This Row],[pendingCourt]]+TrafficData[[#This Row],[disposedCourt]]=TrafficData[[#This Row],[totalCourt]]</f>
        <v>1</v>
      </c>
      <c r="N3528" s="8" t="b">
        <f>AND(TrafficData[[#This Row],[disposedChallan]]&lt;=TrafficData[[#This Row],[totalChallan]],TrafficData[[#This Row],[pendingChallan]]&lt;=TrafficData[[#This Row],[totalChallan]])</f>
        <v>1</v>
      </c>
      <c r="O3528" s="8" t="b">
        <f>AND(TrafficData[[#This Row],[pendingAmount]]&lt;=TrafficData[[#This Row],[totalAmount]],TrafficData[[#This Row],[disposedAmount]]&lt;=TrafficData[[#This Row],[totalAmount]])</f>
        <v>1</v>
      </c>
      <c r="P3528" s="8" t="b">
        <f>AND(TrafficData[[#This Row],[pendingCourt]]&lt;=TrafficData[[#This Row],[totalCourt]],TrafficData[[#This Row],[disposedCourt]]&lt;=TrafficData[[#This Row],[totalCourt]])</f>
        <v>1</v>
      </c>
    </row>
    <row r="3529" spans="1:16">
      <c r="A3529" s="1">
        <v>45533</v>
      </c>
      <c r="B3529">
        <v>210063</v>
      </c>
      <c r="C3529">
        <v>63656</v>
      </c>
      <c r="D3529">
        <v>146407</v>
      </c>
      <c r="E3529">
        <v>232992393</v>
      </c>
      <c r="F3529">
        <v>102103585</v>
      </c>
      <c r="G3529">
        <v>335095978</v>
      </c>
      <c r="H3529">
        <v>79257</v>
      </c>
      <c r="I3529">
        <v>8348</v>
      </c>
      <c r="J3529">
        <v>87605</v>
      </c>
      <c r="K3529" t="b">
        <f>TrafficData[[#This Row],[disposedChallan]]+TrafficData[[#This Row],[pendingChallan]]=TrafficData[[#This Row],[totalChallan]]</f>
        <v>1</v>
      </c>
      <c r="L3529" t="b">
        <f>TrafficData[[#This Row],[pendingAmount]]+TrafficData[[#This Row],[disposedAmount]]=TrafficData[[#This Row],[totalAmount]]</f>
        <v>1</v>
      </c>
      <c r="M3529" t="b">
        <f>TrafficData[[#This Row],[pendingCourt]]+TrafficData[[#This Row],[disposedCourt]]=TrafficData[[#This Row],[totalCourt]]</f>
        <v>1</v>
      </c>
      <c r="N3529" s="8" t="b">
        <f>AND(TrafficData[[#This Row],[disposedChallan]]&lt;=TrafficData[[#This Row],[totalChallan]],TrafficData[[#This Row],[pendingChallan]]&lt;=TrafficData[[#This Row],[totalChallan]])</f>
        <v>1</v>
      </c>
      <c r="O3529" s="8" t="b">
        <f>AND(TrafficData[[#This Row],[pendingAmount]]&lt;=TrafficData[[#This Row],[totalAmount]],TrafficData[[#This Row],[disposedAmount]]&lt;=TrafficData[[#This Row],[totalAmount]])</f>
        <v>1</v>
      </c>
      <c r="P3529" s="8" t="b">
        <f>AND(TrafficData[[#This Row],[pendingCourt]]&lt;=TrafficData[[#This Row],[totalCourt]],TrafficData[[#This Row],[disposedCourt]]&lt;=TrafficData[[#This Row],[totalCourt]])</f>
        <v>1</v>
      </c>
    </row>
    <row r="3530" spans="1:16">
      <c r="A3530" s="1">
        <v>45534</v>
      </c>
      <c r="B3530">
        <v>223313</v>
      </c>
      <c r="C3530">
        <v>70223</v>
      </c>
      <c r="D3530">
        <v>153090</v>
      </c>
      <c r="E3530">
        <v>257643259</v>
      </c>
      <c r="F3530">
        <v>106579745</v>
      </c>
      <c r="G3530">
        <v>364223004</v>
      </c>
      <c r="H3530">
        <v>83533</v>
      </c>
      <c r="I3530">
        <v>9122</v>
      </c>
      <c r="J3530">
        <v>92655</v>
      </c>
      <c r="K3530" t="b">
        <f>TrafficData[[#This Row],[disposedChallan]]+TrafficData[[#This Row],[pendingChallan]]=TrafficData[[#This Row],[totalChallan]]</f>
        <v>1</v>
      </c>
      <c r="L3530" t="b">
        <f>TrafficData[[#This Row],[pendingAmount]]+TrafficData[[#This Row],[disposedAmount]]=TrafficData[[#This Row],[totalAmount]]</f>
        <v>1</v>
      </c>
      <c r="M3530" t="b">
        <f>TrafficData[[#This Row],[pendingCourt]]+TrafficData[[#This Row],[disposedCourt]]=TrafficData[[#This Row],[totalCourt]]</f>
        <v>1</v>
      </c>
      <c r="N3530" s="8" t="b">
        <f>AND(TrafficData[[#This Row],[disposedChallan]]&lt;=TrafficData[[#This Row],[totalChallan]],TrafficData[[#This Row],[pendingChallan]]&lt;=TrafficData[[#This Row],[totalChallan]])</f>
        <v>1</v>
      </c>
      <c r="O3530" s="8" t="b">
        <f>AND(TrafficData[[#This Row],[pendingAmount]]&lt;=TrafficData[[#This Row],[totalAmount]],TrafficData[[#This Row],[disposedAmount]]&lt;=TrafficData[[#This Row],[totalAmount]])</f>
        <v>1</v>
      </c>
      <c r="P3530" s="8" t="b">
        <f>AND(TrafficData[[#This Row],[pendingCourt]]&lt;=TrafficData[[#This Row],[totalCourt]],TrafficData[[#This Row],[disposedCourt]]&lt;=TrafficData[[#This Row],[totalCourt]])</f>
        <v>1</v>
      </c>
    </row>
    <row r="3531" spans="1:16">
      <c r="A3531" s="1">
        <v>45535</v>
      </c>
      <c r="B3531">
        <v>220542</v>
      </c>
      <c r="C3531">
        <v>69683</v>
      </c>
      <c r="D3531">
        <v>150859</v>
      </c>
      <c r="E3531">
        <v>256695202</v>
      </c>
      <c r="F3531">
        <v>97905079</v>
      </c>
      <c r="G3531">
        <v>354600281</v>
      </c>
      <c r="H3531">
        <v>77785</v>
      </c>
      <c r="I3531">
        <v>8790</v>
      </c>
      <c r="J3531">
        <v>86575</v>
      </c>
      <c r="K3531" t="b">
        <f>TrafficData[[#This Row],[disposedChallan]]+TrafficData[[#This Row],[pendingChallan]]=TrafficData[[#This Row],[totalChallan]]</f>
        <v>1</v>
      </c>
      <c r="L3531" t="b">
        <f>TrafficData[[#This Row],[pendingAmount]]+TrafficData[[#This Row],[disposedAmount]]=TrafficData[[#This Row],[totalAmount]]</f>
        <v>1</v>
      </c>
      <c r="M3531" t="b">
        <f>TrafficData[[#This Row],[pendingCourt]]+TrafficData[[#This Row],[disposedCourt]]=TrafficData[[#This Row],[totalCourt]]</f>
        <v>1</v>
      </c>
      <c r="N3531" s="8" t="b">
        <f>AND(TrafficData[[#This Row],[disposedChallan]]&lt;=TrafficData[[#This Row],[totalChallan]],TrafficData[[#This Row],[pendingChallan]]&lt;=TrafficData[[#This Row],[totalChallan]])</f>
        <v>1</v>
      </c>
      <c r="O3531" s="8" t="b">
        <f>AND(TrafficData[[#This Row],[pendingAmount]]&lt;=TrafficData[[#This Row],[totalAmount]],TrafficData[[#This Row],[disposedAmount]]&lt;=TrafficData[[#This Row],[totalAmount]])</f>
        <v>1</v>
      </c>
      <c r="P3531" s="8" t="b">
        <f>AND(TrafficData[[#This Row],[pendingCourt]]&lt;=TrafficData[[#This Row],[totalCourt]],TrafficData[[#This Row],[disposedCourt]]&lt;=TrafficData[[#This Row],[totalCourt]])</f>
        <v>1</v>
      </c>
    </row>
    <row r="3532" spans="1:16">
      <c r="A3532" s="1">
        <v>45536</v>
      </c>
      <c r="B3532">
        <v>213523</v>
      </c>
      <c r="C3532">
        <v>67444</v>
      </c>
      <c r="D3532">
        <v>146079</v>
      </c>
      <c r="E3532">
        <v>209088127</v>
      </c>
      <c r="F3532">
        <v>84974694</v>
      </c>
      <c r="G3532">
        <v>294062821</v>
      </c>
      <c r="H3532">
        <v>76968</v>
      </c>
      <c r="I3532">
        <v>7751</v>
      </c>
      <c r="J3532">
        <v>84719</v>
      </c>
      <c r="K3532" t="b">
        <f>TrafficData[[#This Row],[disposedChallan]]+TrafficData[[#This Row],[pendingChallan]]=TrafficData[[#This Row],[totalChallan]]</f>
        <v>1</v>
      </c>
      <c r="L3532" t="b">
        <f>TrafficData[[#This Row],[pendingAmount]]+TrafficData[[#This Row],[disposedAmount]]=TrafficData[[#This Row],[totalAmount]]</f>
        <v>1</v>
      </c>
      <c r="M3532" t="b">
        <f>TrafficData[[#This Row],[pendingCourt]]+TrafficData[[#This Row],[disposedCourt]]=TrafficData[[#This Row],[totalCourt]]</f>
        <v>1</v>
      </c>
      <c r="N3532" s="8" t="b">
        <f>AND(TrafficData[[#This Row],[disposedChallan]]&lt;=TrafficData[[#This Row],[totalChallan]],TrafficData[[#This Row],[pendingChallan]]&lt;=TrafficData[[#This Row],[totalChallan]])</f>
        <v>1</v>
      </c>
      <c r="O3532" s="8" t="b">
        <f>AND(TrafficData[[#This Row],[pendingAmount]]&lt;=TrafficData[[#This Row],[totalAmount]],TrafficData[[#This Row],[disposedAmount]]&lt;=TrafficData[[#This Row],[totalAmount]])</f>
        <v>1</v>
      </c>
      <c r="P3532" s="8" t="b">
        <f>AND(TrafficData[[#This Row],[pendingCourt]]&lt;=TrafficData[[#This Row],[totalCourt]],TrafficData[[#This Row],[disposedCourt]]&lt;=TrafficData[[#This Row],[totalCourt]])</f>
        <v>1</v>
      </c>
    </row>
    <row r="3533" spans="1:16">
      <c r="A3533" s="1">
        <v>45537</v>
      </c>
      <c r="B3533">
        <v>237513</v>
      </c>
      <c r="C3533">
        <v>73062</v>
      </c>
      <c r="D3533">
        <v>164451</v>
      </c>
      <c r="E3533">
        <v>270080652</v>
      </c>
      <c r="F3533">
        <v>110946983</v>
      </c>
      <c r="G3533">
        <v>381027635</v>
      </c>
      <c r="H3533">
        <v>90529</v>
      </c>
      <c r="I3533">
        <v>9078</v>
      </c>
      <c r="J3533">
        <v>99607</v>
      </c>
      <c r="K3533" t="b">
        <f>TrafficData[[#This Row],[disposedChallan]]+TrafficData[[#This Row],[pendingChallan]]=TrafficData[[#This Row],[totalChallan]]</f>
        <v>1</v>
      </c>
      <c r="L3533" t="b">
        <f>TrafficData[[#This Row],[pendingAmount]]+TrafficData[[#This Row],[disposedAmount]]=TrafficData[[#This Row],[totalAmount]]</f>
        <v>1</v>
      </c>
      <c r="M3533" t="b">
        <f>TrafficData[[#This Row],[pendingCourt]]+TrafficData[[#This Row],[disposedCourt]]=TrafficData[[#This Row],[totalCourt]]</f>
        <v>1</v>
      </c>
      <c r="N3533" s="8" t="b">
        <f>AND(TrafficData[[#This Row],[disposedChallan]]&lt;=TrafficData[[#This Row],[totalChallan]],TrafficData[[#This Row],[pendingChallan]]&lt;=TrafficData[[#This Row],[totalChallan]])</f>
        <v>1</v>
      </c>
      <c r="O3533" s="8" t="b">
        <f>AND(TrafficData[[#This Row],[pendingAmount]]&lt;=TrafficData[[#This Row],[totalAmount]],TrafficData[[#This Row],[disposedAmount]]&lt;=TrafficData[[#This Row],[totalAmount]])</f>
        <v>1</v>
      </c>
      <c r="P3533" s="8" t="b">
        <f>AND(TrafficData[[#This Row],[pendingCourt]]&lt;=TrafficData[[#This Row],[totalCourt]],TrafficData[[#This Row],[disposedCourt]]&lt;=TrafficData[[#This Row],[totalCourt]])</f>
        <v>1</v>
      </c>
    </row>
    <row r="3534" spans="1:16">
      <c r="A3534" s="1">
        <v>45538</v>
      </c>
      <c r="B3534">
        <v>242696</v>
      </c>
      <c r="C3534">
        <v>74988</v>
      </c>
      <c r="D3534">
        <v>167708</v>
      </c>
      <c r="E3534">
        <v>277009596</v>
      </c>
      <c r="F3534">
        <v>122763045</v>
      </c>
      <c r="G3534">
        <v>399772641</v>
      </c>
      <c r="H3534">
        <v>94013</v>
      </c>
      <c r="I3534">
        <v>9477</v>
      </c>
      <c r="J3534">
        <v>103490</v>
      </c>
      <c r="K3534" t="b">
        <f>TrafficData[[#This Row],[disposedChallan]]+TrafficData[[#This Row],[pendingChallan]]=TrafficData[[#This Row],[totalChallan]]</f>
        <v>1</v>
      </c>
      <c r="L3534" t="b">
        <f>TrafficData[[#This Row],[pendingAmount]]+TrafficData[[#This Row],[disposedAmount]]=TrafficData[[#This Row],[totalAmount]]</f>
        <v>1</v>
      </c>
      <c r="M3534" t="b">
        <f>TrafficData[[#This Row],[pendingCourt]]+TrafficData[[#This Row],[disposedCourt]]=TrafficData[[#This Row],[totalCourt]]</f>
        <v>1</v>
      </c>
      <c r="N3534" s="8" t="b">
        <f>AND(TrafficData[[#This Row],[disposedChallan]]&lt;=TrafficData[[#This Row],[totalChallan]],TrafficData[[#This Row],[pendingChallan]]&lt;=TrafficData[[#This Row],[totalChallan]])</f>
        <v>1</v>
      </c>
      <c r="O3534" s="8" t="b">
        <f>AND(TrafficData[[#This Row],[pendingAmount]]&lt;=TrafficData[[#This Row],[totalAmount]],TrafficData[[#This Row],[disposedAmount]]&lt;=TrafficData[[#This Row],[totalAmount]])</f>
        <v>1</v>
      </c>
      <c r="P3534" s="8" t="b">
        <f>AND(TrafficData[[#This Row],[pendingCourt]]&lt;=TrafficData[[#This Row],[totalCourt]],TrafficData[[#This Row],[disposedCourt]]&lt;=TrafficData[[#This Row],[totalCourt]])</f>
        <v>1</v>
      </c>
    </row>
    <row r="3535" spans="1:16">
      <c r="A3535" s="1">
        <v>45539</v>
      </c>
      <c r="B3535">
        <v>224490</v>
      </c>
      <c r="C3535">
        <v>71023</v>
      </c>
      <c r="D3535">
        <v>153467</v>
      </c>
      <c r="E3535">
        <v>251877547</v>
      </c>
      <c r="F3535">
        <v>118382215</v>
      </c>
      <c r="G3535">
        <v>370259762</v>
      </c>
      <c r="H3535">
        <v>83646</v>
      </c>
      <c r="I3535">
        <v>8845</v>
      </c>
      <c r="J3535">
        <v>92491</v>
      </c>
      <c r="K3535" t="b">
        <f>TrafficData[[#This Row],[disposedChallan]]+TrafficData[[#This Row],[pendingChallan]]=TrafficData[[#This Row],[totalChallan]]</f>
        <v>1</v>
      </c>
      <c r="L3535" t="b">
        <f>TrafficData[[#This Row],[pendingAmount]]+TrafficData[[#This Row],[disposedAmount]]=TrafficData[[#This Row],[totalAmount]]</f>
        <v>1</v>
      </c>
      <c r="M3535" t="b">
        <f>TrafficData[[#This Row],[pendingCourt]]+TrafficData[[#This Row],[disposedCourt]]=TrafficData[[#This Row],[totalCourt]]</f>
        <v>1</v>
      </c>
      <c r="N3535" s="8" t="b">
        <f>AND(TrafficData[[#This Row],[disposedChallan]]&lt;=TrafficData[[#This Row],[totalChallan]],TrafficData[[#This Row],[pendingChallan]]&lt;=TrafficData[[#This Row],[totalChallan]])</f>
        <v>1</v>
      </c>
      <c r="O3535" s="8" t="b">
        <f>AND(TrafficData[[#This Row],[pendingAmount]]&lt;=TrafficData[[#This Row],[totalAmount]],TrafficData[[#This Row],[disposedAmount]]&lt;=TrafficData[[#This Row],[totalAmount]])</f>
        <v>1</v>
      </c>
      <c r="P3535" s="8" t="b">
        <f>AND(TrafficData[[#This Row],[pendingCourt]]&lt;=TrafficData[[#This Row],[totalCourt]],TrafficData[[#This Row],[disposedCourt]]&lt;=TrafficData[[#This Row],[totalCourt]])</f>
        <v>1</v>
      </c>
    </row>
    <row r="3536" spans="1:16">
      <c r="A3536" s="1">
        <v>45540</v>
      </c>
      <c r="B3536">
        <v>241036</v>
      </c>
      <c r="C3536">
        <v>73702</v>
      </c>
      <c r="D3536">
        <v>167334</v>
      </c>
      <c r="E3536">
        <v>276000483</v>
      </c>
      <c r="F3536">
        <v>119877256</v>
      </c>
      <c r="G3536">
        <v>395877739</v>
      </c>
      <c r="H3536">
        <v>90257</v>
      </c>
      <c r="I3536">
        <v>9245</v>
      </c>
      <c r="J3536">
        <v>99502</v>
      </c>
      <c r="K3536" t="b">
        <f>TrafficData[[#This Row],[disposedChallan]]+TrafficData[[#This Row],[pendingChallan]]=TrafficData[[#This Row],[totalChallan]]</f>
        <v>1</v>
      </c>
      <c r="L3536" t="b">
        <f>TrafficData[[#This Row],[pendingAmount]]+TrafficData[[#This Row],[disposedAmount]]=TrafficData[[#This Row],[totalAmount]]</f>
        <v>1</v>
      </c>
      <c r="M3536" t="b">
        <f>TrafficData[[#This Row],[pendingCourt]]+TrafficData[[#This Row],[disposedCourt]]=TrafficData[[#This Row],[totalCourt]]</f>
        <v>1</v>
      </c>
      <c r="N3536" s="8" t="b">
        <f>AND(TrafficData[[#This Row],[disposedChallan]]&lt;=TrafficData[[#This Row],[totalChallan]],TrafficData[[#This Row],[pendingChallan]]&lt;=TrafficData[[#This Row],[totalChallan]])</f>
        <v>1</v>
      </c>
      <c r="O3536" s="8" t="b">
        <f>AND(TrafficData[[#This Row],[pendingAmount]]&lt;=TrafficData[[#This Row],[totalAmount]],TrafficData[[#This Row],[disposedAmount]]&lt;=TrafficData[[#This Row],[totalAmount]])</f>
        <v>1</v>
      </c>
      <c r="P3536" s="8" t="b">
        <f>AND(TrafficData[[#This Row],[pendingCourt]]&lt;=TrafficData[[#This Row],[totalCourt]],TrafficData[[#This Row],[disposedCourt]]&lt;=TrafficData[[#This Row],[totalCourt]])</f>
        <v>1</v>
      </c>
    </row>
    <row r="3537" spans="1:16">
      <c r="A3537" s="1">
        <v>45541</v>
      </c>
      <c r="B3537">
        <v>225307</v>
      </c>
      <c r="C3537">
        <v>70658</v>
      </c>
      <c r="D3537">
        <v>154649</v>
      </c>
      <c r="E3537">
        <v>240952227</v>
      </c>
      <c r="F3537">
        <v>118783729</v>
      </c>
      <c r="G3537">
        <v>359735956</v>
      </c>
      <c r="H3537">
        <v>80224</v>
      </c>
      <c r="I3537">
        <v>8330</v>
      </c>
      <c r="J3537">
        <v>88554</v>
      </c>
      <c r="K3537" t="b">
        <f>TrafficData[[#This Row],[disposedChallan]]+TrafficData[[#This Row],[pendingChallan]]=TrafficData[[#This Row],[totalChallan]]</f>
        <v>1</v>
      </c>
      <c r="L3537" t="b">
        <f>TrafficData[[#This Row],[pendingAmount]]+TrafficData[[#This Row],[disposedAmount]]=TrafficData[[#This Row],[totalAmount]]</f>
        <v>1</v>
      </c>
      <c r="M3537" t="b">
        <f>TrafficData[[#This Row],[pendingCourt]]+TrafficData[[#This Row],[disposedCourt]]=TrafficData[[#This Row],[totalCourt]]</f>
        <v>1</v>
      </c>
      <c r="N3537" s="8" t="b">
        <f>AND(TrafficData[[#This Row],[disposedChallan]]&lt;=TrafficData[[#This Row],[totalChallan]],TrafficData[[#This Row],[pendingChallan]]&lt;=TrafficData[[#This Row],[totalChallan]])</f>
        <v>1</v>
      </c>
      <c r="O3537" s="8" t="b">
        <f>AND(TrafficData[[#This Row],[pendingAmount]]&lt;=TrafficData[[#This Row],[totalAmount]],TrafficData[[#This Row],[disposedAmount]]&lt;=TrafficData[[#This Row],[totalAmount]])</f>
        <v>1</v>
      </c>
      <c r="P3537" s="8" t="b">
        <f>AND(TrafficData[[#This Row],[pendingCourt]]&lt;=TrafficData[[#This Row],[totalCourt]],TrafficData[[#This Row],[disposedCourt]]&lt;=TrafficData[[#This Row],[totalCourt]])</f>
        <v>1</v>
      </c>
    </row>
    <row r="3538" spans="1:16">
      <c r="A3538" s="1">
        <v>45542</v>
      </c>
      <c r="B3538">
        <v>219738</v>
      </c>
      <c r="C3538">
        <v>68618</v>
      </c>
      <c r="D3538">
        <v>151120</v>
      </c>
      <c r="E3538">
        <v>240933596</v>
      </c>
      <c r="F3538">
        <v>98410000</v>
      </c>
      <c r="G3538">
        <v>339343596</v>
      </c>
      <c r="H3538">
        <v>85103</v>
      </c>
      <c r="I3538">
        <v>9097</v>
      </c>
      <c r="J3538">
        <v>94200</v>
      </c>
      <c r="K3538" t="b">
        <f>TrafficData[[#This Row],[disposedChallan]]+TrafficData[[#This Row],[pendingChallan]]=TrafficData[[#This Row],[totalChallan]]</f>
        <v>1</v>
      </c>
      <c r="L3538" t="b">
        <f>TrafficData[[#This Row],[pendingAmount]]+TrafficData[[#This Row],[disposedAmount]]=TrafficData[[#This Row],[totalAmount]]</f>
        <v>1</v>
      </c>
      <c r="M3538" t="b">
        <f>TrafficData[[#This Row],[pendingCourt]]+TrafficData[[#This Row],[disposedCourt]]=TrafficData[[#This Row],[totalCourt]]</f>
        <v>1</v>
      </c>
      <c r="N3538" s="8" t="b">
        <f>AND(TrafficData[[#This Row],[disposedChallan]]&lt;=TrafficData[[#This Row],[totalChallan]],TrafficData[[#This Row],[pendingChallan]]&lt;=TrafficData[[#This Row],[totalChallan]])</f>
        <v>1</v>
      </c>
      <c r="O3538" s="8" t="b">
        <f>AND(TrafficData[[#This Row],[pendingAmount]]&lt;=TrafficData[[#This Row],[totalAmount]],TrafficData[[#This Row],[disposedAmount]]&lt;=TrafficData[[#This Row],[totalAmount]])</f>
        <v>1</v>
      </c>
      <c r="P3538" s="8" t="b">
        <f>AND(TrafficData[[#This Row],[pendingCourt]]&lt;=TrafficData[[#This Row],[totalCourt]],TrafficData[[#This Row],[disposedCourt]]&lt;=TrafficData[[#This Row],[totalCourt]])</f>
        <v>1</v>
      </c>
    </row>
    <row r="3539" spans="1:16">
      <c r="A3539" s="1">
        <v>45543</v>
      </c>
      <c r="B3539">
        <v>211995</v>
      </c>
      <c r="C3539">
        <v>66005</v>
      </c>
      <c r="D3539">
        <v>145990</v>
      </c>
      <c r="E3539">
        <v>227771562</v>
      </c>
      <c r="F3539">
        <v>84412241</v>
      </c>
      <c r="G3539">
        <v>312183803</v>
      </c>
      <c r="H3539">
        <v>83834</v>
      </c>
      <c r="I3539">
        <v>8593</v>
      </c>
      <c r="J3539">
        <v>92427</v>
      </c>
      <c r="K3539" t="b">
        <f>TrafficData[[#This Row],[disposedChallan]]+TrafficData[[#This Row],[pendingChallan]]=TrafficData[[#This Row],[totalChallan]]</f>
        <v>1</v>
      </c>
      <c r="L3539" t="b">
        <f>TrafficData[[#This Row],[pendingAmount]]+TrafficData[[#This Row],[disposedAmount]]=TrafficData[[#This Row],[totalAmount]]</f>
        <v>1</v>
      </c>
      <c r="M3539" t="b">
        <f>TrafficData[[#This Row],[pendingCourt]]+TrafficData[[#This Row],[disposedCourt]]=TrafficData[[#This Row],[totalCourt]]</f>
        <v>1</v>
      </c>
      <c r="N3539" s="8" t="b">
        <f>AND(TrafficData[[#This Row],[disposedChallan]]&lt;=TrafficData[[#This Row],[totalChallan]],TrafficData[[#This Row],[pendingChallan]]&lt;=TrafficData[[#This Row],[totalChallan]])</f>
        <v>1</v>
      </c>
      <c r="O3539" s="8" t="b">
        <f>AND(TrafficData[[#This Row],[pendingAmount]]&lt;=TrafficData[[#This Row],[totalAmount]],TrafficData[[#This Row],[disposedAmount]]&lt;=TrafficData[[#This Row],[totalAmount]])</f>
        <v>1</v>
      </c>
      <c r="P3539" s="8" t="b">
        <f>AND(TrafficData[[#This Row],[pendingCourt]]&lt;=TrafficData[[#This Row],[totalCourt]],TrafficData[[#This Row],[disposedCourt]]&lt;=TrafficData[[#This Row],[totalCourt]])</f>
        <v>1</v>
      </c>
    </row>
    <row r="3540" spans="1:16">
      <c r="A3540" s="1">
        <v>45544</v>
      </c>
      <c r="B3540">
        <v>218886</v>
      </c>
      <c r="C3540">
        <v>68533</v>
      </c>
      <c r="D3540">
        <v>150353</v>
      </c>
      <c r="E3540">
        <v>237969797</v>
      </c>
      <c r="F3540">
        <v>100206230</v>
      </c>
      <c r="G3540">
        <v>338176027</v>
      </c>
      <c r="H3540">
        <v>89328</v>
      </c>
      <c r="I3540">
        <v>9007</v>
      </c>
      <c r="J3540">
        <v>98335</v>
      </c>
      <c r="K3540" t="b">
        <f>TrafficData[[#This Row],[disposedChallan]]+TrafficData[[#This Row],[pendingChallan]]=TrafficData[[#This Row],[totalChallan]]</f>
        <v>1</v>
      </c>
      <c r="L3540" t="b">
        <f>TrafficData[[#This Row],[pendingAmount]]+TrafficData[[#This Row],[disposedAmount]]=TrafficData[[#This Row],[totalAmount]]</f>
        <v>1</v>
      </c>
      <c r="M3540" t="b">
        <f>TrafficData[[#This Row],[pendingCourt]]+TrafficData[[#This Row],[disposedCourt]]=TrafficData[[#This Row],[totalCourt]]</f>
        <v>1</v>
      </c>
      <c r="N3540" s="8" t="b">
        <f>AND(TrafficData[[#This Row],[disposedChallan]]&lt;=TrafficData[[#This Row],[totalChallan]],TrafficData[[#This Row],[pendingChallan]]&lt;=TrafficData[[#This Row],[totalChallan]])</f>
        <v>1</v>
      </c>
      <c r="O3540" s="8" t="b">
        <f>AND(TrafficData[[#This Row],[pendingAmount]]&lt;=TrafficData[[#This Row],[totalAmount]],TrafficData[[#This Row],[disposedAmount]]&lt;=TrafficData[[#This Row],[totalAmount]])</f>
        <v>1</v>
      </c>
      <c r="P3540" s="8" t="b">
        <f>AND(TrafficData[[#This Row],[pendingCourt]]&lt;=TrafficData[[#This Row],[totalCourt]],TrafficData[[#This Row],[disposedCourt]]&lt;=TrafficData[[#This Row],[totalCourt]])</f>
        <v>1</v>
      </c>
    </row>
    <row r="3541" spans="1:16">
      <c r="A3541" s="1">
        <v>45545</v>
      </c>
      <c r="B3541">
        <v>226030</v>
      </c>
      <c r="C3541">
        <v>70664</v>
      </c>
      <c r="D3541">
        <v>155366</v>
      </c>
      <c r="E3541">
        <v>263460177</v>
      </c>
      <c r="F3541">
        <v>113953906</v>
      </c>
      <c r="G3541">
        <v>377414083</v>
      </c>
      <c r="H3541">
        <v>89921</v>
      </c>
      <c r="I3541">
        <v>8939</v>
      </c>
      <c r="J3541">
        <v>98860</v>
      </c>
      <c r="K3541" t="b">
        <f>TrafficData[[#This Row],[disposedChallan]]+TrafficData[[#This Row],[pendingChallan]]=TrafficData[[#This Row],[totalChallan]]</f>
        <v>1</v>
      </c>
      <c r="L3541" t="b">
        <f>TrafficData[[#This Row],[pendingAmount]]+TrafficData[[#This Row],[disposedAmount]]=TrafficData[[#This Row],[totalAmount]]</f>
        <v>1</v>
      </c>
      <c r="M3541" t="b">
        <f>TrafficData[[#This Row],[pendingCourt]]+TrafficData[[#This Row],[disposedCourt]]=TrafficData[[#This Row],[totalCourt]]</f>
        <v>1</v>
      </c>
      <c r="N3541" s="8" t="b">
        <f>AND(TrafficData[[#This Row],[disposedChallan]]&lt;=TrafficData[[#This Row],[totalChallan]],TrafficData[[#This Row],[pendingChallan]]&lt;=TrafficData[[#This Row],[totalChallan]])</f>
        <v>1</v>
      </c>
      <c r="O3541" s="8" t="b">
        <f>AND(TrafficData[[#This Row],[pendingAmount]]&lt;=TrafficData[[#This Row],[totalAmount]],TrafficData[[#This Row],[disposedAmount]]&lt;=TrafficData[[#This Row],[totalAmount]])</f>
        <v>1</v>
      </c>
      <c r="P3541" s="8" t="b">
        <f>AND(TrafficData[[#This Row],[pendingCourt]]&lt;=TrafficData[[#This Row],[totalCourt]],TrafficData[[#This Row],[disposedCourt]]&lt;=TrafficData[[#This Row],[totalCourt]])</f>
        <v>1</v>
      </c>
    </row>
    <row r="3542" spans="1:16">
      <c r="A3542" s="1">
        <v>45546</v>
      </c>
      <c r="B3542">
        <v>216973</v>
      </c>
      <c r="C3542">
        <v>67762</v>
      </c>
      <c r="D3542">
        <v>149211</v>
      </c>
      <c r="E3542">
        <v>251481883</v>
      </c>
      <c r="F3542">
        <v>112774640</v>
      </c>
      <c r="G3542">
        <v>364256523</v>
      </c>
      <c r="H3542">
        <v>89601</v>
      </c>
      <c r="I3542">
        <v>8903</v>
      </c>
      <c r="J3542">
        <v>98504</v>
      </c>
      <c r="K3542" t="b">
        <f>TrafficData[[#This Row],[disposedChallan]]+TrafficData[[#This Row],[pendingChallan]]=TrafficData[[#This Row],[totalChallan]]</f>
        <v>1</v>
      </c>
      <c r="L3542" t="b">
        <f>TrafficData[[#This Row],[pendingAmount]]+TrafficData[[#This Row],[disposedAmount]]=TrafficData[[#This Row],[totalAmount]]</f>
        <v>1</v>
      </c>
      <c r="M3542" t="b">
        <f>TrafficData[[#This Row],[pendingCourt]]+TrafficData[[#This Row],[disposedCourt]]=TrafficData[[#This Row],[totalCourt]]</f>
        <v>1</v>
      </c>
      <c r="N3542" s="8" t="b">
        <f>AND(TrafficData[[#This Row],[disposedChallan]]&lt;=TrafficData[[#This Row],[totalChallan]],TrafficData[[#This Row],[pendingChallan]]&lt;=TrafficData[[#This Row],[totalChallan]])</f>
        <v>1</v>
      </c>
      <c r="O3542" s="8" t="b">
        <f>AND(TrafficData[[#This Row],[pendingAmount]]&lt;=TrafficData[[#This Row],[totalAmount]],TrafficData[[#This Row],[disposedAmount]]&lt;=TrafficData[[#This Row],[totalAmount]])</f>
        <v>1</v>
      </c>
      <c r="P3542" s="8" t="b">
        <f>AND(TrafficData[[#This Row],[pendingCourt]]&lt;=TrafficData[[#This Row],[totalCourt]],TrafficData[[#This Row],[disposedCourt]]&lt;=TrafficData[[#This Row],[totalCourt]])</f>
        <v>1</v>
      </c>
    </row>
    <row r="3543" spans="1:16">
      <c r="A3543" s="1">
        <v>45547</v>
      </c>
      <c r="B3543">
        <v>214417</v>
      </c>
      <c r="C3543">
        <v>69197</v>
      </c>
      <c r="D3543">
        <v>145220</v>
      </c>
      <c r="E3543">
        <v>236934838</v>
      </c>
      <c r="F3543">
        <v>114317351</v>
      </c>
      <c r="G3543">
        <v>351252189</v>
      </c>
      <c r="H3543">
        <v>79017</v>
      </c>
      <c r="I3543">
        <v>8301</v>
      </c>
      <c r="J3543">
        <v>87318</v>
      </c>
      <c r="K3543" t="b">
        <f>TrafficData[[#This Row],[disposedChallan]]+TrafficData[[#This Row],[pendingChallan]]=TrafficData[[#This Row],[totalChallan]]</f>
        <v>1</v>
      </c>
      <c r="L3543" t="b">
        <f>TrafficData[[#This Row],[pendingAmount]]+TrafficData[[#This Row],[disposedAmount]]=TrafficData[[#This Row],[totalAmount]]</f>
        <v>1</v>
      </c>
      <c r="M3543" t="b">
        <f>TrafficData[[#This Row],[pendingCourt]]+TrafficData[[#This Row],[disposedCourt]]=TrafficData[[#This Row],[totalCourt]]</f>
        <v>1</v>
      </c>
      <c r="N3543" s="8" t="b">
        <f>AND(TrafficData[[#This Row],[disposedChallan]]&lt;=TrafficData[[#This Row],[totalChallan]],TrafficData[[#This Row],[pendingChallan]]&lt;=TrafficData[[#This Row],[totalChallan]])</f>
        <v>1</v>
      </c>
      <c r="O3543" s="8" t="b">
        <f>AND(TrafficData[[#This Row],[pendingAmount]]&lt;=TrafficData[[#This Row],[totalAmount]],TrafficData[[#This Row],[disposedAmount]]&lt;=TrafficData[[#This Row],[totalAmount]])</f>
        <v>1</v>
      </c>
      <c r="P3543" s="8" t="b">
        <f>AND(TrafficData[[#This Row],[pendingCourt]]&lt;=TrafficData[[#This Row],[totalCourt]],TrafficData[[#This Row],[disposedCourt]]&lt;=TrafficData[[#This Row],[totalCourt]])</f>
        <v>1</v>
      </c>
    </row>
    <row r="3544" spans="1:16">
      <c r="A3544" s="1">
        <v>45548</v>
      </c>
      <c r="B3544">
        <v>215264</v>
      </c>
      <c r="C3544">
        <v>68785</v>
      </c>
      <c r="D3544">
        <v>146479</v>
      </c>
      <c r="E3544">
        <v>235869004</v>
      </c>
      <c r="F3544">
        <v>116446778</v>
      </c>
      <c r="G3544">
        <v>352315782</v>
      </c>
      <c r="H3544">
        <v>72183</v>
      </c>
      <c r="I3544">
        <v>8167</v>
      </c>
      <c r="J3544">
        <v>80350</v>
      </c>
      <c r="K3544" t="b">
        <f>TrafficData[[#This Row],[disposedChallan]]+TrafficData[[#This Row],[pendingChallan]]=TrafficData[[#This Row],[totalChallan]]</f>
        <v>1</v>
      </c>
      <c r="L3544" t="b">
        <f>TrafficData[[#This Row],[pendingAmount]]+TrafficData[[#This Row],[disposedAmount]]=TrafficData[[#This Row],[totalAmount]]</f>
        <v>1</v>
      </c>
      <c r="M3544" t="b">
        <f>TrafficData[[#This Row],[pendingCourt]]+TrafficData[[#This Row],[disposedCourt]]=TrafficData[[#This Row],[totalCourt]]</f>
        <v>1</v>
      </c>
      <c r="N3544" s="8" t="b">
        <f>AND(TrafficData[[#This Row],[disposedChallan]]&lt;=TrafficData[[#This Row],[totalChallan]],TrafficData[[#This Row],[pendingChallan]]&lt;=TrafficData[[#This Row],[totalChallan]])</f>
        <v>1</v>
      </c>
      <c r="O3544" s="8" t="b">
        <f>AND(TrafficData[[#This Row],[pendingAmount]]&lt;=TrafficData[[#This Row],[totalAmount]],TrafficData[[#This Row],[disposedAmount]]&lt;=TrafficData[[#This Row],[totalAmount]])</f>
        <v>1</v>
      </c>
      <c r="P3544" s="8" t="b">
        <f>AND(TrafficData[[#This Row],[pendingCourt]]&lt;=TrafficData[[#This Row],[totalCourt]],TrafficData[[#This Row],[disposedCourt]]&lt;=TrafficData[[#This Row],[totalCourt]])</f>
        <v>1</v>
      </c>
    </row>
    <row r="3545" spans="1:16">
      <c r="A3545" s="1">
        <v>45549</v>
      </c>
      <c r="B3545">
        <v>226606</v>
      </c>
      <c r="C3545">
        <v>71401</v>
      </c>
      <c r="D3545">
        <v>155205</v>
      </c>
      <c r="E3545">
        <v>244739159</v>
      </c>
      <c r="F3545">
        <v>107393186</v>
      </c>
      <c r="G3545">
        <v>352132345</v>
      </c>
      <c r="H3545">
        <v>89243</v>
      </c>
      <c r="I3545">
        <v>9387</v>
      </c>
      <c r="J3545">
        <v>98630</v>
      </c>
      <c r="K3545" t="b">
        <f>TrafficData[[#This Row],[disposedChallan]]+TrafficData[[#This Row],[pendingChallan]]=TrafficData[[#This Row],[totalChallan]]</f>
        <v>1</v>
      </c>
      <c r="L3545" t="b">
        <f>TrafficData[[#This Row],[pendingAmount]]+TrafficData[[#This Row],[disposedAmount]]=TrafficData[[#This Row],[totalAmount]]</f>
        <v>1</v>
      </c>
      <c r="M3545" t="b">
        <f>TrafficData[[#This Row],[pendingCourt]]+TrafficData[[#This Row],[disposedCourt]]=TrafficData[[#This Row],[totalCourt]]</f>
        <v>1</v>
      </c>
      <c r="N3545" s="8" t="b">
        <f>AND(TrafficData[[#This Row],[disposedChallan]]&lt;=TrafficData[[#This Row],[totalChallan]],TrafficData[[#This Row],[pendingChallan]]&lt;=TrafficData[[#This Row],[totalChallan]])</f>
        <v>1</v>
      </c>
      <c r="O3545" s="8" t="b">
        <f>AND(TrafficData[[#This Row],[pendingAmount]]&lt;=TrafficData[[#This Row],[totalAmount]],TrafficData[[#This Row],[disposedAmount]]&lt;=TrafficData[[#This Row],[totalAmount]])</f>
        <v>1</v>
      </c>
      <c r="P3545" s="8" t="b">
        <f>AND(TrafficData[[#This Row],[pendingCourt]]&lt;=TrafficData[[#This Row],[totalCourt]],TrafficData[[#This Row],[disposedCourt]]&lt;=TrafficData[[#This Row],[totalCourt]])</f>
        <v>1</v>
      </c>
    </row>
    <row r="3546" spans="1:16">
      <c r="A3546" s="1">
        <v>45550</v>
      </c>
      <c r="B3546">
        <v>203380</v>
      </c>
      <c r="C3546">
        <v>59220</v>
      </c>
      <c r="D3546">
        <v>144160</v>
      </c>
      <c r="E3546">
        <v>216311277</v>
      </c>
      <c r="F3546">
        <v>78500763</v>
      </c>
      <c r="G3546">
        <v>294812040</v>
      </c>
      <c r="H3546">
        <v>83112</v>
      </c>
      <c r="I3546">
        <v>8390</v>
      </c>
      <c r="J3546">
        <v>91502</v>
      </c>
      <c r="K3546" t="b">
        <f>TrafficData[[#This Row],[disposedChallan]]+TrafficData[[#This Row],[pendingChallan]]=TrafficData[[#This Row],[totalChallan]]</f>
        <v>1</v>
      </c>
      <c r="L3546" t="b">
        <f>TrafficData[[#This Row],[pendingAmount]]+TrafficData[[#This Row],[disposedAmount]]=TrafficData[[#This Row],[totalAmount]]</f>
        <v>1</v>
      </c>
      <c r="M3546" t="b">
        <f>TrafficData[[#This Row],[pendingCourt]]+TrafficData[[#This Row],[disposedCourt]]=TrafficData[[#This Row],[totalCourt]]</f>
        <v>1</v>
      </c>
      <c r="N3546" s="8" t="b">
        <f>AND(TrafficData[[#This Row],[disposedChallan]]&lt;=TrafficData[[#This Row],[totalChallan]],TrafficData[[#This Row],[pendingChallan]]&lt;=TrafficData[[#This Row],[totalChallan]])</f>
        <v>1</v>
      </c>
      <c r="O3546" s="8" t="b">
        <f>AND(TrafficData[[#This Row],[pendingAmount]]&lt;=TrafficData[[#This Row],[totalAmount]],TrafficData[[#This Row],[disposedAmount]]&lt;=TrafficData[[#This Row],[totalAmount]])</f>
        <v>1</v>
      </c>
      <c r="P3546" s="8" t="b">
        <f>AND(TrafficData[[#This Row],[pendingCourt]]&lt;=TrafficData[[#This Row],[totalCourt]],TrafficData[[#This Row],[disposedCourt]]&lt;=TrafficData[[#This Row],[totalCourt]])</f>
        <v>1</v>
      </c>
    </row>
    <row r="3547" spans="1:16">
      <c r="A3547" s="1">
        <v>45551</v>
      </c>
      <c r="B3547">
        <v>200988</v>
      </c>
      <c r="C3547">
        <v>60786</v>
      </c>
      <c r="D3547">
        <v>140202</v>
      </c>
      <c r="E3547">
        <v>218974577</v>
      </c>
      <c r="F3547">
        <v>87821630</v>
      </c>
      <c r="G3547">
        <v>306796207</v>
      </c>
      <c r="H3547">
        <v>73125</v>
      </c>
      <c r="I3547">
        <v>7833</v>
      </c>
      <c r="J3547">
        <v>80958</v>
      </c>
      <c r="K3547" t="b">
        <f>TrafficData[[#This Row],[disposedChallan]]+TrafficData[[#This Row],[pendingChallan]]=TrafficData[[#This Row],[totalChallan]]</f>
        <v>1</v>
      </c>
      <c r="L3547" t="b">
        <f>TrafficData[[#This Row],[pendingAmount]]+TrafficData[[#This Row],[disposedAmount]]=TrafficData[[#This Row],[totalAmount]]</f>
        <v>1</v>
      </c>
      <c r="M3547" t="b">
        <f>TrafficData[[#This Row],[pendingCourt]]+TrafficData[[#This Row],[disposedCourt]]=TrafficData[[#This Row],[totalCourt]]</f>
        <v>1</v>
      </c>
      <c r="N3547" s="8" t="b">
        <f>AND(TrafficData[[#This Row],[disposedChallan]]&lt;=TrafficData[[#This Row],[totalChallan]],TrafficData[[#This Row],[pendingChallan]]&lt;=TrafficData[[#This Row],[totalChallan]])</f>
        <v>1</v>
      </c>
      <c r="O3547" s="8" t="b">
        <f>AND(TrafficData[[#This Row],[pendingAmount]]&lt;=TrafficData[[#This Row],[totalAmount]],TrafficData[[#This Row],[disposedAmount]]&lt;=TrafficData[[#This Row],[totalAmount]])</f>
        <v>1</v>
      </c>
      <c r="P3547" s="8" t="b">
        <f>AND(TrafficData[[#This Row],[pendingCourt]]&lt;=TrafficData[[#This Row],[totalCourt]],TrafficData[[#This Row],[disposedCourt]]&lt;=TrafficData[[#This Row],[totalCourt]])</f>
        <v>1</v>
      </c>
    </row>
    <row r="3548" spans="1:16">
      <c r="A3548" s="1">
        <v>45552</v>
      </c>
      <c r="B3548">
        <v>193230</v>
      </c>
      <c r="C3548">
        <v>57615</v>
      </c>
      <c r="D3548">
        <v>135615</v>
      </c>
      <c r="E3548">
        <v>212999391</v>
      </c>
      <c r="F3548">
        <v>84789824</v>
      </c>
      <c r="G3548">
        <v>297789215</v>
      </c>
      <c r="H3548">
        <v>69685</v>
      </c>
      <c r="I3548">
        <v>7426</v>
      </c>
      <c r="J3548">
        <v>77111</v>
      </c>
      <c r="K3548" t="b">
        <f>TrafficData[[#This Row],[disposedChallan]]+TrafficData[[#This Row],[pendingChallan]]=TrafficData[[#This Row],[totalChallan]]</f>
        <v>1</v>
      </c>
      <c r="L3548" t="b">
        <f>TrafficData[[#This Row],[pendingAmount]]+TrafficData[[#This Row],[disposedAmount]]=TrafficData[[#This Row],[totalAmount]]</f>
        <v>1</v>
      </c>
      <c r="M3548" t="b">
        <f>TrafficData[[#This Row],[pendingCourt]]+TrafficData[[#This Row],[disposedCourt]]=TrafficData[[#This Row],[totalCourt]]</f>
        <v>1</v>
      </c>
      <c r="N3548" s="8" t="b">
        <f>AND(TrafficData[[#This Row],[disposedChallan]]&lt;=TrafficData[[#This Row],[totalChallan]],TrafficData[[#This Row],[pendingChallan]]&lt;=TrafficData[[#This Row],[totalChallan]])</f>
        <v>1</v>
      </c>
      <c r="O3548" s="8" t="b">
        <f>AND(TrafficData[[#This Row],[pendingAmount]]&lt;=TrafficData[[#This Row],[totalAmount]],TrafficData[[#This Row],[disposedAmount]]&lt;=TrafficData[[#This Row],[totalAmount]])</f>
        <v>1</v>
      </c>
      <c r="P3548" s="8" t="b">
        <f>AND(TrafficData[[#This Row],[pendingCourt]]&lt;=TrafficData[[#This Row],[totalCourt]],TrafficData[[#This Row],[disposedCourt]]&lt;=TrafficData[[#This Row],[totalCourt]])</f>
        <v>1</v>
      </c>
    </row>
    <row r="3549" spans="1:16">
      <c r="A3549" s="1">
        <v>45553</v>
      </c>
      <c r="B3549">
        <v>211485</v>
      </c>
      <c r="C3549">
        <v>67500</v>
      </c>
      <c r="D3549">
        <v>143985</v>
      </c>
      <c r="E3549">
        <v>225958087</v>
      </c>
      <c r="F3549">
        <v>110901567</v>
      </c>
      <c r="G3549">
        <v>336859654</v>
      </c>
      <c r="H3549">
        <v>71893</v>
      </c>
      <c r="I3549">
        <v>7900</v>
      </c>
      <c r="J3549">
        <v>79793</v>
      </c>
      <c r="K3549" t="b">
        <f>TrafficData[[#This Row],[disposedChallan]]+TrafficData[[#This Row],[pendingChallan]]=TrafficData[[#This Row],[totalChallan]]</f>
        <v>1</v>
      </c>
      <c r="L3549" t="b">
        <f>TrafficData[[#This Row],[pendingAmount]]+TrafficData[[#This Row],[disposedAmount]]=TrafficData[[#This Row],[totalAmount]]</f>
        <v>1</v>
      </c>
      <c r="M3549" t="b">
        <f>TrafficData[[#This Row],[pendingCourt]]+TrafficData[[#This Row],[disposedCourt]]=TrafficData[[#This Row],[totalCourt]]</f>
        <v>1</v>
      </c>
      <c r="N3549" s="8" t="b">
        <f>AND(TrafficData[[#This Row],[disposedChallan]]&lt;=TrafficData[[#This Row],[totalChallan]],TrafficData[[#This Row],[pendingChallan]]&lt;=TrafficData[[#This Row],[totalChallan]])</f>
        <v>1</v>
      </c>
      <c r="O3549" s="8" t="b">
        <f>AND(TrafficData[[#This Row],[pendingAmount]]&lt;=TrafficData[[#This Row],[totalAmount]],TrafficData[[#This Row],[disposedAmount]]&lt;=TrafficData[[#This Row],[totalAmount]])</f>
        <v>1</v>
      </c>
      <c r="P3549" s="8" t="b">
        <f>AND(TrafficData[[#This Row],[pendingCourt]]&lt;=TrafficData[[#This Row],[totalCourt]],TrafficData[[#This Row],[disposedCourt]]&lt;=TrafficData[[#This Row],[totalCourt]])</f>
        <v>1</v>
      </c>
    </row>
    <row r="3550" spans="1:16">
      <c r="A3550" s="1">
        <v>45554</v>
      </c>
      <c r="B3550">
        <v>243377</v>
      </c>
      <c r="C3550">
        <v>74302</v>
      </c>
      <c r="D3550">
        <v>169075</v>
      </c>
      <c r="E3550">
        <v>269856335</v>
      </c>
      <c r="F3550">
        <v>122537465</v>
      </c>
      <c r="G3550">
        <v>392393800</v>
      </c>
      <c r="H3550">
        <v>92252</v>
      </c>
      <c r="I3550">
        <v>9452</v>
      </c>
      <c r="J3550">
        <v>101704</v>
      </c>
      <c r="K3550" t="b">
        <f>TrafficData[[#This Row],[disposedChallan]]+TrafficData[[#This Row],[pendingChallan]]=TrafficData[[#This Row],[totalChallan]]</f>
        <v>1</v>
      </c>
      <c r="L3550" t="b">
        <f>TrafficData[[#This Row],[pendingAmount]]+TrafficData[[#This Row],[disposedAmount]]=TrafficData[[#This Row],[totalAmount]]</f>
        <v>1</v>
      </c>
      <c r="M3550" t="b">
        <f>TrafficData[[#This Row],[pendingCourt]]+TrafficData[[#This Row],[disposedCourt]]=TrafficData[[#This Row],[totalCourt]]</f>
        <v>1</v>
      </c>
      <c r="N3550" s="8" t="b">
        <f>AND(TrafficData[[#This Row],[disposedChallan]]&lt;=TrafficData[[#This Row],[totalChallan]],TrafficData[[#This Row],[pendingChallan]]&lt;=TrafficData[[#This Row],[totalChallan]])</f>
        <v>1</v>
      </c>
      <c r="O3550" s="8" t="b">
        <f>AND(TrafficData[[#This Row],[pendingAmount]]&lt;=TrafficData[[#This Row],[totalAmount]],TrafficData[[#This Row],[disposedAmount]]&lt;=TrafficData[[#This Row],[totalAmount]])</f>
        <v>1</v>
      </c>
      <c r="P3550" s="8" t="b">
        <f>AND(TrafficData[[#This Row],[pendingCourt]]&lt;=TrafficData[[#This Row],[totalCourt]],TrafficData[[#This Row],[disposedCourt]]&lt;=TrafficData[[#This Row],[totalCourt]])</f>
        <v>1</v>
      </c>
    </row>
    <row r="3551" spans="1:16">
      <c r="A3551" s="1">
        <v>45555</v>
      </c>
      <c r="B3551">
        <v>245315</v>
      </c>
      <c r="C3551">
        <v>74547</v>
      </c>
      <c r="D3551">
        <v>170768</v>
      </c>
      <c r="E3551">
        <v>274962423</v>
      </c>
      <c r="F3551">
        <v>125729795</v>
      </c>
      <c r="G3551">
        <v>400692218</v>
      </c>
      <c r="H3551">
        <v>91953</v>
      </c>
      <c r="I3551">
        <v>9210</v>
      </c>
      <c r="J3551">
        <v>101163</v>
      </c>
      <c r="K3551" t="b">
        <f>TrafficData[[#This Row],[disposedChallan]]+TrafficData[[#This Row],[pendingChallan]]=TrafficData[[#This Row],[totalChallan]]</f>
        <v>1</v>
      </c>
      <c r="L3551" t="b">
        <f>TrafficData[[#This Row],[pendingAmount]]+TrafficData[[#This Row],[disposedAmount]]=TrafficData[[#This Row],[totalAmount]]</f>
        <v>1</v>
      </c>
      <c r="M3551" t="b">
        <f>TrafficData[[#This Row],[pendingCourt]]+TrafficData[[#This Row],[disposedCourt]]=TrafficData[[#This Row],[totalCourt]]</f>
        <v>1</v>
      </c>
      <c r="N3551" s="8" t="b">
        <f>AND(TrafficData[[#This Row],[disposedChallan]]&lt;=TrafficData[[#This Row],[totalChallan]],TrafficData[[#This Row],[pendingChallan]]&lt;=TrafficData[[#This Row],[totalChallan]])</f>
        <v>1</v>
      </c>
      <c r="O3551" s="8" t="b">
        <f>AND(TrafficData[[#This Row],[pendingAmount]]&lt;=TrafficData[[#This Row],[totalAmount]],TrafficData[[#This Row],[disposedAmount]]&lt;=TrafficData[[#This Row],[totalAmount]])</f>
        <v>1</v>
      </c>
      <c r="P3551" s="8" t="b">
        <f>AND(TrafficData[[#This Row],[pendingCourt]]&lt;=TrafficData[[#This Row],[totalCourt]],TrafficData[[#This Row],[disposedCourt]]&lt;=TrafficData[[#This Row],[totalCourt]])</f>
        <v>1</v>
      </c>
    </row>
    <row r="3552" spans="1:16">
      <c r="A3552" s="1">
        <v>45556</v>
      </c>
      <c r="B3552">
        <v>240737</v>
      </c>
      <c r="C3552">
        <v>75669</v>
      </c>
      <c r="D3552">
        <v>165068</v>
      </c>
      <c r="E3552">
        <v>255068290</v>
      </c>
      <c r="F3552">
        <v>107753399</v>
      </c>
      <c r="G3552">
        <v>362821689</v>
      </c>
      <c r="H3552">
        <v>76374</v>
      </c>
      <c r="I3552">
        <v>8302</v>
      </c>
      <c r="J3552">
        <v>84676</v>
      </c>
      <c r="K3552" t="b">
        <f>TrafficData[[#This Row],[disposedChallan]]+TrafficData[[#This Row],[pendingChallan]]=TrafficData[[#This Row],[totalChallan]]</f>
        <v>1</v>
      </c>
      <c r="L3552" t="b">
        <f>TrafficData[[#This Row],[pendingAmount]]+TrafficData[[#This Row],[disposedAmount]]=TrafficData[[#This Row],[totalAmount]]</f>
        <v>1</v>
      </c>
      <c r="M3552" t="b">
        <f>TrafficData[[#This Row],[pendingCourt]]+TrafficData[[#This Row],[disposedCourt]]=TrafficData[[#This Row],[totalCourt]]</f>
        <v>1</v>
      </c>
      <c r="N3552" s="8" t="b">
        <f>AND(TrafficData[[#This Row],[disposedChallan]]&lt;=TrafficData[[#This Row],[totalChallan]],TrafficData[[#This Row],[pendingChallan]]&lt;=TrafficData[[#This Row],[totalChallan]])</f>
        <v>1</v>
      </c>
      <c r="O3552" s="8" t="b">
        <f>AND(TrafficData[[#This Row],[pendingAmount]]&lt;=TrafficData[[#This Row],[totalAmount]],TrafficData[[#This Row],[disposedAmount]]&lt;=TrafficData[[#This Row],[totalAmount]])</f>
        <v>1</v>
      </c>
      <c r="P3552" s="8" t="b">
        <f>AND(TrafficData[[#This Row],[pendingCourt]]&lt;=TrafficData[[#This Row],[totalCourt]],TrafficData[[#This Row],[disposedCourt]]&lt;=TrafficData[[#This Row],[totalCourt]])</f>
        <v>1</v>
      </c>
    </row>
    <row r="3553" spans="1:16">
      <c r="A3553" s="1">
        <v>45557</v>
      </c>
      <c r="B3553">
        <v>222967</v>
      </c>
      <c r="C3553">
        <v>68196</v>
      </c>
      <c r="D3553">
        <v>154771</v>
      </c>
      <c r="E3553">
        <v>233444792</v>
      </c>
      <c r="F3553">
        <v>87347190</v>
      </c>
      <c r="G3553">
        <v>320791982</v>
      </c>
      <c r="H3553">
        <v>82656</v>
      </c>
      <c r="I3553">
        <v>8010</v>
      </c>
      <c r="J3553">
        <v>90666</v>
      </c>
      <c r="K3553" t="b">
        <f>TrafficData[[#This Row],[disposedChallan]]+TrafficData[[#This Row],[pendingChallan]]=TrafficData[[#This Row],[totalChallan]]</f>
        <v>1</v>
      </c>
      <c r="L3553" t="b">
        <f>TrafficData[[#This Row],[pendingAmount]]+TrafficData[[#This Row],[disposedAmount]]=TrafficData[[#This Row],[totalAmount]]</f>
        <v>1</v>
      </c>
      <c r="M3553" t="b">
        <f>TrafficData[[#This Row],[pendingCourt]]+TrafficData[[#This Row],[disposedCourt]]=TrafficData[[#This Row],[totalCourt]]</f>
        <v>1</v>
      </c>
      <c r="N3553" s="8" t="b">
        <f>AND(TrafficData[[#This Row],[disposedChallan]]&lt;=TrafficData[[#This Row],[totalChallan]],TrafficData[[#This Row],[pendingChallan]]&lt;=TrafficData[[#This Row],[totalChallan]])</f>
        <v>1</v>
      </c>
      <c r="O3553" s="8" t="b">
        <f>AND(TrafficData[[#This Row],[pendingAmount]]&lt;=TrafficData[[#This Row],[totalAmount]],TrafficData[[#This Row],[disposedAmount]]&lt;=TrafficData[[#This Row],[totalAmount]])</f>
        <v>1</v>
      </c>
      <c r="P3553" s="8" t="b">
        <f>AND(TrafficData[[#This Row],[pendingCourt]]&lt;=TrafficData[[#This Row],[totalCourt]],TrafficData[[#This Row],[disposedCourt]]&lt;=TrafficData[[#This Row],[totalCourt]])</f>
        <v>1</v>
      </c>
    </row>
    <row r="3554" spans="1:16">
      <c r="A3554" s="1">
        <v>45558</v>
      </c>
      <c r="B3554">
        <v>239364</v>
      </c>
      <c r="C3554">
        <v>74093</v>
      </c>
      <c r="D3554">
        <v>165271</v>
      </c>
      <c r="E3554">
        <v>273100245</v>
      </c>
      <c r="F3554">
        <v>104833641</v>
      </c>
      <c r="G3554">
        <v>377933886</v>
      </c>
      <c r="H3554">
        <v>77032</v>
      </c>
      <c r="I3554">
        <v>9468</v>
      </c>
      <c r="J3554">
        <v>86500</v>
      </c>
      <c r="K3554" t="b">
        <f>TrafficData[[#This Row],[disposedChallan]]+TrafficData[[#This Row],[pendingChallan]]=TrafficData[[#This Row],[totalChallan]]</f>
        <v>1</v>
      </c>
      <c r="L3554" t="b">
        <f>TrafficData[[#This Row],[pendingAmount]]+TrafficData[[#This Row],[disposedAmount]]=TrafficData[[#This Row],[totalAmount]]</f>
        <v>1</v>
      </c>
      <c r="M3554" t="b">
        <f>TrafficData[[#This Row],[pendingCourt]]+TrafficData[[#This Row],[disposedCourt]]=TrafficData[[#This Row],[totalCourt]]</f>
        <v>1</v>
      </c>
      <c r="N3554" s="8" t="b">
        <f>AND(TrafficData[[#This Row],[disposedChallan]]&lt;=TrafficData[[#This Row],[totalChallan]],TrafficData[[#This Row],[pendingChallan]]&lt;=TrafficData[[#This Row],[totalChallan]])</f>
        <v>1</v>
      </c>
      <c r="O3554" s="8" t="b">
        <f>AND(TrafficData[[#This Row],[pendingAmount]]&lt;=TrafficData[[#This Row],[totalAmount]],TrafficData[[#This Row],[disposedAmount]]&lt;=TrafficData[[#This Row],[totalAmount]])</f>
        <v>1</v>
      </c>
      <c r="P3554" s="8" t="b">
        <f>AND(TrafficData[[#This Row],[pendingCourt]]&lt;=TrafficData[[#This Row],[totalCourt]],TrafficData[[#This Row],[disposedCourt]]&lt;=TrafficData[[#This Row],[totalCourt]])</f>
        <v>1</v>
      </c>
    </row>
    <row r="3555" spans="1:16">
      <c r="A3555" s="1">
        <v>45559</v>
      </c>
      <c r="B3555">
        <v>238259</v>
      </c>
      <c r="C3555">
        <v>73161</v>
      </c>
      <c r="D3555">
        <v>165098</v>
      </c>
      <c r="E3555">
        <v>273910126</v>
      </c>
      <c r="F3555">
        <v>117725546</v>
      </c>
      <c r="G3555">
        <v>391635672</v>
      </c>
      <c r="H3555">
        <v>87487</v>
      </c>
      <c r="I3555">
        <v>9174</v>
      </c>
      <c r="J3555">
        <v>96661</v>
      </c>
      <c r="K3555" t="b">
        <f>TrafficData[[#This Row],[disposedChallan]]+TrafficData[[#This Row],[pendingChallan]]=TrafficData[[#This Row],[totalChallan]]</f>
        <v>1</v>
      </c>
      <c r="L3555" t="b">
        <f>TrafficData[[#This Row],[pendingAmount]]+TrafficData[[#This Row],[disposedAmount]]=TrafficData[[#This Row],[totalAmount]]</f>
        <v>1</v>
      </c>
      <c r="M3555" t="b">
        <f>TrafficData[[#This Row],[pendingCourt]]+TrafficData[[#This Row],[disposedCourt]]=TrafficData[[#This Row],[totalCourt]]</f>
        <v>1</v>
      </c>
      <c r="N3555" s="8" t="b">
        <f>AND(TrafficData[[#This Row],[disposedChallan]]&lt;=TrafficData[[#This Row],[totalChallan]],TrafficData[[#This Row],[pendingChallan]]&lt;=TrafficData[[#This Row],[totalChallan]])</f>
        <v>1</v>
      </c>
      <c r="O3555" s="8" t="b">
        <f>AND(TrafficData[[#This Row],[pendingAmount]]&lt;=TrafficData[[#This Row],[totalAmount]],TrafficData[[#This Row],[disposedAmount]]&lt;=TrafficData[[#This Row],[totalAmount]])</f>
        <v>1</v>
      </c>
      <c r="P3555" s="8" t="b">
        <f>AND(TrafficData[[#This Row],[pendingCourt]]&lt;=TrafficData[[#This Row],[totalCourt]],TrafficData[[#This Row],[disposedCourt]]&lt;=TrafficData[[#This Row],[totalCourt]])</f>
        <v>1</v>
      </c>
    </row>
    <row r="3556" spans="1:16">
      <c r="A3556" s="1">
        <v>45560</v>
      </c>
      <c r="B3556">
        <v>231894</v>
      </c>
      <c r="C3556">
        <v>72388</v>
      </c>
      <c r="D3556">
        <v>159506</v>
      </c>
      <c r="E3556">
        <v>270346858</v>
      </c>
      <c r="F3556">
        <v>116216084</v>
      </c>
      <c r="G3556">
        <v>386562942</v>
      </c>
      <c r="H3556">
        <v>83905</v>
      </c>
      <c r="I3556">
        <v>8664</v>
      </c>
      <c r="J3556">
        <v>92569</v>
      </c>
      <c r="K3556" t="b">
        <f>TrafficData[[#This Row],[disposedChallan]]+TrafficData[[#This Row],[pendingChallan]]=TrafficData[[#This Row],[totalChallan]]</f>
        <v>1</v>
      </c>
      <c r="L3556" t="b">
        <f>TrafficData[[#This Row],[pendingAmount]]+TrafficData[[#This Row],[disposedAmount]]=TrafficData[[#This Row],[totalAmount]]</f>
        <v>1</v>
      </c>
      <c r="M3556" t="b">
        <f>TrafficData[[#This Row],[pendingCourt]]+TrafficData[[#This Row],[disposedCourt]]=TrafficData[[#This Row],[totalCourt]]</f>
        <v>1</v>
      </c>
      <c r="N3556" s="8" t="b">
        <f>AND(TrafficData[[#This Row],[disposedChallan]]&lt;=TrafficData[[#This Row],[totalChallan]],TrafficData[[#This Row],[pendingChallan]]&lt;=TrafficData[[#This Row],[totalChallan]])</f>
        <v>1</v>
      </c>
      <c r="O3556" s="8" t="b">
        <f>AND(TrafficData[[#This Row],[pendingAmount]]&lt;=TrafficData[[#This Row],[totalAmount]],TrafficData[[#This Row],[disposedAmount]]&lt;=TrafficData[[#This Row],[totalAmount]])</f>
        <v>1</v>
      </c>
      <c r="P3556" s="8" t="b">
        <f>AND(TrafficData[[#This Row],[pendingCourt]]&lt;=TrafficData[[#This Row],[totalCourt]],TrafficData[[#This Row],[disposedCourt]]&lt;=TrafficData[[#This Row],[totalCourt]])</f>
        <v>1</v>
      </c>
    </row>
    <row r="3557" spans="1:16">
      <c r="A3557" s="1">
        <v>45561</v>
      </c>
      <c r="B3557">
        <v>226225</v>
      </c>
      <c r="C3557">
        <v>70701</v>
      </c>
      <c r="D3557">
        <v>155524</v>
      </c>
      <c r="E3557">
        <v>255947956</v>
      </c>
      <c r="F3557">
        <v>106835007</v>
      </c>
      <c r="G3557">
        <v>362782963</v>
      </c>
      <c r="H3557">
        <v>78505</v>
      </c>
      <c r="I3557">
        <v>8727</v>
      </c>
      <c r="J3557">
        <v>87232</v>
      </c>
      <c r="K3557" t="b">
        <f>TrafficData[[#This Row],[disposedChallan]]+TrafficData[[#This Row],[pendingChallan]]=TrafficData[[#This Row],[totalChallan]]</f>
        <v>1</v>
      </c>
      <c r="L3557" t="b">
        <f>TrafficData[[#This Row],[pendingAmount]]+TrafficData[[#This Row],[disposedAmount]]=TrafficData[[#This Row],[totalAmount]]</f>
        <v>1</v>
      </c>
      <c r="M3557" t="b">
        <f>TrafficData[[#This Row],[pendingCourt]]+TrafficData[[#This Row],[disposedCourt]]=TrafficData[[#This Row],[totalCourt]]</f>
        <v>1</v>
      </c>
      <c r="N3557" s="8" t="b">
        <f>AND(TrafficData[[#This Row],[disposedChallan]]&lt;=TrafficData[[#This Row],[totalChallan]],TrafficData[[#This Row],[pendingChallan]]&lt;=TrafficData[[#This Row],[totalChallan]])</f>
        <v>1</v>
      </c>
      <c r="O3557" s="8" t="b">
        <f>AND(TrafficData[[#This Row],[pendingAmount]]&lt;=TrafficData[[#This Row],[totalAmount]],TrafficData[[#This Row],[disposedAmount]]&lt;=TrafficData[[#This Row],[totalAmount]])</f>
        <v>1</v>
      </c>
      <c r="P3557" s="8" t="b">
        <f>AND(TrafficData[[#This Row],[pendingCourt]]&lt;=TrafficData[[#This Row],[totalCourt]],TrafficData[[#This Row],[disposedCourt]]&lt;=TrafficData[[#This Row],[totalCourt]])</f>
        <v>1</v>
      </c>
    </row>
    <row r="3558" spans="1:16">
      <c r="A3558" s="1">
        <v>45562</v>
      </c>
      <c r="B3558">
        <v>225048</v>
      </c>
      <c r="C3558">
        <v>71040</v>
      </c>
      <c r="D3558">
        <v>154008</v>
      </c>
      <c r="E3558">
        <v>250576796</v>
      </c>
      <c r="F3558">
        <v>105880710</v>
      </c>
      <c r="G3558">
        <v>356457506</v>
      </c>
      <c r="H3558">
        <v>80437</v>
      </c>
      <c r="I3558">
        <v>9047</v>
      </c>
      <c r="J3558">
        <v>89484</v>
      </c>
      <c r="K3558" t="b">
        <f>TrafficData[[#This Row],[disposedChallan]]+TrafficData[[#This Row],[pendingChallan]]=TrafficData[[#This Row],[totalChallan]]</f>
        <v>1</v>
      </c>
      <c r="L3558" t="b">
        <f>TrafficData[[#This Row],[pendingAmount]]+TrafficData[[#This Row],[disposedAmount]]=TrafficData[[#This Row],[totalAmount]]</f>
        <v>1</v>
      </c>
      <c r="M3558" t="b">
        <f>TrafficData[[#This Row],[pendingCourt]]+TrafficData[[#This Row],[disposedCourt]]=TrafficData[[#This Row],[totalCourt]]</f>
        <v>1</v>
      </c>
      <c r="N3558" s="8" t="b">
        <f>AND(TrafficData[[#This Row],[disposedChallan]]&lt;=TrafficData[[#This Row],[totalChallan]],TrafficData[[#This Row],[pendingChallan]]&lt;=TrafficData[[#This Row],[totalChallan]])</f>
        <v>1</v>
      </c>
      <c r="O3558" s="8" t="b">
        <f>AND(TrafficData[[#This Row],[pendingAmount]]&lt;=TrafficData[[#This Row],[totalAmount]],TrafficData[[#This Row],[disposedAmount]]&lt;=TrafficData[[#This Row],[totalAmount]])</f>
        <v>1</v>
      </c>
      <c r="P3558" s="8" t="b">
        <f>AND(TrafficData[[#This Row],[pendingCourt]]&lt;=TrafficData[[#This Row],[totalCourt]],TrafficData[[#This Row],[disposedCourt]]&lt;=TrafficData[[#This Row],[totalCourt]])</f>
        <v>1</v>
      </c>
    </row>
    <row r="3559" spans="1:16">
      <c r="A3559" s="1">
        <v>45563</v>
      </c>
      <c r="B3559">
        <v>230343</v>
      </c>
      <c r="C3559">
        <v>73696</v>
      </c>
      <c r="D3559">
        <v>156647</v>
      </c>
      <c r="E3559">
        <v>243505798</v>
      </c>
      <c r="F3559">
        <v>100528629</v>
      </c>
      <c r="G3559">
        <v>344034427</v>
      </c>
      <c r="H3559">
        <v>80156</v>
      </c>
      <c r="I3559">
        <v>9146</v>
      </c>
      <c r="J3559">
        <v>89302</v>
      </c>
      <c r="K3559" t="b">
        <f>TrafficData[[#This Row],[disposedChallan]]+TrafficData[[#This Row],[pendingChallan]]=TrafficData[[#This Row],[totalChallan]]</f>
        <v>1</v>
      </c>
      <c r="L3559" t="b">
        <f>TrafficData[[#This Row],[pendingAmount]]+TrafficData[[#This Row],[disposedAmount]]=TrafficData[[#This Row],[totalAmount]]</f>
        <v>1</v>
      </c>
      <c r="M3559" t="b">
        <f>TrafficData[[#This Row],[pendingCourt]]+TrafficData[[#This Row],[disposedCourt]]=TrafficData[[#This Row],[totalCourt]]</f>
        <v>1</v>
      </c>
      <c r="N3559" s="8" t="b">
        <f>AND(TrafficData[[#This Row],[disposedChallan]]&lt;=TrafficData[[#This Row],[totalChallan]],TrafficData[[#This Row],[pendingChallan]]&lt;=TrafficData[[#This Row],[totalChallan]])</f>
        <v>1</v>
      </c>
      <c r="O3559" s="8" t="b">
        <f>AND(TrafficData[[#This Row],[pendingAmount]]&lt;=TrafficData[[#This Row],[totalAmount]],TrafficData[[#This Row],[disposedAmount]]&lt;=TrafficData[[#This Row],[totalAmount]])</f>
        <v>1</v>
      </c>
      <c r="P3559" s="8" t="b">
        <f>AND(TrafficData[[#This Row],[pendingCourt]]&lt;=TrafficData[[#This Row],[totalCourt]],TrafficData[[#This Row],[disposedCourt]]&lt;=TrafficData[[#This Row],[totalCourt]])</f>
        <v>1</v>
      </c>
    </row>
    <row r="3560" spans="1:16">
      <c r="A3560" s="1">
        <v>45564</v>
      </c>
      <c r="B3560">
        <v>215589</v>
      </c>
      <c r="C3560">
        <v>67441</v>
      </c>
      <c r="D3560">
        <v>148148</v>
      </c>
      <c r="E3560">
        <v>218225436</v>
      </c>
      <c r="F3560">
        <v>82993160</v>
      </c>
      <c r="G3560">
        <v>301218596</v>
      </c>
      <c r="H3560">
        <v>76952</v>
      </c>
      <c r="I3560">
        <v>8062</v>
      </c>
      <c r="J3560">
        <v>85014</v>
      </c>
      <c r="K3560" t="b">
        <f>TrafficData[[#This Row],[disposedChallan]]+TrafficData[[#This Row],[pendingChallan]]=TrafficData[[#This Row],[totalChallan]]</f>
        <v>1</v>
      </c>
      <c r="L3560" t="b">
        <f>TrafficData[[#This Row],[pendingAmount]]+TrafficData[[#This Row],[disposedAmount]]=TrafficData[[#This Row],[totalAmount]]</f>
        <v>1</v>
      </c>
      <c r="M3560" t="b">
        <f>TrafficData[[#This Row],[pendingCourt]]+TrafficData[[#This Row],[disposedCourt]]=TrafficData[[#This Row],[totalCourt]]</f>
        <v>1</v>
      </c>
      <c r="N3560" s="8" t="b">
        <f>AND(TrafficData[[#This Row],[disposedChallan]]&lt;=TrafficData[[#This Row],[totalChallan]],TrafficData[[#This Row],[pendingChallan]]&lt;=TrafficData[[#This Row],[totalChallan]])</f>
        <v>1</v>
      </c>
      <c r="O3560" s="8" t="b">
        <f>AND(TrafficData[[#This Row],[pendingAmount]]&lt;=TrafficData[[#This Row],[totalAmount]],TrafficData[[#This Row],[disposedAmount]]&lt;=TrafficData[[#This Row],[totalAmount]])</f>
        <v>1</v>
      </c>
      <c r="P3560" s="8" t="b">
        <f>AND(TrafficData[[#This Row],[pendingCourt]]&lt;=TrafficData[[#This Row],[totalCourt]],TrafficData[[#This Row],[disposedCourt]]&lt;=TrafficData[[#This Row],[totalCourt]])</f>
        <v>1</v>
      </c>
    </row>
    <row r="3561" spans="1:16">
      <c r="A3561" s="1">
        <v>45565</v>
      </c>
      <c r="B3561">
        <v>233813</v>
      </c>
      <c r="C3561">
        <v>73132</v>
      </c>
      <c r="D3561">
        <v>160681</v>
      </c>
      <c r="E3561">
        <v>253465664</v>
      </c>
      <c r="F3561">
        <v>99897849</v>
      </c>
      <c r="G3561">
        <v>353363513</v>
      </c>
      <c r="H3561">
        <v>86147</v>
      </c>
      <c r="I3561">
        <v>8830</v>
      </c>
      <c r="J3561">
        <v>94977</v>
      </c>
      <c r="K3561" t="b">
        <f>TrafficData[[#This Row],[disposedChallan]]+TrafficData[[#This Row],[pendingChallan]]=TrafficData[[#This Row],[totalChallan]]</f>
        <v>1</v>
      </c>
      <c r="L3561" t="b">
        <f>TrafficData[[#This Row],[pendingAmount]]+TrafficData[[#This Row],[disposedAmount]]=TrafficData[[#This Row],[totalAmount]]</f>
        <v>1</v>
      </c>
      <c r="M3561" t="b">
        <f>TrafficData[[#This Row],[pendingCourt]]+TrafficData[[#This Row],[disposedCourt]]=TrafficData[[#This Row],[totalCourt]]</f>
        <v>1</v>
      </c>
      <c r="N3561" s="8" t="b">
        <f>AND(TrafficData[[#This Row],[disposedChallan]]&lt;=TrafficData[[#This Row],[totalChallan]],TrafficData[[#This Row],[pendingChallan]]&lt;=TrafficData[[#This Row],[totalChallan]])</f>
        <v>1</v>
      </c>
      <c r="O3561" s="8" t="b">
        <f>AND(TrafficData[[#This Row],[pendingAmount]]&lt;=TrafficData[[#This Row],[totalAmount]],TrafficData[[#This Row],[disposedAmount]]&lt;=TrafficData[[#This Row],[totalAmount]])</f>
        <v>1</v>
      </c>
      <c r="P3561" s="8" t="b">
        <f>AND(TrafficData[[#This Row],[pendingCourt]]&lt;=TrafficData[[#This Row],[totalCourt]],TrafficData[[#This Row],[disposedCourt]]&lt;=TrafficData[[#This Row],[totalCourt]])</f>
        <v>1</v>
      </c>
    </row>
    <row r="3562" spans="1:16">
      <c r="A3562" s="1">
        <v>45566</v>
      </c>
      <c r="B3562">
        <v>221005</v>
      </c>
      <c r="C3562">
        <v>68019</v>
      </c>
      <c r="D3562">
        <v>152986</v>
      </c>
      <c r="E3562">
        <v>245216897</v>
      </c>
      <c r="F3562">
        <v>108075719</v>
      </c>
      <c r="G3562">
        <v>353292616</v>
      </c>
      <c r="H3562">
        <v>84855</v>
      </c>
      <c r="I3562">
        <v>9377</v>
      </c>
      <c r="J3562">
        <v>94232</v>
      </c>
      <c r="K3562" t="b">
        <f>TrafficData[[#This Row],[disposedChallan]]+TrafficData[[#This Row],[pendingChallan]]=TrafficData[[#This Row],[totalChallan]]</f>
        <v>1</v>
      </c>
      <c r="L3562" t="b">
        <f>TrafficData[[#This Row],[pendingAmount]]+TrafficData[[#This Row],[disposedAmount]]=TrafficData[[#This Row],[totalAmount]]</f>
        <v>1</v>
      </c>
      <c r="M3562" t="b">
        <f>TrafficData[[#This Row],[pendingCourt]]+TrafficData[[#This Row],[disposedCourt]]=TrafficData[[#This Row],[totalCourt]]</f>
        <v>1</v>
      </c>
      <c r="N3562" s="8" t="b">
        <f>AND(TrafficData[[#This Row],[disposedChallan]]&lt;=TrafficData[[#This Row],[totalChallan]],TrafficData[[#This Row],[pendingChallan]]&lt;=TrafficData[[#This Row],[totalChallan]])</f>
        <v>1</v>
      </c>
      <c r="O3562" s="8" t="b">
        <f>AND(TrafficData[[#This Row],[pendingAmount]]&lt;=TrafficData[[#This Row],[totalAmount]],TrafficData[[#This Row],[disposedAmount]]&lt;=TrafficData[[#This Row],[totalAmount]])</f>
        <v>1</v>
      </c>
      <c r="P3562" s="8" t="b">
        <f>AND(TrafficData[[#This Row],[pendingCourt]]&lt;=TrafficData[[#This Row],[totalCourt]],TrafficData[[#This Row],[disposedCourt]]&lt;=TrafficData[[#This Row],[totalCourt]])</f>
        <v>1</v>
      </c>
    </row>
    <row r="3563" spans="1:16">
      <c r="A3563" s="1">
        <v>45567</v>
      </c>
      <c r="B3563">
        <v>224189</v>
      </c>
      <c r="C3563">
        <v>72773</v>
      </c>
      <c r="D3563">
        <v>151416</v>
      </c>
      <c r="E3563">
        <v>243271460</v>
      </c>
      <c r="F3563">
        <v>103656189</v>
      </c>
      <c r="G3563">
        <v>346927649</v>
      </c>
      <c r="H3563">
        <v>81893</v>
      </c>
      <c r="I3563">
        <v>8959</v>
      </c>
      <c r="J3563">
        <v>90852</v>
      </c>
      <c r="K3563" t="b">
        <f>TrafficData[[#This Row],[disposedChallan]]+TrafficData[[#This Row],[pendingChallan]]=TrafficData[[#This Row],[totalChallan]]</f>
        <v>1</v>
      </c>
      <c r="L3563" t="b">
        <f>TrafficData[[#This Row],[pendingAmount]]+TrafficData[[#This Row],[disposedAmount]]=TrafficData[[#This Row],[totalAmount]]</f>
        <v>1</v>
      </c>
      <c r="M3563" t="b">
        <f>TrafficData[[#This Row],[pendingCourt]]+TrafficData[[#This Row],[disposedCourt]]=TrafficData[[#This Row],[totalCourt]]</f>
        <v>1</v>
      </c>
      <c r="N3563" s="8" t="b">
        <f>AND(TrafficData[[#This Row],[disposedChallan]]&lt;=TrafficData[[#This Row],[totalChallan]],TrafficData[[#This Row],[pendingChallan]]&lt;=TrafficData[[#This Row],[totalChallan]])</f>
        <v>1</v>
      </c>
      <c r="O3563" s="8" t="b">
        <f>AND(TrafficData[[#This Row],[pendingAmount]]&lt;=TrafficData[[#This Row],[totalAmount]],TrafficData[[#This Row],[disposedAmount]]&lt;=TrafficData[[#This Row],[totalAmount]])</f>
        <v>1</v>
      </c>
      <c r="P3563" s="8" t="b">
        <f>AND(TrafficData[[#This Row],[pendingCourt]]&lt;=TrafficData[[#This Row],[totalCourt]],TrafficData[[#This Row],[disposedCourt]]&lt;=TrafficData[[#This Row],[totalCourt]])</f>
        <v>1</v>
      </c>
    </row>
    <row r="3564" spans="1:16">
      <c r="A3564" s="1">
        <v>45568</v>
      </c>
      <c r="B3564">
        <v>243884</v>
      </c>
      <c r="C3564">
        <v>72085</v>
      </c>
      <c r="D3564">
        <v>171799</v>
      </c>
      <c r="E3564">
        <v>285517172</v>
      </c>
      <c r="F3564">
        <v>115998676</v>
      </c>
      <c r="G3564">
        <v>401515848</v>
      </c>
      <c r="H3564">
        <v>85718</v>
      </c>
      <c r="I3564">
        <v>9339</v>
      </c>
      <c r="J3564">
        <v>95057</v>
      </c>
      <c r="K3564" t="b">
        <f>TrafficData[[#This Row],[disposedChallan]]+TrafficData[[#This Row],[pendingChallan]]=TrafficData[[#This Row],[totalChallan]]</f>
        <v>1</v>
      </c>
      <c r="L3564" t="b">
        <f>TrafficData[[#This Row],[pendingAmount]]+TrafficData[[#This Row],[disposedAmount]]=TrafficData[[#This Row],[totalAmount]]</f>
        <v>1</v>
      </c>
      <c r="M3564" t="b">
        <f>TrafficData[[#This Row],[pendingCourt]]+TrafficData[[#This Row],[disposedCourt]]=TrafficData[[#This Row],[totalCourt]]</f>
        <v>1</v>
      </c>
      <c r="N3564" s="8" t="b">
        <f>AND(TrafficData[[#This Row],[disposedChallan]]&lt;=TrafficData[[#This Row],[totalChallan]],TrafficData[[#This Row],[pendingChallan]]&lt;=TrafficData[[#This Row],[totalChallan]])</f>
        <v>1</v>
      </c>
      <c r="O3564" s="8" t="b">
        <f>AND(TrafficData[[#This Row],[pendingAmount]]&lt;=TrafficData[[#This Row],[totalAmount]],TrafficData[[#This Row],[disposedAmount]]&lt;=TrafficData[[#This Row],[totalAmount]])</f>
        <v>1</v>
      </c>
      <c r="P3564" s="8" t="b">
        <f>AND(TrafficData[[#This Row],[pendingCourt]]&lt;=TrafficData[[#This Row],[totalCourt]],TrafficData[[#This Row],[disposedCourt]]&lt;=TrafficData[[#This Row],[totalCourt]])</f>
        <v>1</v>
      </c>
    </row>
    <row r="3565" spans="1:16">
      <c r="A3565" s="1">
        <v>45569</v>
      </c>
      <c r="B3565">
        <v>253179</v>
      </c>
      <c r="C3565">
        <v>75759</v>
      </c>
      <c r="D3565">
        <v>177420</v>
      </c>
      <c r="E3565">
        <v>295586770</v>
      </c>
      <c r="F3565">
        <v>125253109</v>
      </c>
      <c r="G3565">
        <v>420839879</v>
      </c>
      <c r="H3565">
        <v>92406</v>
      </c>
      <c r="I3565">
        <v>10129</v>
      </c>
      <c r="J3565">
        <v>102535</v>
      </c>
      <c r="K3565" t="b">
        <f>TrafficData[[#This Row],[disposedChallan]]+TrafficData[[#This Row],[pendingChallan]]=TrafficData[[#This Row],[totalChallan]]</f>
        <v>1</v>
      </c>
      <c r="L3565" t="b">
        <f>TrafficData[[#This Row],[pendingAmount]]+TrafficData[[#This Row],[disposedAmount]]=TrafficData[[#This Row],[totalAmount]]</f>
        <v>1</v>
      </c>
      <c r="M3565" t="b">
        <f>TrafficData[[#This Row],[pendingCourt]]+TrafficData[[#This Row],[disposedCourt]]=TrafficData[[#This Row],[totalCourt]]</f>
        <v>1</v>
      </c>
      <c r="N3565" s="8" t="b">
        <f>AND(TrafficData[[#This Row],[disposedChallan]]&lt;=TrafficData[[#This Row],[totalChallan]],TrafficData[[#This Row],[pendingChallan]]&lt;=TrafficData[[#This Row],[totalChallan]])</f>
        <v>1</v>
      </c>
      <c r="O3565" s="8" t="b">
        <f>AND(TrafficData[[#This Row],[pendingAmount]]&lt;=TrafficData[[#This Row],[totalAmount]],TrafficData[[#This Row],[disposedAmount]]&lt;=TrafficData[[#This Row],[totalAmount]])</f>
        <v>1</v>
      </c>
      <c r="P3565" s="8" t="b">
        <f>AND(TrafficData[[#This Row],[pendingCourt]]&lt;=TrafficData[[#This Row],[totalCourt]],TrafficData[[#This Row],[disposedCourt]]&lt;=TrafficData[[#This Row],[totalCourt]])</f>
        <v>1</v>
      </c>
    </row>
    <row r="3566" spans="1:16">
      <c r="A3566" s="1">
        <v>45570</v>
      </c>
      <c r="B3566">
        <v>246858</v>
      </c>
      <c r="C3566">
        <v>76445</v>
      </c>
      <c r="D3566">
        <v>170413</v>
      </c>
      <c r="E3566">
        <v>281731428</v>
      </c>
      <c r="F3566">
        <v>119896963</v>
      </c>
      <c r="G3566">
        <v>401628391</v>
      </c>
      <c r="H3566">
        <v>89099</v>
      </c>
      <c r="I3566">
        <v>9375</v>
      </c>
      <c r="J3566">
        <v>98474</v>
      </c>
      <c r="K3566" t="b">
        <f>TrafficData[[#This Row],[disposedChallan]]+TrafficData[[#This Row],[pendingChallan]]=TrafficData[[#This Row],[totalChallan]]</f>
        <v>1</v>
      </c>
      <c r="L3566" t="b">
        <f>TrafficData[[#This Row],[pendingAmount]]+TrafficData[[#This Row],[disposedAmount]]=TrafficData[[#This Row],[totalAmount]]</f>
        <v>1</v>
      </c>
      <c r="M3566" t="b">
        <f>TrafficData[[#This Row],[pendingCourt]]+TrafficData[[#This Row],[disposedCourt]]=TrafficData[[#This Row],[totalCourt]]</f>
        <v>1</v>
      </c>
      <c r="N3566" s="8" t="b">
        <f>AND(TrafficData[[#This Row],[disposedChallan]]&lt;=TrafficData[[#This Row],[totalChallan]],TrafficData[[#This Row],[pendingChallan]]&lt;=TrafficData[[#This Row],[totalChallan]])</f>
        <v>1</v>
      </c>
      <c r="O3566" s="8" t="b">
        <f>AND(TrafficData[[#This Row],[pendingAmount]]&lt;=TrafficData[[#This Row],[totalAmount]],TrafficData[[#This Row],[disposedAmount]]&lt;=TrafficData[[#This Row],[totalAmount]])</f>
        <v>1</v>
      </c>
      <c r="P3566" s="8" t="b">
        <f>AND(TrafficData[[#This Row],[pendingCourt]]&lt;=TrafficData[[#This Row],[totalCourt]],TrafficData[[#This Row],[disposedCourt]]&lt;=TrafficData[[#This Row],[totalCourt]])</f>
        <v>1</v>
      </c>
    </row>
    <row r="3567" spans="1:16">
      <c r="A3567" s="1">
        <v>45571</v>
      </c>
      <c r="B3567">
        <v>219152</v>
      </c>
      <c r="C3567">
        <v>66375</v>
      </c>
      <c r="D3567">
        <v>152777</v>
      </c>
      <c r="E3567">
        <v>235236243</v>
      </c>
      <c r="F3567">
        <v>91694270</v>
      </c>
      <c r="G3567">
        <v>326930513</v>
      </c>
      <c r="H3567">
        <v>80972</v>
      </c>
      <c r="I3567">
        <v>8582</v>
      </c>
      <c r="J3567">
        <v>89554</v>
      </c>
      <c r="K3567" t="b">
        <f>TrafficData[[#This Row],[disposedChallan]]+TrafficData[[#This Row],[pendingChallan]]=TrafficData[[#This Row],[totalChallan]]</f>
        <v>1</v>
      </c>
      <c r="L3567" t="b">
        <f>TrafficData[[#This Row],[pendingAmount]]+TrafficData[[#This Row],[disposedAmount]]=TrafficData[[#This Row],[totalAmount]]</f>
        <v>1</v>
      </c>
      <c r="M3567" t="b">
        <f>TrafficData[[#This Row],[pendingCourt]]+TrafficData[[#This Row],[disposedCourt]]=TrafficData[[#This Row],[totalCourt]]</f>
        <v>1</v>
      </c>
      <c r="N3567" s="8" t="b">
        <f>AND(TrafficData[[#This Row],[disposedChallan]]&lt;=TrafficData[[#This Row],[totalChallan]],TrafficData[[#This Row],[pendingChallan]]&lt;=TrafficData[[#This Row],[totalChallan]])</f>
        <v>1</v>
      </c>
      <c r="O3567" s="8" t="b">
        <f>AND(TrafficData[[#This Row],[pendingAmount]]&lt;=TrafficData[[#This Row],[totalAmount]],TrafficData[[#This Row],[disposedAmount]]&lt;=TrafficData[[#This Row],[totalAmount]])</f>
        <v>1</v>
      </c>
      <c r="P3567" s="8" t="b">
        <f>AND(TrafficData[[#This Row],[pendingCourt]]&lt;=TrafficData[[#This Row],[totalCourt]],TrafficData[[#This Row],[disposedCourt]]&lt;=TrafficData[[#This Row],[totalCourt]])</f>
        <v>1</v>
      </c>
    </row>
    <row r="3568" spans="1:16">
      <c r="A3568" s="1">
        <v>45572</v>
      </c>
      <c r="B3568">
        <v>250608</v>
      </c>
      <c r="C3568">
        <v>75651</v>
      </c>
      <c r="D3568">
        <v>174957</v>
      </c>
      <c r="E3568">
        <v>288423193</v>
      </c>
      <c r="F3568">
        <v>126105881</v>
      </c>
      <c r="G3568">
        <v>414529074</v>
      </c>
      <c r="H3568">
        <v>89876</v>
      </c>
      <c r="I3568">
        <v>9562</v>
      </c>
      <c r="J3568">
        <v>99438</v>
      </c>
      <c r="K3568" t="b">
        <f>TrafficData[[#This Row],[disposedChallan]]+TrafficData[[#This Row],[pendingChallan]]=TrafficData[[#This Row],[totalChallan]]</f>
        <v>1</v>
      </c>
      <c r="L3568" t="b">
        <f>TrafficData[[#This Row],[pendingAmount]]+TrafficData[[#This Row],[disposedAmount]]=TrafficData[[#This Row],[totalAmount]]</f>
        <v>1</v>
      </c>
      <c r="M3568" t="b">
        <f>TrafficData[[#This Row],[pendingCourt]]+TrafficData[[#This Row],[disposedCourt]]=TrafficData[[#This Row],[totalCourt]]</f>
        <v>1</v>
      </c>
      <c r="N3568" s="8" t="b">
        <f>AND(TrafficData[[#This Row],[disposedChallan]]&lt;=TrafficData[[#This Row],[totalChallan]],TrafficData[[#This Row],[pendingChallan]]&lt;=TrafficData[[#This Row],[totalChallan]])</f>
        <v>1</v>
      </c>
      <c r="O3568" s="8" t="b">
        <f>AND(TrafficData[[#This Row],[pendingAmount]]&lt;=TrafficData[[#This Row],[totalAmount]],TrafficData[[#This Row],[disposedAmount]]&lt;=TrafficData[[#This Row],[totalAmount]])</f>
        <v>1</v>
      </c>
      <c r="P3568" s="8" t="b">
        <f>AND(TrafficData[[#This Row],[pendingCourt]]&lt;=TrafficData[[#This Row],[totalCourt]],TrafficData[[#This Row],[disposedCourt]]&lt;=TrafficData[[#This Row],[totalCourt]])</f>
        <v>1</v>
      </c>
    </row>
    <row r="3569" spans="1:16">
      <c r="A3569" s="1">
        <v>45573</v>
      </c>
      <c r="B3569">
        <v>243070</v>
      </c>
      <c r="C3569">
        <v>74666</v>
      </c>
      <c r="D3569">
        <v>168404</v>
      </c>
      <c r="E3569">
        <v>288551903</v>
      </c>
      <c r="F3569">
        <v>130441618</v>
      </c>
      <c r="G3569">
        <v>418993521</v>
      </c>
      <c r="H3569">
        <v>87641</v>
      </c>
      <c r="I3569">
        <v>8724</v>
      </c>
      <c r="J3569">
        <v>96365</v>
      </c>
      <c r="K3569" t="b">
        <f>TrafficData[[#This Row],[disposedChallan]]+TrafficData[[#This Row],[pendingChallan]]=TrafficData[[#This Row],[totalChallan]]</f>
        <v>1</v>
      </c>
      <c r="L3569" t="b">
        <f>TrafficData[[#This Row],[pendingAmount]]+TrafficData[[#This Row],[disposedAmount]]=TrafficData[[#This Row],[totalAmount]]</f>
        <v>1</v>
      </c>
      <c r="M3569" t="b">
        <f>TrafficData[[#This Row],[pendingCourt]]+TrafficData[[#This Row],[disposedCourt]]=TrafficData[[#This Row],[totalCourt]]</f>
        <v>1</v>
      </c>
      <c r="N3569" s="8" t="b">
        <f>AND(TrafficData[[#This Row],[disposedChallan]]&lt;=TrafficData[[#This Row],[totalChallan]],TrafficData[[#This Row],[pendingChallan]]&lt;=TrafficData[[#This Row],[totalChallan]])</f>
        <v>1</v>
      </c>
      <c r="O3569" s="8" t="b">
        <f>AND(TrafficData[[#This Row],[pendingAmount]]&lt;=TrafficData[[#This Row],[totalAmount]],TrafficData[[#This Row],[disposedAmount]]&lt;=TrafficData[[#This Row],[totalAmount]])</f>
        <v>1</v>
      </c>
      <c r="P3569" s="8" t="b">
        <f>AND(TrafficData[[#This Row],[pendingCourt]]&lt;=TrafficData[[#This Row],[totalCourt]],TrafficData[[#This Row],[disposedCourt]]&lt;=TrafficData[[#This Row],[totalCourt]])</f>
        <v>1</v>
      </c>
    </row>
    <row r="3570" spans="1:16">
      <c r="A3570" s="1">
        <v>45574</v>
      </c>
      <c r="B3570">
        <v>245724</v>
      </c>
      <c r="C3570">
        <v>76301</v>
      </c>
      <c r="D3570">
        <v>169423</v>
      </c>
      <c r="E3570">
        <v>283460308</v>
      </c>
      <c r="F3570">
        <v>135100403</v>
      </c>
      <c r="G3570">
        <v>418560711</v>
      </c>
      <c r="H3570">
        <v>90020</v>
      </c>
      <c r="I3570">
        <v>9715</v>
      </c>
      <c r="J3570">
        <v>99735</v>
      </c>
      <c r="K3570" t="b">
        <f>TrafficData[[#This Row],[disposedChallan]]+TrafficData[[#This Row],[pendingChallan]]=TrafficData[[#This Row],[totalChallan]]</f>
        <v>1</v>
      </c>
      <c r="L3570" t="b">
        <f>TrafficData[[#This Row],[pendingAmount]]+TrafficData[[#This Row],[disposedAmount]]=TrafficData[[#This Row],[totalAmount]]</f>
        <v>1</v>
      </c>
      <c r="M3570" t="b">
        <f>TrafficData[[#This Row],[pendingCourt]]+TrafficData[[#This Row],[disposedCourt]]=TrafficData[[#This Row],[totalCourt]]</f>
        <v>1</v>
      </c>
      <c r="N3570" s="8" t="b">
        <f>AND(TrafficData[[#This Row],[disposedChallan]]&lt;=TrafficData[[#This Row],[totalChallan]],TrafficData[[#This Row],[pendingChallan]]&lt;=TrafficData[[#This Row],[totalChallan]])</f>
        <v>1</v>
      </c>
      <c r="O3570" s="8" t="b">
        <f>AND(TrafficData[[#This Row],[pendingAmount]]&lt;=TrafficData[[#This Row],[totalAmount]],TrafficData[[#This Row],[disposedAmount]]&lt;=TrafficData[[#This Row],[totalAmount]])</f>
        <v>1</v>
      </c>
      <c r="P3570" s="8" t="b">
        <f>AND(TrafficData[[#This Row],[pendingCourt]]&lt;=TrafficData[[#This Row],[totalCourt]],TrafficData[[#This Row],[disposedCourt]]&lt;=TrafficData[[#This Row],[totalCourt]])</f>
        <v>1</v>
      </c>
    </row>
    <row r="3571" spans="1:16">
      <c r="A3571" s="1">
        <v>45575</v>
      </c>
      <c r="B3571">
        <v>245970</v>
      </c>
      <c r="C3571">
        <v>76780</v>
      </c>
      <c r="D3571">
        <v>169190</v>
      </c>
      <c r="E3571">
        <v>287314376</v>
      </c>
      <c r="F3571">
        <v>129109117</v>
      </c>
      <c r="G3571">
        <v>416423493</v>
      </c>
      <c r="H3571">
        <v>93165</v>
      </c>
      <c r="I3571">
        <v>9215</v>
      </c>
      <c r="J3571">
        <v>102380</v>
      </c>
      <c r="K3571" t="b">
        <f>TrafficData[[#This Row],[disposedChallan]]+TrafficData[[#This Row],[pendingChallan]]=TrafficData[[#This Row],[totalChallan]]</f>
        <v>1</v>
      </c>
      <c r="L3571" t="b">
        <f>TrafficData[[#This Row],[pendingAmount]]+TrafficData[[#This Row],[disposedAmount]]=TrafficData[[#This Row],[totalAmount]]</f>
        <v>1</v>
      </c>
      <c r="M3571" t="b">
        <f>TrafficData[[#This Row],[pendingCourt]]+TrafficData[[#This Row],[disposedCourt]]=TrafficData[[#This Row],[totalCourt]]</f>
        <v>1</v>
      </c>
      <c r="N3571" s="8" t="b">
        <f>AND(TrafficData[[#This Row],[disposedChallan]]&lt;=TrafficData[[#This Row],[totalChallan]],TrafficData[[#This Row],[pendingChallan]]&lt;=TrafficData[[#This Row],[totalChallan]])</f>
        <v>1</v>
      </c>
      <c r="O3571" s="8" t="b">
        <f>AND(TrafficData[[#This Row],[pendingAmount]]&lt;=TrafficData[[#This Row],[totalAmount]],TrafficData[[#This Row],[disposedAmount]]&lt;=TrafficData[[#This Row],[totalAmount]])</f>
        <v>1</v>
      </c>
      <c r="P3571" s="8" t="b">
        <f>AND(TrafficData[[#This Row],[pendingCourt]]&lt;=TrafficData[[#This Row],[totalCourt]],TrafficData[[#This Row],[disposedCourt]]&lt;=TrafficData[[#This Row],[totalCourt]])</f>
        <v>1</v>
      </c>
    </row>
    <row r="3572" spans="1:16">
      <c r="A3572" s="1">
        <v>45576</v>
      </c>
      <c r="B3572">
        <v>222930</v>
      </c>
      <c r="C3572">
        <v>68643</v>
      </c>
      <c r="D3572">
        <v>154287</v>
      </c>
      <c r="E3572">
        <v>260060125</v>
      </c>
      <c r="F3572">
        <v>99009780</v>
      </c>
      <c r="G3572">
        <v>359069905</v>
      </c>
      <c r="H3572">
        <v>90376</v>
      </c>
      <c r="I3572">
        <v>8930</v>
      </c>
      <c r="J3572">
        <v>99306</v>
      </c>
      <c r="K3572" t="b">
        <f>TrafficData[[#This Row],[disposedChallan]]+TrafficData[[#This Row],[pendingChallan]]=TrafficData[[#This Row],[totalChallan]]</f>
        <v>1</v>
      </c>
      <c r="L3572" t="b">
        <f>TrafficData[[#This Row],[pendingAmount]]+TrafficData[[#This Row],[disposedAmount]]=TrafficData[[#This Row],[totalAmount]]</f>
        <v>1</v>
      </c>
      <c r="M3572" t="b">
        <f>TrafficData[[#This Row],[pendingCourt]]+TrafficData[[#This Row],[disposedCourt]]=TrafficData[[#This Row],[totalCourt]]</f>
        <v>1</v>
      </c>
      <c r="N3572" s="8" t="b">
        <f>AND(TrafficData[[#This Row],[disposedChallan]]&lt;=TrafficData[[#This Row],[totalChallan]],TrafficData[[#This Row],[pendingChallan]]&lt;=TrafficData[[#This Row],[totalChallan]])</f>
        <v>1</v>
      </c>
      <c r="O3572" s="8" t="b">
        <f>AND(TrafficData[[#This Row],[pendingAmount]]&lt;=TrafficData[[#This Row],[totalAmount]],TrafficData[[#This Row],[disposedAmount]]&lt;=TrafficData[[#This Row],[totalAmount]])</f>
        <v>1</v>
      </c>
      <c r="P3572" s="8" t="b">
        <f>AND(TrafficData[[#This Row],[pendingCourt]]&lt;=TrafficData[[#This Row],[totalCourt]],TrafficData[[#This Row],[disposedCourt]]&lt;=TrafficData[[#This Row],[totalCourt]])</f>
        <v>1</v>
      </c>
    </row>
    <row r="3573" spans="1:16">
      <c r="A3573" s="1">
        <v>45577</v>
      </c>
      <c r="B3573">
        <v>209250</v>
      </c>
      <c r="C3573">
        <v>61764</v>
      </c>
      <c r="D3573">
        <v>147486</v>
      </c>
      <c r="E3573">
        <v>240939295</v>
      </c>
      <c r="F3573">
        <v>74230714</v>
      </c>
      <c r="G3573">
        <v>315170009</v>
      </c>
      <c r="H3573">
        <v>81358</v>
      </c>
      <c r="I3573">
        <v>8540</v>
      </c>
      <c r="J3573">
        <v>89898</v>
      </c>
      <c r="K3573" t="b">
        <f>TrafficData[[#This Row],[disposedChallan]]+TrafficData[[#This Row],[pendingChallan]]=TrafficData[[#This Row],[totalChallan]]</f>
        <v>1</v>
      </c>
      <c r="L3573" t="b">
        <f>TrafficData[[#This Row],[pendingAmount]]+TrafficData[[#This Row],[disposedAmount]]=TrafficData[[#This Row],[totalAmount]]</f>
        <v>1</v>
      </c>
      <c r="M3573" t="b">
        <f>TrafficData[[#This Row],[pendingCourt]]+TrafficData[[#This Row],[disposedCourt]]=TrafficData[[#This Row],[totalCourt]]</f>
        <v>1</v>
      </c>
      <c r="N3573" s="8" t="b">
        <f>AND(TrafficData[[#This Row],[disposedChallan]]&lt;=TrafficData[[#This Row],[totalChallan]],TrafficData[[#This Row],[pendingChallan]]&lt;=TrafficData[[#This Row],[totalChallan]])</f>
        <v>1</v>
      </c>
      <c r="O3573" s="8" t="b">
        <f>AND(TrafficData[[#This Row],[pendingAmount]]&lt;=TrafficData[[#This Row],[totalAmount]],TrafficData[[#This Row],[disposedAmount]]&lt;=TrafficData[[#This Row],[totalAmount]])</f>
        <v>1</v>
      </c>
      <c r="P3573" s="8" t="b">
        <f>AND(TrafficData[[#This Row],[pendingCourt]]&lt;=TrafficData[[#This Row],[totalCourt]],TrafficData[[#This Row],[disposedCourt]]&lt;=TrafficData[[#This Row],[totalCourt]])</f>
        <v>1</v>
      </c>
    </row>
    <row r="3574" spans="1:16">
      <c r="A3574" s="1">
        <v>45578</v>
      </c>
      <c r="B3574">
        <v>215186</v>
      </c>
      <c r="C3574">
        <v>61593</v>
      </c>
      <c r="D3574">
        <v>153593</v>
      </c>
      <c r="E3574">
        <v>244697448</v>
      </c>
      <c r="F3574">
        <v>74807820</v>
      </c>
      <c r="G3574">
        <v>319505268</v>
      </c>
      <c r="H3574">
        <v>86091</v>
      </c>
      <c r="I3574">
        <v>8171</v>
      </c>
      <c r="J3574">
        <v>94262</v>
      </c>
      <c r="K3574" t="b">
        <f>TrafficData[[#This Row],[disposedChallan]]+TrafficData[[#This Row],[pendingChallan]]=TrafficData[[#This Row],[totalChallan]]</f>
        <v>1</v>
      </c>
      <c r="L3574" t="b">
        <f>TrafficData[[#This Row],[pendingAmount]]+TrafficData[[#This Row],[disposedAmount]]=TrafficData[[#This Row],[totalAmount]]</f>
        <v>1</v>
      </c>
      <c r="M3574" t="b">
        <f>TrafficData[[#This Row],[pendingCourt]]+TrafficData[[#This Row],[disposedCourt]]=TrafficData[[#This Row],[totalCourt]]</f>
        <v>1</v>
      </c>
      <c r="N3574" s="8" t="b">
        <f>AND(TrafficData[[#This Row],[disposedChallan]]&lt;=TrafficData[[#This Row],[totalChallan]],TrafficData[[#This Row],[pendingChallan]]&lt;=TrafficData[[#This Row],[totalChallan]])</f>
        <v>1</v>
      </c>
      <c r="O3574" s="8" t="b">
        <f>AND(TrafficData[[#This Row],[pendingAmount]]&lt;=TrafficData[[#This Row],[totalAmount]],TrafficData[[#This Row],[disposedAmount]]&lt;=TrafficData[[#This Row],[totalAmount]])</f>
        <v>1</v>
      </c>
      <c r="P3574" s="8" t="b">
        <f>AND(TrafficData[[#This Row],[pendingCourt]]&lt;=TrafficData[[#This Row],[totalCourt]],TrafficData[[#This Row],[disposedCourt]]&lt;=TrafficData[[#This Row],[totalCourt]])</f>
        <v>1</v>
      </c>
    </row>
    <row r="3575" spans="1:16">
      <c r="A3575" s="1">
        <v>45579</v>
      </c>
      <c r="B3575">
        <v>231939</v>
      </c>
      <c r="C3575">
        <v>68151</v>
      </c>
      <c r="D3575">
        <v>163788</v>
      </c>
      <c r="E3575">
        <v>283667824</v>
      </c>
      <c r="F3575">
        <v>105116081</v>
      </c>
      <c r="G3575">
        <v>388783905</v>
      </c>
      <c r="H3575">
        <v>92851</v>
      </c>
      <c r="I3575">
        <v>9337</v>
      </c>
      <c r="J3575">
        <v>102188</v>
      </c>
      <c r="K3575" t="b">
        <f>TrafficData[[#This Row],[disposedChallan]]+TrafficData[[#This Row],[pendingChallan]]=TrafficData[[#This Row],[totalChallan]]</f>
        <v>1</v>
      </c>
      <c r="L3575" t="b">
        <f>TrafficData[[#This Row],[pendingAmount]]+TrafficData[[#This Row],[disposedAmount]]=TrafficData[[#This Row],[totalAmount]]</f>
        <v>1</v>
      </c>
      <c r="M3575" t="b">
        <f>TrafficData[[#This Row],[pendingCourt]]+TrafficData[[#This Row],[disposedCourt]]=TrafficData[[#This Row],[totalCourt]]</f>
        <v>1</v>
      </c>
      <c r="N3575" s="8" t="b">
        <f>AND(TrafficData[[#This Row],[disposedChallan]]&lt;=TrafficData[[#This Row],[totalChallan]],TrafficData[[#This Row],[pendingChallan]]&lt;=TrafficData[[#This Row],[totalChallan]])</f>
        <v>1</v>
      </c>
      <c r="O3575" s="8" t="b">
        <f>AND(TrafficData[[#This Row],[pendingAmount]]&lt;=TrafficData[[#This Row],[totalAmount]],TrafficData[[#This Row],[disposedAmount]]&lt;=TrafficData[[#This Row],[totalAmount]])</f>
        <v>1</v>
      </c>
      <c r="P3575" s="8" t="b">
        <f>AND(TrafficData[[#This Row],[pendingCourt]]&lt;=TrafficData[[#This Row],[totalCourt]],TrafficData[[#This Row],[disposedCourt]]&lt;=TrafficData[[#This Row],[totalCourt]])</f>
        <v>1</v>
      </c>
    </row>
    <row r="3576" spans="1:16">
      <c r="A3576" s="1">
        <v>45580</v>
      </c>
      <c r="B3576">
        <v>230557</v>
      </c>
      <c r="C3576">
        <v>67644</v>
      </c>
      <c r="D3576">
        <v>162913</v>
      </c>
      <c r="E3576">
        <v>284616300</v>
      </c>
      <c r="F3576">
        <v>118146405</v>
      </c>
      <c r="G3576">
        <v>402762705</v>
      </c>
      <c r="H3576">
        <v>95973</v>
      </c>
      <c r="I3576">
        <v>9256</v>
      </c>
      <c r="J3576">
        <v>105229</v>
      </c>
      <c r="K3576" t="b">
        <f>TrafficData[[#This Row],[disposedChallan]]+TrafficData[[#This Row],[pendingChallan]]=TrafficData[[#This Row],[totalChallan]]</f>
        <v>1</v>
      </c>
      <c r="L3576" t="b">
        <f>TrafficData[[#This Row],[pendingAmount]]+TrafficData[[#This Row],[disposedAmount]]=TrafficData[[#This Row],[totalAmount]]</f>
        <v>1</v>
      </c>
      <c r="M3576" t="b">
        <f>TrafficData[[#This Row],[pendingCourt]]+TrafficData[[#This Row],[disposedCourt]]=TrafficData[[#This Row],[totalCourt]]</f>
        <v>1</v>
      </c>
      <c r="N3576" s="8" t="b">
        <f>AND(TrafficData[[#This Row],[disposedChallan]]&lt;=TrafficData[[#This Row],[totalChallan]],TrafficData[[#This Row],[pendingChallan]]&lt;=TrafficData[[#This Row],[totalChallan]])</f>
        <v>1</v>
      </c>
      <c r="O3576" s="8" t="b">
        <f>AND(TrafficData[[#This Row],[pendingAmount]]&lt;=TrafficData[[#This Row],[totalAmount]],TrafficData[[#This Row],[disposedAmount]]&lt;=TrafficData[[#This Row],[totalAmount]])</f>
        <v>1</v>
      </c>
      <c r="P3576" s="8" t="b">
        <f>AND(TrafficData[[#This Row],[pendingCourt]]&lt;=TrafficData[[#This Row],[totalCourt]],TrafficData[[#This Row],[disposedCourt]]&lt;=TrafficData[[#This Row],[totalCourt]])</f>
        <v>1</v>
      </c>
    </row>
    <row r="3577" spans="1:16">
      <c r="A3577" s="1">
        <v>45581</v>
      </c>
      <c r="B3577">
        <v>238243</v>
      </c>
      <c r="C3577">
        <v>68717</v>
      </c>
      <c r="D3577">
        <v>169526</v>
      </c>
      <c r="E3577">
        <v>286269823</v>
      </c>
      <c r="F3577">
        <v>118571064</v>
      </c>
      <c r="G3577">
        <v>404840887</v>
      </c>
      <c r="H3577">
        <v>88046</v>
      </c>
      <c r="I3577">
        <v>9084</v>
      </c>
      <c r="J3577">
        <v>97130</v>
      </c>
      <c r="K3577" t="b">
        <f>TrafficData[[#This Row],[disposedChallan]]+TrafficData[[#This Row],[pendingChallan]]=TrafficData[[#This Row],[totalChallan]]</f>
        <v>1</v>
      </c>
      <c r="L3577" t="b">
        <f>TrafficData[[#This Row],[pendingAmount]]+TrafficData[[#This Row],[disposedAmount]]=TrafficData[[#This Row],[totalAmount]]</f>
        <v>1</v>
      </c>
      <c r="M3577" t="b">
        <f>TrafficData[[#This Row],[pendingCourt]]+TrafficData[[#This Row],[disposedCourt]]=TrafficData[[#This Row],[totalCourt]]</f>
        <v>1</v>
      </c>
      <c r="N3577" s="8" t="b">
        <f>AND(TrafficData[[#This Row],[disposedChallan]]&lt;=TrafficData[[#This Row],[totalChallan]],TrafficData[[#This Row],[pendingChallan]]&lt;=TrafficData[[#This Row],[totalChallan]])</f>
        <v>1</v>
      </c>
      <c r="O3577" s="8" t="b">
        <f>AND(TrafficData[[#This Row],[pendingAmount]]&lt;=TrafficData[[#This Row],[totalAmount]],TrafficData[[#This Row],[disposedAmount]]&lt;=TrafficData[[#This Row],[totalAmount]])</f>
        <v>1</v>
      </c>
      <c r="P3577" s="8" t="b">
        <f>AND(TrafficData[[#This Row],[pendingCourt]]&lt;=TrafficData[[#This Row],[totalCourt]],TrafficData[[#This Row],[disposedCourt]]&lt;=TrafficData[[#This Row],[totalCourt]])</f>
        <v>1</v>
      </c>
    </row>
    <row r="3578" spans="1:16">
      <c r="A3578" s="1">
        <v>45582</v>
      </c>
      <c r="B3578">
        <v>251494</v>
      </c>
      <c r="C3578">
        <v>75815</v>
      </c>
      <c r="D3578">
        <v>175679</v>
      </c>
      <c r="E3578">
        <v>304368411</v>
      </c>
      <c r="F3578">
        <v>128244097</v>
      </c>
      <c r="G3578">
        <v>432612508</v>
      </c>
      <c r="H3578">
        <v>92812</v>
      </c>
      <c r="I3578">
        <v>9607</v>
      </c>
      <c r="J3578">
        <v>102419</v>
      </c>
      <c r="K3578" t="b">
        <f>TrafficData[[#This Row],[disposedChallan]]+TrafficData[[#This Row],[pendingChallan]]=TrafficData[[#This Row],[totalChallan]]</f>
        <v>1</v>
      </c>
      <c r="L3578" t="b">
        <f>TrafficData[[#This Row],[pendingAmount]]+TrafficData[[#This Row],[disposedAmount]]=TrafficData[[#This Row],[totalAmount]]</f>
        <v>1</v>
      </c>
      <c r="M3578" t="b">
        <f>TrafficData[[#This Row],[pendingCourt]]+TrafficData[[#This Row],[disposedCourt]]=TrafficData[[#This Row],[totalCourt]]</f>
        <v>1</v>
      </c>
      <c r="N3578" s="8" t="b">
        <f>AND(TrafficData[[#This Row],[disposedChallan]]&lt;=TrafficData[[#This Row],[totalChallan]],TrafficData[[#This Row],[pendingChallan]]&lt;=TrafficData[[#This Row],[totalChallan]])</f>
        <v>1</v>
      </c>
      <c r="O3578" s="8" t="b">
        <f>AND(TrafficData[[#This Row],[pendingAmount]]&lt;=TrafficData[[#This Row],[totalAmount]],TrafficData[[#This Row],[disposedAmount]]&lt;=TrafficData[[#This Row],[totalAmount]])</f>
        <v>1</v>
      </c>
      <c r="P3578" s="8" t="b">
        <f>AND(TrafficData[[#This Row],[pendingCourt]]&lt;=TrafficData[[#This Row],[totalCourt]],TrafficData[[#This Row],[disposedCourt]]&lt;=TrafficData[[#This Row],[totalCourt]])</f>
        <v>1</v>
      </c>
    </row>
    <row r="3579" spans="1:16">
      <c r="A3579" s="1">
        <v>45583</v>
      </c>
      <c r="B3579">
        <v>262834</v>
      </c>
      <c r="C3579">
        <v>80715</v>
      </c>
      <c r="D3579">
        <v>182119</v>
      </c>
      <c r="E3579">
        <v>314406129</v>
      </c>
      <c r="F3579">
        <v>142505249</v>
      </c>
      <c r="G3579">
        <v>456911378</v>
      </c>
      <c r="H3579">
        <v>96349</v>
      </c>
      <c r="I3579">
        <v>9691</v>
      </c>
      <c r="J3579">
        <v>106040</v>
      </c>
      <c r="K3579" t="b">
        <f>TrafficData[[#This Row],[disposedChallan]]+TrafficData[[#This Row],[pendingChallan]]=TrafficData[[#This Row],[totalChallan]]</f>
        <v>1</v>
      </c>
      <c r="L3579" t="b">
        <f>TrafficData[[#This Row],[pendingAmount]]+TrafficData[[#This Row],[disposedAmount]]=TrafficData[[#This Row],[totalAmount]]</f>
        <v>1</v>
      </c>
      <c r="M3579" t="b">
        <f>TrafficData[[#This Row],[pendingCourt]]+TrafficData[[#This Row],[disposedCourt]]=TrafficData[[#This Row],[totalCourt]]</f>
        <v>1</v>
      </c>
      <c r="N3579" s="8" t="b">
        <f>AND(TrafficData[[#This Row],[disposedChallan]]&lt;=TrafficData[[#This Row],[totalChallan]],TrafficData[[#This Row],[pendingChallan]]&lt;=TrafficData[[#This Row],[totalChallan]])</f>
        <v>1</v>
      </c>
      <c r="O3579" s="8" t="b">
        <f>AND(TrafficData[[#This Row],[pendingAmount]]&lt;=TrafficData[[#This Row],[totalAmount]],TrafficData[[#This Row],[disposedAmount]]&lt;=TrafficData[[#This Row],[totalAmount]])</f>
        <v>1</v>
      </c>
      <c r="P3579" s="8" t="b">
        <f>AND(TrafficData[[#This Row],[pendingCourt]]&lt;=TrafficData[[#This Row],[totalCourt]],TrafficData[[#This Row],[disposedCourt]]&lt;=TrafficData[[#This Row],[totalCourt]])</f>
        <v>1</v>
      </c>
    </row>
    <row r="3580" spans="1:16">
      <c r="A3580" s="1">
        <v>45584</v>
      </c>
      <c r="B3580">
        <v>257096</v>
      </c>
      <c r="C3580">
        <v>79090</v>
      </c>
      <c r="D3580">
        <v>178006</v>
      </c>
      <c r="E3580">
        <v>306478747</v>
      </c>
      <c r="F3580">
        <v>132825198</v>
      </c>
      <c r="G3580">
        <v>439303945</v>
      </c>
      <c r="H3580">
        <v>93345</v>
      </c>
      <c r="I3580">
        <v>9510</v>
      </c>
      <c r="J3580">
        <v>102855</v>
      </c>
      <c r="K3580" t="b">
        <f>TrafficData[[#This Row],[disposedChallan]]+TrafficData[[#This Row],[pendingChallan]]=TrafficData[[#This Row],[totalChallan]]</f>
        <v>1</v>
      </c>
      <c r="L3580" t="b">
        <f>TrafficData[[#This Row],[pendingAmount]]+TrafficData[[#This Row],[disposedAmount]]=TrafficData[[#This Row],[totalAmount]]</f>
        <v>1</v>
      </c>
      <c r="M3580" t="b">
        <f>TrafficData[[#This Row],[pendingCourt]]+TrafficData[[#This Row],[disposedCourt]]=TrafficData[[#This Row],[totalCourt]]</f>
        <v>1</v>
      </c>
      <c r="N3580" s="8" t="b">
        <f>AND(TrafficData[[#This Row],[disposedChallan]]&lt;=TrafficData[[#This Row],[totalChallan]],TrafficData[[#This Row],[pendingChallan]]&lt;=TrafficData[[#This Row],[totalChallan]])</f>
        <v>1</v>
      </c>
      <c r="O3580" s="8" t="b">
        <f>AND(TrafficData[[#This Row],[pendingAmount]]&lt;=TrafficData[[#This Row],[totalAmount]],TrafficData[[#This Row],[disposedAmount]]&lt;=TrafficData[[#This Row],[totalAmount]])</f>
        <v>1</v>
      </c>
      <c r="P3580" s="8" t="b">
        <f>AND(TrafficData[[#This Row],[pendingCourt]]&lt;=TrafficData[[#This Row],[totalCourt]],TrafficData[[#This Row],[disposedCourt]]&lt;=TrafficData[[#This Row],[totalCourt]])</f>
        <v>1</v>
      </c>
    </row>
    <row r="3581" spans="1:16">
      <c r="A3581" s="1">
        <v>45585</v>
      </c>
      <c r="B3581">
        <v>226377</v>
      </c>
      <c r="C3581">
        <v>68048</v>
      </c>
      <c r="D3581">
        <v>158329</v>
      </c>
      <c r="E3581">
        <v>237515511</v>
      </c>
      <c r="F3581">
        <v>86631976</v>
      </c>
      <c r="G3581">
        <v>324147487</v>
      </c>
      <c r="H3581">
        <v>75312</v>
      </c>
      <c r="I3581">
        <v>7802</v>
      </c>
      <c r="J3581">
        <v>83114</v>
      </c>
      <c r="K3581" t="b">
        <f>TrafficData[[#This Row],[disposedChallan]]+TrafficData[[#This Row],[pendingChallan]]=TrafficData[[#This Row],[totalChallan]]</f>
        <v>1</v>
      </c>
      <c r="L3581" t="b">
        <f>TrafficData[[#This Row],[pendingAmount]]+TrafficData[[#This Row],[disposedAmount]]=TrafficData[[#This Row],[totalAmount]]</f>
        <v>1</v>
      </c>
      <c r="M3581" t="b">
        <f>TrafficData[[#This Row],[pendingCourt]]+TrafficData[[#This Row],[disposedCourt]]=TrafficData[[#This Row],[totalCourt]]</f>
        <v>1</v>
      </c>
      <c r="N3581" s="8" t="b">
        <f>AND(TrafficData[[#This Row],[disposedChallan]]&lt;=TrafficData[[#This Row],[totalChallan]],TrafficData[[#This Row],[pendingChallan]]&lt;=TrafficData[[#This Row],[totalChallan]])</f>
        <v>1</v>
      </c>
      <c r="O3581" s="8" t="b">
        <f>AND(TrafficData[[#This Row],[pendingAmount]]&lt;=TrafficData[[#This Row],[totalAmount]],TrafficData[[#This Row],[disposedAmount]]&lt;=TrafficData[[#This Row],[totalAmount]])</f>
        <v>1</v>
      </c>
      <c r="P3581" s="8" t="b">
        <f>AND(TrafficData[[#This Row],[pendingCourt]]&lt;=TrafficData[[#This Row],[totalCourt]],TrafficData[[#This Row],[disposedCourt]]&lt;=TrafficData[[#This Row],[totalCourt]])</f>
        <v>1</v>
      </c>
    </row>
    <row r="3582" spans="1:16">
      <c r="A3582" s="1">
        <v>45586</v>
      </c>
      <c r="B3582">
        <v>249975</v>
      </c>
      <c r="C3582">
        <v>76672</v>
      </c>
      <c r="D3582">
        <v>173303</v>
      </c>
      <c r="E3582">
        <v>298032743</v>
      </c>
      <c r="F3582">
        <v>122842065</v>
      </c>
      <c r="G3582">
        <v>420874808</v>
      </c>
      <c r="H3582">
        <v>84293</v>
      </c>
      <c r="I3582">
        <v>8648</v>
      </c>
      <c r="J3582">
        <v>92941</v>
      </c>
      <c r="K3582" t="b">
        <f>TrafficData[[#This Row],[disposedChallan]]+TrafficData[[#This Row],[pendingChallan]]=TrafficData[[#This Row],[totalChallan]]</f>
        <v>1</v>
      </c>
      <c r="L3582" t="b">
        <f>TrafficData[[#This Row],[pendingAmount]]+TrafficData[[#This Row],[disposedAmount]]=TrafficData[[#This Row],[totalAmount]]</f>
        <v>1</v>
      </c>
      <c r="M3582" t="b">
        <f>TrafficData[[#This Row],[pendingCourt]]+TrafficData[[#This Row],[disposedCourt]]=TrafficData[[#This Row],[totalCourt]]</f>
        <v>1</v>
      </c>
      <c r="N3582" s="8" t="b">
        <f>AND(TrafficData[[#This Row],[disposedChallan]]&lt;=TrafficData[[#This Row],[totalChallan]],TrafficData[[#This Row],[pendingChallan]]&lt;=TrafficData[[#This Row],[totalChallan]])</f>
        <v>1</v>
      </c>
      <c r="O3582" s="8" t="b">
        <f>AND(TrafficData[[#This Row],[pendingAmount]]&lt;=TrafficData[[#This Row],[totalAmount]],TrafficData[[#This Row],[disposedAmount]]&lt;=TrafficData[[#This Row],[totalAmount]])</f>
        <v>1</v>
      </c>
      <c r="P3582" s="8" t="b">
        <f>AND(TrafficData[[#This Row],[pendingCourt]]&lt;=TrafficData[[#This Row],[totalCourt]],TrafficData[[#This Row],[disposedCourt]]&lt;=TrafficData[[#This Row],[totalCourt]])</f>
        <v>1</v>
      </c>
    </row>
    <row r="3583" spans="1:16">
      <c r="A3583" s="1">
        <v>45587</v>
      </c>
      <c r="B3583">
        <v>253326</v>
      </c>
      <c r="C3583">
        <v>79567</v>
      </c>
      <c r="D3583">
        <v>173759</v>
      </c>
      <c r="E3583">
        <v>304862986</v>
      </c>
      <c r="F3583">
        <v>141903394</v>
      </c>
      <c r="G3583">
        <v>446766380</v>
      </c>
      <c r="H3583">
        <v>88267</v>
      </c>
      <c r="I3583">
        <v>9287</v>
      </c>
      <c r="J3583">
        <v>97554</v>
      </c>
      <c r="K3583" t="b">
        <f>TrafficData[[#This Row],[disposedChallan]]+TrafficData[[#This Row],[pendingChallan]]=TrafficData[[#This Row],[totalChallan]]</f>
        <v>1</v>
      </c>
      <c r="L3583" t="b">
        <f>TrafficData[[#This Row],[pendingAmount]]+TrafficData[[#This Row],[disposedAmount]]=TrafficData[[#This Row],[totalAmount]]</f>
        <v>1</v>
      </c>
      <c r="M3583" t="b">
        <f>TrafficData[[#This Row],[pendingCourt]]+TrafficData[[#This Row],[disposedCourt]]=TrafficData[[#This Row],[totalCourt]]</f>
        <v>1</v>
      </c>
      <c r="N3583" s="8" t="b">
        <f>AND(TrafficData[[#This Row],[disposedChallan]]&lt;=TrafficData[[#This Row],[totalChallan]],TrafficData[[#This Row],[pendingChallan]]&lt;=TrafficData[[#This Row],[totalChallan]])</f>
        <v>1</v>
      </c>
      <c r="O3583" s="8" t="b">
        <f>AND(TrafficData[[#This Row],[pendingAmount]]&lt;=TrafficData[[#This Row],[totalAmount]],TrafficData[[#This Row],[disposedAmount]]&lt;=TrafficData[[#This Row],[totalAmount]])</f>
        <v>1</v>
      </c>
      <c r="P3583" s="8" t="b">
        <f>AND(TrafficData[[#This Row],[pendingCourt]]&lt;=TrafficData[[#This Row],[totalCourt]],TrafficData[[#This Row],[disposedCourt]]&lt;=TrafficData[[#This Row],[totalCourt]])</f>
        <v>1</v>
      </c>
    </row>
    <row r="3584" spans="1:16">
      <c r="A3584" s="1">
        <v>45588</v>
      </c>
      <c r="B3584">
        <v>261278</v>
      </c>
      <c r="C3584">
        <v>80709</v>
      </c>
      <c r="D3584">
        <v>180569</v>
      </c>
      <c r="E3584">
        <v>327116150</v>
      </c>
      <c r="F3584">
        <v>143586225</v>
      </c>
      <c r="G3584">
        <v>470702375</v>
      </c>
      <c r="H3584">
        <v>88632</v>
      </c>
      <c r="I3584">
        <v>9367</v>
      </c>
      <c r="J3584">
        <v>97999</v>
      </c>
      <c r="K3584" t="b">
        <f>TrafficData[[#This Row],[disposedChallan]]+TrafficData[[#This Row],[pendingChallan]]=TrafficData[[#This Row],[totalChallan]]</f>
        <v>1</v>
      </c>
      <c r="L3584" t="b">
        <f>TrafficData[[#This Row],[pendingAmount]]+TrafficData[[#This Row],[disposedAmount]]=TrafficData[[#This Row],[totalAmount]]</f>
        <v>1</v>
      </c>
      <c r="M3584" t="b">
        <f>TrafficData[[#This Row],[pendingCourt]]+TrafficData[[#This Row],[disposedCourt]]=TrafficData[[#This Row],[totalCourt]]</f>
        <v>1</v>
      </c>
      <c r="N3584" s="8" t="b">
        <f>AND(TrafficData[[#This Row],[disposedChallan]]&lt;=TrafficData[[#This Row],[totalChallan]],TrafficData[[#This Row],[pendingChallan]]&lt;=TrafficData[[#This Row],[totalChallan]])</f>
        <v>1</v>
      </c>
      <c r="O3584" s="8" t="b">
        <f>AND(TrafficData[[#This Row],[pendingAmount]]&lt;=TrafficData[[#This Row],[totalAmount]],TrafficData[[#This Row],[disposedAmount]]&lt;=TrafficData[[#This Row],[totalAmount]])</f>
        <v>1</v>
      </c>
      <c r="P3584" s="8" t="b">
        <f>AND(TrafficData[[#This Row],[pendingCourt]]&lt;=TrafficData[[#This Row],[totalCourt]],TrafficData[[#This Row],[disposedCourt]]&lt;=TrafficData[[#This Row],[totalCourt]])</f>
        <v>1</v>
      </c>
    </row>
    <row r="3585" spans="1:16">
      <c r="A3585" s="1">
        <v>45589</v>
      </c>
      <c r="B3585">
        <v>255930</v>
      </c>
      <c r="C3585">
        <v>79136</v>
      </c>
      <c r="D3585">
        <v>176794</v>
      </c>
      <c r="E3585">
        <v>312076872</v>
      </c>
      <c r="F3585">
        <v>133974606</v>
      </c>
      <c r="G3585">
        <v>446051478</v>
      </c>
      <c r="H3585">
        <v>88887</v>
      </c>
      <c r="I3585">
        <v>8957</v>
      </c>
      <c r="J3585">
        <v>97844</v>
      </c>
      <c r="K3585" t="b">
        <f>TrafficData[[#This Row],[disposedChallan]]+TrafficData[[#This Row],[pendingChallan]]=TrafficData[[#This Row],[totalChallan]]</f>
        <v>1</v>
      </c>
      <c r="L3585" t="b">
        <f>TrafficData[[#This Row],[pendingAmount]]+TrafficData[[#This Row],[disposedAmount]]=TrafficData[[#This Row],[totalAmount]]</f>
        <v>1</v>
      </c>
      <c r="M3585" t="b">
        <f>TrafficData[[#This Row],[pendingCourt]]+TrafficData[[#This Row],[disposedCourt]]=TrafficData[[#This Row],[totalCourt]]</f>
        <v>1</v>
      </c>
      <c r="N3585" s="8" t="b">
        <f>AND(TrafficData[[#This Row],[disposedChallan]]&lt;=TrafficData[[#This Row],[totalChallan]],TrafficData[[#This Row],[pendingChallan]]&lt;=TrafficData[[#This Row],[totalChallan]])</f>
        <v>1</v>
      </c>
      <c r="O3585" s="8" t="b">
        <f>AND(TrafficData[[#This Row],[pendingAmount]]&lt;=TrafficData[[#This Row],[totalAmount]],TrafficData[[#This Row],[disposedAmount]]&lt;=TrafficData[[#This Row],[totalAmount]])</f>
        <v>1</v>
      </c>
      <c r="P3585" s="8" t="b">
        <f>AND(TrafficData[[#This Row],[pendingCourt]]&lt;=TrafficData[[#This Row],[totalCourt]],TrafficData[[#This Row],[disposedCourt]]&lt;=TrafficData[[#This Row],[totalCourt]])</f>
        <v>1</v>
      </c>
    </row>
    <row r="3586" spans="1:16">
      <c r="A3586" s="1">
        <v>45590</v>
      </c>
      <c r="B3586">
        <v>242721</v>
      </c>
      <c r="C3586">
        <v>74532</v>
      </c>
      <c r="D3586">
        <v>168189</v>
      </c>
      <c r="E3586">
        <v>301015864</v>
      </c>
      <c r="F3586">
        <v>123601867</v>
      </c>
      <c r="G3586">
        <v>424617731</v>
      </c>
      <c r="H3586">
        <v>86626</v>
      </c>
      <c r="I3586">
        <v>8926</v>
      </c>
      <c r="J3586">
        <v>95552</v>
      </c>
      <c r="K3586" t="b">
        <f>TrafficData[[#This Row],[disposedChallan]]+TrafficData[[#This Row],[pendingChallan]]=TrafficData[[#This Row],[totalChallan]]</f>
        <v>1</v>
      </c>
      <c r="L3586" t="b">
        <f>TrafficData[[#This Row],[pendingAmount]]+TrafficData[[#This Row],[disposedAmount]]=TrafficData[[#This Row],[totalAmount]]</f>
        <v>1</v>
      </c>
      <c r="M3586" t="b">
        <f>TrafficData[[#This Row],[pendingCourt]]+TrafficData[[#This Row],[disposedCourt]]=TrafficData[[#This Row],[totalCourt]]</f>
        <v>1</v>
      </c>
      <c r="N3586" s="8" t="b">
        <f>AND(TrafficData[[#This Row],[disposedChallan]]&lt;=TrafficData[[#This Row],[totalChallan]],TrafficData[[#This Row],[pendingChallan]]&lt;=TrafficData[[#This Row],[totalChallan]])</f>
        <v>1</v>
      </c>
      <c r="O3586" s="8" t="b">
        <f>AND(TrafficData[[#This Row],[pendingAmount]]&lt;=TrafficData[[#This Row],[totalAmount]],TrafficData[[#This Row],[disposedAmount]]&lt;=TrafficData[[#This Row],[totalAmount]])</f>
        <v>1</v>
      </c>
      <c r="P3586" s="8" t="b">
        <f>AND(TrafficData[[#This Row],[pendingCourt]]&lt;=TrafficData[[#This Row],[totalCourt]],TrafficData[[#This Row],[disposedCourt]]&lt;=TrafficData[[#This Row],[totalCourt]])</f>
        <v>1</v>
      </c>
    </row>
    <row r="3587" spans="1:16">
      <c r="A3587" s="1">
        <v>45591</v>
      </c>
      <c r="B3587">
        <v>252713</v>
      </c>
      <c r="C3587">
        <v>79199</v>
      </c>
      <c r="D3587">
        <v>173514</v>
      </c>
      <c r="E3587">
        <v>306051997</v>
      </c>
      <c r="F3587">
        <v>118842529</v>
      </c>
      <c r="G3587">
        <v>424894526</v>
      </c>
      <c r="H3587">
        <v>93948</v>
      </c>
      <c r="I3587">
        <v>9183</v>
      </c>
      <c r="J3587">
        <v>103131</v>
      </c>
      <c r="K3587" t="b">
        <f>TrafficData[[#This Row],[disposedChallan]]+TrafficData[[#This Row],[pendingChallan]]=TrafficData[[#This Row],[totalChallan]]</f>
        <v>1</v>
      </c>
      <c r="L3587" t="b">
        <f>TrafficData[[#This Row],[pendingAmount]]+TrafficData[[#This Row],[disposedAmount]]=TrafficData[[#This Row],[totalAmount]]</f>
        <v>1</v>
      </c>
      <c r="M3587" t="b">
        <f>TrafficData[[#This Row],[pendingCourt]]+TrafficData[[#This Row],[disposedCourt]]=TrafficData[[#This Row],[totalCourt]]</f>
        <v>1</v>
      </c>
      <c r="N3587" s="8" t="b">
        <f>AND(TrafficData[[#This Row],[disposedChallan]]&lt;=TrafficData[[#This Row],[totalChallan]],TrafficData[[#This Row],[pendingChallan]]&lt;=TrafficData[[#This Row],[totalChallan]])</f>
        <v>1</v>
      </c>
      <c r="O3587" s="8" t="b">
        <f>AND(TrafficData[[#This Row],[pendingAmount]]&lt;=TrafficData[[#This Row],[totalAmount]],TrafficData[[#This Row],[disposedAmount]]&lt;=TrafficData[[#This Row],[totalAmount]])</f>
        <v>1</v>
      </c>
      <c r="P3587" s="8" t="b">
        <f>AND(TrafficData[[#This Row],[pendingCourt]]&lt;=TrafficData[[#This Row],[totalCourt]],TrafficData[[#This Row],[disposedCourt]]&lt;=TrafficData[[#This Row],[totalCourt]])</f>
        <v>1</v>
      </c>
    </row>
    <row r="3588" spans="1:16">
      <c r="A3588" s="1">
        <v>45592</v>
      </c>
      <c r="B3588">
        <v>229345</v>
      </c>
      <c r="C3588">
        <v>70950</v>
      </c>
      <c r="D3588">
        <v>158395</v>
      </c>
      <c r="E3588">
        <v>273261194</v>
      </c>
      <c r="F3588">
        <v>88050307</v>
      </c>
      <c r="G3588">
        <v>361311501</v>
      </c>
      <c r="H3588">
        <v>84532</v>
      </c>
      <c r="I3588">
        <v>8263</v>
      </c>
      <c r="J3588">
        <v>92795</v>
      </c>
      <c r="K3588" t="b">
        <f>TrafficData[[#This Row],[disposedChallan]]+TrafficData[[#This Row],[pendingChallan]]=TrafficData[[#This Row],[totalChallan]]</f>
        <v>1</v>
      </c>
      <c r="L3588" t="b">
        <f>TrafficData[[#This Row],[pendingAmount]]+TrafficData[[#This Row],[disposedAmount]]=TrafficData[[#This Row],[totalAmount]]</f>
        <v>1</v>
      </c>
      <c r="M3588" t="b">
        <f>TrafficData[[#This Row],[pendingCourt]]+TrafficData[[#This Row],[disposedCourt]]=TrafficData[[#This Row],[totalCourt]]</f>
        <v>1</v>
      </c>
      <c r="N3588" s="8" t="b">
        <f>AND(TrafficData[[#This Row],[disposedChallan]]&lt;=TrafficData[[#This Row],[totalChallan]],TrafficData[[#This Row],[pendingChallan]]&lt;=TrafficData[[#This Row],[totalChallan]])</f>
        <v>1</v>
      </c>
      <c r="O3588" s="8" t="b">
        <f>AND(TrafficData[[#This Row],[pendingAmount]]&lt;=TrafficData[[#This Row],[totalAmount]],TrafficData[[#This Row],[disposedAmount]]&lt;=TrafficData[[#This Row],[totalAmount]])</f>
        <v>1</v>
      </c>
      <c r="P3588" s="8" t="b">
        <f>AND(TrafficData[[#This Row],[pendingCourt]]&lt;=TrafficData[[#This Row],[totalCourt]],TrafficData[[#This Row],[disposedCourt]]&lt;=TrafficData[[#This Row],[totalCourt]])</f>
        <v>1</v>
      </c>
    </row>
    <row r="3589" spans="1:16">
      <c r="A3589" s="1">
        <v>45593</v>
      </c>
      <c r="B3589">
        <v>241849</v>
      </c>
      <c r="C3589">
        <v>74606</v>
      </c>
      <c r="D3589">
        <v>167243</v>
      </c>
      <c r="E3589">
        <v>306065662</v>
      </c>
      <c r="F3589">
        <v>108426234</v>
      </c>
      <c r="G3589">
        <v>414491896</v>
      </c>
      <c r="H3589">
        <v>93166</v>
      </c>
      <c r="I3589">
        <v>9164</v>
      </c>
      <c r="J3589">
        <v>102330</v>
      </c>
      <c r="K3589" t="b">
        <f>TrafficData[[#This Row],[disposedChallan]]+TrafficData[[#This Row],[pendingChallan]]=TrafficData[[#This Row],[totalChallan]]</f>
        <v>1</v>
      </c>
      <c r="L3589" t="b">
        <f>TrafficData[[#This Row],[pendingAmount]]+TrafficData[[#This Row],[disposedAmount]]=TrafficData[[#This Row],[totalAmount]]</f>
        <v>1</v>
      </c>
      <c r="M3589" t="b">
        <f>TrafficData[[#This Row],[pendingCourt]]+TrafficData[[#This Row],[disposedCourt]]=TrafficData[[#This Row],[totalCourt]]</f>
        <v>1</v>
      </c>
      <c r="N3589" s="8" t="b">
        <f>AND(TrafficData[[#This Row],[disposedChallan]]&lt;=TrafficData[[#This Row],[totalChallan]],TrafficData[[#This Row],[pendingChallan]]&lt;=TrafficData[[#This Row],[totalChallan]])</f>
        <v>1</v>
      </c>
      <c r="O3589" s="8" t="b">
        <f>AND(TrafficData[[#This Row],[pendingAmount]]&lt;=TrafficData[[#This Row],[totalAmount]],TrafficData[[#This Row],[disposedAmount]]&lt;=TrafficData[[#This Row],[totalAmount]])</f>
        <v>1</v>
      </c>
      <c r="P3589" s="8" t="b">
        <f>AND(TrafficData[[#This Row],[pendingCourt]]&lt;=TrafficData[[#This Row],[totalCourt]],TrafficData[[#This Row],[disposedCourt]]&lt;=TrafficData[[#This Row],[totalCourt]])</f>
        <v>1</v>
      </c>
    </row>
    <row r="3590" spans="1:16">
      <c r="A3590" s="1">
        <v>45594</v>
      </c>
      <c r="B3590">
        <v>215471</v>
      </c>
      <c r="C3590">
        <v>65614</v>
      </c>
      <c r="D3590">
        <v>149857</v>
      </c>
      <c r="E3590">
        <v>275485540</v>
      </c>
      <c r="F3590">
        <v>95769024</v>
      </c>
      <c r="G3590">
        <v>371254564</v>
      </c>
      <c r="H3590">
        <v>79463</v>
      </c>
      <c r="I3590">
        <v>7901</v>
      </c>
      <c r="J3590">
        <v>87364</v>
      </c>
      <c r="K3590" t="b">
        <f>TrafficData[[#This Row],[disposedChallan]]+TrafficData[[#This Row],[pendingChallan]]=TrafficData[[#This Row],[totalChallan]]</f>
        <v>1</v>
      </c>
      <c r="L3590" t="b">
        <f>TrafficData[[#This Row],[pendingAmount]]+TrafficData[[#This Row],[disposedAmount]]=TrafficData[[#This Row],[totalAmount]]</f>
        <v>1</v>
      </c>
      <c r="M3590" t="b">
        <f>TrafficData[[#This Row],[pendingCourt]]+TrafficData[[#This Row],[disposedCourt]]=TrafficData[[#This Row],[totalCourt]]</f>
        <v>1</v>
      </c>
      <c r="N3590" s="8" t="b">
        <f>AND(TrafficData[[#This Row],[disposedChallan]]&lt;=TrafficData[[#This Row],[totalChallan]],TrafficData[[#This Row],[pendingChallan]]&lt;=TrafficData[[#This Row],[totalChallan]])</f>
        <v>1</v>
      </c>
      <c r="O3590" s="8" t="b">
        <f>AND(TrafficData[[#This Row],[pendingAmount]]&lt;=TrafficData[[#This Row],[totalAmount]],TrafficData[[#This Row],[disposedAmount]]&lt;=TrafficData[[#This Row],[totalAmount]])</f>
        <v>1</v>
      </c>
      <c r="P3590" s="8" t="b">
        <f>AND(TrafficData[[#This Row],[pendingCourt]]&lt;=TrafficData[[#This Row],[totalCourt]],TrafficData[[#This Row],[disposedCourt]]&lt;=TrafficData[[#This Row],[totalCourt]])</f>
        <v>1</v>
      </c>
    </row>
    <row r="3591" spans="1:16">
      <c r="A3591" s="1">
        <v>45595</v>
      </c>
      <c r="B3591">
        <v>200341</v>
      </c>
      <c r="C3591">
        <v>59270</v>
      </c>
      <c r="D3591">
        <v>141071</v>
      </c>
      <c r="E3591">
        <v>254505765</v>
      </c>
      <c r="F3591">
        <v>83429471</v>
      </c>
      <c r="G3591">
        <v>337935236</v>
      </c>
      <c r="H3591">
        <v>74245</v>
      </c>
      <c r="I3591">
        <v>7496</v>
      </c>
      <c r="J3591">
        <v>81741</v>
      </c>
      <c r="K3591" t="b">
        <f>TrafficData[[#This Row],[disposedChallan]]+TrafficData[[#This Row],[pendingChallan]]=TrafficData[[#This Row],[totalChallan]]</f>
        <v>1</v>
      </c>
      <c r="L3591" t="b">
        <f>TrafficData[[#This Row],[pendingAmount]]+TrafficData[[#This Row],[disposedAmount]]=TrafficData[[#This Row],[totalAmount]]</f>
        <v>1</v>
      </c>
      <c r="M3591" t="b">
        <f>TrafficData[[#This Row],[pendingCourt]]+TrafficData[[#This Row],[disposedCourt]]=TrafficData[[#This Row],[totalCourt]]</f>
        <v>1</v>
      </c>
      <c r="N3591" s="8" t="b">
        <f>AND(TrafficData[[#This Row],[disposedChallan]]&lt;=TrafficData[[#This Row],[totalChallan]],TrafficData[[#This Row],[pendingChallan]]&lt;=TrafficData[[#This Row],[totalChallan]])</f>
        <v>1</v>
      </c>
      <c r="O3591" s="8" t="b">
        <f>AND(TrafficData[[#This Row],[pendingAmount]]&lt;=TrafficData[[#This Row],[totalAmount]],TrafficData[[#This Row],[disposedAmount]]&lt;=TrafficData[[#This Row],[totalAmount]])</f>
        <v>1</v>
      </c>
      <c r="P3591" s="8" t="b">
        <f>AND(TrafficData[[#This Row],[pendingCourt]]&lt;=TrafficData[[#This Row],[totalCourt]],TrafficData[[#This Row],[disposedCourt]]&lt;=TrafficData[[#This Row],[totalCourt]])</f>
        <v>1</v>
      </c>
    </row>
    <row r="3592" spans="1:16">
      <c r="A3592" s="1">
        <v>45596</v>
      </c>
      <c r="B3592">
        <v>140691</v>
      </c>
      <c r="C3592">
        <v>39163</v>
      </c>
      <c r="D3592">
        <v>101528</v>
      </c>
      <c r="E3592">
        <v>160920321</v>
      </c>
      <c r="F3592">
        <v>42278382</v>
      </c>
      <c r="G3592">
        <v>203198703</v>
      </c>
      <c r="H3592">
        <v>51763</v>
      </c>
      <c r="I3592">
        <v>5150</v>
      </c>
      <c r="J3592">
        <v>56913</v>
      </c>
      <c r="K3592" t="b">
        <f>TrafficData[[#This Row],[disposedChallan]]+TrafficData[[#This Row],[pendingChallan]]=TrafficData[[#This Row],[totalChallan]]</f>
        <v>1</v>
      </c>
      <c r="L3592" t="b">
        <f>TrafficData[[#This Row],[pendingAmount]]+TrafficData[[#This Row],[disposedAmount]]=TrafficData[[#This Row],[totalAmount]]</f>
        <v>1</v>
      </c>
      <c r="M3592" t="b">
        <f>TrafficData[[#This Row],[pendingCourt]]+TrafficData[[#This Row],[disposedCourt]]=TrafficData[[#This Row],[totalCourt]]</f>
        <v>1</v>
      </c>
      <c r="N3592" s="8" t="b">
        <f>AND(TrafficData[[#This Row],[disposedChallan]]&lt;=TrafficData[[#This Row],[totalChallan]],TrafficData[[#This Row],[pendingChallan]]&lt;=TrafficData[[#This Row],[totalChallan]])</f>
        <v>1</v>
      </c>
      <c r="O3592" s="8" t="b">
        <f>AND(TrafficData[[#This Row],[pendingAmount]]&lt;=TrafficData[[#This Row],[totalAmount]],TrafficData[[#This Row],[disposedAmount]]&lt;=TrafficData[[#This Row],[totalAmount]])</f>
        <v>1</v>
      </c>
      <c r="P3592" s="8" t="b">
        <f>AND(TrafficData[[#This Row],[pendingCourt]]&lt;=TrafficData[[#This Row],[totalCourt]],TrafficData[[#This Row],[disposedCourt]]&lt;=TrafficData[[#This Row],[totalCourt]])</f>
        <v>1</v>
      </c>
    </row>
    <row r="3593" spans="1:16">
      <c r="A3593" s="1">
        <v>45597</v>
      </c>
      <c r="B3593">
        <v>191462</v>
      </c>
      <c r="C3593">
        <v>57482</v>
      </c>
      <c r="D3593">
        <v>133980</v>
      </c>
      <c r="E3593">
        <v>222737704</v>
      </c>
      <c r="F3593">
        <v>78140180</v>
      </c>
      <c r="G3593">
        <v>300877884</v>
      </c>
      <c r="H3593">
        <v>65129</v>
      </c>
      <c r="I3593">
        <v>5952</v>
      </c>
      <c r="J3593">
        <v>71081</v>
      </c>
      <c r="K3593" t="b">
        <f>TrafficData[[#This Row],[disposedChallan]]+TrafficData[[#This Row],[pendingChallan]]=TrafficData[[#This Row],[totalChallan]]</f>
        <v>1</v>
      </c>
      <c r="L3593" t="b">
        <f>TrafficData[[#This Row],[pendingAmount]]+TrafficData[[#This Row],[disposedAmount]]=TrafficData[[#This Row],[totalAmount]]</f>
        <v>1</v>
      </c>
      <c r="M3593" t="b">
        <f>TrafficData[[#This Row],[pendingCourt]]+TrafficData[[#This Row],[disposedCourt]]=TrafficData[[#This Row],[totalCourt]]</f>
        <v>1</v>
      </c>
      <c r="N3593" s="8" t="b">
        <f>AND(TrafficData[[#This Row],[disposedChallan]]&lt;=TrafficData[[#This Row],[totalChallan]],TrafficData[[#This Row],[pendingChallan]]&lt;=TrafficData[[#This Row],[totalChallan]])</f>
        <v>1</v>
      </c>
      <c r="O3593" s="8" t="b">
        <f>AND(TrafficData[[#This Row],[pendingAmount]]&lt;=TrafficData[[#This Row],[totalAmount]],TrafficData[[#This Row],[disposedAmount]]&lt;=TrafficData[[#This Row],[totalAmount]])</f>
        <v>1</v>
      </c>
      <c r="P3593" s="8" t="b">
        <f>AND(TrafficData[[#This Row],[pendingCourt]]&lt;=TrafficData[[#This Row],[totalCourt]],TrafficData[[#This Row],[disposedCourt]]&lt;=TrafficData[[#This Row],[totalCourt]])</f>
        <v>1</v>
      </c>
    </row>
    <row r="3594" spans="1:16">
      <c r="A3594" s="1">
        <v>45598</v>
      </c>
      <c r="B3594">
        <v>243040</v>
      </c>
      <c r="C3594">
        <v>70716</v>
      </c>
      <c r="D3594">
        <v>172324</v>
      </c>
      <c r="E3594">
        <v>287555090</v>
      </c>
      <c r="F3594">
        <v>87015883</v>
      </c>
      <c r="G3594">
        <v>374570973</v>
      </c>
      <c r="H3594">
        <v>87949</v>
      </c>
      <c r="I3594">
        <v>8361</v>
      </c>
      <c r="J3594">
        <v>96310</v>
      </c>
      <c r="K3594" t="b">
        <f>TrafficData[[#This Row],[disposedChallan]]+TrafficData[[#This Row],[pendingChallan]]=TrafficData[[#This Row],[totalChallan]]</f>
        <v>1</v>
      </c>
      <c r="L3594" t="b">
        <f>TrafficData[[#This Row],[pendingAmount]]+TrafficData[[#This Row],[disposedAmount]]=TrafficData[[#This Row],[totalAmount]]</f>
        <v>1</v>
      </c>
      <c r="M3594" t="b">
        <f>TrafficData[[#This Row],[pendingCourt]]+TrafficData[[#This Row],[disposedCourt]]=TrafficData[[#This Row],[totalCourt]]</f>
        <v>1</v>
      </c>
      <c r="N3594" s="8" t="b">
        <f>AND(TrafficData[[#This Row],[disposedChallan]]&lt;=TrafficData[[#This Row],[totalChallan]],TrafficData[[#This Row],[pendingChallan]]&lt;=TrafficData[[#This Row],[totalChallan]])</f>
        <v>1</v>
      </c>
      <c r="O3594" s="8" t="b">
        <f>AND(TrafficData[[#This Row],[pendingAmount]]&lt;=TrafficData[[#This Row],[totalAmount]],TrafficData[[#This Row],[disposedAmount]]&lt;=TrafficData[[#This Row],[totalAmount]])</f>
        <v>1</v>
      </c>
      <c r="P3594" s="8" t="b">
        <f>AND(TrafficData[[#This Row],[pendingCourt]]&lt;=TrafficData[[#This Row],[totalCourt]],TrafficData[[#This Row],[disposedCourt]]&lt;=TrafficData[[#This Row],[totalCourt]])</f>
        <v>1</v>
      </c>
    </row>
    <row r="3595" spans="1:16">
      <c r="A3595" s="1">
        <v>45599</v>
      </c>
      <c r="B3595">
        <v>242004</v>
      </c>
      <c r="C3595">
        <v>67764</v>
      </c>
      <c r="D3595">
        <v>174240</v>
      </c>
      <c r="E3595">
        <v>296487483</v>
      </c>
      <c r="F3595">
        <v>76478980</v>
      </c>
      <c r="G3595">
        <v>372966463</v>
      </c>
      <c r="H3595">
        <v>93881</v>
      </c>
      <c r="I3595">
        <v>8328</v>
      </c>
      <c r="J3595">
        <v>102209</v>
      </c>
      <c r="K3595" t="b">
        <f>TrafficData[[#This Row],[disposedChallan]]+TrafficData[[#This Row],[pendingChallan]]=TrafficData[[#This Row],[totalChallan]]</f>
        <v>1</v>
      </c>
      <c r="L3595" t="b">
        <f>TrafficData[[#This Row],[pendingAmount]]+TrafficData[[#This Row],[disposedAmount]]=TrafficData[[#This Row],[totalAmount]]</f>
        <v>1</v>
      </c>
      <c r="M3595" t="b">
        <f>TrafficData[[#This Row],[pendingCourt]]+TrafficData[[#This Row],[disposedCourt]]=TrafficData[[#This Row],[totalCourt]]</f>
        <v>1</v>
      </c>
      <c r="N3595" s="8" t="b">
        <f>AND(TrafficData[[#This Row],[disposedChallan]]&lt;=TrafficData[[#This Row],[totalChallan]],TrafficData[[#This Row],[pendingChallan]]&lt;=TrafficData[[#This Row],[totalChallan]])</f>
        <v>1</v>
      </c>
      <c r="O3595" s="8" t="b">
        <f>AND(TrafficData[[#This Row],[pendingAmount]]&lt;=TrafficData[[#This Row],[totalAmount]],TrafficData[[#This Row],[disposedAmount]]&lt;=TrafficData[[#This Row],[totalAmount]])</f>
        <v>1</v>
      </c>
      <c r="P3595" s="8" t="b">
        <f>AND(TrafficData[[#This Row],[pendingCourt]]&lt;=TrafficData[[#This Row],[totalCourt]],TrafficData[[#This Row],[disposedCourt]]&lt;=TrafficData[[#This Row],[totalCourt]])</f>
        <v>1</v>
      </c>
    </row>
    <row r="3596" spans="1:16">
      <c r="A3596" s="1">
        <v>45600</v>
      </c>
      <c r="B3596">
        <v>267975</v>
      </c>
      <c r="C3596">
        <v>76293</v>
      </c>
      <c r="D3596">
        <v>191682</v>
      </c>
      <c r="E3596">
        <v>360534990</v>
      </c>
      <c r="F3596">
        <v>114891565</v>
      </c>
      <c r="G3596">
        <v>475426555</v>
      </c>
      <c r="H3596">
        <v>108495</v>
      </c>
      <c r="I3596">
        <v>9528</v>
      </c>
      <c r="J3596">
        <v>118023</v>
      </c>
      <c r="K3596" t="b">
        <f>TrafficData[[#This Row],[disposedChallan]]+TrafficData[[#This Row],[pendingChallan]]=TrafficData[[#This Row],[totalChallan]]</f>
        <v>1</v>
      </c>
      <c r="L3596" t="b">
        <f>TrafficData[[#This Row],[pendingAmount]]+TrafficData[[#This Row],[disposedAmount]]=TrafficData[[#This Row],[totalAmount]]</f>
        <v>1</v>
      </c>
      <c r="M3596" t="b">
        <f>TrafficData[[#This Row],[pendingCourt]]+TrafficData[[#This Row],[disposedCourt]]=TrafficData[[#This Row],[totalCourt]]</f>
        <v>1</v>
      </c>
      <c r="N3596" s="8" t="b">
        <f>AND(TrafficData[[#This Row],[disposedChallan]]&lt;=TrafficData[[#This Row],[totalChallan]],TrafficData[[#This Row],[pendingChallan]]&lt;=TrafficData[[#This Row],[totalChallan]])</f>
        <v>1</v>
      </c>
      <c r="O3596" s="8" t="b">
        <f>AND(TrafficData[[#This Row],[pendingAmount]]&lt;=TrafficData[[#This Row],[totalAmount]],TrafficData[[#This Row],[disposedAmount]]&lt;=TrafficData[[#This Row],[totalAmount]])</f>
        <v>1</v>
      </c>
      <c r="P3596" s="8" t="b">
        <f>AND(TrafficData[[#This Row],[pendingCourt]]&lt;=TrafficData[[#This Row],[totalCourt]],TrafficData[[#This Row],[disposedCourt]]&lt;=TrafficData[[#This Row],[totalCourt]])</f>
        <v>1</v>
      </c>
    </row>
    <row r="3597" spans="1:16">
      <c r="A3597" s="1">
        <v>45601</v>
      </c>
      <c r="B3597">
        <v>280284</v>
      </c>
      <c r="C3597">
        <v>80378</v>
      </c>
      <c r="D3597">
        <v>199906</v>
      </c>
      <c r="E3597">
        <v>383588101</v>
      </c>
      <c r="F3597">
        <v>141236394</v>
      </c>
      <c r="G3597">
        <v>524824495</v>
      </c>
      <c r="H3597">
        <v>107779</v>
      </c>
      <c r="I3597">
        <v>9714</v>
      </c>
      <c r="J3597">
        <v>117493</v>
      </c>
      <c r="K3597" t="b">
        <f>TrafficData[[#This Row],[disposedChallan]]+TrafficData[[#This Row],[pendingChallan]]=TrafficData[[#This Row],[totalChallan]]</f>
        <v>1</v>
      </c>
      <c r="L3597" t="b">
        <f>TrafficData[[#This Row],[pendingAmount]]+TrafficData[[#This Row],[disposedAmount]]=TrafficData[[#This Row],[totalAmount]]</f>
        <v>1</v>
      </c>
      <c r="M3597" t="b">
        <f>TrafficData[[#This Row],[pendingCourt]]+TrafficData[[#This Row],[disposedCourt]]=TrafficData[[#This Row],[totalCourt]]</f>
        <v>1</v>
      </c>
      <c r="N3597" s="8" t="b">
        <f>AND(TrafficData[[#This Row],[disposedChallan]]&lt;=TrafficData[[#This Row],[totalChallan]],TrafficData[[#This Row],[pendingChallan]]&lt;=TrafficData[[#This Row],[totalChallan]])</f>
        <v>1</v>
      </c>
      <c r="O3597" s="8" t="b">
        <f>AND(TrafficData[[#This Row],[pendingAmount]]&lt;=TrafficData[[#This Row],[totalAmount]],TrafficData[[#This Row],[disposedAmount]]&lt;=TrafficData[[#This Row],[totalAmount]])</f>
        <v>1</v>
      </c>
      <c r="P3597" s="8" t="b">
        <f>AND(TrafficData[[#This Row],[pendingCourt]]&lt;=TrafficData[[#This Row],[totalCourt]],TrafficData[[#This Row],[disposedCourt]]&lt;=TrafficData[[#This Row],[totalCourt]])</f>
        <v>1</v>
      </c>
    </row>
    <row r="3598" spans="1:16">
      <c r="A3598" s="1">
        <v>45602</v>
      </c>
      <c r="B3598">
        <v>283776</v>
      </c>
      <c r="C3598">
        <v>83904</v>
      </c>
      <c r="D3598">
        <v>199872</v>
      </c>
      <c r="E3598">
        <v>384915041</v>
      </c>
      <c r="F3598">
        <v>147164301</v>
      </c>
      <c r="G3598">
        <v>532079342</v>
      </c>
      <c r="H3598">
        <v>116235</v>
      </c>
      <c r="I3598">
        <v>10103</v>
      </c>
      <c r="J3598">
        <v>126338</v>
      </c>
      <c r="K3598" t="b">
        <f>TrafficData[[#This Row],[disposedChallan]]+TrafficData[[#This Row],[pendingChallan]]=TrafficData[[#This Row],[totalChallan]]</f>
        <v>1</v>
      </c>
      <c r="L3598" t="b">
        <f>TrafficData[[#This Row],[pendingAmount]]+TrafficData[[#This Row],[disposedAmount]]=TrafficData[[#This Row],[totalAmount]]</f>
        <v>1</v>
      </c>
      <c r="M3598" t="b">
        <f>TrafficData[[#This Row],[pendingCourt]]+TrafficData[[#This Row],[disposedCourt]]=TrafficData[[#This Row],[totalCourt]]</f>
        <v>1</v>
      </c>
      <c r="N3598" s="8" t="b">
        <f>AND(TrafficData[[#This Row],[disposedChallan]]&lt;=TrafficData[[#This Row],[totalChallan]],TrafficData[[#This Row],[pendingChallan]]&lt;=TrafficData[[#This Row],[totalChallan]])</f>
        <v>1</v>
      </c>
      <c r="O3598" s="8" t="b">
        <f>AND(TrafficData[[#This Row],[pendingAmount]]&lt;=TrafficData[[#This Row],[totalAmount]],TrafficData[[#This Row],[disposedAmount]]&lt;=TrafficData[[#This Row],[totalAmount]])</f>
        <v>1</v>
      </c>
      <c r="P3598" s="8" t="b">
        <f>AND(TrafficData[[#This Row],[pendingCourt]]&lt;=TrafficData[[#This Row],[totalCourt]],TrafficData[[#This Row],[disposedCourt]]&lt;=TrafficData[[#This Row],[totalCourt]])</f>
        <v>1</v>
      </c>
    </row>
    <row r="3599" spans="1:16">
      <c r="A3599" s="1">
        <v>45603</v>
      </c>
      <c r="B3599">
        <v>258982</v>
      </c>
      <c r="C3599">
        <v>76811</v>
      </c>
      <c r="D3599">
        <v>182171</v>
      </c>
      <c r="E3599">
        <v>340440896</v>
      </c>
      <c r="F3599">
        <v>130989640</v>
      </c>
      <c r="G3599">
        <v>471430536</v>
      </c>
      <c r="H3599">
        <v>112125</v>
      </c>
      <c r="I3599">
        <v>9337</v>
      </c>
      <c r="J3599">
        <v>121462</v>
      </c>
      <c r="K3599" t="b">
        <f>TrafficData[[#This Row],[disposedChallan]]+TrafficData[[#This Row],[pendingChallan]]=TrafficData[[#This Row],[totalChallan]]</f>
        <v>1</v>
      </c>
      <c r="L3599" t="b">
        <f>TrafficData[[#This Row],[pendingAmount]]+TrafficData[[#This Row],[disposedAmount]]=TrafficData[[#This Row],[totalAmount]]</f>
        <v>1</v>
      </c>
      <c r="M3599" t="b">
        <f>TrafficData[[#This Row],[pendingCourt]]+TrafficData[[#This Row],[disposedCourt]]=TrafficData[[#This Row],[totalCourt]]</f>
        <v>1</v>
      </c>
      <c r="N3599" s="8" t="b">
        <f>AND(TrafficData[[#This Row],[disposedChallan]]&lt;=TrafficData[[#This Row],[totalChallan]],TrafficData[[#This Row],[pendingChallan]]&lt;=TrafficData[[#This Row],[totalChallan]])</f>
        <v>1</v>
      </c>
      <c r="O3599" s="8" t="b">
        <f>AND(TrafficData[[#This Row],[pendingAmount]]&lt;=TrafficData[[#This Row],[totalAmount]],TrafficData[[#This Row],[disposedAmount]]&lt;=TrafficData[[#This Row],[totalAmount]])</f>
        <v>1</v>
      </c>
      <c r="P3599" s="8" t="b">
        <f>AND(TrafficData[[#This Row],[pendingCourt]]&lt;=TrafficData[[#This Row],[totalCourt]],TrafficData[[#This Row],[disposedCourt]]&lt;=TrafficData[[#This Row],[totalCourt]])</f>
        <v>1</v>
      </c>
    </row>
    <row r="3600" spans="1:16">
      <c r="A3600" s="1">
        <v>45604</v>
      </c>
      <c r="B3600">
        <v>267724</v>
      </c>
      <c r="C3600">
        <v>82164</v>
      </c>
      <c r="D3600">
        <v>185560</v>
      </c>
      <c r="E3600">
        <v>337371334</v>
      </c>
      <c r="F3600">
        <v>135156834</v>
      </c>
      <c r="G3600">
        <v>472528168</v>
      </c>
      <c r="H3600">
        <v>110255</v>
      </c>
      <c r="I3600">
        <v>9388</v>
      </c>
      <c r="J3600">
        <v>119643</v>
      </c>
      <c r="K3600" t="b">
        <f>TrafficData[[#This Row],[disposedChallan]]+TrafficData[[#This Row],[pendingChallan]]=TrafficData[[#This Row],[totalChallan]]</f>
        <v>1</v>
      </c>
      <c r="L3600" t="b">
        <f>TrafficData[[#This Row],[pendingAmount]]+TrafficData[[#This Row],[disposedAmount]]=TrafficData[[#This Row],[totalAmount]]</f>
        <v>1</v>
      </c>
      <c r="M3600" t="b">
        <f>TrafficData[[#This Row],[pendingCourt]]+TrafficData[[#This Row],[disposedCourt]]=TrafficData[[#This Row],[totalCourt]]</f>
        <v>1</v>
      </c>
      <c r="N3600" s="8" t="b">
        <f>AND(TrafficData[[#This Row],[disposedChallan]]&lt;=TrafficData[[#This Row],[totalChallan]],TrafficData[[#This Row],[pendingChallan]]&lt;=TrafficData[[#This Row],[totalChallan]])</f>
        <v>1</v>
      </c>
      <c r="O3600" s="8" t="b">
        <f>AND(TrafficData[[#This Row],[pendingAmount]]&lt;=TrafficData[[#This Row],[totalAmount]],TrafficData[[#This Row],[disposedAmount]]&lt;=TrafficData[[#This Row],[totalAmount]])</f>
        <v>1</v>
      </c>
      <c r="P3600" s="8" t="b">
        <f>AND(TrafficData[[#This Row],[pendingCourt]]&lt;=TrafficData[[#This Row],[totalCourt]],TrafficData[[#This Row],[disposedCourt]]&lt;=TrafficData[[#This Row],[totalCourt]])</f>
        <v>1</v>
      </c>
    </row>
    <row r="3601" spans="1:16">
      <c r="A3601" s="1">
        <v>45605</v>
      </c>
      <c r="B3601">
        <v>286740</v>
      </c>
      <c r="C3601">
        <v>85419</v>
      </c>
      <c r="D3601">
        <v>201321</v>
      </c>
      <c r="E3601">
        <v>349737754</v>
      </c>
      <c r="F3601">
        <v>126305616</v>
      </c>
      <c r="G3601">
        <v>476043370</v>
      </c>
      <c r="H3601">
        <v>111736</v>
      </c>
      <c r="I3601">
        <v>9875</v>
      </c>
      <c r="J3601">
        <v>121611</v>
      </c>
      <c r="K3601" t="b">
        <f>TrafficData[[#This Row],[disposedChallan]]+TrafficData[[#This Row],[pendingChallan]]=TrafficData[[#This Row],[totalChallan]]</f>
        <v>1</v>
      </c>
      <c r="L3601" t="b">
        <f>TrafficData[[#This Row],[pendingAmount]]+TrafficData[[#This Row],[disposedAmount]]=TrafficData[[#This Row],[totalAmount]]</f>
        <v>1</v>
      </c>
      <c r="M3601" t="b">
        <f>TrafficData[[#This Row],[pendingCourt]]+TrafficData[[#This Row],[disposedCourt]]=TrafficData[[#This Row],[totalCourt]]</f>
        <v>1</v>
      </c>
      <c r="N3601" s="8" t="b">
        <f>AND(TrafficData[[#This Row],[disposedChallan]]&lt;=TrafficData[[#This Row],[totalChallan]],TrafficData[[#This Row],[pendingChallan]]&lt;=TrafficData[[#This Row],[totalChallan]])</f>
        <v>1</v>
      </c>
      <c r="O3601" s="8" t="b">
        <f>AND(TrafficData[[#This Row],[pendingAmount]]&lt;=TrafficData[[#This Row],[totalAmount]],TrafficData[[#This Row],[disposedAmount]]&lt;=TrafficData[[#This Row],[totalAmount]])</f>
        <v>1</v>
      </c>
      <c r="P3601" s="8" t="b">
        <f>AND(TrafficData[[#This Row],[pendingCourt]]&lt;=TrafficData[[#This Row],[totalCourt]],TrafficData[[#This Row],[disposedCourt]]&lt;=TrafficData[[#This Row],[totalCourt]])</f>
        <v>1</v>
      </c>
    </row>
    <row r="3602" spans="1:16">
      <c r="A3602" s="1">
        <v>45606</v>
      </c>
      <c r="B3602">
        <v>270624</v>
      </c>
      <c r="C3602">
        <v>78203</v>
      </c>
      <c r="D3602">
        <v>192421</v>
      </c>
      <c r="E3602">
        <v>317319311</v>
      </c>
      <c r="F3602">
        <v>97757446</v>
      </c>
      <c r="G3602">
        <v>415076757</v>
      </c>
      <c r="H3602">
        <v>104620</v>
      </c>
      <c r="I3602">
        <v>8718</v>
      </c>
      <c r="J3602">
        <v>113338</v>
      </c>
      <c r="K3602" t="b">
        <f>TrafficData[[#This Row],[disposedChallan]]+TrafficData[[#This Row],[pendingChallan]]=TrafficData[[#This Row],[totalChallan]]</f>
        <v>1</v>
      </c>
      <c r="L3602" t="b">
        <f>TrafficData[[#This Row],[pendingAmount]]+TrafficData[[#This Row],[disposedAmount]]=TrafficData[[#This Row],[totalAmount]]</f>
        <v>1</v>
      </c>
      <c r="M3602" t="b">
        <f>TrafficData[[#This Row],[pendingCourt]]+TrafficData[[#This Row],[disposedCourt]]=TrafficData[[#This Row],[totalCourt]]</f>
        <v>1</v>
      </c>
      <c r="N3602" s="8" t="b">
        <f>AND(TrafficData[[#This Row],[disposedChallan]]&lt;=TrafficData[[#This Row],[totalChallan]],TrafficData[[#This Row],[pendingChallan]]&lt;=TrafficData[[#This Row],[totalChallan]])</f>
        <v>1</v>
      </c>
      <c r="O3602" s="8" t="b">
        <f>AND(TrafficData[[#This Row],[pendingAmount]]&lt;=TrafficData[[#This Row],[totalAmount]],TrafficData[[#This Row],[disposedAmount]]&lt;=TrafficData[[#This Row],[totalAmount]])</f>
        <v>1</v>
      </c>
      <c r="P3602" s="8" t="b">
        <f>AND(TrafficData[[#This Row],[pendingCourt]]&lt;=TrafficData[[#This Row],[totalCourt]],TrafficData[[#This Row],[disposedCourt]]&lt;=TrafficData[[#This Row],[totalCourt]])</f>
        <v>1</v>
      </c>
    </row>
    <row r="3603" spans="1:16">
      <c r="A3603" s="1">
        <v>45607</v>
      </c>
      <c r="B3603">
        <v>294651</v>
      </c>
      <c r="C3603">
        <v>83893</v>
      </c>
      <c r="D3603">
        <v>210758</v>
      </c>
      <c r="E3603">
        <v>367985050</v>
      </c>
      <c r="F3603">
        <v>130073356</v>
      </c>
      <c r="G3603">
        <v>498058406</v>
      </c>
      <c r="H3603">
        <v>119180</v>
      </c>
      <c r="I3603">
        <v>9658</v>
      </c>
      <c r="J3603">
        <v>128838</v>
      </c>
      <c r="K3603" t="b">
        <f>TrafficData[[#This Row],[disposedChallan]]+TrafficData[[#This Row],[pendingChallan]]=TrafficData[[#This Row],[totalChallan]]</f>
        <v>1</v>
      </c>
      <c r="L3603" t="b">
        <f>TrafficData[[#This Row],[pendingAmount]]+TrafficData[[#This Row],[disposedAmount]]=TrafficData[[#This Row],[totalAmount]]</f>
        <v>1</v>
      </c>
      <c r="M3603" t="b">
        <f>TrafficData[[#This Row],[pendingCourt]]+TrafficData[[#This Row],[disposedCourt]]=TrafficData[[#This Row],[totalCourt]]</f>
        <v>1</v>
      </c>
      <c r="N3603" s="8" t="b">
        <f>AND(TrafficData[[#This Row],[disposedChallan]]&lt;=TrafficData[[#This Row],[totalChallan]],TrafficData[[#This Row],[pendingChallan]]&lt;=TrafficData[[#This Row],[totalChallan]])</f>
        <v>1</v>
      </c>
      <c r="O3603" s="8" t="b">
        <f>AND(TrafficData[[#This Row],[pendingAmount]]&lt;=TrafficData[[#This Row],[totalAmount]],TrafficData[[#This Row],[disposedAmount]]&lt;=TrafficData[[#This Row],[totalAmount]])</f>
        <v>1</v>
      </c>
      <c r="P3603" s="8" t="b">
        <f>AND(TrafficData[[#This Row],[pendingCourt]]&lt;=TrafficData[[#This Row],[totalCourt]],TrafficData[[#This Row],[disposedCourt]]&lt;=TrafficData[[#This Row],[totalCourt]])</f>
        <v>1</v>
      </c>
    </row>
    <row r="3604" spans="1:16">
      <c r="A3604" s="1">
        <v>45608</v>
      </c>
      <c r="B3604">
        <v>276286</v>
      </c>
      <c r="C3604">
        <v>78387</v>
      </c>
      <c r="D3604">
        <v>197899</v>
      </c>
      <c r="E3604">
        <v>364255441</v>
      </c>
      <c r="F3604">
        <v>139670348</v>
      </c>
      <c r="G3604">
        <v>503925789</v>
      </c>
      <c r="H3604">
        <v>114259</v>
      </c>
      <c r="I3604">
        <v>9298</v>
      </c>
      <c r="J3604">
        <v>123557</v>
      </c>
      <c r="K3604" t="b">
        <f>TrafficData[[#This Row],[disposedChallan]]+TrafficData[[#This Row],[pendingChallan]]=TrafficData[[#This Row],[totalChallan]]</f>
        <v>1</v>
      </c>
      <c r="L3604" t="b">
        <f>TrafficData[[#This Row],[pendingAmount]]+TrafficData[[#This Row],[disposedAmount]]=TrafficData[[#This Row],[totalAmount]]</f>
        <v>1</v>
      </c>
      <c r="M3604" t="b">
        <f>TrafficData[[#This Row],[pendingCourt]]+TrafficData[[#This Row],[disposedCourt]]=TrafficData[[#This Row],[totalCourt]]</f>
        <v>1</v>
      </c>
      <c r="N3604" s="8" t="b">
        <f>AND(TrafficData[[#This Row],[disposedChallan]]&lt;=TrafficData[[#This Row],[totalChallan]],TrafficData[[#This Row],[pendingChallan]]&lt;=TrafficData[[#This Row],[totalChallan]])</f>
        <v>1</v>
      </c>
      <c r="O3604" s="8" t="b">
        <f>AND(TrafficData[[#This Row],[pendingAmount]]&lt;=TrafficData[[#This Row],[totalAmount]],TrafficData[[#This Row],[disposedAmount]]&lt;=TrafficData[[#This Row],[totalAmount]])</f>
        <v>1</v>
      </c>
      <c r="P3604" s="8" t="b">
        <f>AND(TrafficData[[#This Row],[pendingCourt]]&lt;=TrafficData[[#This Row],[totalCourt]],TrafficData[[#This Row],[disposedCourt]]&lt;=TrafficData[[#This Row],[totalCourt]])</f>
        <v>1</v>
      </c>
    </row>
    <row r="3605" spans="1:16">
      <c r="A3605" s="1">
        <v>45609</v>
      </c>
      <c r="B3605">
        <v>285907</v>
      </c>
      <c r="C3605">
        <v>84111</v>
      </c>
      <c r="D3605">
        <v>201796</v>
      </c>
      <c r="E3605">
        <v>379236438</v>
      </c>
      <c r="F3605">
        <v>143964994</v>
      </c>
      <c r="G3605">
        <v>523201432</v>
      </c>
      <c r="H3605">
        <v>111016</v>
      </c>
      <c r="I3605">
        <v>9891</v>
      </c>
      <c r="J3605">
        <v>120907</v>
      </c>
      <c r="K3605" t="b">
        <f>TrafficData[[#This Row],[disposedChallan]]+TrafficData[[#This Row],[pendingChallan]]=TrafficData[[#This Row],[totalChallan]]</f>
        <v>1</v>
      </c>
      <c r="L3605" t="b">
        <f>TrafficData[[#This Row],[pendingAmount]]+TrafficData[[#This Row],[disposedAmount]]=TrafficData[[#This Row],[totalAmount]]</f>
        <v>1</v>
      </c>
      <c r="M3605" t="b">
        <f>TrafficData[[#This Row],[pendingCourt]]+TrafficData[[#This Row],[disposedCourt]]=TrafficData[[#This Row],[totalCourt]]</f>
        <v>1</v>
      </c>
      <c r="N3605" s="8" t="b">
        <f>AND(TrafficData[[#This Row],[disposedChallan]]&lt;=TrafficData[[#This Row],[totalChallan]],TrafficData[[#This Row],[pendingChallan]]&lt;=TrafficData[[#This Row],[totalChallan]])</f>
        <v>1</v>
      </c>
      <c r="O3605" s="8" t="b">
        <f>AND(TrafficData[[#This Row],[pendingAmount]]&lt;=TrafficData[[#This Row],[totalAmount]],TrafficData[[#This Row],[disposedAmount]]&lt;=TrafficData[[#This Row],[totalAmount]])</f>
        <v>1</v>
      </c>
      <c r="P3605" s="8" t="b">
        <f>AND(TrafficData[[#This Row],[pendingCourt]]&lt;=TrafficData[[#This Row],[totalCourt]],TrafficData[[#This Row],[disposedCourt]]&lt;=TrafficData[[#This Row],[totalCourt]])</f>
        <v>1</v>
      </c>
    </row>
    <row r="3606" spans="1:16">
      <c r="A3606" s="1">
        <v>45610</v>
      </c>
      <c r="B3606">
        <v>272520</v>
      </c>
      <c r="C3606">
        <v>79972</v>
      </c>
      <c r="D3606">
        <v>192548</v>
      </c>
      <c r="E3606">
        <v>360761579</v>
      </c>
      <c r="F3606">
        <v>141333472</v>
      </c>
      <c r="G3606">
        <v>502095051</v>
      </c>
      <c r="H3606">
        <v>113459</v>
      </c>
      <c r="I3606">
        <v>9555</v>
      </c>
      <c r="J3606">
        <v>123014</v>
      </c>
      <c r="K3606" t="b">
        <f>TrafficData[[#This Row],[disposedChallan]]+TrafficData[[#This Row],[pendingChallan]]=TrafficData[[#This Row],[totalChallan]]</f>
        <v>1</v>
      </c>
      <c r="L3606" t="b">
        <f>TrafficData[[#This Row],[pendingAmount]]+TrafficData[[#This Row],[disposedAmount]]=TrafficData[[#This Row],[totalAmount]]</f>
        <v>1</v>
      </c>
      <c r="M3606" t="b">
        <f>TrafficData[[#This Row],[pendingCourt]]+TrafficData[[#This Row],[disposedCourt]]=TrafficData[[#This Row],[totalCourt]]</f>
        <v>1</v>
      </c>
      <c r="N3606" s="8" t="b">
        <f>AND(TrafficData[[#This Row],[disposedChallan]]&lt;=TrafficData[[#This Row],[totalChallan]],TrafficData[[#This Row],[pendingChallan]]&lt;=TrafficData[[#This Row],[totalChallan]])</f>
        <v>1</v>
      </c>
      <c r="O3606" s="8" t="b">
        <f>AND(TrafficData[[#This Row],[pendingAmount]]&lt;=TrafficData[[#This Row],[totalAmount]],TrafficData[[#This Row],[disposedAmount]]&lt;=TrafficData[[#This Row],[totalAmount]])</f>
        <v>1</v>
      </c>
      <c r="P3606" s="8" t="b">
        <f>AND(TrafficData[[#This Row],[pendingCourt]]&lt;=TrafficData[[#This Row],[totalCourt]],TrafficData[[#This Row],[disposedCourt]]&lt;=TrafficData[[#This Row],[totalCourt]])</f>
        <v>1</v>
      </c>
    </row>
    <row r="3607" spans="1:16">
      <c r="A3607" s="1">
        <v>45611</v>
      </c>
      <c r="B3607">
        <v>268287</v>
      </c>
      <c r="C3607">
        <v>80489</v>
      </c>
      <c r="D3607">
        <v>187798</v>
      </c>
      <c r="E3607">
        <v>340260293</v>
      </c>
      <c r="F3607">
        <v>134576648</v>
      </c>
      <c r="G3607">
        <v>474836941</v>
      </c>
      <c r="H3607">
        <v>106209</v>
      </c>
      <c r="I3607">
        <v>9339</v>
      </c>
      <c r="J3607">
        <v>115548</v>
      </c>
      <c r="K3607" t="b">
        <f>TrafficData[[#This Row],[disposedChallan]]+TrafficData[[#This Row],[pendingChallan]]=TrafficData[[#This Row],[totalChallan]]</f>
        <v>1</v>
      </c>
      <c r="L3607" t="b">
        <f>TrafficData[[#This Row],[pendingAmount]]+TrafficData[[#This Row],[disposedAmount]]=TrafficData[[#This Row],[totalAmount]]</f>
        <v>1</v>
      </c>
      <c r="M3607" t="b">
        <f>TrafficData[[#This Row],[pendingCourt]]+TrafficData[[#This Row],[disposedCourt]]=TrafficData[[#This Row],[totalCourt]]</f>
        <v>1</v>
      </c>
      <c r="N3607" s="8" t="b">
        <f>AND(TrafficData[[#This Row],[disposedChallan]]&lt;=TrafficData[[#This Row],[totalChallan]],TrafficData[[#This Row],[pendingChallan]]&lt;=TrafficData[[#This Row],[totalChallan]])</f>
        <v>1</v>
      </c>
      <c r="O3607" s="8" t="b">
        <f>AND(TrafficData[[#This Row],[pendingAmount]]&lt;=TrafficData[[#This Row],[totalAmount]],TrafficData[[#This Row],[disposedAmount]]&lt;=TrafficData[[#This Row],[totalAmount]])</f>
        <v>1</v>
      </c>
      <c r="P3607" s="8" t="b">
        <f>AND(TrafficData[[#This Row],[pendingCourt]]&lt;=TrafficData[[#This Row],[totalCourt]],TrafficData[[#This Row],[disposedCourt]]&lt;=TrafficData[[#This Row],[totalCourt]])</f>
        <v>1</v>
      </c>
    </row>
    <row r="3608" spans="1:16">
      <c r="A3608" s="1">
        <v>45612</v>
      </c>
      <c r="B3608">
        <v>283526</v>
      </c>
      <c r="C3608">
        <v>83499</v>
      </c>
      <c r="D3608">
        <v>200027</v>
      </c>
      <c r="E3608">
        <v>373691005</v>
      </c>
      <c r="F3608">
        <v>207700517</v>
      </c>
      <c r="G3608">
        <v>581391522</v>
      </c>
      <c r="H3608">
        <v>112488</v>
      </c>
      <c r="I3608">
        <v>9910</v>
      </c>
      <c r="J3608">
        <v>122398</v>
      </c>
      <c r="K3608" t="b">
        <f>TrafficData[[#This Row],[disposedChallan]]+TrafficData[[#This Row],[pendingChallan]]=TrafficData[[#This Row],[totalChallan]]</f>
        <v>1</v>
      </c>
      <c r="L3608" t="b">
        <f>TrafficData[[#This Row],[pendingAmount]]+TrafficData[[#This Row],[disposedAmount]]=TrafficData[[#This Row],[totalAmount]]</f>
        <v>1</v>
      </c>
      <c r="M3608" t="b">
        <f>TrafficData[[#This Row],[pendingCourt]]+TrafficData[[#This Row],[disposedCourt]]=TrafficData[[#This Row],[totalCourt]]</f>
        <v>1</v>
      </c>
      <c r="N3608" s="8" t="b">
        <f>AND(TrafficData[[#This Row],[disposedChallan]]&lt;=TrafficData[[#This Row],[totalChallan]],TrafficData[[#This Row],[pendingChallan]]&lt;=TrafficData[[#This Row],[totalChallan]])</f>
        <v>1</v>
      </c>
      <c r="O3608" s="8" t="b">
        <f>AND(TrafficData[[#This Row],[pendingAmount]]&lt;=TrafficData[[#This Row],[totalAmount]],TrafficData[[#This Row],[disposedAmount]]&lt;=TrafficData[[#This Row],[totalAmount]])</f>
        <v>1</v>
      </c>
      <c r="P3608" s="8" t="b">
        <f>AND(TrafficData[[#This Row],[pendingCourt]]&lt;=TrafficData[[#This Row],[totalCourt]],TrafficData[[#This Row],[disposedCourt]]&lt;=TrafficData[[#This Row],[totalCourt]])</f>
        <v>1</v>
      </c>
    </row>
    <row r="3609" spans="1:16">
      <c r="A3609" s="1">
        <v>45613</v>
      </c>
      <c r="B3609">
        <v>271760</v>
      </c>
      <c r="C3609">
        <v>77031</v>
      </c>
      <c r="D3609">
        <v>194729</v>
      </c>
      <c r="E3609">
        <v>333649608</v>
      </c>
      <c r="F3609">
        <v>105372287</v>
      </c>
      <c r="G3609">
        <v>439021895</v>
      </c>
      <c r="H3609">
        <v>110046</v>
      </c>
      <c r="I3609">
        <v>9417</v>
      </c>
      <c r="J3609">
        <v>119463</v>
      </c>
      <c r="K3609" t="b">
        <f>TrafficData[[#This Row],[disposedChallan]]+TrafficData[[#This Row],[pendingChallan]]=TrafficData[[#This Row],[totalChallan]]</f>
        <v>1</v>
      </c>
      <c r="L3609" t="b">
        <f>TrafficData[[#This Row],[pendingAmount]]+TrafficData[[#This Row],[disposedAmount]]=TrafficData[[#This Row],[totalAmount]]</f>
        <v>1</v>
      </c>
      <c r="M3609" t="b">
        <f>TrafficData[[#This Row],[pendingCourt]]+TrafficData[[#This Row],[disposedCourt]]=TrafficData[[#This Row],[totalCourt]]</f>
        <v>1</v>
      </c>
      <c r="N3609" s="8" t="b">
        <f>AND(TrafficData[[#This Row],[disposedChallan]]&lt;=TrafficData[[#This Row],[totalChallan]],TrafficData[[#This Row],[pendingChallan]]&lt;=TrafficData[[#This Row],[totalChallan]])</f>
        <v>1</v>
      </c>
      <c r="O3609" s="8" t="b">
        <f>AND(TrafficData[[#This Row],[pendingAmount]]&lt;=TrafficData[[#This Row],[totalAmount]],TrafficData[[#This Row],[disposedAmount]]&lt;=TrafficData[[#This Row],[totalAmount]])</f>
        <v>1</v>
      </c>
      <c r="P3609" s="8" t="b">
        <f>AND(TrafficData[[#This Row],[pendingCourt]]&lt;=TrafficData[[#This Row],[totalCourt]],TrafficData[[#This Row],[disposedCourt]]&lt;=TrafficData[[#This Row],[totalCourt]])</f>
        <v>1</v>
      </c>
    </row>
    <row r="3610" spans="1:16">
      <c r="A3610" s="1">
        <v>45614</v>
      </c>
      <c r="B3610">
        <v>286688</v>
      </c>
      <c r="C3610">
        <v>82895</v>
      </c>
      <c r="D3610">
        <v>203793</v>
      </c>
      <c r="E3610">
        <v>374286146</v>
      </c>
      <c r="F3610">
        <v>130906391</v>
      </c>
      <c r="G3610">
        <v>505192537</v>
      </c>
      <c r="H3610">
        <v>118668</v>
      </c>
      <c r="I3610">
        <v>10394</v>
      </c>
      <c r="J3610">
        <v>129062</v>
      </c>
      <c r="K3610" t="b">
        <f>TrafficData[[#This Row],[disposedChallan]]+TrafficData[[#This Row],[pendingChallan]]=TrafficData[[#This Row],[totalChallan]]</f>
        <v>1</v>
      </c>
      <c r="L3610" t="b">
        <f>TrafficData[[#This Row],[pendingAmount]]+TrafficData[[#This Row],[disposedAmount]]=TrafficData[[#This Row],[totalAmount]]</f>
        <v>1</v>
      </c>
      <c r="M3610" t="b">
        <f>TrafficData[[#This Row],[pendingCourt]]+TrafficData[[#This Row],[disposedCourt]]=TrafficData[[#This Row],[totalCourt]]</f>
        <v>1</v>
      </c>
      <c r="N3610" s="8" t="b">
        <f>AND(TrafficData[[#This Row],[disposedChallan]]&lt;=TrafficData[[#This Row],[totalChallan]],TrafficData[[#This Row],[pendingChallan]]&lt;=TrafficData[[#This Row],[totalChallan]])</f>
        <v>1</v>
      </c>
      <c r="O3610" s="8" t="b">
        <f>AND(TrafficData[[#This Row],[pendingAmount]]&lt;=TrafficData[[#This Row],[totalAmount]],TrafficData[[#This Row],[disposedAmount]]&lt;=TrafficData[[#This Row],[totalAmount]])</f>
        <v>1</v>
      </c>
      <c r="P3610" s="8" t="b">
        <f>AND(TrafficData[[#This Row],[pendingCourt]]&lt;=TrafficData[[#This Row],[totalCourt]],TrafficData[[#This Row],[disposedCourt]]&lt;=TrafficData[[#This Row],[totalCourt]])</f>
        <v>1</v>
      </c>
    </row>
    <row r="3611" spans="1:16">
      <c r="A3611" s="1">
        <v>45615</v>
      </c>
      <c r="B3611">
        <v>295382</v>
      </c>
      <c r="C3611">
        <v>83903</v>
      </c>
      <c r="D3611">
        <v>211479</v>
      </c>
      <c r="E3611">
        <v>393743345</v>
      </c>
      <c r="F3611">
        <v>140991241</v>
      </c>
      <c r="G3611">
        <v>534734586</v>
      </c>
      <c r="H3611">
        <v>122091</v>
      </c>
      <c r="I3611">
        <v>10745</v>
      </c>
      <c r="J3611">
        <v>132836</v>
      </c>
      <c r="K3611" t="b">
        <f>TrafficData[[#This Row],[disposedChallan]]+TrafficData[[#This Row],[pendingChallan]]=TrafficData[[#This Row],[totalChallan]]</f>
        <v>1</v>
      </c>
      <c r="L3611" t="b">
        <f>TrafficData[[#This Row],[pendingAmount]]+TrafficData[[#This Row],[disposedAmount]]=TrafficData[[#This Row],[totalAmount]]</f>
        <v>1</v>
      </c>
      <c r="M3611" t="b">
        <f>TrafficData[[#This Row],[pendingCourt]]+TrafficData[[#This Row],[disposedCourt]]=TrafficData[[#This Row],[totalCourt]]</f>
        <v>1</v>
      </c>
      <c r="N3611" s="8" t="b">
        <f>AND(TrafficData[[#This Row],[disposedChallan]]&lt;=TrafficData[[#This Row],[totalChallan]],TrafficData[[#This Row],[pendingChallan]]&lt;=TrafficData[[#This Row],[totalChallan]])</f>
        <v>1</v>
      </c>
      <c r="O3611" s="8" t="b">
        <f>AND(TrafficData[[#This Row],[pendingAmount]]&lt;=TrafficData[[#This Row],[totalAmount]],TrafficData[[#This Row],[disposedAmount]]&lt;=TrafficData[[#This Row],[totalAmount]])</f>
        <v>1</v>
      </c>
      <c r="P3611" s="8" t="b">
        <f>AND(TrafficData[[#This Row],[pendingCourt]]&lt;=TrafficData[[#This Row],[totalCourt]],TrafficData[[#This Row],[disposedCourt]]&lt;=TrafficData[[#This Row],[totalCourt]])</f>
        <v>1</v>
      </c>
    </row>
    <row r="3612" spans="1:16">
      <c r="A3612" s="1">
        <v>45616</v>
      </c>
      <c r="B3612">
        <v>294187</v>
      </c>
      <c r="C3612">
        <v>85359</v>
      </c>
      <c r="D3612">
        <v>208828</v>
      </c>
      <c r="E3612">
        <v>384390545</v>
      </c>
      <c r="F3612">
        <v>143763283</v>
      </c>
      <c r="G3612">
        <v>528153828</v>
      </c>
      <c r="H3612">
        <v>119260</v>
      </c>
      <c r="I3612">
        <v>10187</v>
      </c>
      <c r="J3612">
        <v>129447</v>
      </c>
      <c r="K3612" t="b">
        <f>TrafficData[[#This Row],[disposedChallan]]+TrafficData[[#This Row],[pendingChallan]]=TrafficData[[#This Row],[totalChallan]]</f>
        <v>1</v>
      </c>
      <c r="L3612" t="b">
        <f>TrafficData[[#This Row],[pendingAmount]]+TrafficData[[#This Row],[disposedAmount]]=TrafficData[[#This Row],[totalAmount]]</f>
        <v>1</v>
      </c>
      <c r="M3612" t="b">
        <f>TrafficData[[#This Row],[pendingCourt]]+TrafficData[[#This Row],[disposedCourt]]=TrafficData[[#This Row],[totalCourt]]</f>
        <v>1</v>
      </c>
      <c r="N3612" s="8" t="b">
        <f>AND(TrafficData[[#This Row],[disposedChallan]]&lt;=TrafficData[[#This Row],[totalChallan]],TrafficData[[#This Row],[pendingChallan]]&lt;=TrafficData[[#This Row],[totalChallan]])</f>
        <v>1</v>
      </c>
      <c r="O3612" s="8" t="b">
        <f>AND(TrafficData[[#This Row],[pendingAmount]]&lt;=TrafficData[[#This Row],[totalAmount]],TrafficData[[#This Row],[disposedAmount]]&lt;=TrafficData[[#This Row],[totalAmount]])</f>
        <v>1</v>
      </c>
      <c r="P3612" s="8" t="b">
        <f>AND(TrafficData[[#This Row],[pendingCourt]]&lt;=TrafficData[[#This Row],[totalCourt]],TrafficData[[#This Row],[disposedCourt]]&lt;=TrafficData[[#This Row],[totalCourt]])</f>
        <v>1</v>
      </c>
    </row>
    <row r="3613" spans="1:16">
      <c r="A3613" s="1">
        <v>45617</v>
      </c>
      <c r="B3613">
        <v>300821</v>
      </c>
      <c r="C3613">
        <v>85921</v>
      </c>
      <c r="D3613">
        <v>214900</v>
      </c>
      <c r="E3613">
        <v>384635464</v>
      </c>
      <c r="F3613">
        <v>154419117</v>
      </c>
      <c r="G3613">
        <v>539054581</v>
      </c>
      <c r="H3613">
        <v>118963</v>
      </c>
      <c r="I3613">
        <v>9827</v>
      </c>
      <c r="J3613">
        <v>128790</v>
      </c>
      <c r="K3613" t="b">
        <f>TrafficData[[#This Row],[disposedChallan]]+TrafficData[[#This Row],[pendingChallan]]=TrafficData[[#This Row],[totalChallan]]</f>
        <v>1</v>
      </c>
      <c r="L3613" t="b">
        <f>TrafficData[[#This Row],[pendingAmount]]+TrafficData[[#This Row],[disposedAmount]]=TrafficData[[#This Row],[totalAmount]]</f>
        <v>1</v>
      </c>
      <c r="M3613" t="b">
        <f>TrafficData[[#This Row],[pendingCourt]]+TrafficData[[#This Row],[disposedCourt]]=TrafficData[[#This Row],[totalCourt]]</f>
        <v>1</v>
      </c>
      <c r="N3613" s="8" t="b">
        <f>AND(TrafficData[[#This Row],[disposedChallan]]&lt;=TrafficData[[#This Row],[totalChallan]],TrafficData[[#This Row],[pendingChallan]]&lt;=TrafficData[[#This Row],[totalChallan]])</f>
        <v>1</v>
      </c>
      <c r="O3613" s="8" t="b">
        <f>AND(TrafficData[[#This Row],[pendingAmount]]&lt;=TrafficData[[#This Row],[totalAmount]],TrafficData[[#This Row],[disposedAmount]]&lt;=TrafficData[[#This Row],[totalAmount]])</f>
        <v>1</v>
      </c>
      <c r="P3613" s="8" t="b">
        <f>AND(TrafficData[[#This Row],[pendingCourt]]&lt;=TrafficData[[#This Row],[totalCourt]],TrafficData[[#This Row],[disposedCourt]]&lt;=TrafficData[[#This Row],[totalCourt]])</f>
        <v>1</v>
      </c>
    </row>
    <row r="3614" spans="1:16">
      <c r="A3614" s="1">
        <v>45618</v>
      </c>
      <c r="B3614">
        <v>306500</v>
      </c>
      <c r="C3614">
        <v>87742</v>
      </c>
      <c r="D3614">
        <v>218758</v>
      </c>
      <c r="E3614">
        <v>381545193</v>
      </c>
      <c r="F3614">
        <v>148302324</v>
      </c>
      <c r="G3614">
        <v>529847517</v>
      </c>
      <c r="H3614">
        <v>119215</v>
      </c>
      <c r="I3614">
        <v>10354</v>
      </c>
      <c r="J3614">
        <v>129569</v>
      </c>
      <c r="K3614" t="b">
        <f>TrafficData[[#This Row],[disposedChallan]]+TrafficData[[#This Row],[pendingChallan]]=TrafficData[[#This Row],[totalChallan]]</f>
        <v>1</v>
      </c>
      <c r="L3614" t="b">
        <f>TrafficData[[#This Row],[pendingAmount]]+TrafficData[[#This Row],[disposedAmount]]=TrafficData[[#This Row],[totalAmount]]</f>
        <v>1</v>
      </c>
      <c r="M3614" t="b">
        <f>TrafficData[[#This Row],[pendingCourt]]+TrafficData[[#This Row],[disposedCourt]]=TrafficData[[#This Row],[totalCourt]]</f>
        <v>1</v>
      </c>
      <c r="N3614" s="8" t="b">
        <f>AND(TrafficData[[#This Row],[disposedChallan]]&lt;=TrafficData[[#This Row],[totalChallan]],TrafficData[[#This Row],[pendingChallan]]&lt;=TrafficData[[#This Row],[totalChallan]])</f>
        <v>1</v>
      </c>
      <c r="O3614" s="8" t="b">
        <f>AND(TrafficData[[#This Row],[pendingAmount]]&lt;=TrafficData[[#This Row],[totalAmount]],TrafficData[[#This Row],[disposedAmount]]&lt;=TrafficData[[#This Row],[totalAmount]])</f>
        <v>1</v>
      </c>
      <c r="P3614" s="8" t="b">
        <f>AND(TrafficData[[#This Row],[pendingCourt]]&lt;=TrafficData[[#This Row],[totalCourt]],TrafficData[[#This Row],[disposedCourt]]&lt;=TrafficData[[#This Row],[totalCourt]])</f>
        <v>1</v>
      </c>
    </row>
    <row r="3615" spans="1:16">
      <c r="A3615" s="1">
        <v>45619</v>
      </c>
      <c r="B3615">
        <v>292464</v>
      </c>
      <c r="C3615">
        <v>87272</v>
      </c>
      <c r="D3615">
        <v>205192</v>
      </c>
      <c r="E3615">
        <v>352728809</v>
      </c>
      <c r="F3615">
        <v>132060653</v>
      </c>
      <c r="G3615">
        <v>484789462</v>
      </c>
      <c r="H3615">
        <v>115139</v>
      </c>
      <c r="I3615">
        <v>10371</v>
      </c>
      <c r="J3615">
        <v>125510</v>
      </c>
      <c r="K3615" t="b">
        <f>TrafficData[[#This Row],[disposedChallan]]+TrafficData[[#This Row],[pendingChallan]]=TrafficData[[#This Row],[totalChallan]]</f>
        <v>1</v>
      </c>
      <c r="L3615" t="b">
        <f>TrafficData[[#This Row],[pendingAmount]]+TrafficData[[#This Row],[disposedAmount]]=TrafficData[[#This Row],[totalAmount]]</f>
        <v>1</v>
      </c>
      <c r="M3615" t="b">
        <f>TrafficData[[#This Row],[pendingCourt]]+TrafficData[[#This Row],[disposedCourt]]=TrafficData[[#This Row],[totalCourt]]</f>
        <v>1</v>
      </c>
      <c r="N3615" s="8" t="b">
        <f>AND(TrafficData[[#This Row],[disposedChallan]]&lt;=TrafficData[[#This Row],[totalChallan]],TrafficData[[#This Row],[pendingChallan]]&lt;=TrafficData[[#This Row],[totalChallan]])</f>
        <v>1</v>
      </c>
      <c r="O3615" s="8" t="b">
        <f>AND(TrafficData[[#This Row],[pendingAmount]]&lt;=TrafficData[[#This Row],[totalAmount]],TrafficData[[#This Row],[disposedAmount]]&lt;=TrafficData[[#This Row],[totalAmount]])</f>
        <v>1</v>
      </c>
      <c r="P3615" s="8" t="b">
        <f>AND(TrafficData[[#This Row],[pendingCourt]]&lt;=TrafficData[[#This Row],[totalCourt]],TrafficData[[#This Row],[disposedCourt]]&lt;=TrafficData[[#This Row],[totalCourt]])</f>
        <v>1</v>
      </c>
    </row>
    <row r="3616" spans="1:16">
      <c r="A3616" s="1">
        <v>45620</v>
      </c>
      <c r="B3616">
        <v>268434</v>
      </c>
      <c r="C3616">
        <v>75231</v>
      </c>
      <c r="D3616">
        <v>193203</v>
      </c>
      <c r="E3616">
        <v>308122919</v>
      </c>
      <c r="F3616">
        <v>96283887</v>
      </c>
      <c r="G3616">
        <v>404406806</v>
      </c>
      <c r="H3616">
        <v>102374</v>
      </c>
      <c r="I3616">
        <v>8562</v>
      </c>
      <c r="J3616">
        <v>110936</v>
      </c>
      <c r="K3616" t="b">
        <f>TrafficData[[#This Row],[disposedChallan]]+TrafficData[[#This Row],[pendingChallan]]=TrafficData[[#This Row],[totalChallan]]</f>
        <v>1</v>
      </c>
      <c r="L3616" t="b">
        <f>TrafficData[[#This Row],[pendingAmount]]+TrafficData[[#This Row],[disposedAmount]]=TrafficData[[#This Row],[totalAmount]]</f>
        <v>1</v>
      </c>
      <c r="M3616" t="b">
        <f>TrafficData[[#This Row],[pendingCourt]]+TrafficData[[#This Row],[disposedCourt]]=TrafficData[[#This Row],[totalCourt]]</f>
        <v>1</v>
      </c>
      <c r="N3616" s="8" t="b">
        <f>AND(TrafficData[[#This Row],[disposedChallan]]&lt;=TrafficData[[#This Row],[totalChallan]],TrafficData[[#This Row],[pendingChallan]]&lt;=TrafficData[[#This Row],[totalChallan]])</f>
        <v>1</v>
      </c>
      <c r="O3616" s="8" t="b">
        <f>AND(TrafficData[[#This Row],[pendingAmount]]&lt;=TrafficData[[#This Row],[totalAmount]],TrafficData[[#This Row],[disposedAmount]]&lt;=TrafficData[[#This Row],[totalAmount]])</f>
        <v>1</v>
      </c>
      <c r="P3616" s="8" t="b">
        <f>AND(TrafficData[[#This Row],[pendingCourt]]&lt;=TrafficData[[#This Row],[totalCourt]],TrafficData[[#This Row],[disposedCourt]]&lt;=TrafficData[[#This Row],[totalCourt]])</f>
        <v>1</v>
      </c>
    </row>
    <row r="3617" spans="1:16">
      <c r="A3617" s="1">
        <v>45621</v>
      </c>
      <c r="B3617">
        <v>287667</v>
      </c>
      <c r="C3617">
        <v>80721</v>
      </c>
      <c r="D3617">
        <v>206946</v>
      </c>
      <c r="E3617">
        <v>359705257</v>
      </c>
      <c r="F3617">
        <v>127361618</v>
      </c>
      <c r="G3617">
        <v>487066875</v>
      </c>
      <c r="H3617">
        <v>115998</v>
      </c>
      <c r="I3617">
        <v>9893</v>
      </c>
      <c r="J3617">
        <v>125891</v>
      </c>
      <c r="K3617" t="b">
        <f>TrafficData[[#This Row],[disposedChallan]]+TrafficData[[#This Row],[pendingChallan]]=TrafficData[[#This Row],[totalChallan]]</f>
        <v>1</v>
      </c>
      <c r="L3617" t="b">
        <f>TrafficData[[#This Row],[pendingAmount]]+TrafficData[[#This Row],[disposedAmount]]=TrafficData[[#This Row],[totalAmount]]</f>
        <v>1</v>
      </c>
      <c r="M3617" t="b">
        <f>TrafficData[[#This Row],[pendingCourt]]+TrafficData[[#This Row],[disposedCourt]]=TrafficData[[#This Row],[totalCourt]]</f>
        <v>1</v>
      </c>
      <c r="N3617" s="8" t="b">
        <f>AND(TrafficData[[#This Row],[disposedChallan]]&lt;=TrafficData[[#This Row],[totalChallan]],TrafficData[[#This Row],[pendingChallan]]&lt;=TrafficData[[#This Row],[totalChallan]])</f>
        <v>1</v>
      </c>
      <c r="O3617" s="8" t="b">
        <f>AND(TrafficData[[#This Row],[pendingAmount]]&lt;=TrafficData[[#This Row],[totalAmount]],TrafficData[[#This Row],[disposedAmount]]&lt;=TrafficData[[#This Row],[totalAmount]])</f>
        <v>1</v>
      </c>
      <c r="P3617" s="8" t="b">
        <f>AND(TrafficData[[#This Row],[pendingCourt]]&lt;=TrafficData[[#This Row],[totalCourt]],TrafficData[[#This Row],[disposedCourt]]&lt;=TrafficData[[#This Row],[totalCourt]])</f>
        <v>1</v>
      </c>
    </row>
    <row r="3618" spans="1:16">
      <c r="A3618" s="1">
        <v>45622</v>
      </c>
      <c r="B3618">
        <v>280952</v>
      </c>
      <c r="C3618">
        <v>78216</v>
      </c>
      <c r="D3618">
        <v>202736</v>
      </c>
      <c r="E3618">
        <v>419555862</v>
      </c>
      <c r="F3618">
        <v>138107954</v>
      </c>
      <c r="G3618">
        <v>557663816</v>
      </c>
      <c r="H3618">
        <v>125783</v>
      </c>
      <c r="I3618">
        <v>10904</v>
      </c>
      <c r="J3618">
        <v>136687</v>
      </c>
      <c r="K3618" t="b">
        <f>TrafficData[[#This Row],[disposedChallan]]+TrafficData[[#This Row],[pendingChallan]]=TrafficData[[#This Row],[totalChallan]]</f>
        <v>1</v>
      </c>
      <c r="L3618" t="b">
        <f>TrafficData[[#This Row],[pendingAmount]]+TrafficData[[#This Row],[disposedAmount]]=TrafficData[[#This Row],[totalAmount]]</f>
        <v>1</v>
      </c>
      <c r="M3618" t="b">
        <f>TrafficData[[#This Row],[pendingCourt]]+TrafficData[[#This Row],[disposedCourt]]=TrafficData[[#This Row],[totalCourt]]</f>
        <v>1</v>
      </c>
      <c r="N3618" s="8" t="b">
        <f>AND(TrafficData[[#This Row],[disposedChallan]]&lt;=TrafficData[[#This Row],[totalChallan]],TrafficData[[#This Row],[pendingChallan]]&lt;=TrafficData[[#This Row],[totalChallan]])</f>
        <v>1</v>
      </c>
      <c r="O3618" s="8" t="b">
        <f>AND(TrafficData[[#This Row],[pendingAmount]]&lt;=TrafficData[[#This Row],[totalAmount]],TrafficData[[#This Row],[disposedAmount]]&lt;=TrafficData[[#This Row],[totalAmount]])</f>
        <v>1</v>
      </c>
      <c r="P3618" s="8" t="b">
        <f>AND(TrafficData[[#This Row],[pendingCourt]]&lt;=TrafficData[[#This Row],[totalCourt]],TrafficData[[#This Row],[disposedCourt]]&lt;=TrafficData[[#This Row],[totalCourt]])</f>
        <v>1</v>
      </c>
    </row>
    <row r="3619" spans="1:16">
      <c r="A3619" s="1">
        <v>45623</v>
      </c>
      <c r="B3619">
        <v>303156</v>
      </c>
      <c r="C3619">
        <v>86640</v>
      </c>
      <c r="D3619">
        <v>216516</v>
      </c>
      <c r="E3619">
        <v>450166958</v>
      </c>
      <c r="F3619">
        <v>147107541</v>
      </c>
      <c r="G3619">
        <v>597274499</v>
      </c>
      <c r="H3619">
        <v>131992</v>
      </c>
      <c r="I3619">
        <v>11373</v>
      </c>
      <c r="J3619">
        <v>143365</v>
      </c>
      <c r="K3619" t="b">
        <f>TrafficData[[#This Row],[disposedChallan]]+TrafficData[[#This Row],[pendingChallan]]=TrafficData[[#This Row],[totalChallan]]</f>
        <v>1</v>
      </c>
      <c r="L3619" t="b">
        <f>TrafficData[[#This Row],[pendingAmount]]+TrafficData[[#This Row],[disposedAmount]]=TrafficData[[#This Row],[totalAmount]]</f>
        <v>1</v>
      </c>
      <c r="M3619" t="b">
        <f>TrafficData[[#This Row],[pendingCourt]]+TrafficData[[#This Row],[disposedCourt]]=TrafficData[[#This Row],[totalCourt]]</f>
        <v>1</v>
      </c>
      <c r="N3619" s="8" t="b">
        <f>AND(TrafficData[[#This Row],[disposedChallan]]&lt;=TrafficData[[#This Row],[totalChallan]],TrafficData[[#This Row],[pendingChallan]]&lt;=TrafficData[[#This Row],[totalChallan]])</f>
        <v>1</v>
      </c>
      <c r="O3619" s="8" t="b">
        <f>AND(TrafficData[[#This Row],[pendingAmount]]&lt;=TrafficData[[#This Row],[totalAmount]],TrafficData[[#This Row],[disposedAmount]]&lt;=TrafficData[[#This Row],[totalAmount]])</f>
        <v>1</v>
      </c>
      <c r="P3619" s="8" t="b">
        <f>AND(TrafficData[[#This Row],[pendingCourt]]&lt;=TrafficData[[#This Row],[totalCourt]],TrafficData[[#This Row],[disposedCourt]]&lt;=TrafficData[[#This Row],[totalCourt]])</f>
        <v>1</v>
      </c>
    </row>
    <row r="3620" spans="1:16">
      <c r="A3620" s="1">
        <v>45624</v>
      </c>
      <c r="B3620">
        <v>296184</v>
      </c>
      <c r="C3620">
        <v>82312</v>
      </c>
      <c r="D3620">
        <v>213872</v>
      </c>
      <c r="E3620">
        <v>440380503</v>
      </c>
      <c r="F3620">
        <v>138101364</v>
      </c>
      <c r="G3620">
        <v>578481867</v>
      </c>
      <c r="H3620">
        <v>130159</v>
      </c>
      <c r="I3620">
        <v>10644</v>
      </c>
      <c r="J3620">
        <v>140803</v>
      </c>
      <c r="K3620" t="b">
        <f>TrafficData[[#This Row],[disposedChallan]]+TrafficData[[#This Row],[pendingChallan]]=TrafficData[[#This Row],[totalChallan]]</f>
        <v>1</v>
      </c>
      <c r="L3620" t="b">
        <f>TrafficData[[#This Row],[pendingAmount]]+TrafficData[[#This Row],[disposedAmount]]=TrafficData[[#This Row],[totalAmount]]</f>
        <v>1</v>
      </c>
      <c r="M3620" t="b">
        <f>TrafficData[[#This Row],[pendingCourt]]+TrafficData[[#This Row],[disposedCourt]]=TrafficData[[#This Row],[totalCourt]]</f>
        <v>1</v>
      </c>
      <c r="N3620" s="8" t="b">
        <f>AND(TrafficData[[#This Row],[disposedChallan]]&lt;=TrafficData[[#This Row],[totalChallan]],TrafficData[[#This Row],[pendingChallan]]&lt;=TrafficData[[#This Row],[totalChallan]])</f>
        <v>1</v>
      </c>
      <c r="O3620" s="8" t="b">
        <f>AND(TrafficData[[#This Row],[pendingAmount]]&lt;=TrafficData[[#This Row],[totalAmount]],TrafficData[[#This Row],[disposedAmount]]&lt;=TrafficData[[#This Row],[totalAmount]])</f>
        <v>1</v>
      </c>
      <c r="P3620" s="8" t="b">
        <f>AND(TrafficData[[#This Row],[pendingCourt]]&lt;=TrafficData[[#This Row],[totalCourt]],TrafficData[[#This Row],[disposedCourt]]&lt;=TrafficData[[#This Row],[totalCourt]])</f>
        <v>1</v>
      </c>
    </row>
    <row r="3621" spans="1:16">
      <c r="A3621" s="1">
        <v>45625</v>
      </c>
      <c r="B3621">
        <v>297645</v>
      </c>
      <c r="C3621">
        <v>80714</v>
      </c>
      <c r="D3621">
        <v>216931</v>
      </c>
      <c r="E3621">
        <v>451088717</v>
      </c>
      <c r="F3621">
        <v>127998141</v>
      </c>
      <c r="G3621">
        <v>579086858</v>
      </c>
      <c r="H3621">
        <v>136032</v>
      </c>
      <c r="I3621">
        <v>10716</v>
      </c>
      <c r="J3621">
        <v>146748</v>
      </c>
      <c r="K3621" t="b">
        <f>TrafficData[[#This Row],[disposedChallan]]+TrafficData[[#This Row],[pendingChallan]]=TrafficData[[#This Row],[totalChallan]]</f>
        <v>1</v>
      </c>
      <c r="L3621" t="b">
        <f>TrafficData[[#This Row],[pendingAmount]]+TrafficData[[#This Row],[disposedAmount]]=TrafficData[[#This Row],[totalAmount]]</f>
        <v>1</v>
      </c>
      <c r="M3621" t="b">
        <f>TrafficData[[#This Row],[pendingCourt]]+TrafficData[[#This Row],[disposedCourt]]=TrafficData[[#This Row],[totalCourt]]</f>
        <v>1</v>
      </c>
      <c r="N3621" s="8" t="b">
        <f>AND(TrafficData[[#This Row],[disposedChallan]]&lt;=TrafficData[[#This Row],[totalChallan]],TrafficData[[#This Row],[pendingChallan]]&lt;=TrafficData[[#This Row],[totalChallan]])</f>
        <v>1</v>
      </c>
      <c r="O3621" s="8" t="b">
        <f>AND(TrafficData[[#This Row],[pendingAmount]]&lt;=TrafficData[[#This Row],[totalAmount]],TrafficData[[#This Row],[disposedAmount]]&lt;=TrafficData[[#This Row],[totalAmount]])</f>
        <v>1</v>
      </c>
      <c r="P3621" s="8" t="b">
        <f>AND(TrafficData[[#This Row],[pendingCourt]]&lt;=TrafficData[[#This Row],[totalCourt]],TrafficData[[#This Row],[disposedCourt]]&lt;=TrafficData[[#This Row],[totalCourt]])</f>
        <v>1</v>
      </c>
    </row>
    <row r="3622" spans="1:16">
      <c r="A3622" s="1">
        <v>45626</v>
      </c>
      <c r="B3622">
        <v>267802</v>
      </c>
      <c r="C3622">
        <v>73336</v>
      </c>
      <c r="D3622">
        <v>194466</v>
      </c>
      <c r="E3622">
        <v>417675223</v>
      </c>
      <c r="F3622">
        <v>112590697</v>
      </c>
      <c r="G3622">
        <v>530265920</v>
      </c>
      <c r="H3622">
        <v>123931</v>
      </c>
      <c r="I3622">
        <v>10019</v>
      </c>
      <c r="J3622">
        <v>133950</v>
      </c>
      <c r="K3622" t="b">
        <f>TrafficData[[#This Row],[disposedChallan]]+TrafficData[[#This Row],[pendingChallan]]=TrafficData[[#This Row],[totalChallan]]</f>
        <v>1</v>
      </c>
      <c r="L3622" t="b">
        <f>TrafficData[[#This Row],[pendingAmount]]+TrafficData[[#This Row],[disposedAmount]]=TrafficData[[#This Row],[totalAmount]]</f>
        <v>1</v>
      </c>
      <c r="M3622" t="b">
        <f>TrafficData[[#This Row],[pendingCourt]]+TrafficData[[#This Row],[disposedCourt]]=TrafficData[[#This Row],[totalCourt]]</f>
        <v>1</v>
      </c>
      <c r="N3622" s="8" t="b">
        <f>AND(TrafficData[[#This Row],[disposedChallan]]&lt;=TrafficData[[#This Row],[totalChallan]],TrafficData[[#This Row],[pendingChallan]]&lt;=TrafficData[[#This Row],[totalChallan]])</f>
        <v>1</v>
      </c>
      <c r="O3622" s="8" t="b">
        <f>AND(TrafficData[[#This Row],[pendingAmount]]&lt;=TrafficData[[#This Row],[totalAmount]],TrafficData[[#This Row],[disposedAmount]]&lt;=TrafficData[[#This Row],[totalAmount]])</f>
        <v>1</v>
      </c>
      <c r="P3622" s="8" t="b">
        <f>AND(TrafficData[[#This Row],[pendingCourt]]&lt;=TrafficData[[#This Row],[totalCourt]],TrafficData[[#This Row],[disposedCourt]]&lt;=TrafficData[[#This Row],[totalCourt]])</f>
        <v>1</v>
      </c>
    </row>
    <row r="3623" spans="1:16">
      <c r="A3623" s="1">
        <v>45627</v>
      </c>
      <c r="B3623">
        <v>237392</v>
      </c>
      <c r="C3623">
        <v>71156</v>
      </c>
      <c r="D3623">
        <v>166236</v>
      </c>
      <c r="E3623">
        <v>349292007</v>
      </c>
      <c r="F3623">
        <v>97700237</v>
      </c>
      <c r="G3623">
        <v>446992244</v>
      </c>
      <c r="H3623">
        <v>104163</v>
      </c>
      <c r="I3623">
        <v>8439</v>
      </c>
      <c r="J3623">
        <v>112602</v>
      </c>
      <c r="K3623" t="b">
        <f>TrafficData[[#This Row],[disposedChallan]]+TrafficData[[#This Row],[pendingChallan]]=TrafficData[[#This Row],[totalChallan]]</f>
        <v>1</v>
      </c>
      <c r="L3623" t="b">
        <f>TrafficData[[#This Row],[pendingAmount]]+TrafficData[[#This Row],[disposedAmount]]=TrafficData[[#This Row],[totalAmount]]</f>
        <v>1</v>
      </c>
      <c r="M3623" t="b">
        <f>TrafficData[[#This Row],[pendingCourt]]+TrafficData[[#This Row],[disposedCourt]]=TrafficData[[#This Row],[totalCourt]]</f>
        <v>1</v>
      </c>
      <c r="N3623" s="8" t="b">
        <f>AND(TrafficData[[#This Row],[disposedChallan]]&lt;=TrafficData[[#This Row],[totalChallan]],TrafficData[[#This Row],[pendingChallan]]&lt;=TrafficData[[#This Row],[totalChallan]])</f>
        <v>1</v>
      </c>
      <c r="O3623" s="8" t="b">
        <f>AND(TrafficData[[#This Row],[pendingAmount]]&lt;=TrafficData[[#This Row],[totalAmount]],TrafficData[[#This Row],[disposedAmount]]&lt;=TrafficData[[#This Row],[totalAmount]])</f>
        <v>1</v>
      </c>
      <c r="P3623" s="8" t="b">
        <f>AND(TrafficData[[#This Row],[pendingCourt]]&lt;=TrafficData[[#This Row],[totalCourt]],TrafficData[[#This Row],[disposedCourt]]&lt;=TrafficData[[#This Row],[totalCourt]])</f>
        <v>1</v>
      </c>
    </row>
    <row r="3624" spans="1:16">
      <c r="A3624" s="1">
        <v>45628</v>
      </c>
      <c r="B3624">
        <v>254183</v>
      </c>
      <c r="C3624">
        <v>74197</v>
      </c>
      <c r="D3624">
        <v>179986</v>
      </c>
      <c r="E3624">
        <v>384170792</v>
      </c>
      <c r="F3624">
        <v>127756959</v>
      </c>
      <c r="G3624">
        <v>511927751</v>
      </c>
      <c r="H3624">
        <v>103364</v>
      </c>
      <c r="I3624">
        <v>9051</v>
      </c>
      <c r="J3624">
        <v>112415</v>
      </c>
      <c r="K3624" t="b">
        <f>TrafficData[[#This Row],[disposedChallan]]+TrafficData[[#This Row],[pendingChallan]]=TrafficData[[#This Row],[totalChallan]]</f>
        <v>1</v>
      </c>
      <c r="L3624" t="b">
        <f>TrafficData[[#This Row],[pendingAmount]]+TrafficData[[#This Row],[disposedAmount]]=TrafficData[[#This Row],[totalAmount]]</f>
        <v>1</v>
      </c>
      <c r="M3624" t="b">
        <f>TrafficData[[#This Row],[pendingCourt]]+TrafficData[[#This Row],[disposedCourt]]=TrafficData[[#This Row],[totalCourt]]</f>
        <v>1</v>
      </c>
      <c r="N3624" s="8" t="b">
        <f>AND(TrafficData[[#This Row],[disposedChallan]]&lt;=TrafficData[[#This Row],[totalChallan]],TrafficData[[#This Row],[pendingChallan]]&lt;=TrafficData[[#This Row],[totalChallan]])</f>
        <v>1</v>
      </c>
      <c r="O3624" s="8" t="b">
        <f>AND(TrafficData[[#This Row],[pendingAmount]]&lt;=TrafficData[[#This Row],[totalAmount]],TrafficData[[#This Row],[disposedAmount]]&lt;=TrafficData[[#This Row],[totalAmount]])</f>
        <v>1</v>
      </c>
      <c r="P3624" s="8" t="b">
        <f>AND(TrafficData[[#This Row],[pendingCourt]]&lt;=TrafficData[[#This Row],[totalCourt]],TrafficData[[#This Row],[disposedCourt]]&lt;=TrafficData[[#This Row],[totalCourt]])</f>
        <v>1</v>
      </c>
    </row>
    <row r="3625" spans="1:16">
      <c r="A3625" s="1">
        <v>45629</v>
      </c>
      <c r="B3625">
        <v>267230</v>
      </c>
      <c r="C3625">
        <v>78462</v>
      </c>
      <c r="D3625">
        <v>188768</v>
      </c>
      <c r="E3625">
        <v>391918549</v>
      </c>
      <c r="F3625">
        <v>146413460</v>
      </c>
      <c r="G3625">
        <v>538332009</v>
      </c>
      <c r="H3625">
        <v>113409</v>
      </c>
      <c r="I3625">
        <v>9153</v>
      </c>
      <c r="J3625">
        <v>122562</v>
      </c>
      <c r="K3625" t="b">
        <f>TrafficData[[#This Row],[disposedChallan]]+TrafficData[[#This Row],[pendingChallan]]=TrafficData[[#This Row],[totalChallan]]</f>
        <v>1</v>
      </c>
      <c r="L3625" t="b">
        <f>TrafficData[[#This Row],[pendingAmount]]+TrafficData[[#This Row],[disposedAmount]]=TrafficData[[#This Row],[totalAmount]]</f>
        <v>1</v>
      </c>
      <c r="M3625" t="b">
        <f>TrafficData[[#This Row],[pendingCourt]]+TrafficData[[#This Row],[disposedCourt]]=TrafficData[[#This Row],[totalCourt]]</f>
        <v>1</v>
      </c>
      <c r="N3625" s="8" t="b">
        <f>AND(TrafficData[[#This Row],[disposedChallan]]&lt;=TrafficData[[#This Row],[totalChallan]],TrafficData[[#This Row],[pendingChallan]]&lt;=TrafficData[[#This Row],[totalChallan]])</f>
        <v>1</v>
      </c>
      <c r="O3625" s="8" t="b">
        <f>AND(TrafficData[[#This Row],[pendingAmount]]&lt;=TrafficData[[#This Row],[totalAmount]],TrafficData[[#This Row],[disposedAmount]]&lt;=TrafficData[[#This Row],[totalAmount]])</f>
        <v>1</v>
      </c>
      <c r="P3625" s="8" t="b">
        <f>AND(TrafficData[[#This Row],[pendingCourt]]&lt;=TrafficData[[#This Row],[totalCourt]],TrafficData[[#This Row],[disposedCourt]]&lt;=TrafficData[[#This Row],[totalCourt]])</f>
        <v>1</v>
      </c>
    </row>
    <row r="3626" spans="1:16">
      <c r="A3626" s="1">
        <v>45630</v>
      </c>
      <c r="B3626">
        <v>266905</v>
      </c>
      <c r="C3626">
        <v>80058</v>
      </c>
      <c r="D3626">
        <v>186847</v>
      </c>
      <c r="E3626">
        <v>405948997</v>
      </c>
      <c r="F3626">
        <v>144829080</v>
      </c>
      <c r="G3626">
        <v>550778077</v>
      </c>
      <c r="H3626">
        <v>112507</v>
      </c>
      <c r="I3626">
        <v>9418</v>
      </c>
      <c r="J3626">
        <v>121925</v>
      </c>
      <c r="K3626" t="b">
        <f>TrafficData[[#This Row],[disposedChallan]]+TrafficData[[#This Row],[pendingChallan]]=TrafficData[[#This Row],[totalChallan]]</f>
        <v>1</v>
      </c>
      <c r="L3626" t="b">
        <f>TrafficData[[#This Row],[pendingAmount]]+TrafficData[[#This Row],[disposedAmount]]=TrafficData[[#This Row],[totalAmount]]</f>
        <v>1</v>
      </c>
      <c r="M3626" t="b">
        <f>TrafficData[[#This Row],[pendingCourt]]+TrafficData[[#This Row],[disposedCourt]]=TrafficData[[#This Row],[totalCourt]]</f>
        <v>1</v>
      </c>
      <c r="N3626" s="8" t="b">
        <f>AND(TrafficData[[#This Row],[disposedChallan]]&lt;=TrafficData[[#This Row],[totalChallan]],TrafficData[[#This Row],[pendingChallan]]&lt;=TrafficData[[#This Row],[totalChallan]])</f>
        <v>1</v>
      </c>
      <c r="O3626" s="8" t="b">
        <f>AND(TrafficData[[#This Row],[pendingAmount]]&lt;=TrafficData[[#This Row],[totalAmount]],TrafficData[[#This Row],[disposedAmount]]&lt;=TrafficData[[#This Row],[totalAmount]])</f>
        <v>1</v>
      </c>
      <c r="P3626" s="8" t="b">
        <f>AND(TrafficData[[#This Row],[pendingCourt]]&lt;=TrafficData[[#This Row],[totalCourt]],TrafficData[[#This Row],[disposedCourt]]&lt;=TrafficData[[#This Row],[totalCourt]])</f>
        <v>1</v>
      </c>
    </row>
    <row r="3627" spans="1:16">
      <c r="A3627" s="1">
        <v>45631</v>
      </c>
      <c r="B3627">
        <v>262270</v>
      </c>
      <c r="C3627">
        <v>80050</v>
      </c>
      <c r="D3627">
        <v>182220</v>
      </c>
      <c r="E3627">
        <v>383725150</v>
      </c>
      <c r="F3627">
        <v>146926019</v>
      </c>
      <c r="G3627">
        <v>530651169</v>
      </c>
      <c r="H3627">
        <v>105341</v>
      </c>
      <c r="I3627">
        <v>9087</v>
      </c>
      <c r="J3627">
        <v>114428</v>
      </c>
      <c r="K3627" t="b">
        <f>TrafficData[[#This Row],[disposedChallan]]+TrafficData[[#This Row],[pendingChallan]]=TrafficData[[#This Row],[totalChallan]]</f>
        <v>1</v>
      </c>
      <c r="L3627" t="b">
        <f>TrafficData[[#This Row],[pendingAmount]]+TrafficData[[#This Row],[disposedAmount]]=TrafficData[[#This Row],[totalAmount]]</f>
        <v>1</v>
      </c>
      <c r="M3627" t="b">
        <f>TrafficData[[#This Row],[pendingCourt]]+TrafficData[[#This Row],[disposedCourt]]=TrafficData[[#This Row],[totalCourt]]</f>
        <v>1</v>
      </c>
      <c r="N3627" s="8" t="b">
        <f>AND(TrafficData[[#This Row],[disposedChallan]]&lt;=TrafficData[[#This Row],[totalChallan]],TrafficData[[#This Row],[pendingChallan]]&lt;=TrafficData[[#This Row],[totalChallan]])</f>
        <v>1</v>
      </c>
      <c r="O3627" s="8" t="b">
        <f>AND(TrafficData[[#This Row],[pendingAmount]]&lt;=TrafficData[[#This Row],[totalAmount]],TrafficData[[#This Row],[disposedAmount]]&lt;=TrafficData[[#This Row],[totalAmount]])</f>
        <v>1</v>
      </c>
      <c r="P3627" s="8" t="b">
        <f>AND(TrafficData[[#This Row],[pendingCourt]]&lt;=TrafficData[[#This Row],[totalCourt]],TrafficData[[#This Row],[disposedCourt]]&lt;=TrafficData[[#This Row],[totalCourt]])</f>
        <v>1</v>
      </c>
    </row>
    <row r="3628" spans="1:16">
      <c r="A3628" s="1">
        <v>45632</v>
      </c>
      <c r="B3628">
        <v>252366</v>
      </c>
      <c r="C3628">
        <v>76875</v>
      </c>
      <c r="D3628">
        <v>175491</v>
      </c>
      <c r="E3628">
        <v>319925339</v>
      </c>
      <c r="F3628">
        <v>133330186</v>
      </c>
      <c r="G3628">
        <v>453255525</v>
      </c>
      <c r="H3628">
        <v>102669</v>
      </c>
      <c r="I3628">
        <v>8598</v>
      </c>
      <c r="J3628">
        <v>111267</v>
      </c>
      <c r="K3628" t="b">
        <f>TrafficData[[#This Row],[disposedChallan]]+TrafficData[[#This Row],[pendingChallan]]=TrafficData[[#This Row],[totalChallan]]</f>
        <v>1</v>
      </c>
      <c r="L3628" t="b">
        <f>TrafficData[[#This Row],[pendingAmount]]+TrafficData[[#This Row],[disposedAmount]]=TrafficData[[#This Row],[totalAmount]]</f>
        <v>1</v>
      </c>
      <c r="M3628" t="b">
        <f>TrafficData[[#This Row],[pendingCourt]]+TrafficData[[#This Row],[disposedCourt]]=TrafficData[[#This Row],[totalCourt]]</f>
        <v>1</v>
      </c>
      <c r="N3628" s="8" t="b">
        <f>AND(TrafficData[[#This Row],[disposedChallan]]&lt;=TrafficData[[#This Row],[totalChallan]],TrafficData[[#This Row],[pendingChallan]]&lt;=TrafficData[[#This Row],[totalChallan]])</f>
        <v>1</v>
      </c>
      <c r="O3628" s="8" t="b">
        <f>AND(TrafficData[[#This Row],[pendingAmount]]&lt;=TrafficData[[#This Row],[totalAmount]],TrafficData[[#This Row],[disposedAmount]]&lt;=TrafficData[[#This Row],[totalAmount]])</f>
        <v>1</v>
      </c>
      <c r="P3628" s="8" t="b">
        <f>AND(TrafficData[[#This Row],[pendingCourt]]&lt;=TrafficData[[#This Row],[totalCourt]],TrafficData[[#This Row],[disposedCourt]]&lt;=TrafficData[[#This Row],[totalCourt]])</f>
        <v>1</v>
      </c>
    </row>
    <row r="3629" spans="1:16">
      <c r="A3629" s="1">
        <v>45633</v>
      </c>
      <c r="B3629">
        <v>255466</v>
      </c>
      <c r="C3629">
        <v>78890</v>
      </c>
      <c r="D3629">
        <v>176576</v>
      </c>
      <c r="E3629">
        <v>312856888</v>
      </c>
      <c r="F3629">
        <v>121144489</v>
      </c>
      <c r="G3629">
        <v>434001377</v>
      </c>
      <c r="H3629">
        <v>98678</v>
      </c>
      <c r="I3629">
        <v>8862</v>
      </c>
      <c r="J3629">
        <v>107540</v>
      </c>
      <c r="K3629" t="b">
        <f>TrafficData[[#This Row],[disposedChallan]]+TrafficData[[#This Row],[pendingChallan]]=TrafficData[[#This Row],[totalChallan]]</f>
        <v>1</v>
      </c>
      <c r="L3629" t="b">
        <f>TrafficData[[#This Row],[pendingAmount]]+TrafficData[[#This Row],[disposedAmount]]=TrafficData[[#This Row],[totalAmount]]</f>
        <v>1</v>
      </c>
      <c r="M3629" t="b">
        <f>TrafficData[[#This Row],[pendingCourt]]+TrafficData[[#This Row],[disposedCourt]]=TrafficData[[#This Row],[totalCourt]]</f>
        <v>1</v>
      </c>
      <c r="N3629" s="8" t="b">
        <f>AND(TrafficData[[#This Row],[disposedChallan]]&lt;=TrafficData[[#This Row],[totalChallan]],TrafficData[[#This Row],[pendingChallan]]&lt;=TrafficData[[#This Row],[totalChallan]])</f>
        <v>1</v>
      </c>
      <c r="O3629" s="8" t="b">
        <f>AND(TrafficData[[#This Row],[pendingAmount]]&lt;=TrafficData[[#This Row],[totalAmount]],TrafficData[[#This Row],[disposedAmount]]&lt;=TrafficData[[#This Row],[totalAmount]])</f>
        <v>1</v>
      </c>
      <c r="P3629" s="8" t="b">
        <f>AND(TrafficData[[#This Row],[pendingCourt]]&lt;=TrafficData[[#This Row],[totalCourt]],TrafficData[[#This Row],[disposedCourt]]&lt;=TrafficData[[#This Row],[totalCourt]])</f>
        <v>1</v>
      </c>
    </row>
    <row r="3630" spans="1:16">
      <c r="A3630" s="1">
        <v>45634</v>
      </c>
      <c r="B3630">
        <v>237177</v>
      </c>
      <c r="C3630">
        <v>69939</v>
      </c>
      <c r="D3630">
        <v>167238</v>
      </c>
      <c r="E3630">
        <v>281651041</v>
      </c>
      <c r="F3630">
        <v>88633179</v>
      </c>
      <c r="G3630">
        <v>370284220</v>
      </c>
      <c r="H3630">
        <v>93569</v>
      </c>
      <c r="I3630">
        <v>7727</v>
      </c>
      <c r="J3630">
        <v>101296</v>
      </c>
      <c r="K3630" t="b">
        <f>TrafficData[[#This Row],[disposedChallan]]+TrafficData[[#This Row],[pendingChallan]]=TrafficData[[#This Row],[totalChallan]]</f>
        <v>1</v>
      </c>
      <c r="L3630" t="b">
        <f>TrafficData[[#This Row],[pendingAmount]]+TrafficData[[#This Row],[disposedAmount]]=TrafficData[[#This Row],[totalAmount]]</f>
        <v>1</v>
      </c>
      <c r="M3630" t="b">
        <f>TrafficData[[#This Row],[pendingCourt]]+TrafficData[[#This Row],[disposedCourt]]=TrafficData[[#This Row],[totalCourt]]</f>
        <v>1</v>
      </c>
      <c r="N3630" s="8" t="b">
        <f>AND(TrafficData[[#This Row],[disposedChallan]]&lt;=TrafficData[[#This Row],[totalChallan]],TrafficData[[#This Row],[pendingChallan]]&lt;=TrafficData[[#This Row],[totalChallan]])</f>
        <v>1</v>
      </c>
      <c r="O3630" s="8" t="b">
        <f>AND(TrafficData[[#This Row],[pendingAmount]]&lt;=TrafficData[[#This Row],[totalAmount]],TrafficData[[#This Row],[disposedAmount]]&lt;=TrafficData[[#This Row],[totalAmount]])</f>
        <v>1</v>
      </c>
      <c r="P3630" s="8" t="b">
        <f>AND(TrafficData[[#This Row],[pendingCourt]]&lt;=TrafficData[[#This Row],[totalCourt]],TrafficData[[#This Row],[disposedCourt]]&lt;=TrafficData[[#This Row],[totalCourt]])</f>
        <v>1</v>
      </c>
    </row>
    <row r="3631" spans="1:16">
      <c r="A3631" s="1">
        <v>45635</v>
      </c>
      <c r="B3631">
        <v>258293</v>
      </c>
      <c r="C3631">
        <v>76788</v>
      </c>
      <c r="D3631">
        <v>181505</v>
      </c>
      <c r="E3631">
        <v>328117681</v>
      </c>
      <c r="F3631">
        <v>126674543</v>
      </c>
      <c r="G3631">
        <v>454792224</v>
      </c>
      <c r="H3631">
        <v>101842</v>
      </c>
      <c r="I3631">
        <v>8398</v>
      </c>
      <c r="J3631">
        <v>110240</v>
      </c>
      <c r="K3631" t="b">
        <f>TrafficData[[#This Row],[disposedChallan]]+TrafficData[[#This Row],[pendingChallan]]=TrafficData[[#This Row],[totalChallan]]</f>
        <v>1</v>
      </c>
      <c r="L3631" t="b">
        <f>TrafficData[[#This Row],[pendingAmount]]+TrafficData[[#This Row],[disposedAmount]]=TrafficData[[#This Row],[totalAmount]]</f>
        <v>1</v>
      </c>
      <c r="M3631" t="b">
        <f>TrafficData[[#This Row],[pendingCourt]]+TrafficData[[#This Row],[disposedCourt]]=TrafficData[[#This Row],[totalCourt]]</f>
        <v>1</v>
      </c>
      <c r="N3631" s="8" t="b">
        <f>AND(TrafficData[[#This Row],[disposedChallan]]&lt;=TrafficData[[#This Row],[totalChallan]],TrafficData[[#This Row],[pendingChallan]]&lt;=TrafficData[[#This Row],[totalChallan]])</f>
        <v>1</v>
      </c>
      <c r="O3631" s="8" t="b">
        <f>AND(TrafficData[[#This Row],[pendingAmount]]&lt;=TrafficData[[#This Row],[totalAmount]],TrafficData[[#This Row],[disposedAmount]]&lt;=TrafficData[[#This Row],[totalAmount]])</f>
        <v>1</v>
      </c>
      <c r="P3631" s="8" t="b">
        <f>AND(TrafficData[[#This Row],[pendingCourt]]&lt;=TrafficData[[#This Row],[totalCourt]],TrafficData[[#This Row],[disposedCourt]]&lt;=TrafficData[[#This Row],[totalCourt]])</f>
        <v>1</v>
      </c>
    </row>
    <row r="3632" spans="1:16">
      <c r="A3632" s="1">
        <v>45636</v>
      </c>
      <c r="B3632">
        <v>264246</v>
      </c>
      <c r="C3632">
        <v>79574</v>
      </c>
      <c r="D3632">
        <v>184672</v>
      </c>
      <c r="E3632">
        <v>347202472</v>
      </c>
      <c r="F3632">
        <v>137763529</v>
      </c>
      <c r="G3632">
        <v>484966001</v>
      </c>
      <c r="H3632">
        <v>105760</v>
      </c>
      <c r="I3632">
        <v>9272</v>
      </c>
      <c r="J3632">
        <v>115032</v>
      </c>
      <c r="K3632" t="b">
        <f>TrafficData[[#This Row],[disposedChallan]]+TrafficData[[#This Row],[pendingChallan]]=TrafficData[[#This Row],[totalChallan]]</f>
        <v>1</v>
      </c>
      <c r="L3632" t="b">
        <f>TrafficData[[#This Row],[pendingAmount]]+TrafficData[[#This Row],[disposedAmount]]=TrafficData[[#This Row],[totalAmount]]</f>
        <v>1</v>
      </c>
      <c r="M3632" t="b">
        <f>TrafficData[[#This Row],[pendingCourt]]+TrafficData[[#This Row],[disposedCourt]]=TrafficData[[#This Row],[totalCourt]]</f>
        <v>1</v>
      </c>
      <c r="N3632" s="8" t="b">
        <f>AND(TrafficData[[#This Row],[disposedChallan]]&lt;=TrafficData[[#This Row],[totalChallan]],TrafficData[[#This Row],[pendingChallan]]&lt;=TrafficData[[#This Row],[totalChallan]])</f>
        <v>1</v>
      </c>
      <c r="O3632" s="8" t="b">
        <f>AND(TrafficData[[#This Row],[pendingAmount]]&lt;=TrafficData[[#This Row],[totalAmount]],TrafficData[[#This Row],[disposedAmount]]&lt;=TrafficData[[#This Row],[totalAmount]])</f>
        <v>1</v>
      </c>
      <c r="P3632" s="8" t="b">
        <f>AND(TrafficData[[#This Row],[pendingCourt]]&lt;=TrafficData[[#This Row],[totalCourt]],TrafficData[[#This Row],[disposedCourt]]&lt;=TrafficData[[#This Row],[totalCourt]])</f>
        <v>1</v>
      </c>
    </row>
    <row r="3633" spans="1:16">
      <c r="A3633" s="1">
        <v>45637</v>
      </c>
      <c r="B3633">
        <v>259177</v>
      </c>
      <c r="C3633">
        <v>79891</v>
      </c>
      <c r="D3633">
        <v>179286</v>
      </c>
      <c r="E3633">
        <v>343829524</v>
      </c>
      <c r="F3633">
        <v>138202545</v>
      </c>
      <c r="G3633">
        <v>482032069</v>
      </c>
      <c r="H3633">
        <v>102548</v>
      </c>
      <c r="I3633">
        <v>8950</v>
      </c>
      <c r="J3633">
        <v>111498</v>
      </c>
      <c r="K3633" t="b">
        <f>TrafficData[[#This Row],[disposedChallan]]+TrafficData[[#This Row],[pendingChallan]]=TrafficData[[#This Row],[totalChallan]]</f>
        <v>1</v>
      </c>
      <c r="L3633" t="b">
        <f>TrafficData[[#This Row],[pendingAmount]]+TrafficData[[#This Row],[disposedAmount]]=TrafficData[[#This Row],[totalAmount]]</f>
        <v>1</v>
      </c>
      <c r="M3633" t="b">
        <f>TrafficData[[#This Row],[pendingCourt]]+TrafficData[[#This Row],[disposedCourt]]=TrafficData[[#This Row],[totalCourt]]</f>
        <v>1</v>
      </c>
      <c r="N3633" s="8" t="b">
        <f>AND(TrafficData[[#This Row],[disposedChallan]]&lt;=TrafficData[[#This Row],[totalChallan]],TrafficData[[#This Row],[pendingChallan]]&lt;=TrafficData[[#This Row],[totalChallan]])</f>
        <v>1</v>
      </c>
      <c r="O3633" s="8" t="b">
        <f>AND(TrafficData[[#This Row],[pendingAmount]]&lt;=TrafficData[[#This Row],[totalAmount]],TrafficData[[#This Row],[disposedAmount]]&lt;=TrafficData[[#This Row],[totalAmount]])</f>
        <v>1</v>
      </c>
      <c r="P3633" s="8" t="b">
        <f>AND(TrafficData[[#This Row],[pendingCourt]]&lt;=TrafficData[[#This Row],[totalCourt]],TrafficData[[#This Row],[disposedCourt]]&lt;=TrafficData[[#This Row],[totalCourt]])</f>
        <v>1</v>
      </c>
    </row>
    <row r="3634" spans="1:16">
      <c r="A3634" s="1">
        <v>45638</v>
      </c>
      <c r="B3634">
        <v>228924</v>
      </c>
      <c r="C3634">
        <v>68965</v>
      </c>
      <c r="D3634">
        <v>159959</v>
      </c>
      <c r="E3634">
        <v>321508269</v>
      </c>
      <c r="F3634">
        <v>126948410</v>
      </c>
      <c r="G3634">
        <v>448456679</v>
      </c>
      <c r="H3634">
        <v>101294</v>
      </c>
      <c r="I3634">
        <v>8912</v>
      </c>
      <c r="J3634">
        <v>110206</v>
      </c>
      <c r="K3634" t="b">
        <f>TrafficData[[#This Row],[disposedChallan]]+TrafficData[[#This Row],[pendingChallan]]=TrafficData[[#This Row],[totalChallan]]</f>
        <v>1</v>
      </c>
      <c r="L3634" t="b">
        <f>TrafficData[[#This Row],[pendingAmount]]+TrafficData[[#This Row],[disposedAmount]]=TrafficData[[#This Row],[totalAmount]]</f>
        <v>1</v>
      </c>
      <c r="M3634" t="b">
        <f>TrafficData[[#This Row],[pendingCourt]]+TrafficData[[#This Row],[disposedCourt]]=TrafficData[[#This Row],[totalCourt]]</f>
        <v>1</v>
      </c>
      <c r="N3634" s="8" t="b">
        <f>AND(TrafficData[[#This Row],[disposedChallan]]&lt;=TrafficData[[#This Row],[totalChallan]],TrafficData[[#This Row],[pendingChallan]]&lt;=TrafficData[[#This Row],[totalChallan]])</f>
        <v>1</v>
      </c>
      <c r="O3634" s="8" t="b">
        <f>AND(TrafficData[[#This Row],[pendingAmount]]&lt;=TrafficData[[#This Row],[totalAmount]],TrafficData[[#This Row],[disposedAmount]]&lt;=TrafficData[[#This Row],[totalAmount]])</f>
        <v>1</v>
      </c>
      <c r="P3634" s="8" t="b">
        <f>AND(TrafficData[[#This Row],[pendingCourt]]&lt;=TrafficData[[#This Row],[totalCourt]],TrafficData[[#This Row],[disposedCourt]]&lt;=TrafficData[[#This Row],[totalCourt]])</f>
        <v>1</v>
      </c>
    </row>
    <row r="3635" spans="1:16">
      <c r="A3635" s="1">
        <v>45639</v>
      </c>
      <c r="B3635">
        <v>239229</v>
      </c>
      <c r="C3635">
        <v>73445</v>
      </c>
      <c r="D3635">
        <v>165784</v>
      </c>
      <c r="E3635">
        <v>315413721</v>
      </c>
      <c r="F3635">
        <v>125552083</v>
      </c>
      <c r="G3635">
        <v>440965804</v>
      </c>
      <c r="H3635">
        <v>99164</v>
      </c>
      <c r="I3635">
        <v>8701</v>
      </c>
      <c r="J3635">
        <v>107865</v>
      </c>
      <c r="K3635" t="b">
        <f>TrafficData[[#This Row],[disposedChallan]]+TrafficData[[#This Row],[pendingChallan]]=TrafficData[[#This Row],[totalChallan]]</f>
        <v>1</v>
      </c>
      <c r="L3635" t="b">
        <f>TrafficData[[#This Row],[pendingAmount]]+TrafficData[[#This Row],[disposedAmount]]=TrafficData[[#This Row],[totalAmount]]</f>
        <v>1</v>
      </c>
      <c r="M3635" t="b">
        <f>TrafficData[[#This Row],[pendingCourt]]+TrafficData[[#This Row],[disposedCourt]]=TrafficData[[#This Row],[totalCourt]]</f>
        <v>1</v>
      </c>
      <c r="N3635" s="8" t="b">
        <f>AND(TrafficData[[#This Row],[disposedChallan]]&lt;=TrafficData[[#This Row],[totalChallan]],TrafficData[[#This Row],[pendingChallan]]&lt;=TrafficData[[#This Row],[totalChallan]])</f>
        <v>1</v>
      </c>
      <c r="O3635" s="8" t="b">
        <f>AND(TrafficData[[#This Row],[pendingAmount]]&lt;=TrafficData[[#This Row],[totalAmount]],TrafficData[[#This Row],[disposedAmount]]&lt;=TrafficData[[#This Row],[totalAmount]])</f>
        <v>1</v>
      </c>
      <c r="P3635" s="8" t="b">
        <f>AND(TrafficData[[#This Row],[pendingCourt]]&lt;=TrafficData[[#This Row],[totalCourt]],TrafficData[[#This Row],[disposedCourt]]&lt;=TrafficData[[#This Row],[totalCourt]])</f>
        <v>1</v>
      </c>
    </row>
    <row r="3636" spans="1:16">
      <c r="A3636" s="1">
        <v>45640</v>
      </c>
      <c r="B3636">
        <v>243277</v>
      </c>
      <c r="C3636">
        <v>75645</v>
      </c>
      <c r="D3636">
        <v>167632</v>
      </c>
      <c r="E3636">
        <v>276709084</v>
      </c>
      <c r="F3636">
        <v>105229786</v>
      </c>
      <c r="G3636">
        <v>381938870</v>
      </c>
      <c r="H3636">
        <v>98567</v>
      </c>
      <c r="I3636">
        <v>9251</v>
      </c>
      <c r="J3636">
        <v>107818</v>
      </c>
      <c r="K3636" t="b">
        <f>TrafficData[[#This Row],[disposedChallan]]+TrafficData[[#This Row],[pendingChallan]]=TrafficData[[#This Row],[totalChallan]]</f>
        <v>1</v>
      </c>
      <c r="L3636" t="b">
        <f>TrafficData[[#This Row],[pendingAmount]]+TrafficData[[#This Row],[disposedAmount]]=TrafficData[[#This Row],[totalAmount]]</f>
        <v>1</v>
      </c>
      <c r="M3636" t="b">
        <f>TrafficData[[#This Row],[pendingCourt]]+TrafficData[[#This Row],[disposedCourt]]=TrafficData[[#This Row],[totalCourt]]</f>
        <v>1</v>
      </c>
      <c r="N3636" s="8" t="b">
        <f>AND(TrafficData[[#This Row],[disposedChallan]]&lt;=TrafficData[[#This Row],[totalChallan]],TrafficData[[#This Row],[pendingChallan]]&lt;=TrafficData[[#This Row],[totalChallan]])</f>
        <v>1</v>
      </c>
      <c r="O3636" s="8" t="b">
        <f>AND(TrafficData[[#This Row],[pendingAmount]]&lt;=TrafficData[[#This Row],[totalAmount]],TrafficData[[#This Row],[disposedAmount]]&lt;=TrafficData[[#This Row],[totalAmount]])</f>
        <v>1</v>
      </c>
      <c r="P3636" s="8" t="b">
        <f>AND(TrafficData[[#This Row],[pendingCourt]]&lt;=TrafficData[[#This Row],[totalCourt]],TrafficData[[#This Row],[disposedCourt]]&lt;=TrafficData[[#This Row],[totalCourt]])</f>
        <v>1</v>
      </c>
    </row>
    <row r="3637" spans="1:16">
      <c r="A3637" s="1">
        <v>45641</v>
      </c>
      <c r="B3637">
        <v>237319</v>
      </c>
      <c r="C3637">
        <v>69978</v>
      </c>
      <c r="D3637">
        <v>167341</v>
      </c>
      <c r="E3637">
        <v>272419200</v>
      </c>
      <c r="F3637">
        <v>83578485</v>
      </c>
      <c r="G3637">
        <v>355997685</v>
      </c>
      <c r="H3637">
        <v>97193</v>
      </c>
      <c r="I3637">
        <v>8278</v>
      </c>
      <c r="J3637">
        <v>105471</v>
      </c>
      <c r="K3637" t="b">
        <f>TrafficData[[#This Row],[disposedChallan]]+TrafficData[[#This Row],[pendingChallan]]=TrafficData[[#This Row],[totalChallan]]</f>
        <v>1</v>
      </c>
      <c r="L3637" t="b">
        <f>TrafficData[[#This Row],[pendingAmount]]+TrafficData[[#This Row],[disposedAmount]]=TrafficData[[#This Row],[totalAmount]]</f>
        <v>1</v>
      </c>
      <c r="M3637" t="b">
        <f>TrafficData[[#This Row],[pendingCourt]]+TrafficData[[#This Row],[disposedCourt]]=TrafficData[[#This Row],[totalCourt]]</f>
        <v>1</v>
      </c>
      <c r="N3637" s="8" t="b">
        <f>AND(TrafficData[[#This Row],[disposedChallan]]&lt;=TrafficData[[#This Row],[totalChallan]],TrafficData[[#This Row],[pendingChallan]]&lt;=TrafficData[[#This Row],[totalChallan]])</f>
        <v>1</v>
      </c>
      <c r="O3637" s="8" t="b">
        <f>AND(TrafficData[[#This Row],[pendingAmount]]&lt;=TrafficData[[#This Row],[totalAmount]],TrafficData[[#This Row],[disposedAmount]]&lt;=TrafficData[[#This Row],[totalAmount]])</f>
        <v>1</v>
      </c>
      <c r="P3637" s="8" t="b">
        <f>AND(TrafficData[[#This Row],[pendingCourt]]&lt;=TrafficData[[#This Row],[totalCourt]],TrafficData[[#This Row],[disposedCourt]]&lt;=TrafficData[[#This Row],[totalCourt]])</f>
        <v>1</v>
      </c>
    </row>
    <row r="3638" spans="1:16">
      <c r="A3638" s="1">
        <v>45642</v>
      </c>
      <c r="B3638">
        <v>258914</v>
      </c>
      <c r="C3638">
        <v>78210</v>
      </c>
      <c r="D3638">
        <v>180704</v>
      </c>
      <c r="E3638">
        <v>338941472</v>
      </c>
      <c r="F3638">
        <v>117704016</v>
      </c>
      <c r="G3638">
        <v>456645488</v>
      </c>
      <c r="H3638">
        <v>105196</v>
      </c>
      <c r="I3638">
        <v>9063</v>
      </c>
      <c r="J3638">
        <v>114259</v>
      </c>
      <c r="K3638" t="b">
        <f>TrafficData[[#This Row],[disposedChallan]]+TrafficData[[#This Row],[pendingChallan]]=TrafficData[[#This Row],[totalChallan]]</f>
        <v>1</v>
      </c>
      <c r="L3638" t="b">
        <f>TrafficData[[#This Row],[pendingAmount]]+TrafficData[[#This Row],[disposedAmount]]=TrafficData[[#This Row],[totalAmount]]</f>
        <v>1</v>
      </c>
      <c r="M3638" t="b">
        <f>TrafficData[[#This Row],[pendingCourt]]+TrafficData[[#This Row],[disposedCourt]]=TrafficData[[#This Row],[totalCourt]]</f>
        <v>1</v>
      </c>
      <c r="N3638" s="8" t="b">
        <f>AND(TrafficData[[#This Row],[disposedChallan]]&lt;=TrafficData[[#This Row],[totalChallan]],TrafficData[[#This Row],[pendingChallan]]&lt;=TrafficData[[#This Row],[totalChallan]])</f>
        <v>1</v>
      </c>
      <c r="O3638" s="8" t="b">
        <f>AND(TrafficData[[#This Row],[pendingAmount]]&lt;=TrafficData[[#This Row],[totalAmount]],TrafficData[[#This Row],[disposedAmount]]&lt;=TrafficData[[#This Row],[totalAmount]])</f>
        <v>1</v>
      </c>
      <c r="P3638" s="8" t="b">
        <f>AND(TrafficData[[#This Row],[pendingCourt]]&lt;=TrafficData[[#This Row],[totalCourt]],TrafficData[[#This Row],[disposedCourt]]&lt;=TrafficData[[#This Row],[totalCourt]])</f>
        <v>1</v>
      </c>
    </row>
    <row r="3639" spans="1:16">
      <c r="A3639" s="1">
        <v>45643</v>
      </c>
      <c r="B3639">
        <v>261572</v>
      </c>
      <c r="C3639">
        <v>78226</v>
      </c>
      <c r="D3639">
        <v>183346</v>
      </c>
      <c r="E3639">
        <v>385143219</v>
      </c>
      <c r="F3639">
        <v>133599517</v>
      </c>
      <c r="G3639">
        <v>518742736</v>
      </c>
      <c r="H3639">
        <v>107673</v>
      </c>
      <c r="I3639">
        <v>8749</v>
      </c>
      <c r="J3639">
        <v>116422</v>
      </c>
      <c r="K3639" t="b">
        <f>TrafficData[[#This Row],[disposedChallan]]+TrafficData[[#This Row],[pendingChallan]]=TrafficData[[#This Row],[totalChallan]]</f>
        <v>1</v>
      </c>
      <c r="L3639" t="b">
        <f>TrafficData[[#This Row],[pendingAmount]]+TrafficData[[#This Row],[disposedAmount]]=TrafficData[[#This Row],[totalAmount]]</f>
        <v>1</v>
      </c>
      <c r="M3639" t="b">
        <f>TrafficData[[#This Row],[pendingCourt]]+TrafficData[[#This Row],[disposedCourt]]=TrafficData[[#This Row],[totalCourt]]</f>
        <v>1</v>
      </c>
      <c r="N3639" s="8" t="b">
        <f>AND(TrafficData[[#This Row],[disposedChallan]]&lt;=TrafficData[[#This Row],[totalChallan]],TrafficData[[#This Row],[pendingChallan]]&lt;=TrafficData[[#This Row],[totalChallan]])</f>
        <v>1</v>
      </c>
      <c r="O3639" s="8" t="b">
        <f>AND(TrafficData[[#This Row],[pendingAmount]]&lt;=TrafficData[[#This Row],[totalAmount]],TrafficData[[#This Row],[disposedAmount]]&lt;=TrafficData[[#This Row],[totalAmount]])</f>
        <v>1</v>
      </c>
      <c r="P3639" s="8" t="b">
        <f>AND(TrafficData[[#This Row],[pendingCourt]]&lt;=TrafficData[[#This Row],[totalCourt]],TrafficData[[#This Row],[disposedCourt]]&lt;=TrafficData[[#This Row],[totalCourt]])</f>
        <v>1</v>
      </c>
    </row>
    <row r="3640" spans="1:16">
      <c r="A3640" s="1">
        <v>45644</v>
      </c>
      <c r="B3640">
        <v>261867</v>
      </c>
      <c r="C3640">
        <v>78195</v>
      </c>
      <c r="D3640">
        <v>183672</v>
      </c>
      <c r="E3640">
        <v>401838849</v>
      </c>
      <c r="F3640">
        <v>140600720</v>
      </c>
      <c r="G3640">
        <v>542439569</v>
      </c>
      <c r="H3640">
        <v>107332</v>
      </c>
      <c r="I3640">
        <v>9196</v>
      </c>
      <c r="J3640">
        <v>116528</v>
      </c>
      <c r="K3640" t="b">
        <f>TrafficData[[#This Row],[disposedChallan]]+TrafficData[[#This Row],[pendingChallan]]=TrafficData[[#This Row],[totalChallan]]</f>
        <v>1</v>
      </c>
      <c r="L3640" t="b">
        <f>TrafficData[[#This Row],[pendingAmount]]+TrafficData[[#This Row],[disposedAmount]]=TrafficData[[#This Row],[totalAmount]]</f>
        <v>1</v>
      </c>
      <c r="M3640" t="b">
        <f>TrafficData[[#This Row],[pendingCourt]]+TrafficData[[#This Row],[disposedCourt]]=TrafficData[[#This Row],[totalCourt]]</f>
        <v>1</v>
      </c>
      <c r="N3640" s="8" t="b">
        <f>AND(TrafficData[[#This Row],[disposedChallan]]&lt;=TrafficData[[#This Row],[totalChallan]],TrafficData[[#This Row],[pendingChallan]]&lt;=TrafficData[[#This Row],[totalChallan]])</f>
        <v>1</v>
      </c>
      <c r="O3640" s="8" t="b">
        <f>AND(TrafficData[[#This Row],[pendingAmount]]&lt;=TrafficData[[#This Row],[totalAmount]],TrafficData[[#This Row],[disposedAmount]]&lt;=TrafficData[[#This Row],[totalAmount]])</f>
        <v>1</v>
      </c>
      <c r="P3640" s="8" t="b">
        <f>AND(TrafficData[[#This Row],[pendingCourt]]&lt;=TrafficData[[#This Row],[totalCourt]],TrafficData[[#This Row],[disposedCourt]]&lt;=TrafficData[[#This Row],[totalCourt]])</f>
        <v>1</v>
      </c>
    </row>
    <row r="3641" spans="1:16">
      <c r="A3641" s="1">
        <v>45645</v>
      </c>
      <c r="B3641">
        <v>267787</v>
      </c>
      <c r="C3641">
        <v>79264</v>
      </c>
      <c r="D3641">
        <v>188523</v>
      </c>
      <c r="E3641">
        <v>404659740</v>
      </c>
      <c r="F3641">
        <v>136169136</v>
      </c>
      <c r="G3641">
        <v>540828876</v>
      </c>
      <c r="H3641">
        <v>107377</v>
      </c>
      <c r="I3641">
        <v>9448</v>
      </c>
      <c r="J3641">
        <v>116825</v>
      </c>
      <c r="K3641" t="b">
        <f>TrafficData[[#This Row],[disposedChallan]]+TrafficData[[#This Row],[pendingChallan]]=TrafficData[[#This Row],[totalChallan]]</f>
        <v>1</v>
      </c>
      <c r="L3641" t="b">
        <f>TrafficData[[#This Row],[pendingAmount]]+TrafficData[[#This Row],[disposedAmount]]=TrafficData[[#This Row],[totalAmount]]</f>
        <v>1</v>
      </c>
      <c r="M3641" t="b">
        <f>TrafficData[[#This Row],[pendingCourt]]+TrafficData[[#This Row],[disposedCourt]]=TrafficData[[#This Row],[totalCourt]]</f>
        <v>1</v>
      </c>
      <c r="N3641" s="8" t="b">
        <f>AND(TrafficData[[#This Row],[disposedChallan]]&lt;=TrafficData[[#This Row],[totalChallan]],TrafficData[[#This Row],[pendingChallan]]&lt;=TrafficData[[#This Row],[totalChallan]])</f>
        <v>1</v>
      </c>
      <c r="O3641" s="8" t="b">
        <f>AND(TrafficData[[#This Row],[pendingAmount]]&lt;=TrafficData[[#This Row],[totalAmount]],TrafficData[[#This Row],[disposedAmount]]&lt;=TrafficData[[#This Row],[totalAmount]])</f>
        <v>1</v>
      </c>
      <c r="P3641" s="8" t="b">
        <f>AND(TrafficData[[#This Row],[pendingCourt]]&lt;=TrafficData[[#This Row],[totalCourt]],TrafficData[[#This Row],[disposedCourt]]&lt;=TrafficData[[#This Row],[totalCourt]])</f>
        <v>1</v>
      </c>
    </row>
    <row r="3642" spans="1:16">
      <c r="A3642" s="1">
        <v>45646</v>
      </c>
      <c r="B3642">
        <v>259021</v>
      </c>
      <c r="C3642">
        <v>74433</v>
      </c>
      <c r="D3642">
        <v>184588</v>
      </c>
      <c r="E3642">
        <v>382285826</v>
      </c>
      <c r="F3642">
        <v>125277799</v>
      </c>
      <c r="G3642">
        <v>507563625</v>
      </c>
      <c r="H3642">
        <v>102860</v>
      </c>
      <c r="I3642">
        <v>8841</v>
      </c>
      <c r="J3642">
        <v>111701</v>
      </c>
      <c r="K3642" t="b">
        <f>TrafficData[[#This Row],[disposedChallan]]+TrafficData[[#This Row],[pendingChallan]]=TrafficData[[#This Row],[totalChallan]]</f>
        <v>1</v>
      </c>
      <c r="L3642" t="b">
        <f>TrafficData[[#This Row],[pendingAmount]]+TrafficData[[#This Row],[disposedAmount]]=TrafficData[[#This Row],[totalAmount]]</f>
        <v>1</v>
      </c>
      <c r="M3642" t="b">
        <f>TrafficData[[#This Row],[pendingCourt]]+TrafficData[[#This Row],[disposedCourt]]=TrafficData[[#This Row],[totalCourt]]</f>
        <v>1</v>
      </c>
      <c r="N3642" s="8" t="b">
        <f>AND(TrafficData[[#This Row],[disposedChallan]]&lt;=TrafficData[[#This Row],[totalChallan]],TrafficData[[#This Row],[pendingChallan]]&lt;=TrafficData[[#This Row],[totalChallan]])</f>
        <v>1</v>
      </c>
      <c r="O3642" s="8" t="b">
        <f>AND(TrafficData[[#This Row],[pendingAmount]]&lt;=TrafficData[[#This Row],[totalAmount]],TrafficData[[#This Row],[disposedAmount]]&lt;=TrafficData[[#This Row],[totalAmount]])</f>
        <v>1</v>
      </c>
      <c r="P3642" s="8" t="b">
        <f>AND(TrafficData[[#This Row],[pendingCourt]]&lt;=TrafficData[[#This Row],[totalCourt]],TrafficData[[#This Row],[disposedCourt]]&lt;=TrafficData[[#This Row],[totalCourt]])</f>
        <v>1</v>
      </c>
    </row>
    <row r="3643" spans="1:16">
      <c r="A3643" s="1">
        <v>45647</v>
      </c>
      <c r="B3643">
        <v>271985</v>
      </c>
      <c r="C3643">
        <v>82375</v>
      </c>
      <c r="D3643">
        <v>189610</v>
      </c>
      <c r="E3643">
        <v>374400709</v>
      </c>
      <c r="F3643">
        <v>120904970</v>
      </c>
      <c r="G3643">
        <v>495305679</v>
      </c>
      <c r="H3643">
        <v>107967</v>
      </c>
      <c r="I3643">
        <v>9140</v>
      </c>
      <c r="J3643">
        <v>117107</v>
      </c>
      <c r="K3643" t="b">
        <f>TrafficData[[#This Row],[disposedChallan]]+TrafficData[[#This Row],[pendingChallan]]=TrafficData[[#This Row],[totalChallan]]</f>
        <v>1</v>
      </c>
      <c r="L3643" t="b">
        <f>TrafficData[[#This Row],[pendingAmount]]+TrafficData[[#This Row],[disposedAmount]]=TrafficData[[#This Row],[totalAmount]]</f>
        <v>1</v>
      </c>
      <c r="M3643" t="b">
        <f>TrafficData[[#This Row],[pendingCourt]]+TrafficData[[#This Row],[disposedCourt]]=TrafficData[[#This Row],[totalCourt]]</f>
        <v>1</v>
      </c>
      <c r="N3643" s="8" t="b">
        <f>AND(TrafficData[[#This Row],[disposedChallan]]&lt;=TrafficData[[#This Row],[totalChallan]],TrafficData[[#This Row],[pendingChallan]]&lt;=TrafficData[[#This Row],[totalChallan]])</f>
        <v>1</v>
      </c>
      <c r="O3643" s="8" t="b">
        <f>AND(TrafficData[[#This Row],[pendingAmount]]&lt;=TrafficData[[#This Row],[totalAmount]],TrafficData[[#This Row],[disposedAmount]]&lt;=TrafficData[[#This Row],[totalAmount]])</f>
        <v>1</v>
      </c>
      <c r="P3643" s="8" t="b">
        <f>AND(TrafficData[[#This Row],[pendingCourt]]&lt;=TrafficData[[#This Row],[totalCourt]],TrafficData[[#This Row],[disposedCourt]]&lt;=TrafficData[[#This Row],[totalCourt]])</f>
        <v>1</v>
      </c>
    </row>
    <row r="3644" spans="1:16">
      <c r="A3644" s="1">
        <v>45648</v>
      </c>
      <c r="B3644">
        <v>253967</v>
      </c>
      <c r="C3644">
        <v>75532</v>
      </c>
      <c r="D3644">
        <v>178435</v>
      </c>
      <c r="E3644">
        <v>342001681</v>
      </c>
      <c r="F3644">
        <v>93323745</v>
      </c>
      <c r="G3644">
        <v>435325426</v>
      </c>
      <c r="H3644">
        <v>95106</v>
      </c>
      <c r="I3644">
        <v>7942</v>
      </c>
      <c r="J3644">
        <v>103048</v>
      </c>
      <c r="K3644" t="b">
        <f>TrafficData[[#This Row],[disposedChallan]]+TrafficData[[#This Row],[pendingChallan]]=TrafficData[[#This Row],[totalChallan]]</f>
        <v>1</v>
      </c>
      <c r="L3644" t="b">
        <f>TrafficData[[#This Row],[pendingAmount]]+TrafficData[[#This Row],[disposedAmount]]=TrafficData[[#This Row],[totalAmount]]</f>
        <v>1</v>
      </c>
      <c r="M3644" t="b">
        <f>TrafficData[[#This Row],[pendingCourt]]+TrafficData[[#This Row],[disposedCourt]]=TrafficData[[#This Row],[totalCourt]]</f>
        <v>1</v>
      </c>
      <c r="N3644" s="8" t="b">
        <f>AND(TrafficData[[#This Row],[disposedChallan]]&lt;=TrafficData[[#This Row],[totalChallan]],TrafficData[[#This Row],[pendingChallan]]&lt;=TrafficData[[#This Row],[totalChallan]])</f>
        <v>1</v>
      </c>
      <c r="O3644" s="8" t="b">
        <f>AND(TrafficData[[#This Row],[pendingAmount]]&lt;=TrafficData[[#This Row],[totalAmount]],TrafficData[[#This Row],[disposedAmount]]&lt;=TrafficData[[#This Row],[totalAmount]])</f>
        <v>1</v>
      </c>
      <c r="P3644" s="8" t="b">
        <f>AND(TrafficData[[#This Row],[pendingCourt]]&lt;=TrafficData[[#This Row],[totalCourt]],TrafficData[[#This Row],[disposedCourt]]&lt;=TrafficData[[#This Row],[totalCourt]])</f>
        <v>1</v>
      </c>
    </row>
    <row r="3645" spans="1:16">
      <c r="A3645" s="1">
        <v>45649</v>
      </c>
      <c r="B3645">
        <v>265467</v>
      </c>
      <c r="C3645">
        <v>80201</v>
      </c>
      <c r="D3645">
        <v>185266</v>
      </c>
      <c r="E3645">
        <v>379476800</v>
      </c>
      <c r="F3645">
        <v>126554512</v>
      </c>
      <c r="G3645">
        <v>506031312</v>
      </c>
      <c r="H3645">
        <v>100954</v>
      </c>
      <c r="I3645">
        <v>8371</v>
      </c>
      <c r="J3645">
        <v>109325</v>
      </c>
      <c r="K3645" t="b">
        <f>TrafficData[[#This Row],[disposedChallan]]+TrafficData[[#This Row],[pendingChallan]]=TrafficData[[#This Row],[totalChallan]]</f>
        <v>1</v>
      </c>
      <c r="L3645" t="b">
        <f>TrafficData[[#This Row],[pendingAmount]]+TrafficData[[#This Row],[disposedAmount]]=TrafficData[[#This Row],[totalAmount]]</f>
        <v>1</v>
      </c>
      <c r="M3645" t="b">
        <f>TrafficData[[#This Row],[pendingCourt]]+TrafficData[[#This Row],[disposedCourt]]=TrafficData[[#This Row],[totalCourt]]</f>
        <v>1</v>
      </c>
      <c r="N3645" s="8" t="b">
        <f>AND(TrafficData[[#This Row],[disposedChallan]]&lt;=TrafficData[[#This Row],[totalChallan]],TrafficData[[#This Row],[pendingChallan]]&lt;=TrafficData[[#This Row],[totalChallan]])</f>
        <v>1</v>
      </c>
      <c r="O3645" s="8" t="b">
        <f>AND(TrafficData[[#This Row],[pendingAmount]]&lt;=TrafficData[[#This Row],[totalAmount]],TrafficData[[#This Row],[disposedAmount]]&lt;=TrafficData[[#This Row],[totalAmount]])</f>
        <v>1</v>
      </c>
      <c r="P3645" s="8" t="b">
        <f>AND(TrafficData[[#This Row],[pendingCourt]]&lt;=TrafficData[[#This Row],[totalCourt]],TrafficData[[#This Row],[disposedCourt]]&lt;=TrafficData[[#This Row],[totalCourt]])</f>
        <v>1</v>
      </c>
    </row>
    <row r="3646" spans="1:16">
      <c r="A3646" s="1">
        <v>45650</v>
      </c>
      <c r="B3646">
        <v>262890</v>
      </c>
      <c r="C3646">
        <v>81283</v>
      </c>
      <c r="D3646">
        <v>181607</v>
      </c>
      <c r="E3646">
        <v>382325973</v>
      </c>
      <c r="F3646">
        <v>130612601</v>
      </c>
      <c r="G3646">
        <v>512938574</v>
      </c>
      <c r="H3646">
        <v>102894</v>
      </c>
      <c r="I3646">
        <v>8741</v>
      </c>
      <c r="J3646">
        <v>111635</v>
      </c>
      <c r="K3646" t="b">
        <f>TrafficData[[#This Row],[disposedChallan]]+TrafficData[[#This Row],[pendingChallan]]=TrafficData[[#This Row],[totalChallan]]</f>
        <v>1</v>
      </c>
      <c r="L3646" t="b">
        <f>TrafficData[[#This Row],[pendingAmount]]+TrafficData[[#This Row],[disposedAmount]]=TrafficData[[#This Row],[totalAmount]]</f>
        <v>1</v>
      </c>
      <c r="M3646" t="b">
        <f>TrafficData[[#This Row],[pendingCourt]]+TrafficData[[#This Row],[disposedCourt]]=TrafficData[[#This Row],[totalCourt]]</f>
        <v>1</v>
      </c>
      <c r="N3646" s="8" t="b">
        <f>AND(TrafficData[[#This Row],[disposedChallan]]&lt;=TrafficData[[#This Row],[totalChallan]],TrafficData[[#This Row],[pendingChallan]]&lt;=TrafficData[[#This Row],[totalChallan]])</f>
        <v>1</v>
      </c>
      <c r="O3646" s="8" t="b">
        <f>AND(TrafficData[[#This Row],[pendingAmount]]&lt;=TrafficData[[#This Row],[totalAmount]],TrafficData[[#This Row],[disposedAmount]]&lt;=TrafficData[[#This Row],[totalAmount]])</f>
        <v>1</v>
      </c>
      <c r="P3646" s="8" t="b">
        <f>AND(TrafficData[[#This Row],[pendingCourt]]&lt;=TrafficData[[#This Row],[totalCourt]],TrafficData[[#This Row],[disposedCourt]]&lt;=TrafficData[[#This Row],[totalCourt]])</f>
        <v>1</v>
      </c>
    </row>
    <row r="3647" spans="1:16">
      <c r="A3647" s="1">
        <v>45651</v>
      </c>
      <c r="B3647">
        <v>252525</v>
      </c>
      <c r="C3647">
        <v>75177</v>
      </c>
      <c r="D3647">
        <v>177348</v>
      </c>
      <c r="E3647">
        <v>323868945</v>
      </c>
      <c r="F3647">
        <v>100801299</v>
      </c>
      <c r="G3647">
        <v>424670244</v>
      </c>
      <c r="H3647">
        <v>100476</v>
      </c>
      <c r="I3647">
        <v>8116</v>
      </c>
      <c r="J3647">
        <v>108592</v>
      </c>
      <c r="K3647" t="b">
        <f>TrafficData[[#This Row],[disposedChallan]]+TrafficData[[#This Row],[pendingChallan]]=TrafficData[[#This Row],[totalChallan]]</f>
        <v>1</v>
      </c>
      <c r="L3647" t="b">
        <f>TrafficData[[#This Row],[pendingAmount]]+TrafficData[[#This Row],[disposedAmount]]=TrafficData[[#This Row],[totalAmount]]</f>
        <v>1</v>
      </c>
      <c r="M3647" t="b">
        <f>TrafficData[[#This Row],[pendingCourt]]+TrafficData[[#This Row],[disposedCourt]]=TrafficData[[#This Row],[totalCourt]]</f>
        <v>1</v>
      </c>
      <c r="N3647" s="8" t="b">
        <f>AND(TrafficData[[#This Row],[disposedChallan]]&lt;=TrafficData[[#This Row],[totalChallan]],TrafficData[[#This Row],[pendingChallan]]&lt;=TrafficData[[#This Row],[totalChallan]])</f>
        <v>1</v>
      </c>
      <c r="O3647" s="8" t="b">
        <f>AND(TrafficData[[#This Row],[pendingAmount]]&lt;=TrafficData[[#This Row],[totalAmount]],TrafficData[[#This Row],[disposedAmount]]&lt;=TrafficData[[#This Row],[totalAmount]])</f>
        <v>1</v>
      </c>
      <c r="P3647" s="8" t="b">
        <f>AND(TrafficData[[#This Row],[pendingCourt]]&lt;=TrafficData[[#This Row],[totalCourt]],TrafficData[[#This Row],[disposedCourt]]&lt;=TrafficData[[#This Row],[totalCourt]])</f>
        <v>1</v>
      </c>
    </row>
    <row r="3648" spans="1:16">
      <c r="A3648" s="1">
        <v>45652</v>
      </c>
      <c r="B3648">
        <v>267904</v>
      </c>
      <c r="C3648">
        <v>80422</v>
      </c>
      <c r="D3648">
        <v>187482</v>
      </c>
      <c r="E3648">
        <v>351437473</v>
      </c>
      <c r="F3648">
        <v>126171891</v>
      </c>
      <c r="G3648">
        <v>477609364</v>
      </c>
      <c r="H3648">
        <v>106175</v>
      </c>
      <c r="I3648">
        <v>8247</v>
      </c>
      <c r="J3648">
        <v>114422</v>
      </c>
      <c r="K3648" t="b">
        <f>TrafficData[[#This Row],[disposedChallan]]+TrafficData[[#This Row],[pendingChallan]]=TrafficData[[#This Row],[totalChallan]]</f>
        <v>1</v>
      </c>
      <c r="L3648" t="b">
        <f>TrafficData[[#This Row],[pendingAmount]]+TrafficData[[#This Row],[disposedAmount]]=TrafficData[[#This Row],[totalAmount]]</f>
        <v>1</v>
      </c>
      <c r="M3648" t="b">
        <f>TrafficData[[#This Row],[pendingCourt]]+TrafficData[[#This Row],[disposedCourt]]=TrafficData[[#This Row],[totalCourt]]</f>
        <v>1</v>
      </c>
      <c r="N3648" s="8" t="b">
        <f>AND(TrafficData[[#This Row],[disposedChallan]]&lt;=TrafficData[[#This Row],[totalChallan]],TrafficData[[#This Row],[pendingChallan]]&lt;=TrafficData[[#This Row],[totalChallan]])</f>
        <v>1</v>
      </c>
      <c r="O3648" s="8" t="b">
        <f>AND(TrafficData[[#This Row],[pendingAmount]]&lt;=TrafficData[[#This Row],[totalAmount]],TrafficData[[#This Row],[disposedAmount]]&lt;=TrafficData[[#This Row],[totalAmount]])</f>
        <v>1</v>
      </c>
      <c r="P3648" s="8" t="b">
        <f>AND(TrafficData[[#This Row],[pendingCourt]]&lt;=TrafficData[[#This Row],[totalCourt]],TrafficData[[#This Row],[disposedCourt]]&lt;=TrafficData[[#This Row],[totalCourt]])</f>
        <v>1</v>
      </c>
    </row>
    <row r="3649" spans="1:16">
      <c r="A3649" s="1">
        <v>45653</v>
      </c>
      <c r="B3649">
        <v>225594</v>
      </c>
      <c r="C3649">
        <v>72809</v>
      </c>
      <c r="D3649">
        <v>152785</v>
      </c>
      <c r="E3649">
        <v>220457143</v>
      </c>
      <c r="F3649">
        <v>105056542</v>
      </c>
      <c r="G3649">
        <v>325513685</v>
      </c>
      <c r="H3649">
        <v>72078</v>
      </c>
      <c r="I3649">
        <v>5401</v>
      </c>
      <c r="J3649">
        <v>77479</v>
      </c>
      <c r="K3649" t="b">
        <f>TrafficData[[#This Row],[disposedChallan]]+TrafficData[[#This Row],[pendingChallan]]=TrafficData[[#This Row],[totalChallan]]</f>
        <v>1</v>
      </c>
      <c r="L3649" t="b">
        <f>TrafficData[[#This Row],[pendingAmount]]+TrafficData[[#This Row],[disposedAmount]]=TrafficData[[#This Row],[totalAmount]]</f>
        <v>1</v>
      </c>
      <c r="M3649" t="b">
        <f>TrafficData[[#This Row],[pendingCourt]]+TrafficData[[#This Row],[disposedCourt]]=TrafficData[[#This Row],[totalCourt]]</f>
        <v>1</v>
      </c>
      <c r="N3649" s="8" t="b">
        <f>AND(TrafficData[[#This Row],[disposedChallan]]&lt;=TrafficData[[#This Row],[totalChallan]],TrafficData[[#This Row],[pendingChallan]]&lt;=TrafficData[[#This Row],[totalChallan]])</f>
        <v>1</v>
      </c>
      <c r="O3649" s="8" t="b">
        <f>AND(TrafficData[[#This Row],[pendingAmount]]&lt;=TrafficData[[#This Row],[totalAmount]],TrafficData[[#This Row],[disposedAmount]]&lt;=TrafficData[[#This Row],[totalAmount]])</f>
        <v>1</v>
      </c>
      <c r="P3649" s="8" t="b">
        <f>AND(TrafficData[[#This Row],[pendingCourt]]&lt;=TrafficData[[#This Row],[totalCourt]],TrafficData[[#This Row],[disposedCourt]]&lt;=TrafficData[[#This Row],[totalCourt]])</f>
        <v>1</v>
      </c>
    </row>
    <row r="3650" spans="1:16">
      <c r="A3650" s="1">
        <v>45654</v>
      </c>
      <c r="B3650">
        <v>243124</v>
      </c>
      <c r="C3650">
        <v>75529</v>
      </c>
      <c r="D3650">
        <v>167595</v>
      </c>
      <c r="E3650">
        <v>290576653</v>
      </c>
      <c r="F3650">
        <v>100260018</v>
      </c>
      <c r="G3650">
        <v>390836671</v>
      </c>
      <c r="H3650">
        <v>87075</v>
      </c>
      <c r="I3650">
        <v>6656</v>
      </c>
      <c r="J3650">
        <v>93731</v>
      </c>
      <c r="K3650" t="b">
        <f>TrafficData[[#This Row],[disposedChallan]]+TrafficData[[#This Row],[pendingChallan]]=TrafficData[[#This Row],[totalChallan]]</f>
        <v>1</v>
      </c>
      <c r="L3650" t="b">
        <f>TrafficData[[#This Row],[pendingAmount]]+TrafficData[[#This Row],[disposedAmount]]=TrafficData[[#This Row],[totalAmount]]</f>
        <v>1</v>
      </c>
      <c r="M3650" t="b">
        <f>TrafficData[[#This Row],[pendingCourt]]+TrafficData[[#This Row],[disposedCourt]]=TrafficData[[#This Row],[totalCourt]]</f>
        <v>1</v>
      </c>
      <c r="N3650" s="8" t="b">
        <f>AND(TrafficData[[#This Row],[disposedChallan]]&lt;=TrafficData[[#This Row],[totalChallan]],TrafficData[[#This Row],[pendingChallan]]&lt;=TrafficData[[#This Row],[totalChallan]])</f>
        <v>1</v>
      </c>
      <c r="O3650" s="8" t="b">
        <f>AND(TrafficData[[#This Row],[pendingAmount]]&lt;=TrafficData[[#This Row],[totalAmount]],TrafficData[[#This Row],[disposedAmount]]&lt;=TrafficData[[#This Row],[totalAmount]])</f>
        <v>1</v>
      </c>
      <c r="P3650" s="8" t="b">
        <f>AND(TrafficData[[#This Row],[pendingCourt]]&lt;=TrafficData[[#This Row],[totalCourt]],TrafficData[[#This Row],[disposedCourt]]&lt;=TrafficData[[#This Row],[totalCourt]])</f>
        <v>1</v>
      </c>
    </row>
    <row r="3651" spans="1:16">
      <c r="A3651" s="1">
        <v>45655</v>
      </c>
      <c r="B3651">
        <v>239056</v>
      </c>
      <c r="C3651">
        <v>73065</v>
      </c>
      <c r="D3651">
        <v>165991</v>
      </c>
      <c r="E3651">
        <v>273048044</v>
      </c>
      <c r="F3651">
        <v>85546066</v>
      </c>
      <c r="G3651">
        <v>358594110</v>
      </c>
      <c r="H3651">
        <v>90440</v>
      </c>
      <c r="I3651">
        <v>7533</v>
      </c>
      <c r="J3651">
        <v>97973</v>
      </c>
      <c r="K3651" t="b">
        <f>TrafficData[[#This Row],[disposedChallan]]+TrafficData[[#This Row],[pendingChallan]]=TrafficData[[#This Row],[totalChallan]]</f>
        <v>1</v>
      </c>
      <c r="L3651" t="b">
        <f>TrafficData[[#This Row],[pendingAmount]]+TrafficData[[#This Row],[disposedAmount]]=TrafficData[[#This Row],[totalAmount]]</f>
        <v>1</v>
      </c>
      <c r="M3651" t="b">
        <f>TrafficData[[#This Row],[pendingCourt]]+TrafficData[[#This Row],[disposedCourt]]=TrafficData[[#This Row],[totalCourt]]</f>
        <v>1</v>
      </c>
      <c r="N3651" s="8" t="b">
        <f>AND(TrafficData[[#This Row],[disposedChallan]]&lt;=TrafficData[[#This Row],[totalChallan]],TrafficData[[#This Row],[pendingChallan]]&lt;=TrafficData[[#This Row],[totalChallan]])</f>
        <v>1</v>
      </c>
      <c r="O3651" s="8" t="b">
        <f>AND(TrafficData[[#This Row],[pendingAmount]]&lt;=TrafficData[[#This Row],[totalAmount]],TrafficData[[#This Row],[disposedAmount]]&lt;=TrafficData[[#This Row],[totalAmount]])</f>
        <v>1</v>
      </c>
      <c r="P3651" s="8" t="b">
        <f>AND(TrafficData[[#This Row],[pendingCourt]]&lt;=TrafficData[[#This Row],[totalCourt]],TrafficData[[#This Row],[disposedCourt]]&lt;=TrafficData[[#This Row],[totalCourt]])</f>
        <v>1</v>
      </c>
    </row>
    <row r="3652" spans="1:16">
      <c r="A3652" s="1">
        <v>45656</v>
      </c>
      <c r="B3652">
        <v>246120</v>
      </c>
      <c r="C3652">
        <v>76591</v>
      </c>
      <c r="D3652">
        <v>169529</v>
      </c>
      <c r="E3652">
        <v>304716260</v>
      </c>
      <c r="F3652">
        <v>102202312</v>
      </c>
      <c r="G3652">
        <v>406918572</v>
      </c>
      <c r="H3652">
        <v>94618</v>
      </c>
      <c r="I3652">
        <v>8226</v>
      </c>
      <c r="J3652">
        <v>102844</v>
      </c>
      <c r="K3652" t="b">
        <f>TrafficData[[#This Row],[disposedChallan]]+TrafficData[[#This Row],[pendingChallan]]=TrafficData[[#This Row],[totalChallan]]</f>
        <v>1</v>
      </c>
      <c r="L3652" t="b">
        <f>TrafficData[[#This Row],[pendingAmount]]+TrafficData[[#This Row],[disposedAmount]]=TrafficData[[#This Row],[totalAmount]]</f>
        <v>1</v>
      </c>
      <c r="M3652" t="b">
        <f>TrafficData[[#This Row],[pendingCourt]]+TrafficData[[#This Row],[disposedCourt]]=TrafficData[[#This Row],[totalCourt]]</f>
        <v>1</v>
      </c>
      <c r="N3652" s="8" t="b">
        <f>AND(TrafficData[[#This Row],[disposedChallan]]&lt;=TrafficData[[#This Row],[totalChallan]],TrafficData[[#This Row],[pendingChallan]]&lt;=TrafficData[[#This Row],[totalChallan]])</f>
        <v>1</v>
      </c>
      <c r="O3652" s="8" t="b">
        <f>AND(TrafficData[[#This Row],[pendingAmount]]&lt;=TrafficData[[#This Row],[totalAmount]],TrafficData[[#This Row],[disposedAmount]]&lt;=TrafficData[[#This Row],[totalAmount]])</f>
        <v>1</v>
      </c>
      <c r="P3652" s="8" t="b">
        <f>AND(TrafficData[[#This Row],[pendingCourt]]&lt;=TrafficData[[#This Row],[totalCourt]],TrafficData[[#This Row],[disposedCourt]]&lt;=TrafficData[[#This Row],[totalCourt]])</f>
        <v>1</v>
      </c>
    </row>
    <row r="3653" spans="1:16">
      <c r="A3653" s="1">
        <v>45657</v>
      </c>
      <c r="B3653">
        <v>173951</v>
      </c>
      <c r="C3653">
        <v>51576</v>
      </c>
      <c r="D3653">
        <v>122375</v>
      </c>
      <c r="E3653">
        <v>220199376</v>
      </c>
      <c r="F3653">
        <v>84196520</v>
      </c>
      <c r="G3653">
        <v>304395896</v>
      </c>
      <c r="H3653">
        <v>65599</v>
      </c>
      <c r="I3653">
        <v>5642</v>
      </c>
      <c r="J3653">
        <v>71241</v>
      </c>
      <c r="K3653" t="b">
        <f>TrafficData[[#This Row],[disposedChallan]]+TrafficData[[#This Row],[pendingChallan]]=TrafficData[[#This Row],[totalChallan]]</f>
        <v>1</v>
      </c>
      <c r="L3653" t="b">
        <f>TrafficData[[#This Row],[pendingAmount]]+TrafficData[[#This Row],[disposedAmount]]=TrafficData[[#This Row],[totalAmount]]</f>
        <v>1</v>
      </c>
      <c r="M3653" t="b">
        <f>TrafficData[[#This Row],[pendingCourt]]+TrafficData[[#This Row],[disposedCourt]]=TrafficData[[#This Row],[totalCourt]]</f>
        <v>1</v>
      </c>
      <c r="N3653" s="8" t="b">
        <f>AND(TrafficData[[#This Row],[disposedChallan]]&lt;=TrafficData[[#This Row],[totalChallan]],TrafficData[[#This Row],[pendingChallan]]&lt;=TrafficData[[#This Row],[totalChallan]])</f>
        <v>1</v>
      </c>
      <c r="O3653" s="8" t="b">
        <f>AND(TrafficData[[#This Row],[pendingAmount]]&lt;=TrafficData[[#This Row],[totalAmount]],TrafficData[[#This Row],[disposedAmount]]&lt;=TrafficData[[#This Row],[totalAmount]])</f>
        <v>1</v>
      </c>
      <c r="P3653" s="8" t="b">
        <f>AND(TrafficData[[#This Row],[pendingCourt]]&lt;=TrafficData[[#This Row],[totalCourt]],TrafficData[[#This Row],[disposedCourt]]&lt;=TrafficData[[#This Row],[totalCourt]])</f>
        <v>1</v>
      </c>
    </row>
    <row r="3654" spans="1:16">
      <c r="A3654" s="1">
        <v>45658</v>
      </c>
      <c r="B3654">
        <v>218265</v>
      </c>
      <c r="C3654">
        <v>61320</v>
      </c>
      <c r="D3654">
        <v>156945</v>
      </c>
      <c r="E3654">
        <v>269867081</v>
      </c>
      <c r="F3654">
        <v>84739970</v>
      </c>
      <c r="G3654">
        <v>354607051</v>
      </c>
      <c r="H3654">
        <v>91746</v>
      </c>
      <c r="I3654">
        <v>7526</v>
      </c>
      <c r="J3654">
        <v>99272</v>
      </c>
      <c r="K3654" t="b">
        <f>TrafficData[[#This Row],[disposedChallan]]+TrafficData[[#This Row],[pendingChallan]]=TrafficData[[#This Row],[totalChallan]]</f>
        <v>1</v>
      </c>
      <c r="L3654" t="b">
        <f>TrafficData[[#This Row],[pendingAmount]]+TrafficData[[#This Row],[disposedAmount]]=TrafficData[[#This Row],[totalAmount]]</f>
        <v>1</v>
      </c>
      <c r="M3654" t="b">
        <f>TrafficData[[#This Row],[pendingCourt]]+TrafficData[[#This Row],[disposedCourt]]=TrafficData[[#This Row],[totalCourt]]</f>
        <v>1</v>
      </c>
      <c r="N3654" s="8" t="b">
        <f>AND(TrafficData[[#This Row],[disposedChallan]]&lt;=TrafficData[[#This Row],[totalChallan]],TrafficData[[#This Row],[pendingChallan]]&lt;=TrafficData[[#This Row],[totalChallan]])</f>
        <v>1</v>
      </c>
      <c r="O3654" s="8" t="b">
        <f>AND(TrafficData[[#This Row],[pendingAmount]]&lt;=TrafficData[[#This Row],[totalAmount]],TrafficData[[#This Row],[disposedAmount]]&lt;=TrafficData[[#This Row],[totalAmount]])</f>
        <v>1</v>
      </c>
      <c r="P3654" s="8" t="b">
        <f>AND(TrafficData[[#This Row],[pendingCourt]]&lt;=TrafficData[[#This Row],[totalCourt]],TrafficData[[#This Row],[disposedCourt]]&lt;=TrafficData[[#This Row],[totalCourt]])</f>
        <v>1</v>
      </c>
    </row>
    <row r="3655" spans="1:16">
      <c r="A3655" s="1">
        <v>45659</v>
      </c>
      <c r="B3655">
        <v>262483</v>
      </c>
      <c r="C3655">
        <v>80626</v>
      </c>
      <c r="D3655">
        <v>181857</v>
      </c>
      <c r="E3655">
        <v>321218288</v>
      </c>
      <c r="F3655">
        <v>126168874</v>
      </c>
      <c r="G3655">
        <v>447387162</v>
      </c>
      <c r="H3655">
        <v>98031</v>
      </c>
      <c r="I3655">
        <v>7934</v>
      </c>
      <c r="J3655">
        <v>105965</v>
      </c>
      <c r="K3655" t="b">
        <f>TrafficData[[#This Row],[disposedChallan]]+TrafficData[[#This Row],[pendingChallan]]=TrafficData[[#This Row],[totalChallan]]</f>
        <v>1</v>
      </c>
      <c r="L3655" t="b">
        <f>TrafficData[[#This Row],[pendingAmount]]+TrafficData[[#This Row],[disposedAmount]]=TrafficData[[#This Row],[totalAmount]]</f>
        <v>1</v>
      </c>
      <c r="M3655" t="b">
        <f>TrafficData[[#This Row],[pendingCourt]]+TrafficData[[#This Row],[disposedCourt]]=TrafficData[[#This Row],[totalCourt]]</f>
        <v>1</v>
      </c>
      <c r="N3655" s="8" t="b">
        <f>AND(TrafficData[[#This Row],[disposedChallan]]&lt;=TrafficData[[#This Row],[totalChallan]],TrafficData[[#This Row],[pendingChallan]]&lt;=TrafficData[[#This Row],[totalChallan]])</f>
        <v>1</v>
      </c>
      <c r="O3655" s="8" t="b">
        <f>AND(TrafficData[[#This Row],[pendingAmount]]&lt;=TrafficData[[#This Row],[totalAmount]],TrafficData[[#This Row],[disposedAmount]]&lt;=TrafficData[[#This Row],[totalAmount]])</f>
        <v>1</v>
      </c>
      <c r="P3655" s="8" t="b">
        <f>AND(TrafficData[[#This Row],[pendingCourt]]&lt;=TrafficData[[#This Row],[totalCourt]],TrafficData[[#This Row],[disposedCourt]]&lt;=TrafficData[[#This Row],[totalCourt]])</f>
        <v>1</v>
      </c>
    </row>
    <row r="3656" spans="1:16">
      <c r="A3656" s="1">
        <v>45660</v>
      </c>
      <c r="B3656">
        <v>273327</v>
      </c>
      <c r="C3656">
        <v>86205</v>
      </c>
      <c r="D3656">
        <v>187122</v>
      </c>
      <c r="E3656">
        <v>326332498</v>
      </c>
      <c r="F3656">
        <v>146952218</v>
      </c>
      <c r="G3656">
        <v>473284716</v>
      </c>
      <c r="H3656">
        <v>97289</v>
      </c>
      <c r="I3656">
        <v>8145</v>
      </c>
      <c r="J3656">
        <v>105434</v>
      </c>
      <c r="K3656" t="b">
        <f>TrafficData[[#This Row],[disposedChallan]]+TrafficData[[#This Row],[pendingChallan]]=TrafficData[[#This Row],[totalChallan]]</f>
        <v>1</v>
      </c>
      <c r="L3656" t="b">
        <f>TrafficData[[#This Row],[pendingAmount]]+TrafficData[[#This Row],[disposedAmount]]=TrafficData[[#This Row],[totalAmount]]</f>
        <v>1</v>
      </c>
      <c r="M3656" t="b">
        <f>TrafficData[[#This Row],[pendingCourt]]+TrafficData[[#This Row],[disposedCourt]]=TrafficData[[#This Row],[totalCourt]]</f>
        <v>1</v>
      </c>
      <c r="N3656" s="8" t="b">
        <f>AND(TrafficData[[#This Row],[disposedChallan]]&lt;=TrafficData[[#This Row],[totalChallan]],TrafficData[[#This Row],[pendingChallan]]&lt;=TrafficData[[#This Row],[totalChallan]])</f>
        <v>1</v>
      </c>
      <c r="O3656" s="8" t="b">
        <f>AND(TrafficData[[#This Row],[pendingAmount]]&lt;=TrafficData[[#This Row],[totalAmount]],TrafficData[[#This Row],[disposedAmount]]&lt;=TrafficData[[#This Row],[totalAmount]])</f>
        <v>1</v>
      </c>
      <c r="P3656" s="8" t="b">
        <f>AND(TrafficData[[#This Row],[pendingCourt]]&lt;=TrafficData[[#This Row],[totalCourt]],TrafficData[[#This Row],[disposedCourt]]&lt;=TrafficData[[#This Row],[totalCourt]])</f>
        <v>1</v>
      </c>
    </row>
    <row r="3657" spans="1:16">
      <c r="A3657" s="1">
        <v>45661</v>
      </c>
      <c r="B3657">
        <v>271942</v>
      </c>
      <c r="C3657">
        <v>86558</v>
      </c>
      <c r="D3657">
        <v>185384</v>
      </c>
      <c r="E3657">
        <v>346574579</v>
      </c>
      <c r="F3657">
        <v>132509054</v>
      </c>
      <c r="G3657">
        <v>479083633</v>
      </c>
      <c r="H3657">
        <v>96646</v>
      </c>
      <c r="I3657">
        <v>8540</v>
      </c>
      <c r="J3657">
        <v>105186</v>
      </c>
      <c r="K3657" t="b">
        <f>TrafficData[[#This Row],[disposedChallan]]+TrafficData[[#This Row],[pendingChallan]]=TrafficData[[#This Row],[totalChallan]]</f>
        <v>1</v>
      </c>
      <c r="L3657" t="b">
        <f>TrafficData[[#This Row],[pendingAmount]]+TrafficData[[#This Row],[disposedAmount]]=TrafficData[[#This Row],[totalAmount]]</f>
        <v>1</v>
      </c>
      <c r="M3657" t="b">
        <f>TrafficData[[#This Row],[pendingCourt]]+TrafficData[[#This Row],[disposedCourt]]=TrafficData[[#This Row],[totalCourt]]</f>
        <v>1</v>
      </c>
      <c r="N3657" s="8" t="b">
        <f>AND(TrafficData[[#This Row],[disposedChallan]]&lt;=TrafficData[[#This Row],[totalChallan]],TrafficData[[#This Row],[pendingChallan]]&lt;=TrafficData[[#This Row],[totalChallan]])</f>
        <v>1</v>
      </c>
      <c r="O3657" s="8" t="b">
        <f>AND(TrafficData[[#This Row],[pendingAmount]]&lt;=TrafficData[[#This Row],[totalAmount]],TrafficData[[#This Row],[disposedAmount]]&lt;=TrafficData[[#This Row],[totalAmount]])</f>
        <v>1</v>
      </c>
      <c r="P3657" s="8" t="b">
        <f>AND(TrafficData[[#This Row],[pendingCourt]]&lt;=TrafficData[[#This Row],[totalCourt]],TrafficData[[#This Row],[disposedCourt]]&lt;=TrafficData[[#This Row],[totalCourt]])</f>
        <v>1</v>
      </c>
    </row>
    <row r="3658" spans="1:16">
      <c r="A3658" s="1">
        <v>45662</v>
      </c>
      <c r="B3658">
        <v>262272</v>
      </c>
      <c r="C3658">
        <v>78589</v>
      </c>
      <c r="D3658">
        <v>183683</v>
      </c>
      <c r="E3658">
        <v>298153929</v>
      </c>
      <c r="F3658">
        <v>99933730</v>
      </c>
      <c r="G3658">
        <v>398087659</v>
      </c>
      <c r="H3658">
        <v>93579</v>
      </c>
      <c r="I3658">
        <v>7696</v>
      </c>
      <c r="J3658">
        <v>101275</v>
      </c>
      <c r="K3658" t="b">
        <f>TrafficData[[#This Row],[disposedChallan]]+TrafficData[[#This Row],[pendingChallan]]=TrafficData[[#This Row],[totalChallan]]</f>
        <v>1</v>
      </c>
      <c r="L3658" t="b">
        <f>TrafficData[[#This Row],[pendingAmount]]+TrafficData[[#This Row],[disposedAmount]]=TrafficData[[#This Row],[totalAmount]]</f>
        <v>1</v>
      </c>
      <c r="M3658" t="b">
        <f>TrafficData[[#This Row],[pendingCourt]]+TrafficData[[#This Row],[disposedCourt]]=TrafficData[[#This Row],[totalCourt]]</f>
        <v>1</v>
      </c>
      <c r="N3658" s="8" t="b">
        <f>AND(TrafficData[[#This Row],[disposedChallan]]&lt;=TrafficData[[#This Row],[totalChallan]],TrafficData[[#This Row],[pendingChallan]]&lt;=TrafficData[[#This Row],[totalChallan]])</f>
        <v>1</v>
      </c>
      <c r="O3658" s="8" t="b">
        <f>AND(TrafficData[[#This Row],[pendingAmount]]&lt;=TrafficData[[#This Row],[totalAmount]],TrafficData[[#This Row],[disposedAmount]]&lt;=TrafficData[[#This Row],[totalAmount]])</f>
        <v>1</v>
      </c>
      <c r="P3658" s="8" t="b">
        <f>AND(TrafficData[[#This Row],[pendingCourt]]&lt;=TrafficData[[#This Row],[totalCourt]],TrafficData[[#This Row],[disposedCourt]]&lt;=TrafficData[[#This Row],[totalCourt]])</f>
        <v>1</v>
      </c>
    </row>
    <row r="3659" spans="1:16">
      <c r="A3659" s="1">
        <v>45663</v>
      </c>
      <c r="B3659">
        <v>284360</v>
      </c>
      <c r="C3659">
        <v>84051</v>
      </c>
      <c r="D3659">
        <v>200309</v>
      </c>
      <c r="E3659">
        <v>353697890</v>
      </c>
      <c r="F3659">
        <v>128925269</v>
      </c>
      <c r="G3659">
        <v>482623159</v>
      </c>
      <c r="H3659">
        <v>115136</v>
      </c>
      <c r="I3659">
        <v>8541</v>
      </c>
      <c r="J3659">
        <v>123677</v>
      </c>
      <c r="K3659" t="b">
        <f>TrafficData[[#This Row],[disposedChallan]]+TrafficData[[#This Row],[pendingChallan]]=TrafficData[[#This Row],[totalChallan]]</f>
        <v>1</v>
      </c>
      <c r="L3659" t="b">
        <f>TrafficData[[#This Row],[pendingAmount]]+TrafficData[[#This Row],[disposedAmount]]=TrafficData[[#This Row],[totalAmount]]</f>
        <v>1</v>
      </c>
      <c r="M3659" t="b">
        <f>TrafficData[[#This Row],[pendingCourt]]+TrafficData[[#This Row],[disposedCourt]]=TrafficData[[#This Row],[totalCourt]]</f>
        <v>1</v>
      </c>
      <c r="N3659" s="8" t="b">
        <f>AND(TrafficData[[#This Row],[disposedChallan]]&lt;=TrafficData[[#This Row],[totalChallan]],TrafficData[[#This Row],[pendingChallan]]&lt;=TrafficData[[#This Row],[totalChallan]])</f>
        <v>1</v>
      </c>
      <c r="O3659" s="8" t="b">
        <f>AND(TrafficData[[#This Row],[pendingAmount]]&lt;=TrafficData[[#This Row],[totalAmount]],TrafficData[[#This Row],[disposedAmount]]&lt;=TrafficData[[#This Row],[totalAmount]])</f>
        <v>1</v>
      </c>
      <c r="P3659" s="8" t="b">
        <f>AND(TrafficData[[#This Row],[pendingCourt]]&lt;=TrafficData[[#This Row],[totalCourt]],TrafficData[[#This Row],[disposedCourt]]&lt;=TrafficData[[#This Row],[totalCourt]])</f>
        <v>1</v>
      </c>
    </row>
    <row r="3660" spans="1:16">
      <c r="A3660" s="1">
        <v>45664</v>
      </c>
      <c r="B3660">
        <v>271518</v>
      </c>
      <c r="C3660">
        <v>82444</v>
      </c>
      <c r="D3660">
        <v>189074</v>
      </c>
      <c r="E3660">
        <v>339343194</v>
      </c>
      <c r="F3660">
        <v>137989092</v>
      </c>
      <c r="G3660">
        <v>477332286</v>
      </c>
      <c r="H3660">
        <v>107189</v>
      </c>
      <c r="I3660">
        <v>8340</v>
      </c>
      <c r="J3660">
        <v>115529</v>
      </c>
      <c r="K3660" t="b">
        <f>TrafficData[[#This Row],[disposedChallan]]+TrafficData[[#This Row],[pendingChallan]]=TrafficData[[#This Row],[totalChallan]]</f>
        <v>1</v>
      </c>
      <c r="L3660" t="b">
        <f>TrafficData[[#This Row],[pendingAmount]]+TrafficData[[#This Row],[disposedAmount]]=TrafficData[[#This Row],[totalAmount]]</f>
        <v>1</v>
      </c>
      <c r="M3660" t="b">
        <f>TrafficData[[#This Row],[pendingCourt]]+TrafficData[[#This Row],[disposedCourt]]=TrafficData[[#This Row],[totalCourt]]</f>
        <v>1</v>
      </c>
      <c r="N3660" s="8" t="b">
        <f>AND(TrafficData[[#This Row],[disposedChallan]]&lt;=TrafficData[[#This Row],[totalChallan]],TrafficData[[#This Row],[pendingChallan]]&lt;=TrafficData[[#This Row],[totalChallan]])</f>
        <v>1</v>
      </c>
      <c r="O3660" s="8" t="b">
        <f>AND(TrafficData[[#This Row],[pendingAmount]]&lt;=TrafficData[[#This Row],[totalAmount]],TrafficData[[#This Row],[disposedAmount]]&lt;=TrafficData[[#This Row],[totalAmount]])</f>
        <v>1</v>
      </c>
      <c r="P3660" s="8" t="b">
        <f>AND(TrafficData[[#This Row],[pendingCourt]]&lt;=TrafficData[[#This Row],[totalCourt]],TrafficData[[#This Row],[disposedCourt]]&lt;=TrafficData[[#This Row],[totalCourt]])</f>
        <v>1</v>
      </c>
    </row>
    <row r="3661" spans="1:16">
      <c r="A3661" s="1">
        <v>45665</v>
      </c>
      <c r="B3661">
        <v>277421</v>
      </c>
      <c r="C3661">
        <v>85595</v>
      </c>
      <c r="D3661">
        <v>191826</v>
      </c>
      <c r="E3661">
        <v>351933602</v>
      </c>
      <c r="F3661">
        <v>145840311</v>
      </c>
      <c r="G3661">
        <v>497773913</v>
      </c>
      <c r="H3661">
        <v>103610</v>
      </c>
      <c r="I3661">
        <v>9035</v>
      </c>
      <c r="J3661">
        <v>112645</v>
      </c>
      <c r="K3661" t="b">
        <f>TrafficData[[#This Row],[disposedChallan]]+TrafficData[[#This Row],[pendingChallan]]=TrafficData[[#This Row],[totalChallan]]</f>
        <v>1</v>
      </c>
      <c r="L3661" t="b">
        <f>TrafficData[[#This Row],[pendingAmount]]+TrafficData[[#This Row],[disposedAmount]]=TrafficData[[#This Row],[totalAmount]]</f>
        <v>1</v>
      </c>
      <c r="M3661" t="b">
        <f>TrafficData[[#This Row],[pendingCourt]]+TrafficData[[#This Row],[disposedCourt]]=TrafficData[[#This Row],[totalCourt]]</f>
        <v>1</v>
      </c>
      <c r="N3661" s="8" t="b">
        <f>AND(TrafficData[[#This Row],[disposedChallan]]&lt;=TrafficData[[#This Row],[totalChallan]],TrafficData[[#This Row],[pendingChallan]]&lt;=TrafficData[[#This Row],[totalChallan]])</f>
        <v>1</v>
      </c>
      <c r="O3661" s="8" t="b">
        <f>AND(TrafficData[[#This Row],[pendingAmount]]&lt;=TrafficData[[#This Row],[totalAmount]],TrafficData[[#This Row],[disposedAmount]]&lt;=TrafficData[[#This Row],[totalAmount]])</f>
        <v>1</v>
      </c>
      <c r="P3661" s="8" t="b">
        <f>AND(TrafficData[[#This Row],[pendingCourt]]&lt;=TrafficData[[#This Row],[totalCourt]],TrafficData[[#This Row],[disposedCourt]]&lt;=TrafficData[[#This Row],[totalCourt]])</f>
        <v>1</v>
      </c>
    </row>
    <row r="3662" spans="1:16">
      <c r="A3662" s="1">
        <v>45666</v>
      </c>
      <c r="B3662">
        <v>284496</v>
      </c>
      <c r="C3662">
        <v>84613</v>
      </c>
      <c r="D3662">
        <v>199883</v>
      </c>
      <c r="E3662">
        <v>366984348</v>
      </c>
      <c r="F3662">
        <v>141327511</v>
      </c>
      <c r="G3662">
        <v>508311859</v>
      </c>
      <c r="H3662">
        <v>110916</v>
      </c>
      <c r="I3662">
        <v>9010</v>
      </c>
      <c r="J3662">
        <v>119926</v>
      </c>
      <c r="K3662" t="b">
        <f>TrafficData[[#This Row],[disposedChallan]]+TrafficData[[#This Row],[pendingChallan]]=TrafficData[[#This Row],[totalChallan]]</f>
        <v>1</v>
      </c>
      <c r="L3662" t="b">
        <f>TrafficData[[#This Row],[pendingAmount]]+TrafficData[[#This Row],[disposedAmount]]=TrafficData[[#This Row],[totalAmount]]</f>
        <v>1</v>
      </c>
      <c r="M3662" t="b">
        <f>TrafficData[[#This Row],[pendingCourt]]+TrafficData[[#This Row],[disposedCourt]]=TrafficData[[#This Row],[totalCourt]]</f>
        <v>1</v>
      </c>
      <c r="N3662" s="8" t="b">
        <f>AND(TrafficData[[#This Row],[disposedChallan]]&lt;=TrafficData[[#This Row],[totalChallan]],TrafficData[[#This Row],[pendingChallan]]&lt;=TrafficData[[#This Row],[totalChallan]])</f>
        <v>1</v>
      </c>
      <c r="O3662" s="8" t="b">
        <f>AND(TrafficData[[#This Row],[pendingAmount]]&lt;=TrafficData[[#This Row],[totalAmount]],TrafficData[[#This Row],[disposedAmount]]&lt;=TrafficData[[#This Row],[totalAmount]])</f>
        <v>1</v>
      </c>
      <c r="P3662" s="8" t="b">
        <f>AND(TrafficData[[#This Row],[pendingCourt]]&lt;=TrafficData[[#This Row],[totalCourt]],TrafficData[[#This Row],[disposedCourt]]&lt;=TrafficData[[#This Row],[totalCourt]])</f>
        <v>1</v>
      </c>
    </row>
    <row r="3663" spans="1:16">
      <c r="A3663" s="1">
        <v>45667</v>
      </c>
      <c r="B3663">
        <v>274888</v>
      </c>
      <c r="C3663">
        <v>82804</v>
      </c>
      <c r="D3663">
        <v>192084</v>
      </c>
      <c r="E3663">
        <v>366132353</v>
      </c>
      <c r="F3663">
        <v>131885920</v>
      </c>
      <c r="G3663">
        <v>498018273</v>
      </c>
      <c r="H3663">
        <v>107857</v>
      </c>
      <c r="I3663">
        <v>8618</v>
      </c>
      <c r="J3663">
        <v>116475</v>
      </c>
      <c r="K3663" t="b">
        <f>TrafficData[[#This Row],[disposedChallan]]+TrafficData[[#This Row],[pendingChallan]]=TrafficData[[#This Row],[totalChallan]]</f>
        <v>1</v>
      </c>
      <c r="L3663" t="b">
        <f>TrafficData[[#This Row],[pendingAmount]]+TrafficData[[#This Row],[disposedAmount]]=TrafficData[[#This Row],[totalAmount]]</f>
        <v>1</v>
      </c>
      <c r="M3663" t="b">
        <f>TrafficData[[#This Row],[pendingCourt]]+TrafficData[[#This Row],[disposedCourt]]=TrafficData[[#This Row],[totalCourt]]</f>
        <v>1</v>
      </c>
      <c r="N3663" s="8" t="b">
        <f>AND(TrafficData[[#This Row],[disposedChallan]]&lt;=TrafficData[[#This Row],[totalChallan]],TrafficData[[#This Row],[pendingChallan]]&lt;=TrafficData[[#This Row],[totalChallan]])</f>
        <v>1</v>
      </c>
      <c r="O3663" s="8" t="b">
        <f>AND(TrafficData[[#This Row],[pendingAmount]]&lt;=TrafficData[[#This Row],[totalAmount]],TrafficData[[#This Row],[disposedAmount]]&lt;=TrafficData[[#This Row],[totalAmount]])</f>
        <v>1</v>
      </c>
      <c r="P3663" s="8" t="b">
        <f>AND(TrafficData[[#This Row],[pendingCourt]]&lt;=TrafficData[[#This Row],[totalCourt]],TrafficData[[#This Row],[disposedCourt]]&lt;=TrafficData[[#This Row],[totalCourt]])</f>
        <v>1</v>
      </c>
    </row>
    <row r="3664" spans="1:16">
      <c r="A3664" s="1">
        <v>45668</v>
      </c>
      <c r="B3664">
        <v>269840</v>
      </c>
      <c r="C3664">
        <v>81101</v>
      </c>
      <c r="D3664">
        <v>188739</v>
      </c>
      <c r="E3664">
        <v>349857982</v>
      </c>
      <c r="F3664">
        <v>109936308</v>
      </c>
      <c r="G3664">
        <v>459794290</v>
      </c>
      <c r="H3664">
        <v>107285</v>
      </c>
      <c r="I3664">
        <v>8348</v>
      </c>
      <c r="J3664">
        <v>115633</v>
      </c>
      <c r="K3664" t="b">
        <f>TrafficData[[#This Row],[disposedChallan]]+TrafficData[[#This Row],[pendingChallan]]=TrafficData[[#This Row],[totalChallan]]</f>
        <v>1</v>
      </c>
      <c r="L3664" t="b">
        <f>TrafficData[[#This Row],[pendingAmount]]+TrafficData[[#This Row],[disposedAmount]]=TrafficData[[#This Row],[totalAmount]]</f>
        <v>1</v>
      </c>
      <c r="M3664" t="b">
        <f>TrafficData[[#This Row],[pendingCourt]]+TrafficData[[#This Row],[disposedCourt]]=TrafficData[[#This Row],[totalCourt]]</f>
        <v>1</v>
      </c>
      <c r="N3664" s="8" t="b">
        <f>AND(TrafficData[[#This Row],[disposedChallan]]&lt;=TrafficData[[#This Row],[totalChallan]],TrafficData[[#This Row],[pendingChallan]]&lt;=TrafficData[[#This Row],[totalChallan]])</f>
        <v>1</v>
      </c>
      <c r="O3664" s="8" t="b">
        <f>AND(TrafficData[[#This Row],[pendingAmount]]&lt;=TrafficData[[#This Row],[totalAmount]],TrafficData[[#This Row],[disposedAmount]]&lt;=TrafficData[[#This Row],[totalAmount]])</f>
        <v>1</v>
      </c>
      <c r="P3664" s="8" t="b">
        <f>AND(TrafficData[[#This Row],[pendingCourt]]&lt;=TrafficData[[#This Row],[totalCourt]],TrafficData[[#This Row],[disposedCourt]]&lt;=TrafficData[[#This Row],[totalCourt]])</f>
        <v>1</v>
      </c>
    </row>
    <row r="3665" spans="1:16">
      <c r="A3665" s="1">
        <v>45669</v>
      </c>
      <c r="B3665">
        <v>252376</v>
      </c>
      <c r="C3665">
        <v>72407</v>
      </c>
      <c r="D3665">
        <v>179969</v>
      </c>
      <c r="E3665">
        <v>321620101</v>
      </c>
      <c r="F3665">
        <v>90466475</v>
      </c>
      <c r="G3665">
        <v>412086576</v>
      </c>
      <c r="H3665">
        <v>102956</v>
      </c>
      <c r="I3665">
        <v>7764</v>
      </c>
      <c r="J3665">
        <v>110720</v>
      </c>
      <c r="K3665" t="b">
        <f>TrafficData[[#This Row],[disposedChallan]]+TrafficData[[#This Row],[pendingChallan]]=TrafficData[[#This Row],[totalChallan]]</f>
        <v>1</v>
      </c>
      <c r="L3665" t="b">
        <f>TrafficData[[#This Row],[pendingAmount]]+TrafficData[[#This Row],[disposedAmount]]=TrafficData[[#This Row],[totalAmount]]</f>
        <v>1</v>
      </c>
      <c r="M3665" t="b">
        <f>TrafficData[[#This Row],[pendingCourt]]+TrafficData[[#This Row],[disposedCourt]]=TrafficData[[#This Row],[totalCourt]]</f>
        <v>1</v>
      </c>
      <c r="N3665" s="8" t="b">
        <f>AND(TrafficData[[#This Row],[disposedChallan]]&lt;=TrafficData[[#This Row],[totalChallan]],TrafficData[[#This Row],[pendingChallan]]&lt;=TrafficData[[#This Row],[totalChallan]])</f>
        <v>1</v>
      </c>
      <c r="O3665" s="8" t="b">
        <f>AND(TrafficData[[#This Row],[pendingAmount]]&lt;=TrafficData[[#This Row],[totalAmount]],TrafficData[[#This Row],[disposedAmount]]&lt;=TrafficData[[#This Row],[totalAmount]])</f>
        <v>1</v>
      </c>
      <c r="P3665" s="8" t="b">
        <f>AND(TrafficData[[#This Row],[pendingCourt]]&lt;=TrafficData[[#This Row],[totalCourt]],TrafficData[[#This Row],[disposedCourt]]&lt;=TrafficData[[#This Row],[totalCourt]])</f>
        <v>1</v>
      </c>
    </row>
    <row r="3666" spans="1:16">
      <c r="A3666" s="1">
        <v>45670</v>
      </c>
      <c r="B3666">
        <v>260226</v>
      </c>
      <c r="C3666">
        <v>72966</v>
      </c>
      <c r="D3666">
        <v>187260</v>
      </c>
      <c r="E3666">
        <v>353277185</v>
      </c>
      <c r="F3666">
        <v>104995517</v>
      </c>
      <c r="G3666">
        <v>458272702</v>
      </c>
      <c r="H3666">
        <v>111711</v>
      </c>
      <c r="I3666">
        <v>8035</v>
      </c>
      <c r="J3666">
        <v>119746</v>
      </c>
      <c r="K3666" t="b">
        <f>TrafficData[[#This Row],[disposedChallan]]+TrafficData[[#This Row],[pendingChallan]]=TrafficData[[#This Row],[totalChallan]]</f>
        <v>1</v>
      </c>
      <c r="L3666" t="b">
        <f>TrafficData[[#This Row],[pendingAmount]]+TrafficData[[#This Row],[disposedAmount]]=TrafficData[[#This Row],[totalAmount]]</f>
        <v>1</v>
      </c>
      <c r="M3666" t="b">
        <f>TrafficData[[#This Row],[pendingCourt]]+TrafficData[[#This Row],[disposedCourt]]=TrafficData[[#This Row],[totalCourt]]</f>
        <v>1</v>
      </c>
      <c r="N3666" s="8" t="b">
        <f>AND(TrafficData[[#This Row],[disposedChallan]]&lt;=TrafficData[[#This Row],[totalChallan]],TrafficData[[#This Row],[pendingChallan]]&lt;=TrafficData[[#This Row],[totalChallan]])</f>
        <v>1</v>
      </c>
      <c r="O3666" s="8" t="b">
        <f>AND(TrafficData[[#This Row],[pendingAmount]]&lt;=TrafficData[[#This Row],[totalAmount]],TrafficData[[#This Row],[disposedAmount]]&lt;=TrafficData[[#This Row],[totalAmount]])</f>
        <v>1</v>
      </c>
      <c r="P3666" s="8" t="b">
        <f>AND(TrafficData[[#This Row],[pendingCourt]]&lt;=TrafficData[[#This Row],[totalCourt]],TrafficData[[#This Row],[disposedCourt]]&lt;=TrafficData[[#This Row],[totalCourt]])</f>
        <v>1</v>
      </c>
    </row>
    <row r="3667" spans="1:16">
      <c r="A3667" s="1">
        <v>45671</v>
      </c>
      <c r="B3667">
        <v>222175</v>
      </c>
      <c r="C3667">
        <v>59845</v>
      </c>
      <c r="D3667">
        <v>162330</v>
      </c>
      <c r="E3667">
        <v>321638654</v>
      </c>
      <c r="F3667">
        <v>90485421</v>
      </c>
      <c r="G3667">
        <v>412124075</v>
      </c>
      <c r="H3667">
        <v>102396</v>
      </c>
      <c r="I3667">
        <v>7609</v>
      </c>
      <c r="J3667">
        <v>110005</v>
      </c>
      <c r="K3667" t="b">
        <f>TrafficData[[#This Row],[disposedChallan]]+TrafficData[[#This Row],[pendingChallan]]=TrafficData[[#This Row],[totalChallan]]</f>
        <v>1</v>
      </c>
      <c r="L3667" t="b">
        <f>TrafficData[[#This Row],[pendingAmount]]+TrafficData[[#This Row],[disposedAmount]]=TrafficData[[#This Row],[totalAmount]]</f>
        <v>1</v>
      </c>
      <c r="M3667" t="b">
        <f>TrafficData[[#This Row],[pendingCourt]]+TrafficData[[#This Row],[disposedCourt]]=TrafficData[[#This Row],[totalCourt]]</f>
        <v>1</v>
      </c>
      <c r="N3667" s="8" t="b">
        <f>AND(TrafficData[[#This Row],[disposedChallan]]&lt;=TrafficData[[#This Row],[totalChallan]],TrafficData[[#This Row],[pendingChallan]]&lt;=TrafficData[[#This Row],[totalChallan]])</f>
        <v>1</v>
      </c>
      <c r="O3667" s="8" t="b">
        <f>AND(TrafficData[[#This Row],[pendingAmount]]&lt;=TrafficData[[#This Row],[totalAmount]],TrafficData[[#This Row],[disposedAmount]]&lt;=TrafficData[[#This Row],[totalAmount]])</f>
        <v>1</v>
      </c>
      <c r="P3667" s="8" t="b">
        <f>AND(TrafficData[[#This Row],[pendingCourt]]&lt;=TrafficData[[#This Row],[totalCourt]],TrafficData[[#This Row],[disposedCourt]]&lt;=TrafficData[[#This Row],[totalCourt]])</f>
        <v>1</v>
      </c>
    </row>
    <row r="3668" spans="1:16">
      <c r="A3668" s="1">
        <v>45672</v>
      </c>
      <c r="B3668">
        <v>245724</v>
      </c>
      <c r="C3668">
        <v>68868</v>
      </c>
      <c r="D3668">
        <v>176856</v>
      </c>
      <c r="E3668">
        <v>346350408</v>
      </c>
      <c r="F3668">
        <v>106194376</v>
      </c>
      <c r="G3668">
        <v>452544784</v>
      </c>
      <c r="H3668">
        <v>102668</v>
      </c>
      <c r="I3668">
        <v>7939</v>
      </c>
      <c r="J3668">
        <v>110607</v>
      </c>
      <c r="K3668" t="b">
        <f>TrafficData[[#This Row],[disposedChallan]]+TrafficData[[#This Row],[pendingChallan]]=TrafficData[[#This Row],[totalChallan]]</f>
        <v>1</v>
      </c>
      <c r="L3668" t="b">
        <f>TrafficData[[#This Row],[pendingAmount]]+TrafficData[[#This Row],[disposedAmount]]=TrafficData[[#This Row],[totalAmount]]</f>
        <v>1</v>
      </c>
      <c r="M3668" t="b">
        <f>TrafficData[[#This Row],[pendingCourt]]+TrafficData[[#This Row],[disposedCourt]]=TrafficData[[#This Row],[totalCourt]]</f>
        <v>1</v>
      </c>
      <c r="N3668" s="8" t="b">
        <f>AND(TrafficData[[#This Row],[disposedChallan]]&lt;=TrafficData[[#This Row],[totalChallan]],TrafficData[[#This Row],[pendingChallan]]&lt;=TrafficData[[#This Row],[totalChallan]])</f>
        <v>1</v>
      </c>
      <c r="O3668" s="8" t="b">
        <f>AND(TrafficData[[#This Row],[pendingAmount]]&lt;=TrafficData[[#This Row],[totalAmount]],TrafficData[[#This Row],[disposedAmount]]&lt;=TrafficData[[#This Row],[totalAmount]])</f>
        <v>1</v>
      </c>
      <c r="P3668" s="8" t="b">
        <f>AND(TrafficData[[#This Row],[pendingCourt]]&lt;=TrafficData[[#This Row],[totalCourt]],TrafficData[[#This Row],[disposedCourt]]&lt;=TrafficData[[#This Row],[totalCourt]])</f>
        <v>1</v>
      </c>
    </row>
    <row r="3669" spans="1:16">
      <c r="A3669" s="1">
        <v>45673</v>
      </c>
      <c r="B3669">
        <v>264069</v>
      </c>
      <c r="C3669">
        <v>76533</v>
      </c>
      <c r="D3669">
        <v>187536</v>
      </c>
      <c r="E3669">
        <v>372704333</v>
      </c>
      <c r="F3669">
        <v>120261559</v>
      </c>
      <c r="G3669">
        <v>492965892</v>
      </c>
      <c r="H3669">
        <v>104734</v>
      </c>
      <c r="I3669">
        <v>8452</v>
      </c>
      <c r="J3669">
        <v>113186</v>
      </c>
      <c r="K3669" t="b">
        <f>TrafficData[[#This Row],[disposedChallan]]+TrafficData[[#This Row],[pendingChallan]]=TrafficData[[#This Row],[totalChallan]]</f>
        <v>1</v>
      </c>
      <c r="L3669" t="b">
        <f>TrafficData[[#This Row],[pendingAmount]]+TrafficData[[#This Row],[disposedAmount]]=TrafficData[[#This Row],[totalAmount]]</f>
        <v>1</v>
      </c>
      <c r="M3669" t="b">
        <f>TrafficData[[#This Row],[pendingCourt]]+TrafficData[[#This Row],[disposedCourt]]=TrafficData[[#This Row],[totalCourt]]</f>
        <v>1</v>
      </c>
      <c r="N3669" s="8" t="b">
        <f>AND(TrafficData[[#This Row],[disposedChallan]]&lt;=TrafficData[[#This Row],[totalChallan]],TrafficData[[#This Row],[pendingChallan]]&lt;=TrafficData[[#This Row],[totalChallan]])</f>
        <v>1</v>
      </c>
      <c r="O3669" s="8" t="b">
        <f>AND(TrafficData[[#This Row],[pendingAmount]]&lt;=TrafficData[[#This Row],[totalAmount]],TrafficData[[#This Row],[disposedAmount]]&lt;=TrafficData[[#This Row],[totalAmount]])</f>
        <v>1</v>
      </c>
      <c r="P3669" s="8" t="b">
        <f>AND(TrafficData[[#This Row],[pendingCourt]]&lt;=TrafficData[[#This Row],[totalCourt]],TrafficData[[#This Row],[disposedCourt]]&lt;=TrafficData[[#This Row],[totalCourt]])</f>
        <v>1</v>
      </c>
    </row>
    <row r="3670" spans="1:16">
      <c r="A3670" s="1">
        <v>45674</v>
      </c>
      <c r="B3670">
        <v>274379</v>
      </c>
      <c r="C3670">
        <v>80777</v>
      </c>
      <c r="D3670">
        <v>193602</v>
      </c>
      <c r="E3670">
        <v>352122864</v>
      </c>
      <c r="F3670">
        <v>127542335</v>
      </c>
      <c r="G3670">
        <v>479665199</v>
      </c>
      <c r="H3670">
        <v>110256</v>
      </c>
      <c r="I3670">
        <v>8341</v>
      </c>
      <c r="J3670">
        <v>118597</v>
      </c>
      <c r="K3670" t="b">
        <f>TrafficData[[#This Row],[disposedChallan]]+TrafficData[[#This Row],[pendingChallan]]=TrafficData[[#This Row],[totalChallan]]</f>
        <v>1</v>
      </c>
      <c r="L3670" t="b">
        <f>TrafficData[[#This Row],[pendingAmount]]+TrafficData[[#This Row],[disposedAmount]]=TrafficData[[#This Row],[totalAmount]]</f>
        <v>1</v>
      </c>
      <c r="M3670" t="b">
        <f>TrafficData[[#This Row],[pendingCourt]]+TrafficData[[#This Row],[disposedCourt]]=TrafficData[[#This Row],[totalCourt]]</f>
        <v>1</v>
      </c>
      <c r="N3670" s="8" t="b">
        <f>AND(TrafficData[[#This Row],[disposedChallan]]&lt;=TrafficData[[#This Row],[totalChallan]],TrafficData[[#This Row],[pendingChallan]]&lt;=TrafficData[[#This Row],[totalChallan]])</f>
        <v>1</v>
      </c>
      <c r="O3670" s="8" t="b">
        <f>AND(TrafficData[[#This Row],[pendingAmount]]&lt;=TrafficData[[#This Row],[totalAmount]],TrafficData[[#This Row],[disposedAmount]]&lt;=TrafficData[[#This Row],[totalAmount]])</f>
        <v>1</v>
      </c>
      <c r="P3670" s="8" t="b">
        <f>AND(TrafficData[[#This Row],[pendingCourt]]&lt;=TrafficData[[#This Row],[totalCourt]],TrafficData[[#This Row],[disposedCourt]]&lt;=TrafficData[[#This Row],[totalCourt]])</f>
        <v>1</v>
      </c>
    </row>
    <row r="3671" spans="1:16">
      <c r="A3671" s="1">
        <v>45675</v>
      </c>
      <c r="B3671">
        <v>277542</v>
      </c>
      <c r="C3671">
        <v>80775</v>
      </c>
      <c r="D3671">
        <v>196767</v>
      </c>
      <c r="E3671">
        <v>335603993</v>
      </c>
      <c r="F3671">
        <v>118664582</v>
      </c>
      <c r="G3671">
        <v>454268575</v>
      </c>
      <c r="H3671">
        <v>107290</v>
      </c>
      <c r="I3671">
        <v>8229</v>
      </c>
      <c r="J3671">
        <v>115519</v>
      </c>
      <c r="K3671" t="b">
        <f>TrafficData[[#This Row],[disposedChallan]]+TrafficData[[#This Row],[pendingChallan]]=TrafficData[[#This Row],[totalChallan]]</f>
        <v>1</v>
      </c>
      <c r="L3671" t="b">
        <f>TrafficData[[#This Row],[pendingAmount]]+TrafficData[[#This Row],[disposedAmount]]=TrafficData[[#This Row],[totalAmount]]</f>
        <v>1</v>
      </c>
      <c r="M3671" t="b">
        <f>TrafficData[[#This Row],[pendingCourt]]+TrafficData[[#This Row],[disposedCourt]]=TrafficData[[#This Row],[totalCourt]]</f>
        <v>1</v>
      </c>
      <c r="N3671" s="8" t="b">
        <f>AND(TrafficData[[#This Row],[disposedChallan]]&lt;=TrafficData[[#This Row],[totalChallan]],TrafficData[[#This Row],[pendingChallan]]&lt;=TrafficData[[#This Row],[totalChallan]])</f>
        <v>1</v>
      </c>
      <c r="O3671" s="8" t="b">
        <f>AND(TrafficData[[#This Row],[pendingAmount]]&lt;=TrafficData[[#This Row],[totalAmount]],TrafficData[[#This Row],[disposedAmount]]&lt;=TrafficData[[#This Row],[totalAmount]])</f>
        <v>1</v>
      </c>
      <c r="P3671" s="8" t="b">
        <f>AND(TrafficData[[#This Row],[pendingCourt]]&lt;=TrafficData[[#This Row],[totalCourt]],TrafficData[[#This Row],[disposedCourt]]&lt;=TrafficData[[#This Row],[totalCourt]])</f>
        <v>1</v>
      </c>
    </row>
    <row r="3672" spans="1:16">
      <c r="A3672" s="1">
        <v>45676</v>
      </c>
      <c r="B3672">
        <v>265299</v>
      </c>
      <c r="C3672">
        <v>74422</v>
      </c>
      <c r="D3672">
        <v>190877</v>
      </c>
      <c r="E3672">
        <v>323389909</v>
      </c>
      <c r="F3672">
        <v>88654310</v>
      </c>
      <c r="G3672">
        <v>412044219</v>
      </c>
      <c r="H3672">
        <v>105347</v>
      </c>
      <c r="I3672">
        <v>7712</v>
      </c>
      <c r="J3672">
        <v>113059</v>
      </c>
      <c r="K3672" t="b">
        <f>TrafficData[[#This Row],[disposedChallan]]+TrafficData[[#This Row],[pendingChallan]]=TrafficData[[#This Row],[totalChallan]]</f>
        <v>1</v>
      </c>
      <c r="L3672" t="b">
        <f>TrafficData[[#This Row],[pendingAmount]]+TrafficData[[#This Row],[disposedAmount]]=TrafficData[[#This Row],[totalAmount]]</f>
        <v>1</v>
      </c>
      <c r="M3672" t="b">
        <f>TrafficData[[#This Row],[pendingCourt]]+TrafficData[[#This Row],[disposedCourt]]=TrafficData[[#This Row],[totalCourt]]</f>
        <v>1</v>
      </c>
      <c r="N3672" s="8" t="b">
        <f>AND(TrafficData[[#This Row],[disposedChallan]]&lt;=TrafficData[[#This Row],[totalChallan]],TrafficData[[#This Row],[pendingChallan]]&lt;=TrafficData[[#This Row],[totalChallan]])</f>
        <v>1</v>
      </c>
      <c r="O3672" s="8" t="b">
        <f>AND(TrafficData[[#This Row],[pendingAmount]]&lt;=TrafficData[[#This Row],[totalAmount]],TrafficData[[#This Row],[disposedAmount]]&lt;=TrafficData[[#This Row],[totalAmount]])</f>
        <v>1</v>
      </c>
      <c r="P3672" s="8" t="b">
        <f>AND(TrafficData[[#This Row],[pendingCourt]]&lt;=TrafficData[[#This Row],[totalCourt]],TrafficData[[#This Row],[disposedCourt]]&lt;=TrafficData[[#This Row],[totalCourt]])</f>
        <v>1</v>
      </c>
    </row>
    <row r="3673" spans="1:16">
      <c r="A3673" s="1">
        <v>45677</v>
      </c>
      <c r="B3673">
        <v>276917</v>
      </c>
      <c r="C3673">
        <v>82410</v>
      </c>
      <c r="D3673">
        <v>194507</v>
      </c>
      <c r="E3673">
        <v>336460514</v>
      </c>
      <c r="F3673">
        <v>116390094</v>
      </c>
      <c r="G3673">
        <v>452850608</v>
      </c>
      <c r="H3673">
        <v>102388</v>
      </c>
      <c r="I3673">
        <v>8081</v>
      </c>
      <c r="J3673">
        <v>110469</v>
      </c>
      <c r="K3673" t="b">
        <f>TrafficData[[#This Row],[disposedChallan]]+TrafficData[[#This Row],[pendingChallan]]=TrafficData[[#This Row],[totalChallan]]</f>
        <v>1</v>
      </c>
      <c r="L3673" t="b">
        <f>TrafficData[[#This Row],[pendingAmount]]+TrafficData[[#This Row],[disposedAmount]]=TrafficData[[#This Row],[totalAmount]]</f>
        <v>1</v>
      </c>
      <c r="M3673" t="b">
        <f>TrafficData[[#This Row],[pendingCourt]]+TrafficData[[#This Row],[disposedCourt]]=TrafficData[[#This Row],[totalCourt]]</f>
        <v>1</v>
      </c>
      <c r="N3673" s="8" t="b">
        <f>AND(TrafficData[[#This Row],[disposedChallan]]&lt;=TrafficData[[#This Row],[totalChallan]],TrafficData[[#This Row],[pendingChallan]]&lt;=TrafficData[[#This Row],[totalChallan]])</f>
        <v>1</v>
      </c>
      <c r="O3673" s="8" t="b">
        <f>AND(TrafficData[[#This Row],[pendingAmount]]&lt;=TrafficData[[#This Row],[totalAmount]],TrafficData[[#This Row],[disposedAmount]]&lt;=TrafficData[[#This Row],[totalAmount]])</f>
        <v>1</v>
      </c>
      <c r="P3673" s="8" t="b">
        <f>AND(TrafficData[[#This Row],[pendingCourt]]&lt;=TrafficData[[#This Row],[totalCourt]],TrafficData[[#This Row],[disposedCourt]]&lt;=TrafficData[[#This Row],[totalCourt]])</f>
        <v>1</v>
      </c>
    </row>
    <row r="3674" spans="1:16">
      <c r="A3674" s="1">
        <v>45678</v>
      </c>
      <c r="B3674">
        <v>272720</v>
      </c>
      <c r="C3674">
        <v>81894</v>
      </c>
      <c r="D3674">
        <v>190826</v>
      </c>
      <c r="E3674">
        <v>333456393</v>
      </c>
      <c r="F3674">
        <v>127452886</v>
      </c>
      <c r="G3674">
        <v>460909279</v>
      </c>
      <c r="H3674">
        <v>105587</v>
      </c>
      <c r="I3674">
        <v>8046</v>
      </c>
      <c r="J3674">
        <v>113633</v>
      </c>
      <c r="K3674" t="b">
        <f>TrafficData[[#This Row],[disposedChallan]]+TrafficData[[#This Row],[pendingChallan]]=TrafficData[[#This Row],[totalChallan]]</f>
        <v>1</v>
      </c>
      <c r="L3674" t="b">
        <f>TrafficData[[#This Row],[pendingAmount]]+TrafficData[[#This Row],[disposedAmount]]=TrafficData[[#This Row],[totalAmount]]</f>
        <v>1</v>
      </c>
      <c r="M3674" t="b">
        <f>TrafficData[[#This Row],[pendingCourt]]+TrafficData[[#This Row],[disposedCourt]]=TrafficData[[#This Row],[totalCourt]]</f>
        <v>1</v>
      </c>
      <c r="N3674" s="8" t="b">
        <f>AND(TrafficData[[#This Row],[disposedChallan]]&lt;=TrafficData[[#This Row],[totalChallan]],TrafficData[[#This Row],[pendingChallan]]&lt;=TrafficData[[#This Row],[totalChallan]])</f>
        <v>1</v>
      </c>
      <c r="O3674" s="8" t="b">
        <f>AND(TrafficData[[#This Row],[pendingAmount]]&lt;=TrafficData[[#This Row],[totalAmount]],TrafficData[[#This Row],[disposedAmount]]&lt;=TrafficData[[#This Row],[totalAmount]])</f>
        <v>1</v>
      </c>
      <c r="P3674" s="8" t="b">
        <f>AND(TrafficData[[#This Row],[pendingCourt]]&lt;=TrafficData[[#This Row],[totalCourt]],TrafficData[[#This Row],[disposedCourt]]&lt;=TrafficData[[#This Row],[totalCourt]])</f>
        <v>1</v>
      </c>
    </row>
    <row r="3675" spans="1:16">
      <c r="A3675" s="1">
        <v>45679</v>
      </c>
      <c r="B3675">
        <v>273270</v>
      </c>
      <c r="C3675">
        <v>81167</v>
      </c>
      <c r="D3675">
        <v>192103</v>
      </c>
      <c r="E3675">
        <v>339926238</v>
      </c>
      <c r="F3675">
        <v>122228906</v>
      </c>
      <c r="G3675">
        <v>462155144</v>
      </c>
      <c r="H3675">
        <v>102728</v>
      </c>
      <c r="I3675">
        <v>8009</v>
      </c>
      <c r="J3675">
        <v>110737</v>
      </c>
      <c r="K3675" t="b">
        <f>TrafficData[[#This Row],[disposedChallan]]+TrafficData[[#This Row],[pendingChallan]]=TrafficData[[#This Row],[totalChallan]]</f>
        <v>1</v>
      </c>
      <c r="L3675" t="b">
        <f>TrafficData[[#This Row],[pendingAmount]]+TrafficData[[#This Row],[disposedAmount]]=TrafficData[[#This Row],[totalAmount]]</f>
        <v>1</v>
      </c>
      <c r="M3675" t="b">
        <f>TrafficData[[#This Row],[pendingCourt]]+TrafficData[[#This Row],[disposedCourt]]=TrafficData[[#This Row],[totalCourt]]</f>
        <v>1</v>
      </c>
      <c r="N3675" s="8" t="b">
        <f>AND(TrafficData[[#This Row],[disposedChallan]]&lt;=TrafficData[[#This Row],[totalChallan]],TrafficData[[#This Row],[pendingChallan]]&lt;=TrafficData[[#This Row],[totalChallan]])</f>
        <v>1</v>
      </c>
      <c r="O3675" s="8" t="b">
        <f>AND(TrafficData[[#This Row],[pendingAmount]]&lt;=TrafficData[[#This Row],[totalAmount]],TrafficData[[#This Row],[disposedAmount]]&lt;=TrafficData[[#This Row],[totalAmount]])</f>
        <v>1</v>
      </c>
      <c r="P3675" s="8" t="b">
        <f>AND(TrafficData[[#This Row],[pendingCourt]]&lt;=TrafficData[[#This Row],[totalCourt]],TrafficData[[#This Row],[disposedCourt]]&lt;=TrafficData[[#This Row],[totalCourt]])</f>
        <v>1</v>
      </c>
    </row>
    <row r="3676" spans="1:16">
      <c r="A3676" s="1">
        <v>45680</v>
      </c>
      <c r="B3676">
        <v>264748</v>
      </c>
      <c r="C3676">
        <v>79985</v>
      </c>
      <c r="D3676">
        <v>184763</v>
      </c>
      <c r="E3676">
        <v>307926848</v>
      </c>
      <c r="F3676">
        <v>112114410</v>
      </c>
      <c r="G3676">
        <v>420041258</v>
      </c>
      <c r="H3676">
        <v>94221</v>
      </c>
      <c r="I3676">
        <v>7323</v>
      </c>
      <c r="J3676">
        <v>101544</v>
      </c>
      <c r="K3676" t="b">
        <f>TrafficData[[#This Row],[disposedChallan]]+TrafficData[[#This Row],[pendingChallan]]=TrafficData[[#This Row],[totalChallan]]</f>
        <v>1</v>
      </c>
      <c r="L3676" t="b">
        <f>TrafficData[[#This Row],[pendingAmount]]+TrafficData[[#This Row],[disposedAmount]]=TrafficData[[#This Row],[totalAmount]]</f>
        <v>1</v>
      </c>
      <c r="M3676" t="b">
        <f>TrafficData[[#This Row],[pendingCourt]]+TrafficData[[#This Row],[disposedCourt]]=TrafficData[[#This Row],[totalCourt]]</f>
        <v>1</v>
      </c>
      <c r="N3676" s="8" t="b">
        <f>AND(TrafficData[[#This Row],[disposedChallan]]&lt;=TrafficData[[#This Row],[totalChallan]],TrafficData[[#This Row],[pendingChallan]]&lt;=TrafficData[[#This Row],[totalChallan]])</f>
        <v>1</v>
      </c>
      <c r="O3676" s="8" t="b">
        <f>AND(TrafficData[[#This Row],[pendingAmount]]&lt;=TrafficData[[#This Row],[totalAmount]],TrafficData[[#This Row],[disposedAmount]]&lt;=TrafficData[[#This Row],[totalAmount]])</f>
        <v>1</v>
      </c>
      <c r="P3676" s="8" t="b">
        <f>AND(TrafficData[[#This Row],[pendingCourt]]&lt;=TrafficData[[#This Row],[totalCourt]],TrafficData[[#This Row],[disposedCourt]]&lt;=TrafficData[[#This Row],[totalCourt]])</f>
        <v>1</v>
      </c>
    </row>
    <row r="3677" spans="1:16">
      <c r="A3677" s="1">
        <v>45681</v>
      </c>
      <c r="B3677">
        <v>276803</v>
      </c>
      <c r="C3677">
        <v>81496</v>
      </c>
      <c r="D3677">
        <v>195307</v>
      </c>
      <c r="E3677">
        <v>355081555</v>
      </c>
      <c r="F3677">
        <v>120337825</v>
      </c>
      <c r="G3677">
        <v>475419380</v>
      </c>
      <c r="H3677">
        <v>104418</v>
      </c>
      <c r="I3677">
        <v>8261</v>
      </c>
      <c r="J3677">
        <v>112679</v>
      </c>
      <c r="K3677" t="b">
        <f>TrafficData[[#This Row],[disposedChallan]]+TrafficData[[#This Row],[pendingChallan]]=TrafficData[[#This Row],[totalChallan]]</f>
        <v>1</v>
      </c>
      <c r="L3677" t="b">
        <f>TrafficData[[#This Row],[pendingAmount]]+TrafficData[[#This Row],[disposedAmount]]=TrafficData[[#This Row],[totalAmount]]</f>
        <v>1</v>
      </c>
      <c r="M3677" t="b">
        <f>TrafficData[[#This Row],[pendingCourt]]+TrafficData[[#This Row],[disposedCourt]]=TrafficData[[#This Row],[totalCourt]]</f>
        <v>1</v>
      </c>
      <c r="N3677" s="8" t="b">
        <f>AND(TrafficData[[#This Row],[disposedChallan]]&lt;=TrafficData[[#This Row],[totalChallan]],TrafficData[[#This Row],[pendingChallan]]&lt;=TrafficData[[#This Row],[totalChallan]])</f>
        <v>1</v>
      </c>
      <c r="O3677" s="8" t="b">
        <f>AND(TrafficData[[#This Row],[pendingAmount]]&lt;=TrafficData[[#This Row],[totalAmount]],TrafficData[[#This Row],[disposedAmount]]&lt;=TrafficData[[#This Row],[totalAmount]])</f>
        <v>1</v>
      </c>
      <c r="P3677" s="8" t="b">
        <f>AND(TrafficData[[#This Row],[pendingCourt]]&lt;=TrafficData[[#This Row],[totalCourt]],TrafficData[[#This Row],[disposedCourt]]&lt;=TrafficData[[#This Row],[totalCourt]])</f>
        <v>1</v>
      </c>
    </row>
    <row r="3678" spans="1:16">
      <c r="A3678" s="1">
        <v>45682</v>
      </c>
      <c r="B3678">
        <v>272892</v>
      </c>
      <c r="C3678">
        <v>81776</v>
      </c>
      <c r="D3678">
        <v>191116</v>
      </c>
      <c r="E3678">
        <v>329928258</v>
      </c>
      <c r="F3678">
        <v>108615892</v>
      </c>
      <c r="G3678">
        <v>438544150</v>
      </c>
      <c r="H3678">
        <v>101421</v>
      </c>
      <c r="I3678">
        <v>8143</v>
      </c>
      <c r="J3678">
        <v>109564</v>
      </c>
      <c r="K3678" t="b">
        <f>TrafficData[[#This Row],[disposedChallan]]+TrafficData[[#This Row],[pendingChallan]]=TrafficData[[#This Row],[totalChallan]]</f>
        <v>1</v>
      </c>
      <c r="L3678" t="b">
        <f>TrafficData[[#This Row],[pendingAmount]]+TrafficData[[#This Row],[disposedAmount]]=TrafficData[[#This Row],[totalAmount]]</f>
        <v>1</v>
      </c>
      <c r="M3678" t="b">
        <f>TrafficData[[#This Row],[pendingCourt]]+TrafficData[[#This Row],[disposedCourt]]=TrafficData[[#This Row],[totalCourt]]</f>
        <v>1</v>
      </c>
      <c r="N3678" s="8" t="b">
        <f>AND(TrafficData[[#This Row],[disposedChallan]]&lt;=TrafficData[[#This Row],[totalChallan]],TrafficData[[#This Row],[pendingChallan]]&lt;=TrafficData[[#This Row],[totalChallan]])</f>
        <v>1</v>
      </c>
      <c r="O3678" s="8" t="b">
        <f>AND(TrafficData[[#This Row],[pendingAmount]]&lt;=TrafficData[[#This Row],[totalAmount]],TrafficData[[#This Row],[disposedAmount]]&lt;=TrafficData[[#This Row],[totalAmount]])</f>
        <v>1</v>
      </c>
      <c r="P3678" s="8" t="b">
        <f>AND(TrafficData[[#This Row],[pendingCourt]]&lt;=TrafficData[[#This Row],[totalCourt]],TrafficData[[#This Row],[disposedCourt]]&lt;=TrafficData[[#This Row],[totalCourt]])</f>
        <v>1</v>
      </c>
    </row>
    <row r="3679" spans="1:16">
      <c r="A3679" s="1">
        <v>45683</v>
      </c>
      <c r="B3679">
        <v>191070</v>
      </c>
      <c r="C3679">
        <v>52652</v>
      </c>
      <c r="D3679">
        <v>138418</v>
      </c>
      <c r="E3679">
        <v>197143930</v>
      </c>
      <c r="F3679">
        <v>55468475</v>
      </c>
      <c r="G3679">
        <v>252612405</v>
      </c>
      <c r="H3679">
        <v>68579</v>
      </c>
      <c r="I3679">
        <v>5110</v>
      </c>
      <c r="J3679">
        <v>73689</v>
      </c>
      <c r="K3679" t="b">
        <f>TrafficData[[#This Row],[disposedChallan]]+TrafficData[[#This Row],[pendingChallan]]=TrafficData[[#This Row],[totalChallan]]</f>
        <v>1</v>
      </c>
      <c r="L3679" t="b">
        <f>TrafficData[[#This Row],[pendingAmount]]+TrafficData[[#This Row],[disposedAmount]]=TrafficData[[#This Row],[totalAmount]]</f>
        <v>1</v>
      </c>
      <c r="M3679" t="b">
        <f>TrafficData[[#This Row],[pendingCourt]]+TrafficData[[#This Row],[disposedCourt]]=TrafficData[[#This Row],[totalCourt]]</f>
        <v>1</v>
      </c>
      <c r="N3679" s="8" t="b">
        <f>AND(TrafficData[[#This Row],[disposedChallan]]&lt;=TrafficData[[#This Row],[totalChallan]],TrafficData[[#This Row],[pendingChallan]]&lt;=TrafficData[[#This Row],[totalChallan]])</f>
        <v>1</v>
      </c>
      <c r="O3679" s="8" t="b">
        <f>AND(TrafficData[[#This Row],[pendingAmount]]&lt;=TrafficData[[#This Row],[totalAmount]],TrafficData[[#This Row],[disposedAmount]]&lt;=TrafficData[[#This Row],[totalAmount]])</f>
        <v>1</v>
      </c>
      <c r="P3679" s="8" t="b">
        <f>AND(TrafficData[[#This Row],[pendingCourt]]&lt;=TrafficData[[#This Row],[totalCourt]],TrafficData[[#This Row],[disposedCourt]]&lt;=TrafficData[[#This Row],[totalCourt]])</f>
        <v>1</v>
      </c>
    </row>
    <row r="3680" spans="1:16">
      <c r="A3680" s="1">
        <v>45684</v>
      </c>
      <c r="B3680">
        <v>275008</v>
      </c>
      <c r="C3680">
        <v>81825</v>
      </c>
      <c r="D3680">
        <v>193183</v>
      </c>
      <c r="E3680">
        <v>342328719</v>
      </c>
      <c r="F3680">
        <v>110925699</v>
      </c>
      <c r="G3680">
        <v>453254418</v>
      </c>
      <c r="H3680">
        <v>104522</v>
      </c>
      <c r="I3680">
        <v>8117</v>
      </c>
      <c r="J3680">
        <v>112639</v>
      </c>
      <c r="K3680" t="b">
        <f>TrafficData[[#This Row],[disposedChallan]]+TrafficData[[#This Row],[pendingChallan]]=TrafficData[[#This Row],[totalChallan]]</f>
        <v>1</v>
      </c>
      <c r="L3680" t="b">
        <f>TrafficData[[#This Row],[pendingAmount]]+TrafficData[[#This Row],[disposedAmount]]=TrafficData[[#This Row],[totalAmount]]</f>
        <v>1</v>
      </c>
      <c r="M3680" t="b">
        <f>TrafficData[[#This Row],[pendingCourt]]+TrafficData[[#This Row],[disposedCourt]]=TrafficData[[#This Row],[totalCourt]]</f>
        <v>1</v>
      </c>
      <c r="N3680" s="8" t="b">
        <f>AND(TrafficData[[#This Row],[disposedChallan]]&lt;=TrafficData[[#This Row],[totalChallan]],TrafficData[[#This Row],[pendingChallan]]&lt;=TrafficData[[#This Row],[totalChallan]])</f>
        <v>1</v>
      </c>
      <c r="O3680" s="8" t="b">
        <f>AND(TrafficData[[#This Row],[pendingAmount]]&lt;=TrafficData[[#This Row],[totalAmount]],TrafficData[[#This Row],[disposedAmount]]&lt;=TrafficData[[#This Row],[totalAmount]])</f>
        <v>1</v>
      </c>
      <c r="P3680" s="8" t="b">
        <f>AND(TrafficData[[#This Row],[pendingCourt]]&lt;=TrafficData[[#This Row],[totalCourt]],TrafficData[[#This Row],[disposedCourt]]&lt;=TrafficData[[#This Row],[totalCourt]])</f>
        <v>1</v>
      </c>
    </row>
    <row r="3681" spans="1:16">
      <c r="A3681" s="1">
        <v>45685</v>
      </c>
      <c r="B3681">
        <v>274454</v>
      </c>
      <c r="C3681">
        <v>81962</v>
      </c>
      <c r="D3681">
        <v>192492</v>
      </c>
      <c r="E3681">
        <v>340997015</v>
      </c>
      <c r="F3681">
        <v>118669744</v>
      </c>
      <c r="G3681">
        <v>459666759</v>
      </c>
      <c r="H3681">
        <v>102099</v>
      </c>
      <c r="I3681">
        <v>7726</v>
      </c>
      <c r="J3681">
        <v>109825</v>
      </c>
      <c r="K3681" t="b">
        <f>TrafficData[[#This Row],[disposedChallan]]+TrafficData[[#This Row],[pendingChallan]]=TrafficData[[#This Row],[totalChallan]]</f>
        <v>1</v>
      </c>
      <c r="L3681" t="b">
        <f>TrafficData[[#This Row],[pendingAmount]]+TrafficData[[#This Row],[disposedAmount]]=TrafficData[[#This Row],[totalAmount]]</f>
        <v>1</v>
      </c>
      <c r="M3681" t="b">
        <f>TrafficData[[#This Row],[pendingCourt]]+TrafficData[[#This Row],[disposedCourt]]=TrafficData[[#This Row],[totalCourt]]</f>
        <v>1</v>
      </c>
      <c r="N3681" s="8" t="b">
        <f>AND(TrafficData[[#This Row],[disposedChallan]]&lt;=TrafficData[[#This Row],[totalChallan]],TrafficData[[#This Row],[pendingChallan]]&lt;=TrafficData[[#This Row],[totalChallan]])</f>
        <v>1</v>
      </c>
      <c r="O3681" s="8" t="b">
        <f>AND(TrafficData[[#This Row],[pendingAmount]]&lt;=TrafficData[[#This Row],[totalAmount]],TrafficData[[#This Row],[disposedAmount]]&lt;=TrafficData[[#This Row],[totalAmount]])</f>
        <v>1</v>
      </c>
      <c r="P3681" s="8" t="b">
        <f>AND(TrafficData[[#This Row],[pendingCourt]]&lt;=TrafficData[[#This Row],[totalCourt]],TrafficData[[#This Row],[disposedCourt]]&lt;=TrafficData[[#This Row],[totalCourt]])</f>
        <v>1</v>
      </c>
    </row>
    <row r="3682" spans="1:16">
      <c r="A3682" s="1">
        <v>45686</v>
      </c>
      <c r="B3682">
        <v>281583</v>
      </c>
      <c r="C3682">
        <v>83897</v>
      </c>
      <c r="D3682">
        <v>197686</v>
      </c>
      <c r="E3682">
        <v>350757286</v>
      </c>
      <c r="F3682">
        <v>121775209</v>
      </c>
      <c r="G3682">
        <v>472532495</v>
      </c>
      <c r="H3682">
        <v>104837</v>
      </c>
      <c r="I3682">
        <v>8103</v>
      </c>
      <c r="J3682">
        <v>112940</v>
      </c>
      <c r="K3682" t="b">
        <f>TrafficData[[#This Row],[disposedChallan]]+TrafficData[[#This Row],[pendingChallan]]=TrafficData[[#This Row],[totalChallan]]</f>
        <v>1</v>
      </c>
      <c r="L3682" t="b">
        <f>TrafficData[[#This Row],[pendingAmount]]+TrafficData[[#This Row],[disposedAmount]]=TrafficData[[#This Row],[totalAmount]]</f>
        <v>1</v>
      </c>
      <c r="M3682" t="b">
        <f>TrafficData[[#This Row],[pendingCourt]]+TrafficData[[#This Row],[disposedCourt]]=TrafficData[[#This Row],[totalCourt]]</f>
        <v>1</v>
      </c>
      <c r="N3682" s="8" t="b">
        <f>AND(TrafficData[[#This Row],[disposedChallan]]&lt;=TrafficData[[#This Row],[totalChallan]],TrafficData[[#This Row],[pendingChallan]]&lt;=TrafficData[[#This Row],[totalChallan]])</f>
        <v>1</v>
      </c>
      <c r="O3682" s="8" t="b">
        <f>AND(TrafficData[[#This Row],[pendingAmount]]&lt;=TrafficData[[#This Row],[totalAmount]],TrafficData[[#This Row],[disposedAmount]]&lt;=TrafficData[[#This Row],[totalAmount]])</f>
        <v>1</v>
      </c>
      <c r="P3682" s="8" t="b">
        <f>AND(TrafficData[[#This Row],[pendingCourt]]&lt;=TrafficData[[#This Row],[totalCourt]],TrafficData[[#This Row],[disposedCourt]]&lt;=TrafficData[[#This Row],[totalCourt]])</f>
        <v>1</v>
      </c>
    </row>
    <row r="3683" spans="1:16">
      <c r="A3683" s="1">
        <v>45687</v>
      </c>
      <c r="B3683">
        <v>270801</v>
      </c>
      <c r="C3683">
        <v>80442</v>
      </c>
      <c r="D3683">
        <v>190359</v>
      </c>
      <c r="E3683">
        <v>352094597</v>
      </c>
      <c r="F3683">
        <v>108429767</v>
      </c>
      <c r="G3683">
        <v>460524364</v>
      </c>
      <c r="H3683">
        <v>99809</v>
      </c>
      <c r="I3683">
        <v>8368</v>
      </c>
      <c r="J3683">
        <v>108177</v>
      </c>
      <c r="K3683" t="b">
        <f>TrafficData[[#This Row],[disposedChallan]]+TrafficData[[#This Row],[pendingChallan]]=TrafficData[[#This Row],[totalChallan]]</f>
        <v>1</v>
      </c>
      <c r="L3683" t="b">
        <f>TrafficData[[#This Row],[pendingAmount]]+TrafficData[[#This Row],[disposedAmount]]=TrafficData[[#This Row],[totalAmount]]</f>
        <v>1</v>
      </c>
      <c r="M3683" t="b">
        <f>TrafficData[[#This Row],[pendingCourt]]+TrafficData[[#This Row],[disposedCourt]]=TrafficData[[#This Row],[totalCourt]]</f>
        <v>1</v>
      </c>
      <c r="N3683" s="8" t="b">
        <f>AND(TrafficData[[#This Row],[disposedChallan]]&lt;=TrafficData[[#This Row],[totalChallan]],TrafficData[[#This Row],[pendingChallan]]&lt;=TrafficData[[#This Row],[totalChallan]])</f>
        <v>1</v>
      </c>
      <c r="O3683" s="8" t="b">
        <f>AND(TrafficData[[#This Row],[pendingAmount]]&lt;=TrafficData[[#This Row],[totalAmount]],TrafficData[[#This Row],[disposedAmount]]&lt;=TrafficData[[#This Row],[totalAmount]])</f>
        <v>1</v>
      </c>
      <c r="P3683" s="8" t="b">
        <f>AND(TrafficData[[#This Row],[pendingCourt]]&lt;=TrafficData[[#This Row],[totalCourt]],TrafficData[[#This Row],[disposedCourt]]&lt;=TrafficData[[#This Row],[totalCourt]])</f>
        <v>1</v>
      </c>
    </row>
    <row r="3684" spans="1:16">
      <c r="A3684" s="1">
        <v>45688</v>
      </c>
      <c r="B3684">
        <v>265387</v>
      </c>
      <c r="C3684">
        <v>78456</v>
      </c>
      <c r="D3684">
        <v>186931</v>
      </c>
      <c r="E3684">
        <v>340146605</v>
      </c>
      <c r="F3684">
        <v>107194370</v>
      </c>
      <c r="G3684">
        <v>447340975</v>
      </c>
      <c r="H3684">
        <v>98305</v>
      </c>
      <c r="I3684">
        <v>8287</v>
      </c>
      <c r="J3684">
        <v>106592</v>
      </c>
      <c r="K3684" t="b">
        <f>TrafficData[[#This Row],[disposedChallan]]+TrafficData[[#This Row],[pendingChallan]]=TrafficData[[#This Row],[totalChallan]]</f>
        <v>1</v>
      </c>
      <c r="L3684" t="b">
        <f>TrafficData[[#This Row],[pendingAmount]]+TrafficData[[#This Row],[disposedAmount]]=TrafficData[[#This Row],[totalAmount]]</f>
        <v>1</v>
      </c>
      <c r="M3684" t="b">
        <f>TrafficData[[#This Row],[pendingCourt]]+TrafficData[[#This Row],[disposedCourt]]=TrafficData[[#This Row],[totalCourt]]</f>
        <v>1</v>
      </c>
      <c r="N3684" s="8" t="b">
        <f>AND(TrafficData[[#This Row],[disposedChallan]]&lt;=TrafficData[[#This Row],[totalChallan]],TrafficData[[#This Row],[pendingChallan]]&lt;=TrafficData[[#This Row],[totalChallan]])</f>
        <v>1</v>
      </c>
      <c r="O3684" s="8" t="b">
        <f>AND(TrafficData[[#This Row],[pendingAmount]]&lt;=TrafficData[[#This Row],[totalAmount]],TrafficData[[#This Row],[disposedAmount]]&lt;=TrafficData[[#This Row],[totalAmount]])</f>
        <v>1</v>
      </c>
      <c r="P3684" s="8" t="b">
        <f>AND(TrafficData[[#This Row],[pendingCourt]]&lt;=TrafficData[[#This Row],[totalCourt]],TrafficData[[#This Row],[disposedCourt]]&lt;=TrafficData[[#This Row],[totalCourt]])</f>
        <v>1</v>
      </c>
    </row>
    <row r="3685" spans="1:16">
      <c r="A3685" s="1">
        <v>45689</v>
      </c>
      <c r="B3685">
        <v>268141</v>
      </c>
      <c r="C3685">
        <v>82917</v>
      </c>
      <c r="D3685">
        <v>185224</v>
      </c>
      <c r="E3685">
        <v>330417872</v>
      </c>
      <c r="F3685">
        <v>120494676</v>
      </c>
      <c r="G3685">
        <v>450912548</v>
      </c>
      <c r="H3685">
        <v>107568</v>
      </c>
      <c r="I3685">
        <v>7939</v>
      </c>
      <c r="J3685">
        <v>115507</v>
      </c>
      <c r="K3685" t="b">
        <f>TrafficData[[#This Row],[disposedChallan]]+TrafficData[[#This Row],[pendingChallan]]=TrafficData[[#This Row],[totalChallan]]</f>
        <v>1</v>
      </c>
      <c r="L3685" t="b">
        <f>TrafficData[[#This Row],[pendingAmount]]+TrafficData[[#This Row],[disposedAmount]]=TrafficData[[#This Row],[totalAmount]]</f>
        <v>1</v>
      </c>
      <c r="M3685" t="b">
        <f>TrafficData[[#This Row],[pendingCourt]]+TrafficData[[#This Row],[disposedCourt]]=TrafficData[[#This Row],[totalCourt]]</f>
        <v>1</v>
      </c>
      <c r="N3685" s="8" t="b">
        <f>AND(TrafficData[[#This Row],[disposedChallan]]&lt;=TrafficData[[#This Row],[totalChallan]],TrafficData[[#This Row],[pendingChallan]]&lt;=TrafficData[[#This Row],[totalChallan]])</f>
        <v>1</v>
      </c>
      <c r="O3685" s="8" t="b">
        <f>AND(TrafficData[[#This Row],[pendingAmount]]&lt;=TrafficData[[#This Row],[totalAmount]],TrafficData[[#This Row],[disposedAmount]]&lt;=TrafficData[[#This Row],[totalAmount]])</f>
        <v>1</v>
      </c>
      <c r="P3685" s="8" t="b">
        <f>AND(TrafficData[[#This Row],[pendingCourt]]&lt;=TrafficData[[#This Row],[totalCourt]],TrafficData[[#This Row],[disposedCourt]]&lt;=TrafficData[[#This Row],[totalCourt]])</f>
        <v>1</v>
      </c>
    </row>
    <row r="3686" spans="1:16">
      <c r="A3686" s="1">
        <v>45690</v>
      </c>
      <c r="B3686">
        <v>250609</v>
      </c>
      <c r="C3686">
        <v>73996</v>
      </c>
      <c r="D3686">
        <v>176613</v>
      </c>
      <c r="E3686">
        <v>292803815</v>
      </c>
      <c r="F3686">
        <v>92952554</v>
      </c>
      <c r="G3686">
        <v>385756369</v>
      </c>
      <c r="H3686">
        <v>95876</v>
      </c>
      <c r="I3686">
        <v>6875</v>
      </c>
      <c r="J3686">
        <v>102751</v>
      </c>
      <c r="K3686" t="b">
        <f>TrafficData[[#This Row],[disposedChallan]]+TrafficData[[#This Row],[pendingChallan]]=TrafficData[[#This Row],[totalChallan]]</f>
        <v>1</v>
      </c>
      <c r="L3686" t="b">
        <f>TrafficData[[#This Row],[pendingAmount]]+TrafficData[[#This Row],[disposedAmount]]=TrafficData[[#This Row],[totalAmount]]</f>
        <v>1</v>
      </c>
      <c r="M3686" t="b">
        <f>TrafficData[[#This Row],[pendingCourt]]+TrafficData[[#This Row],[disposedCourt]]=TrafficData[[#This Row],[totalCourt]]</f>
        <v>1</v>
      </c>
      <c r="N3686" s="8" t="b">
        <f>AND(TrafficData[[#This Row],[disposedChallan]]&lt;=TrafficData[[#This Row],[totalChallan]],TrafficData[[#This Row],[pendingChallan]]&lt;=TrafficData[[#This Row],[totalChallan]])</f>
        <v>1</v>
      </c>
      <c r="O3686" s="8" t="b">
        <f>AND(TrafficData[[#This Row],[pendingAmount]]&lt;=TrafficData[[#This Row],[totalAmount]],TrafficData[[#This Row],[disposedAmount]]&lt;=TrafficData[[#This Row],[totalAmount]])</f>
        <v>1</v>
      </c>
      <c r="P3686" s="8" t="b">
        <f>AND(TrafficData[[#This Row],[pendingCourt]]&lt;=TrafficData[[#This Row],[totalCourt]],TrafficData[[#This Row],[disposedCourt]]&lt;=TrafficData[[#This Row],[totalCourt]])</f>
        <v>1</v>
      </c>
    </row>
    <row r="3687" spans="1:16">
      <c r="A3687" s="1">
        <v>45691</v>
      </c>
      <c r="B3687">
        <v>273454</v>
      </c>
      <c r="C3687">
        <v>80759</v>
      </c>
      <c r="D3687">
        <v>192695</v>
      </c>
      <c r="E3687">
        <v>337155036</v>
      </c>
      <c r="F3687">
        <v>116833746</v>
      </c>
      <c r="G3687">
        <v>453988782</v>
      </c>
      <c r="H3687">
        <v>111337</v>
      </c>
      <c r="I3687">
        <v>7616</v>
      </c>
      <c r="J3687">
        <v>118953</v>
      </c>
      <c r="K3687" t="b">
        <f>TrafficData[[#This Row],[disposedChallan]]+TrafficData[[#This Row],[pendingChallan]]=TrafficData[[#This Row],[totalChallan]]</f>
        <v>1</v>
      </c>
      <c r="L3687" t="b">
        <f>TrafficData[[#This Row],[pendingAmount]]+TrafficData[[#This Row],[disposedAmount]]=TrafficData[[#This Row],[totalAmount]]</f>
        <v>1</v>
      </c>
      <c r="M3687" t="b">
        <f>TrafficData[[#This Row],[pendingCourt]]+TrafficData[[#This Row],[disposedCourt]]=TrafficData[[#This Row],[totalCourt]]</f>
        <v>1</v>
      </c>
      <c r="N3687" s="8" t="b">
        <f>AND(TrafficData[[#This Row],[disposedChallan]]&lt;=TrafficData[[#This Row],[totalChallan]],TrafficData[[#This Row],[pendingChallan]]&lt;=TrafficData[[#This Row],[totalChallan]])</f>
        <v>1</v>
      </c>
      <c r="O3687" s="8" t="b">
        <f>AND(TrafficData[[#This Row],[pendingAmount]]&lt;=TrafficData[[#This Row],[totalAmount]],TrafficData[[#This Row],[disposedAmount]]&lt;=TrafficData[[#This Row],[totalAmount]])</f>
        <v>1</v>
      </c>
      <c r="P3687" s="8" t="b">
        <f>AND(TrafficData[[#This Row],[pendingCourt]]&lt;=TrafficData[[#This Row],[totalCourt]],TrafficData[[#This Row],[disposedCourt]]&lt;=TrafficData[[#This Row],[totalCourt]])</f>
        <v>1</v>
      </c>
    </row>
    <row r="3688" spans="1:16">
      <c r="A3688" s="1">
        <v>45692</v>
      </c>
      <c r="B3688">
        <v>266475</v>
      </c>
      <c r="C3688">
        <v>80031</v>
      </c>
      <c r="D3688">
        <v>186444</v>
      </c>
      <c r="E3688">
        <v>320217101</v>
      </c>
      <c r="F3688">
        <v>126818538</v>
      </c>
      <c r="G3688">
        <v>447035639</v>
      </c>
      <c r="H3688">
        <v>110363</v>
      </c>
      <c r="I3688">
        <v>7479</v>
      </c>
      <c r="J3688">
        <v>117842</v>
      </c>
      <c r="K3688" t="b">
        <f>TrafficData[[#This Row],[disposedChallan]]+TrafficData[[#This Row],[pendingChallan]]=TrafficData[[#This Row],[totalChallan]]</f>
        <v>1</v>
      </c>
      <c r="L3688" t="b">
        <f>TrafficData[[#This Row],[pendingAmount]]+TrafficData[[#This Row],[disposedAmount]]=TrafficData[[#This Row],[totalAmount]]</f>
        <v>1</v>
      </c>
      <c r="M3688" t="b">
        <f>TrafficData[[#This Row],[pendingCourt]]+TrafficData[[#This Row],[disposedCourt]]=TrafficData[[#This Row],[totalCourt]]</f>
        <v>1</v>
      </c>
      <c r="N3688" s="8" t="b">
        <f>AND(TrafficData[[#This Row],[disposedChallan]]&lt;=TrafficData[[#This Row],[totalChallan]],TrafficData[[#This Row],[pendingChallan]]&lt;=TrafficData[[#This Row],[totalChallan]])</f>
        <v>1</v>
      </c>
      <c r="O3688" s="8" t="b">
        <f>AND(TrafficData[[#This Row],[pendingAmount]]&lt;=TrafficData[[#This Row],[totalAmount]],TrafficData[[#This Row],[disposedAmount]]&lt;=TrafficData[[#This Row],[totalAmount]])</f>
        <v>1</v>
      </c>
      <c r="P3688" s="8" t="b">
        <f>AND(TrafficData[[#This Row],[pendingCourt]]&lt;=TrafficData[[#This Row],[totalCourt]],TrafficData[[#This Row],[disposedCourt]]&lt;=TrafficData[[#This Row],[totalCourt]])</f>
        <v>1</v>
      </c>
    </row>
    <row r="3689" spans="1:16">
      <c r="A3689" s="1">
        <v>45693</v>
      </c>
      <c r="B3689">
        <v>276780</v>
      </c>
      <c r="C3689">
        <v>83709</v>
      </c>
      <c r="D3689">
        <v>193071</v>
      </c>
      <c r="E3689">
        <v>330639462</v>
      </c>
      <c r="F3689">
        <v>135046461</v>
      </c>
      <c r="G3689">
        <v>465685923</v>
      </c>
      <c r="H3689">
        <v>114208</v>
      </c>
      <c r="I3689">
        <v>7867</v>
      </c>
      <c r="J3689">
        <v>122075</v>
      </c>
      <c r="K3689" t="b">
        <f>TrafficData[[#This Row],[disposedChallan]]+TrafficData[[#This Row],[pendingChallan]]=TrafficData[[#This Row],[totalChallan]]</f>
        <v>1</v>
      </c>
      <c r="L3689" t="b">
        <f>TrafficData[[#This Row],[pendingAmount]]+TrafficData[[#This Row],[disposedAmount]]=TrafficData[[#This Row],[totalAmount]]</f>
        <v>1</v>
      </c>
      <c r="M3689" t="b">
        <f>TrafficData[[#This Row],[pendingCourt]]+TrafficData[[#This Row],[disposedCourt]]=TrafficData[[#This Row],[totalCourt]]</f>
        <v>1</v>
      </c>
      <c r="N3689" s="8" t="b">
        <f>AND(TrafficData[[#This Row],[disposedChallan]]&lt;=TrafficData[[#This Row],[totalChallan]],TrafficData[[#This Row],[pendingChallan]]&lt;=TrafficData[[#This Row],[totalChallan]])</f>
        <v>1</v>
      </c>
      <c r="O3689" s="8" t="b">
        <f>AND(TrafficData[[#This Row],[pendingAmount]]&lt;=TrafficData[[#This Row],[totalAmount]],TrafficData[[#This Row],[disposedAmount]]&lt;=TrafficData[[#This Row],[totalAmount]])</f>
        <v>1</v>
      </c>
      <c r="P3689" s="8" t="b">
        <f>AND(TrafficData[[#This Row],[pendingCourt]]&lt;=TrafficData[[#This Row],[totalCourt]],TrafficData[[#This Row],[disposedCourt]]&lt;=TrafficData[[#This Row],[totalCourt]])</f>
        <v>1</v>
      </c>
    </row>
    <row r="3690" spans="1:16">
      <c r="A3690" s="1">
        <v>45694</v>
      </c>
      <c r="B3690">
        <v>264608</v>
      </c>
      <c r="C3690">
        <v>82042</v>
      </c>
      <c r="D3690">
        <v>182566</v>
      </c>
      <c r="E3690">
        <v>326800677</v>
      </c>
      <c r="F3690">
        <v>136221982</v>
      </c>
      <c r="G3690">
        <v>463022659</v>
      </c>
      <c r="H3690">
        <v>105496</v>
      </c>
      <c r="I3690">
        <v>7490</v>
      </c>
      <c r="J3690">
        <v>112986</v>
      </c>
      <c r="K3690" t="b">
        <f>TrafficData[[#This Row],[disposedChallan]]+TrafficData[[#This Row],[pendingChallan]]=TrafficData[[#This Row],[totalChallan]]</f>
        <v>1</v>
      </c>
      <c r="L3690" t="b">
        <f>TrafficData[[#This Row],[pendingAmount]]+TrafficData[[#This Row],[disposedAmount]]=TrafficData[[#This Row],[totalAmount]]</f>
        <v>1</v>
      </c>
      <c r="M3690" t="b">
        <f>TrafficData[[#This Row],[pendingCourt]]+TrafficData[[#This Row],[disposedCourt]]=TrafficData[[#This Row],[totalCourt]]</f>
        <v>1</v>
      </c>
      <c r="N3690" s="8" t="b">
        <f>AND(TrafficData[[#This Row],[disposedChallan]]&lt;=TrafficData[[#This Row],[totalChallan]],TrafficData[[#This Row],[pendingChallan]]&lt;=TrafficData[[#This Row],[totalChallan]])</f>
        <v>1</v>
      </c>
      <c r="O3690" s="8" t="b">
        <f>AND(TrafficData[[#This Row],[pendingAmount]]&lt;=TrafficData[[#This Row],[totalAmount]],TrafficData[[#This Row],[disposedAmount]]&lt;=TrafficData[[#This Row],[totalAmount]])</f>
        <v>1</v>
      </c>
      <c r="P3690" s="8" t="b">
        <f>AND(TrafficData[[#This Row],[pendingCourt]]&lt;=TrafficData[[#This Row],[totalCourt]],TrafficData[[#This Row],[disposedCourt]]&lt;=TrafficData[[#This Row],[totalCourt]])</f>
        <v>1</v>
      </c>
    </row>
    <row r="3691" spans="1:16">
      <c r="A3691" s="1">
        <v>45695</v>
      </c>
      <c r="B3691">
        <v>268211</v>
      </c>
      <c r="C3691">
        <v>80085</v>
      </c>
      <c r="D3691">
        <v>188126</v>
      </c>
      <c r="E3691">
        <v>343239061</v>
      </c>
      <c r="F3691">
        <v>126672491</v>
      </c>
      <c r="G3691">
        <v>469911552</v>
      </c>
      <c r="H3691">
        <v>108577</v>
      </c>
      <c r="I3691">
        <v>7775</v>
      </c>
      <c r="J3691">
        <v>116352</v>
      </c>
      <c r="K3691" t="b">
        <f>TrafficData[[#This Row],[disposedChallan]]+TrafficData[[#This Row],[pendingChallan]]=TrafficData[[#This Row],[totalChallan]]</f>
        <v>1</v>
      </c>
      <c r="L3691" t="b">
        <f>TrafficData[[#This Row],[pendingAmount]]+TrafficData[[#This Row],[disposedAmount]]=TrafficData[[#This Row],[totalAmount]]</f>
        <v>1</v>
      </c>
      <c r="M3691" t="b">
        <f>TrafficData[[#This Row],[pendingCourt]]+TrafficData[[#This Row],[disposedCourt]]=TrafficData[[#This Row],[totalCourt]]</f>
        <v>1</v>
      </c>
      <c r="N3691" s="8" t="b">
        <f>AND(TrafficData[[#This Row],[disposedChallan]]&lt;=TrafficData[[#This Row],[totalChallan]],TrafficData[[#This Row],[pendingChallan]]&lt;=TrafficData[[#This Row],[totalChallan]])</f>
        <v>1</v>
      </c>
      <c r="O3691" s="8" t="b">
        <f>AND(TrafficData[[#This Row],[pendingAmount]]&lt;=TrafficData[[#This Row],[totalAmount]],TrafficData[[#This Row],[disposedAmount]]&lt;=TrafficData[[#This Row],[totalAmount]])</f>
        <v>1</v>
      </c>
      <c r="P3691" s="8" t="b">
        <f>AND(TrafficData[[#This Row],[pendingCourt]]&lt;=TrafficData[[#This Row],[totalCourt]],TrafficData[[#This Row],[disposedCourt]]&lt;=TrafficData[[#This Row],[totalCourt]])</f>
        <v>1</v>
      </c>
    </row>
    <row r="3692" spans="1:16">
      <c r="A3692" s="1">
        <v>45696</v>
      </c>
      <c r="B3692">
        <v>260195</v>
      </c>
      <c r="C3692">
        <v>79413</v>
      </c>
      <c r="D3692">
        <v>180782</v>
      </c>
      <c r="E3692">
        <v>307085039</v>
      </c>
      <c r="F3692">
        <v>104362117</v>
      </c>
      <c r="G3692">
        <v>411447156</v>
      </c>
      <c r="H3692">
        <v>101979</v>
      </c>
      <c r="I3692">
        <v>7602</v>
      </c>
      <c r="J3692">
        <v>109581</v>
      </c>
      <c r="K3692" t="b">
        <f>TrafficData[[#This Row],[disposedChallan]]+TrafficData[[#This Row],[pendingChallan]]=TrafficData[[#This Row],[totalChallan]]</f>
        <v>1</v>
      </c>
      <c r="L3692" t="b">
        <f>TrafficData[[#This Row],[pendingAmount]]+TrafficData[[#This Row],[disposedAmount]]=TrafficData[[#This Row],[totalAmount]]</f>
        <v>1</v>
      </c>
      <c r="M3692" t="b">
        <f>TrafficData[[#This Row],[pendingCourt]]+TrafficData[[#This Row],[disposedCourt]]=TrafficData[[#This Row],[totalCourt]]</f>
        <v>1</v>
      </c>
      <c r="N3692" s="8" t="b">
        <f>AND(TrafficData[[#This Row],[disposedChallan]]&lt;=TrafficData[[#This Row],[totalChallan]],TrafficData[[#This Row],[pendingChallan]]&lt;=TrafficData[[#This Row],[totalChallan]])</f>
        <v>1</v>
      </c>
      <c r="O3692" s="8" t="b">
        <f>AND(TrafficData[[#This Row],[pendingAmount]]&lt;=TrafficData[[#This Row],[totalAmount]],TrafficData[[#This Row],[disposedAmount]]&lt;=TrafficData[[#This Row],[totalAmount]])</f>
        <v>1</v>
      </c>
      <c r="P3692" s="8" t="b">
        <f>AND(TrafficData[[#This Row],[pendingCourt]]&lt;=TrafficData[[#This Row],[totalCourt]],TrafficData[[#This Row],[disposedCourt]]&lt;=TrafficData[[#This Row],[totalCourt]])</f>
        <v>1</v>
      </c>
    </row>
    <row r="3693" spans="1:16">
      <c r="A3693" s="1">
        <v>45697</v>
      </c>
      <c r="B3693">
        <v>244444</v>
      </c>
      <c r="C3693">
        <v>72755</v>
      </c>
      <c r="D3693">
        <v>171689</v>
      </c>
      <c r="E3693">
        <v>288094887</v>
      </c>
      <c r="F3693">
        <v>89828053</v>
      </c>
      <c r="G3693">
        <v>377922940</v>
      </c>
      <c r="H3693">
        <v>98911</v>
      </c>
      <c r="I3693">
        <v>7236</v>
      </c>
      <c r="J3693">
        <v>106147</v>
      </c>
      <c r="K3693" t="b">
        <f>TrafficData[[#This Row],[disposedChallan]]+TrafficData[[#This Row],[pendingChallan]]=TrafficData[[#This Row],[totalChallan]]</f>
        <v>1</v>
      </c>
      <c r="L3693" t="b">
        <f>TrafficData[[#This Row],[pendingAmount]]+TrafficData[[#This Row],[disposedAmount]]=TrafficData[[#This Row],[totalAmount]]</f>
        <v>1</v>
      </c>
      <c r="M3693" t="b">
        <f>TrafficData[[#This Row],[pendingCourt]]+TrafficData[[#This Row],[disposedCourt]]=TrafficData[[#This Row],[totalCourt]]</f>
        <v>1</v>
      </c>
      <c r="N3693" s="8" t="b">
        <f>AND(TrafficData[[#This Row],[disposedChallan]]&lt;=TrafficData[[#This Row],[totalChallan]],TrafficData[[#This Row],[pendingChallan]]&lt;=TrafficData[[#This Row],[totalChallan]])</f>
        <v>1</v>
      </c>
      <c r="O3693" s="8" t="b">
        <f>AND(TrafficData[[#This Row],[pendingAmount]]&lt;=TrafficData[[#This Row],[totalAmount]],TrafficData[[#This Row],[disposedAmount]]&lt;=TrafficData[[#This Row],[totalAmount]])</f>
        <v>1</v>
      </c>
      <c r="P3693" s="8" t="b">
        <f>AND(TrafficData[[#This Row],[pendingCourt]]&lt;=TrafficData[[#This Row],[totalCourt]],TrafficData[[#This Row],[disposedCourt]]&lt;=TrafficData[[#This Row],[totalCourt]])</f>
        <v>1</v>
      </c>
    </row>
    <row r="3694" spans="1:16">
      <c r="A3694" s="1">
        <v>45698</v>
      </c>
      <c r="B3694">
        <v>269892</v>
      </c>
      <c r="C3694">
        <v>79842</v>
      </c>
      <c r="D3694">
        <v>190050</v>
      </c>
      <c r="E3694">
        <v>337108050</v>
      </c>
      <c r="F3694">
        <v>119043588</v>
      </c>
      <c r="G3694">
        <v>456151638</v>
      </c>
      <c r="H3694">
        <v>114378</v>
      </c>
      <c r="I3694">
        <v>7933</v>
      </c>
      <c r="J3694">
        <v>122311</v>
      </c>
      <c r="K3694" t="b">
        <f>TrafficData[[#This Row],[disposedChallan]]+TrafficData[[#This Row],[pendingChallan]]=TrafficData[[#This Row],[totalChallan]]</f>
        <v>1</v>
      </c>
      <c r="L3694" t="b">
        <f>TrafficData[[#This Row],[pendingAmount]]+TrafficData[[#This Row],[disposedAmount]]=TrafficData[[#This Row],[totalAmount]]</f>
        <v>1</v>
      </c>
      <c r="M3694" t="b">
        <f>TrafficData[[#This Row],[pendingCourt]]+TrafficData[[#This Row],[disposedCourt]]=TrafficData[[#This Row],[totalCourt]]</f>
        <v>1</v>
      </c>
      <c r="N3694" s="8" t="b">
        <f>AND(TrafficData[[#This Row],[disposedChallan]]&lt;=TrafficData[[#This Row],[totalChallan]],TrafficData[[#This Row],[pendingChallan]]&lt;=TrafficData[[#This Row],[totalChallan]])</f>
        <v>1</v>
      </c>
      <c r="O3694" s="8" t="b">
        <f>AND(TrafficData[[#This Row],[pendingAmount]]&lt;=TrafficData[[#This Row],[totalAmount]],TrafficData[[#This Row],[disposedAmount]]&lt;=TrafficData[[#This Row],[totalAmount]])</f>
        <v>1</v>
      </c>
      <c r="P3694" s="8" t="b">
        <f>AND(TrafficData[[#This Row],[pendingCourt]]&lt;=TrafficData[[#This Row],[totalCourt]],TrafficData[[#This Row],[disposedCourt]]&lt;=TrafficData[[#This Row],[totalCourt]])</f>
        <v>1</v>
      </c>
    </row>
    <row r="3695" spans="1:16">
      <c r="A3695" s="1">
        <v>45699</v>
      </c>
      <c r="B3695">
        <v>272736</v>
      </c>
      <c r="C3695">
        <v>80803</v>
      </c>
      <c r="D3695">
        <v>191933</v>
      </c>
      <c r="E3695">
        <v>361574049</v>
      </c>
      <c r="F3695">
        <v>138450939</v>
      </c>
      <c r="G3695">
        <v>500024988</v>
      </c>
      <c r="H3695">
        <v>112691</v>
      </c>
      <c r="I3695">
        <v>7586</v>
      </c>
      <c r="J3695">
        <v>120277</v>
      </c>
      <c r="K3695" t="b">
        <f>TrafficData[[#This Row],[disposedChallan]]+TrafficData[[#This Row],[pendingChallan]]=TrafficData[[#This Row],[totalChallan]]</f>
        <v>1</v>
      </c>
      <c r="L3695" t="b">
        <f>TrafficData[[#This Row],[pendingAmount]]+TrafficData[[#This Row],[disposedAmount]]=TrafficData[[#This Row],[totalAmount]]</f>
        <v>1</v>
      </c>
      <c r="M3695" t="b">
        <f>TrafficData[[#This Row],[pendingCourt]]+TrafficData[[#This Row],[disposedCourt]]=TrafficData[[#This Row],[totalCourt]]</f>
        <v>1</v>
      </c>
      <c r="N3695" s="8" t="b">
        <f>AND(TrafficData[[#This Row],[disposedChallan]]&lt;=TrafficData[[#This Row],[totalChallan]],TrafficData[[#This Row],[pendingChallan]]&lt;=TrafficData[[#This Row],[totalChallan]])</f>
        <v>1</v>
      </c>
      <c r="O3695" s="8" t="b">
        <f>AND(TrafficData[[#This Row],[pendingAmount]]&lt;=TrafficData[[#This Row],[totalAmount]],TrafficData[[#This Row],[disposedAmount]]&lt;=TrafficData[[#This Row],[totalAmount]])</f>
        <v>1</v>
      </c>
      <c r="P3695" s="8" t="b">
        <f>AND(TrafficData[[#This Row],[pendingCourt]]&lt;=TrafficData[[#This Row],[totalCourt]],TrafficData[[#This Row],[disposedCourt]]&lt;=TrafficData[[#This Row],[totalCourt]])</f>
        <v>1</v>
      </c>
    </row>
    <row r="3696" spans="1:16">
      <c r="A3696" s="1">
        <v>45700</v>
      </c>
      <c r="B3696">
        <v>268772</v>
      </c>
      <c r="C3696">
        <v>80403</v>
      </c>
      <c r="D3696">
        <v>188369</v>
      </c>
      <c r="E3696">
        <v>352196709</v>
      </c>
      <c r="F3696">
        <v>132442297</v>
      </c>
      <c r="G3696">
        <v>484639006</v>
      </c>
      <c r="H3696">
        <v>107336</v>
      </c>
      <c r="I3696">
        <v>7561</v>
      </c>
      <c r="J3696">
        <v>114897</v>
      </c>
      <c r="K3696" t="b">
        <f>TrafficData[[#This Row],[disposedChallan]]+TrafficData[[#This Row],[pendingChallan]]=TrafficData[[#This Row],[totalChallan]]</f>
        <v>1</v>
      </c>
      <c r="L3696" t="b">
        <f>TrafficData[[#This Row],[pendingAmount]]+TrafficData[[#This Row],[disposedAmount]]=TrafficData[[#This Row],[totalAmount]]</f>
        <v>1</v>
      </c>
      <c r="M3696" t="b">
        <f>TrafficData[[#This Row],[pendingCourt]]+TrafficData[[#This Row],[disposedCourt]]=TrafficData[[#This Row],[totalCourt]]</f>
        <v>1</v>
      </c>
      <c r="N3696" s="8" t="b">
        <f>AND(TrafficData[[#This Row],[disposedChallan]]&lt;=TrafficData[[#This Row],[totalChallan]],TrafficData[[#This Row],[pendingChallan]]&lt;=TrafficData[[#This Row],[totalChallan]])</f>
        <v>1</v>
      </c>
      <c r="O3696" s="8" t="b">
        <f>AND(TrafficData[[#This Row],[pendingAmount]]&lt;=TrafficData[[#This Row],[totalAmount]],TrafficData[[#This Row],[disposedAmount]]&lt;=TrafficData[[#This Row],[totalAmount]])</f>
        <v>1</v>
      </c>
      <c r="P3696" s="8" t="b">
        <f>AND(TrafficData[[#This Row],[pendingCourt]]&lt;=TrafficData[[#This Row],[totalCourt]],TrafficData[[#This Row],[disposedCourt]]&lt;=TrafficData[[#This Row],[totalCourt]])</f>
        <v>1</v>
      </c>
    </row>
    <row r="3697" spans="1:16">
      <c r="A3697" s="1">
        <v>45701</v>
      </c>
      <c r="B3697">
        <v>267545</v>
      </c>
      <c r="C3697">
        <v>80498</v>
      </c>
      <c r="D3697">
        <v>187047</v>
      </c>
      <c r="E3697">
        <v>354749409</v>
      </c>
      <c r="F3697">
        <v>126114209</v>
      </c>
      <c r="G3697">
        <v>480863618</v>
      </c>
      <c r="H3697">
        <v>105300</v>
      </c>
      <c r="I3697">
        <v>7306</v>
      </c>
      <c r="J3697">
        <v>112606</v>
      </c>
      <c r="K3697" t="b">
        <f>TrafficData[[#This Row],[disposedChallan]]+TrafficData[[#This Row],[pendingChallan]]=TrafficData[[#This Row],[totalChallan]]</f>
        <v>1</v>
      </c>
      <c r="L3697" t="b">
        <f>TrafficData[[#This Row],[pendingAmount]]+TrafficData[[#This Row],[disposedAmount]]=TrafficData[[#This Row],[totalAmount]]</f>
        <v>1</v>
      </c>
      <c r="M3697" t="b">
        <f>TrafficData[[#This Row],[pendingCourt]]+TrafficData[[#This Row],[disposedCourt]]=TrafficData[[#This Row],[totalCourt]]</f>
        <v>1</v>
      </c>
      <c r="N3697" s="8" t="b">
        <f>AND(TrafficData[[#This Row],[disposedChallan]]&lt;=TrafficData[[#This Row],[totalChallan]],TrafficData[[#This Row],[pendingChallan]]&lt;=TrafficData[[#This Row],[totalChallan]])</f>
        <v>1</v>
      </c>
      <c r="O3697" s="8" t="b">
        <f>AND(TrafficData[[#This Row],[pendingAmount]]&lt;=TrafficData[[#This Row],[totalAmount]],TrafficData[[#This Row],[disposedAmount]]&lt;=TrafficData[[#This Row],[totalAmount]])</f>
        <v>1</v>
      </c>
      <c r="P3697" s="8" t="b">
        <f>AND(TrafficData[[#This Row],[pendingCourt]]&lt;=TrafficData[[#This Row],[totalCourt]],TrafficData[[#This Row],[disposedCourt]]&lt;=TrafficData[[#This Row],[totalCourt]])</f>
        <v>1</v>
      </c>
    </row>
    <row r="3698" spans="1:16">
      <c r="A3698" s="1">
        <v>45702</v>
      </c>
      <c r="B3698">
        <v>272413</v>
      </c>
      <c r="C3698">
        <v>81446</v>
      </c>
      <c r="D3698">
        <v>190967</v>
      </c>
      <c r="E3698">
        <v>350601999</v>
      </c>
      <c r="F3698">
        <v>134627710</v>
      </c>
      <c r="G3698">
        <v>485229709</v>
      </c>
      <c r="H3698">
        <v>102973</v>
      </c>
      <c r="I3698">
        <v>7189</v>
      </c>
      <c r="J3698">
        <v>110162</v>
      </c>
      <c r="K3698" t="b">
        <f>TrafficData[[#This Row],[disposedChallan]]+TrafficData[[#This Row],[pendingChallan]]=TrafficData[[#This Row],[totalChallan]]</f>
        <v>1</v>
      </c>
      <c r="L3698" t="b">
        <f>TrafficData[[#This Row],[pendingAmount]]+TrafficData[[#This Row],[disposedAmount]]=TrafficData[[#This Row],[totalAmount]]</f>
        <v>1</v>
      </c>
      <c r="M3698" t="b">
        <f>TrafficData[[#This Row],[pendingCourt]]+TrafficData[[#This Row],[disposedCourt]]=TrafficData[[#This Row],[totalCourt]]</f>
        <v>1</v>
      </c>
      <c r="N3698" s="8" t="b">
        <f>AND(TrafficData[[#This Row],[disposedChallan]]&lt;=TrafficData[[#This Row],[totalChallan]],TrafficData[[#This Row],[pendingChallan]]&lt;=TrafficData[[#This Row],[totalChallan]])</f>
        <v>1</v>
      </c>
      <c r="O3698" s="8" t="b">
        <f>AND(TrafficData[[#This Row],[pendingAmount]]&lt;=TrafficData[[#This Row],[totalAmount]],TrafficData[[#This Row],[disposedAmount]]&lt;=TrafficData[[#This Row],[totalAmount]])</f>
        <v>1</v>
      </c>
      <c r="P3698" s="8" t="b">
        <f>AND(TrafficData[[#This Row],[pendingCourt]]&lt;=TrafficData[[#This Row],[totalCourt]],TrafficData[[#This Row],[disposedCourt]]&lt;=TrafficData[[#This Row],[totalCourt]])</f>
        <v>1</v>
      </c>
    </row>
    <row r="3699" spans="1:16">
      <c r="A3699" s="1">
        <v>45703</v>
      </c>
      <c r="B3699">
        <v>300480</v>
      </c>
      <c r="C3699">
        <v>89339</v>
      </c>
      <c r="D3699">
        <v>211141</v>
      </c>
      <c r="E3699">
        <v>366271339</v>
      </c>
      <c r="F3699">
        <v>127310190</v>
      </c>
      <c r="G3699">
        <v>493581529</v>
      </c>
      <c r="H3699">
        <v>117524</v>
      </c>
      <c r="I3699">
        <v>8826</v>
      </c>
      <c r="J3699">
        <v>126350</v>
      </c>
      <c r="K3699" t="b">
        <f>TrafficData[[#This Row],[disposedChallan]]+TrafficData[[#This Row],[pendingChallan]]=TrafficData[[#This Row],[totalChallan]]</f>
        <v>1</v>
      </c>
      <c r="L3699" t="b">
        <f>TrafficData[[#This Row],[pendingAmount]]+TrafficData[[#This Row],[disposedAmount]]=TrafficData[[#This Row],[totalAmount]]</f>
        <v>1</v>
      </c>
      <c r="M3699" t="b">
        <f>TrafficData[[#This Row],[pendingCourt]]+TrafficData[[#This Row],[disposedCourt]]=TrafficData[[#This Row],[totalCourt]]</f>
        <v>1</v>
      </c>
      <c r="N3699" s="8" t="b">
        <f>AND(TrafficData[[#This Row],[disposedChallan]]&lt;=TrafficData[[#This Row],[totalChallan]],TrafficData[[#This Row],[pendingChallan]]&lt;=TrafficData[[#This Row],[totalChallan]])</f>
        <v>1</v>
      </c>
      <c r="O3699" s="8" t="b">
        <f>AND(TrafficData[[#This Row],[pendingAmount]]&lt;=TrafficData[[#This Row],[totalAmount]],TrafficData[[#This Row],[disposedAmount]]&lt;=TrafficData[[#This Row],[totalAmount]])</f>
        <v>1</v>
      </c>
      <c r="P3699" s="8" t="b">
        <f>AND(TrafficData[[#This Row],[pendingCourt]]&lt;=TrafficData[[#This Row],[totalCourt]],TrafficData[[#This Row],[disposedCourt]]&lt;=TrafficData[[#This Row],[totalCourt]])</f>
        <v>1</v>
      </c>
    </row>
    <row r="3700" spans="1:16">
      <c r="A3700" s="1">
        <v>45704</v>
      </c>
      <c r="B3700">
        <v>266530</v>
      </c>
      <c r="C3700">
        <v>75877</v>
      </c>
      <c r="D3700">
        <v>190653</v>
      </c>
      <c r="E3700">
        <v>306393614</v>
      </c>
      <c r="F3700">
        <v>97528381</v>
      </c>
      <c r="G3700">
        <v>403921995</v>
      </c>
      <c r="H3700">
        <v>104141</v>
      </c>
      <c r="I3700">
        <v>6889</v>
      </c>
      <c r="J3700">
        <v>111030</v>
      </c>
      <c r="K3700" t="b">
        <f>TrafficData[[#This Row],[disposedChallan]]+TrafficData[[#This Row],[pendingChallan]]=TrafficData[[#This Row],[totalChallan]]</f>
        <v>1</v>
      </c>
      <c r="L3700" t="b">
        <f>TrafficData[[#This Row],[pendingAmount]]+TrafficData[[#This Row],[disposedAmount]]=TrafficData[[#This Row],[totalAmount]]</f>
        <v>1</v>
      </c>
      <c r="M3700" t="b">
        <f>TrafficData[[#This Row],[pendingCourt]]+TrafficData[[#This Row],[disposedCourt]]=TrafficData[[#This Row],[totalCourt]]</f>
        <v>1</v>
      </c>
      <c r="N3700" s="8" t="b">
        <f>AND(TrafficData[[#This Row],[disposedChallan]]&lt;=TrafficData[[#This Row],[totalChallan]],TrafficData[[#This Row],[pendingChallan]]&lt;=TrafficData[[#This Row],[totalChallan]])</f>
        <v>1</v>
      </c>
      <c r="O3700" s="8" t="b">
        <f>AND(TrafficData[[#This Row],[pendingAmount]]&lt;=TrafficData[[#This Row],[totalAmount]],TrafficData[[#This Row],[disposedAmount]]&lt;=TrafficData[[#This Row],[totalAmount]])</f>
        <v>1</v>
      </c>
      <c r="P3700" s="8" t="b">
        <f>AND(TrafficData[[#This Row],[pendingCourt]]&lt;=TrafficData[[#This Row],[totalCourt]],TrafficData[[#This Row],[disposedCourt]]&lt;=TrafficData[[#This Row],[totalCourt]])</f>
        <v>1</v>
      </c>
    </row>
    <row r="3701" spans="1:16">
      <c r="A3701" s="1">
        <v>45705</v>
      </c>
      <c r="B3701">
        <v>287878</v>
      </c>
      <c r="C3701">
        <v>81544</v>
      </c>
      <c r="D3701">
        <v>206334</v>
      </c>
      <c r="E3701">
        <v>368949750</v>
      </c>
      <c r="F3701">
        <v>129093919</v>
      </c>
      <c r="G3701">
        <v>498043669</v>
      </c>
      <c r="H3701">
        <v>115759</v>
      </c>
      <c r="I3701">
        <v>8076</v>
      </c>
      <c r="J3701">
        <v>123835</v>
      </c>
      <c r="K3701" t="b">
        <f>TrafficData[[#This Row],[disposedChallan]]+TrafficData[[#This Row],[pendingChallan]]=TrafficData[[#This Row],[totalChallan]]</f>
        <v>1</v>
      </c>
      <c r="L3701" t="b">
        <f>TrafficData[[#This Row],[pendingAmount]]+TrafficData[[#This Row],[disposedAmount]]=TrafficData[[#This Row],[totalAmount]]</f>
        <v>1</v>
      </c>
      <c r="M3701" t="b">
        <f>TrafficData[[#This Row],[pendingCourt]]+TrafficData[[#This Row],[disposedCourt]]=TrafficData[[#This Row],[totalCourt]]</f>
        <v>1</v>
      </c>
      <c r="N3701" s="8" t="b">
        <f>AND(TrafficData[[#This Row],[disposedChallan]]&lt;=TrafficData[[#This Row],[totalChallan]],TrafficData[[#This Row],[pendingChallan]]&lt;=TrafficData[[#This Row],[totalChallan]])</f>
        <v>1</v>
      </c>
      <c r="O3701" s="8" t="b">
        <f>AND(TrafficData[[#This Row],[pendingAmount]]&lt;=TrafficData[[#This Row],[totalAmount]],TrafficData[[#This Row],[disposedAmount]]&lt;=TrafficData[[#This Row],[totalAmount]])</f>
        <v>1</v>
      </c>
      <c r="P3701" s="8" t="b">
        <f>AND(TrafficData[[#This Row],[pendingCourt]]&lt;=TrafficData[[#This Row],[totalCourt]],TrafficData[[#This Row],[disposedCourt]]&lt;=TrafficData[[#This Row],[totalCourt]])</f>
        <v>1</v>
      </c>
    </row>
    <row r="3702" spans="1:16">
      <c r="A3702" s="1">
        <v>45706</v>
      </c>
      <c r="B3702">
        <v>292279</v>
      </c>
      <c r="C3702">
        <v>84717</v>
      </c>
      <c r="D3702">
        <v>207562</v>
      </c>
      <c r="E3702">
        <v>377819602</v>
      </c>
      <c r="F3702">
        <v>143844416</v>
      </c>
      <c r="G3702">
        <v>521664018</v>
      </c>
      <c r="H3702">
        <v>115827</v>
      </c>
      <c r="I3702">
        <v>7892</v>
      </c>
      <c r="J3702">
        <v>123719</v>
      </c>
      <c r="K3702" t="b">
        <f>TrafficData[[#This Row],[disposedChallan]]+TrafficData[[#This Row],[pendingChallan]]=TrafficData[[#This Row],[totalChallan]]</f>
        <v>1</v>
      </c>
      <c r="L3702" t="b">
        <f>TrafficData[[#This Row],[pendingAmount]]+TrafficData[[#This Row],[disposedAmount]]=TrafficData[[#This Row],[totalAmount]]</f>
        <v>1</v>
      </c>
      <c r="M3702" t="b">
        <f>TrafficData[[#This Row],[pendingCourt]]+TrafficData[[#This Row],[disposedCourt]]=TrafficData[[#This Row],[totalCourt]]</f>
        <v>1</v>
      </c>
      <c r="N3702" s="8" t="b">
        <f>AND(TrafficData[[#This Row],[disposedChallan]]&lt;=TrafficData[[#This Row],[totalChallan]],TrafficData[[#This Row],[pendingChallan]]&lt;=TrafficData[[#This Row],[totalChallan]])</f>
        <v>1</v>
      </c>
      <c r="O3702" s="8" t="b">
        <f>AND(TrafficData[[#This Row],[pendingAmount]]&lt;=TrafficData[[#This Row],[totalAmount]],TrafficData[[#This Row],[disposedAmount]]&lt;=TrafficData[[#This Row],[totalAmount]])</f>
        <v>1</v>
      </c>
      <c r="P3702" s="8" t="b">
        <f>AND(TrafficData[[#This Row],[pendingCourt]]&lt;=TrafficData[[#This Row],[totalCourt]],TrafficData[[#This Row],[disposedCourt]]&lt;=TrafficData[[#This Row],[totalCourt]])</f>
        <v>1</v>
      </c>
    </row>
    <row r="3703" spans="1:16">
      <c r="A3703" s="1">
        <v>45707</v>
      </c>
      <c r="B3703">
        <v>291743</v>
      </c>
      <c r="C3703">
        <v>84292</v>
      </c>
      <c r="D3703">
        <v>207451</v>
      </c>
      <c r="E3703">
        <v>385151438</v>
      </c>
      <c r="F3703">
        <v>136496744</v>
      </c>
      <c r="G3703">
        <v>521648182</v>
      </c>
      <c r="H3703">
        <v>117270</v>
      </c>
      <c r="I3703">
        <v>7920</v>
      </c>
      <c r="J3703">
        <v>125190</v>
      </c>
      <c r="K3703" t="b">
        <f>TrafficData[[#This Row],[disposedChallan]]+TrafficData[[#This Row],[pendingChallan]]=TrafficData[[#This Row],[totalChallan]]</f>
        <v>1</v>
      </c>
      <c r="L3703" t="b">
        <f>TrafficData[[#This Row],[pendingAmount]]+TrafficData[[#This Row],[disposedAmount]]=TrafficData[[#This Row],[totalAmount]]</f>
        <v>1</v>
      </c>
      <c r="M3703" t="b">
        <f>TrafficData[[#This Row],[pendingCourt]]+TrafficData[[#This Row],[disposedCourt]]=TrafficData[[#This Row],[totalCourt]]</f>
        <v>1</v>
      </c>
      <c r="N3703" s="8" t="b">
        <f>AND(TrafficData[[#This Row],[disposedChallan]]&lt;=TrafficData[[#This Row],[totalChallan]],TrafficData[[#This Row],[pendingChallan]]&lt;=TrafficData[[#This Row],[totalChallan]])</f>
        <v>1</v>
      </c>
      <c r="O3703" s="8" t="b">
        <f>AND(TrafficData[[#This Row],[pendingAmount]]&lt;=TrafficData[[#This Row],[totalAmount]],TrafficData[[#This Row],[disposedAmount]]&lt;=TrafficData[[#This Row],[totalAmount]])</f>
        <v>1</v>
      </c>
      <c r="P3703" s="8" t="b">
        <f>AND(TrafficData[[#This Row],[pendingCourt]]&lt;=TrafficData[[#This Row],[totalCourt]],TrafficData[[#This Row],[disposedCourt]]&lt;=TrafficData[[#This Row],[totalCourt]])</f>
        <v>1</v>
      </c>
    </row>
    <row r="3704" spans="1:16">
      <c r="A3704" s="1">
        <v>45708</v>
      </c>
      <c r="B3704">
        <v>272641</v>
      </c>
      <c r="C3704">
        <v>79896</v>
      </c>
      <c r="D3704">
        <v>192745</v>
      </c>
      <c r="E3704">
        <v>361388713</v>
      </c>
      <c r="F3704">
        <v>131214752</v>
      </c>
      <c r="G3704">
        <v>492603465</v>
      </c>
      <c r="H3704">
        <v>106467</v>
      </c>
      <c r="I3704">
        <v>7197</v>
      </c>
      <c r="J3704">
        <v>113664</v>
      </c>
      <c r="K3704" t="b">
        <f>TrafficData[[#This Row],[disposedChallan]]+TrafficData[[#This Row],[pendingChallan]]=TrafficData[[#This Row],[totalChallan]]</f>
        <v>1</v>
      </c>
      <c r="L3704" t="b">
        <f>TrafficData[[#This Row],[pendingAmount]]+TrafficData[[#This Row],[disposedAmount]]=TrafficData[[#This Row],[totalAmount]]</f>
        <v>1</v>
      </c>
      <c r="M3704" t="b">
        <f>TrafficData[[#This Row],[pendingCourt]]+TrafficData[[#This Row],[disposedCourt]]=TrafficData[[#This Row],[totalCourt]]</f>
        <v>1</v>
      </c>
      <c r="N3704" s="8" t="b">
        <f>AND(TrafficData[[#This Row],[disposedChallan]]&lt;=TrafficData[[#This Row],[totalChallan]],TrafficData[[#This Row],[pendingChallan]]&lt;=TrafficData[[#This Row],[totalChallan]])</f>
        <v>1</v>
      </c>
      <c r="O3704" s="8" t="b">
        <f>AND(TrafficData[[#This Row],[pendingAmount]]&lt;=TrafficData[[#This Row],[totalAmount]],TrafficData[[#This Row],[disposedAmount]]&lt;=TrafficData[[#This Row],[totalAmount]])</f>
        <v>1</v>
      </c>
      <c r="P3704" s="8" t="b">
        <f>AND(TrafficData[[#This Row],[pendingCourt]]&lt;=TrafficData[[#This Row],[totalCourt]],TrafficData[[#This Row],[disposedCourt]]&lt;=TrafficData[[#This Row],[totalCourt]])</f>
        <v>1</v>
      </c>
    </row>
    <row r="3705" spans="1:16">
      <c r="A3705" s="1">
        <v>45709</v>
      </c>
      <c r="B3705">
        <v>282769</v>
      </c>
      <c r="C3705">
        <v>83941</v>
      </c>
      <c r="D3705">
        <v>198828</v>
      </c>
      <c r="E3705">
        <v>374365414</v>
      </c>
      <c r="F3705">
        <v>137973964</v>
      </c>
      <c r="G3705">
        <v>512339378</v>
      </c>
      <c r="H3705">
        <v>113207</v>
      </c>
      <c r="I3705">
        <v>7780</v>
      </c>
      <c r="J3705">
        <v>120987</v>
      </c>
      <c r="K3705" t="b">
        <f>TrafficData[[#This Row],[disposedChallan]]+TrafficData[[#This Row],[pendingChallan]]=TrafficData[[#This Row],[totalChallan]]</f>
        <v>1</v>
      </c>
      <c r="L3705" t="b">
        <f>TrafficData[[#This Row],[pendingAmount]]+TrafficData[[#This Row],[disposedAmount]]=TrafficData[[#This Row],[totalAmount]]</f>
        <v>1</v>
      </c>
      <c r="M3705" t="b">
        <f>TrafficData[[#This Row],[pendingCourt]]+TrafficData[[#This Row],[disposedCourt]]=TrafficData[[#This Row],[totalCourt]]</f>
        <v>1</v>
      </c>
      <c r="N3705" s="8" t="b">
        <f>AND(TrafficData[[#This Row],[disposedChallan]]&lt;=TrafficData[[#This Row],[totalChallan]],TrafficData[[#This Row],[pendingChallan]]&lt;=TrafficData[[#This Row],[totalChallan]])</f>
        <v>1</v>
      </c>
      <c r="O3705" s="8" t="b">
        <f>AND(TrafficData[[#This Row],[pendingAmount]]&lt;=TrafficData[[#This Row],[totalAmount]],TrafficData[[#This Row],[disposedAmount]]&lt;=TrafficData[[#This Row],[totalAmount]])</f>
        <v>1</v>
      </c>
      <c r="P3705" s="8" t="b">
        <f>AND(TrafficData[[#This Row],[pendingCourt]]&lt;=TrafficData[[#This Row],[totalCourt]],TrafficData[[#This Row],[disposedCourt]]&lt;=TrafficData[[#This Row],[totalCourt]])</f>
        <v>1</v>
      </c>
    </row>
    <row r="3706" spans="1:16">
      <c r="A3706" s="1">
        <v>45710</v>
      </c>
      <c r="B3706">
        <v>281965</v>
      </c>
      <c r="C3706">
        <v>84607</v>
      </c>
      <c r="D3706">
        <v>197358</v>
      </c>
      <c r="E3706">
        <v>361787301</v>
      </c>
      <c r="F3706">
        <v>122915052</v>
      </c>
      <c r="G3706">
        <v>484702353</v>
      </c>
      <c r="H3706">
        <v>96906</v>
      </c>
      <c r="I3706">
        <v>7952</v>
      </c>
      <c r="J3706">
        <v>104858</v>
      </c>
      <c r="K3706" t="b">
        <f>TrafficData[[#This Row],[disposedChallan]]+TrafficData[[#This Row],[pendingChallan]]=TrafficData[[#This Row],[totalChallan]]</f>
        <v>1</v>
      </c>
      <c r="L3706" t="b">
        <f>TrafficData[[#This Row],[pendingAmount]]+TrafficData[[#This Row],[disposedAmount]]=TrafficData[[#This Row],[totalAmount]]</f>
        <v>1</v>
      </c>
      <c r="M3706" t="b">
        <f>TrafficData[[#This Row],[pendingCourt]]+TrafficData[[#This Row],[disposedCourt]]=TrafficData[[#This Row],[totalCourt]]</f>
        <v>1</v>
      </c>
      <c r="N3706" s="8" t="b">
        <f>AND(TrafficData[[#This Row],[disposedChallan]]&lt;=TrafficData[[#This Row],[totalChallan]],TrafficData[[#This Row],[pendingChallan]]&lt;=TrafficData[[#This Row],[totalChallan]])</f>
        <v>1</v>
      </c>
      <c r="O3706" s="8" t="b">
        <f>AND(TrafficData[[#This Row],[pendingAmount]]&lt;=TrafficData[[#This Row],[totalAmount]],TrafficData[[#This Row],[disposedAmount]]&lt;=TrafficData[[#This Row],[totalAmount]])</f>
        <v>1</v>
      </c>
      <c r="P3706" s="8" t="b">
        <f>AND(TrafficData[[#This Row],[pendingCourt]]&lt;=TrafficData[[#This Row],[totalCourt]],TrafficData[[#This Row],[disposedCourt]]&lt;=TrafficData[[#This Row],[totalCourt]])</f>
        <v>1</v>
      </c>
    </row>
    <row r="3707" spans="1:16">
      <c r="A3707" s="1">
        <v>45711</v>
      </c>
      <c r="B3707">
        <v>254167</v>
      </c>
      <c r="C3707">
        <v>73538</v>
      </c>
      <c r="D3707">
        <v>180629</v>
      </c>
      <c r="E3707">
        <v>296628552</v>
      </c>
      <c r="F3707">
        <v>95721763</v>
      </c>
      <c r="G3707">
        <v>392350315</v>
      </c>
      <c r="H3707">
        <v>101402</v>
      </c>
      <c r="I3707">
        <v>7035</v>
      </c>
      <c r="J3707">
        <v>108437</v>
      </c>
      <c r="K3707" t="b">
        <f>TrafficData[[#This Row],[disposedChallan]]+TrafficData[[#This Row],[pendingChallan]]=TrafficData[[#This Row],[totalChallan]]</f>
        <v>1</v>
      </c>
      <c r="L3707" t="b">
        <f>TrafficData[[#This Row],[pendingAmount]]+TrafficData[[#This Row],[disposedAmount]]=TrafficData[[#This Row],[totalAmount]]</f>
        <v>1</v>
      </c>
      <c r="M3707" t="b">
        <f>TrafficData[[#This Row],[pendingCourt]]+TrafficData[[#This Row],[disposedCourt]]=TrafficData[[#This Row],[totalCourt]]</f>
        <v>1</v>
      </c>
      <c r="N3707" s="8" t="b">
        <f>AND(TrafficData[[#This Row],[disposedChallan]]&lt;=TrafficData[[#This Row],[totalChallan]],TrafficData[[#This Row],[pendingChallan]]&lt;=TrafficData[[#This Row],[totalChallan]])</f>
        <v>1</v>
      </c>
      <c r="O3707" s="8" t="b">
        <f>AND(TrafficData[[#This Row],[pendingAmount]]&lt;=TrafficData[[#This Row],[totalAmount]],TrafficData[[#This Row],[disposedAmount]]&lt;=TrafficData[[#This Row],[totalAmount]])</f>
        <v>1</v>
      </c>
      <c r="P3707" s="8" t="b">
        <f>AND(TrafficData[[#This Row],[pendingCourt]]&lt;=TrafficData[[#This Row],[totalCourt]],TrafficData[[#This Row],[disposedCourt]]&lt;=TrafficData[[#This Row],[totalCourt]])</f>
        <v>1</v>
      </c>
    </row>
    <row r="3708" spans="1:16">
      <c r="A3708" s="1">
        <v>45712</v>
      </c>
      <c r="B3708">
        <v>283910</v>
      </c>
      <c r="C3708">
        <v>78384</v>
      </c>
      <c r="D3708">
        <v>205526</v>
      </c>
      <c r="E3708">
        <v>392091734</v>
      </c>
      <c r="F3708">
        <v>117790803</v>
      </c>
      <c r="G3708">
        <v>509882537</v>
      </c>
      <c r="H3708">
        <v>117093</v>
      </c>
      <c r="I3708">
        <v>8141</v>
      </c>
      <c r="J3708">
        <v>125234</v>
      </c>
      <c r="K3708" t="b">
        <f>TrafficData[[#This Row],[disposedChallan]]+TrafficData[[#This Row],[pendingChallan]]=TrafficData[[#This Row],[totalChallan]]</f>
        <v>1</v>
      </c>
      <c r="L3708" t="b">
        <f>TrafficData[[#This Row],[pendingAmount]]+TrafficData[[#This Row],[disposedAmount]]=TrafficData[[#This Row],[totalAmount]]</f>
        <v>1</v>
      </c>
      <c r="M3708" t="b">
        <f>TrafficData[[#This Row],[pendingCourt]]+TrafficData[[#This Row],[disposedCourt]]=TrafficData[[#This Row],[totalCourt]]</f>
        <v>1</v>
      </c>
      <c r="N3708" s="8" t="b">
        <f>AND(TrafficData[[#This Row],[disposedChallan]]&lt;=TrafficData[[#This Row],[totalChallan]],TrafficData[[#This Row],[pendingChallan]]&lt;=TrafficData[[#This Row],[totalChallan]])</f>
        <v>1</v>
      </c>
      <c r="O3708" s="8" t="b">
        <f>AND(TrafficData[[#This Row],[pendingAmount]]&lt;=TrafficData[[#This Row],[totalAmount]],TrafficData[[#This Row],[disposedAmount]]&lt;=TrafficData[[#This Row],[totalAmount]])</f>
        <v>1</v>
      </c>
      <c r="P3708" s="8" t="b">
        <f>AND(TrafficData[[#This Row],[pendingCourt]]&lt;=TrafficData[[#This Row],[totalCourt]],TrafficData[[#This Row],[disposedCourt]]&lt;=TrafficData[[#This Row],[totalCourt]])</f>
        <v>1</v>
      </c>
    </row>
    <row r="3709" spans="1:16">
      <c r="A3709" s="1">
        <v>45713</v>
      </c>
      <c r="B3709">
        <v>278490</v>
      </c>
      <c r="C3709">
        <v>77617</v>
      </c>
      <c r="D3709">
        <v>200873</v>
      </c>
      <c r="E3709">
        <v>399528156</v>
      </c>
      <c r="F3709">
        <v>125690284</v>
      </c>
      <c r="G3709">
        <v>525218440</v>
      </c>
      <c r="H3709">
        <v>118733</v>
      </c>
      <c r="I3709">
        <v>8019</v>
      </c>
      <c r="J3709">
        <v>126752</v>
      </c>
      <c r="K3709" t="b">
        <f>TrafficData[[#This Row],[disposedChallan]]+TrafficData[[#This Row],[pendingChallan]]=TrafficData[[#This Row],[totalChallan]]</f>
        <v>1</v>
      </c>
      <c r="L3709" t="b">
        <f>TrafficData[[#This Row],[pendingAmount]]+TrafficData[[#This Row],[disposedAmount]]=TrafficData[[#This Row],[totalAmount]]</f>
        <v>1</v>
      </c>
      <c r="M3709" t="b">
        <f>TrafficData[[#This Row],[pendingCourt]]+TrafficData[[#This Row],[disposedCourt]]=TrafficData[[#This Row],[totalCourt]]</f>
        <v>1</v>
      </c>
      <c r="N3709" s="8" t="b">
        <f>AND(TrafficData[[#This Row],[disposedChallan]]&lt;=TrafficData[[#This Row],[totalChallan]],TrafficData[[#This Row],[pendingChallan]]&lt;=TrafficData[[#This Row],[totalChallan]])</f>
        <v>1</v>
      </c>
      <c r="O3709" s="8" t="b">
        <f>AND(TrafficData[[#This Row],[pendingAmount]]&lt;=TrafficData[[#This Row],[totalAmount]],TrafficData[[#This Row],[disposedAmount]]&lt;=TrafficData[[#This Row],[totalAmount]])</f>
        <v>1</v>
      </c>
      <c r="P3709" s="8" t="b">
        <f>AND(TrafficData[[#This Row],[pendingCourt]]&lt;=TrafficData[[#This Row],[totalCourt]],TrafficData[[#This Row],[disposedCourt]]&lt;=TrafficData[[#This Row],[totalCourt]])</f>
        <v>1</v>
      </c>
    </row>
    <row r="3710" spans="1:16">
      <c r="A3710" s="1">
        <v>45714</v>
      </c>
      <c r="B3710">
        <v>240411</v>
      </c>
      <c r="C3710">
        <v>64078</v>
      </c>
      <c r="D3710">
        <v>176333</v>
      </c>
      <c r="E3710">
        <v>322910687</v>
      </c>
      <c r="F3710">
        <v>89238122</v>
      </c>
      <c r="G3710">
        <v>412148809</v>
      </c>
      <c r="H3710">
        <v>102154</v>
      </c>
      <c r="I3710">
        <v>6940</v>
      </c>
      <c r="J3710">
        <v>109094</v>
      </c>
      <c r="K3710" t="b">
        <f>TrafficData[[#This Row],[disposedChallan]]+TrafficData[[#This Row],[pendingChallan]]=TrafficData[[#This Row],[totalChallan]]</f>
        <v>1</v>
      </c>
      <c r="L3710" t="b">
        <f>TrafficData[[#This Row],[pendingAmount]]+TrafficData[[#This Row],[disposedAmount]]=TrafficData[[#This Row],[totalAmount]]</f>
        <v>1</v>
      </c>
      <c r="M3710" t="b">
        <f>TrafficData[[#This Row],[pendingCourt]]+TrafficData[[#This Row],[disposedCourt]]=TrafficData[[#This Row],[totalCourt]]</f>
        <v>1</v>
      </c>
      <c r="N3710" s="8" t="b">
        <f>AND(TrafficData[[#This Row],[disposedChallan]]&lt;=TrafficData[[#This Row],[totalChallan]],TrafficData[[#This Row],[pendingChallan]]&lt;=TrafficData[[#This Row],[totalChallan]])</f>
        <v>1</v>
      </c>
      <c r="O3710" s="8" t="b">
        <f>AND(TrafficData[[#This Row],[pendingAmount]]&lt;=TrafficData[[#This Row],[totalAmount]],TrafficData[[#This Row],[disposedAmount]]&lt;=TrafficData[[#This Row],[totalAmount]])</f>
        <v>1</v>
      </c>
      <c r="P3710" s="8" t="b">
        <f>AND(TrafficData[[#This Row],[pendingCourt]]&lt;=TrafficData[[#This Row],[totalCourt]],TrafficData[[#This Row],[disposedCourt]]&lt;=TrafficData[[#This Row],[totalCourt]])</f>
        <v>1</v>
      </c>
    </row>
    <row r="3711" spans="1:16">
      <c r="A3711" s="1">
        <v>45715</v>
      </c>
      <c r="B3711">
        <v>258139</v>
      </c>
      <c r="C3711">
        <v>70089</v>
      </c>
      <c r="D3711">
        <v>188050</v>
      </c>
      <c r="E3711">
        <v>368155254</v>
      </c>
      <c r="F3711">
        <v>177050512</v>
      </c>
      <c r="G3711">
        <v>545205766</v>
      </c>
      <c r="H3711">
        <v>111514</v>
      </c>
      <c r="I3711">
        <v>7086</v>
      </c>
      <c r="J3711">
        <v>118600</v>
      </c>
      <c r="K3711" t="b">
        <f>TrafficData[[#This Row],[disposedChallan]]+TrafficData[[#This Row],[pendingChallan]]=TrafficData[[#This Row],[totalChallan]]</f>
        <v>1</v>
      </c>
      <c r="L3711" t="b">
        <f>TrafficData[[#This Row],[pendingAmount]]+TrafficData[[#This Row],[disposedAmount]]=TrafficData[[#This Row],[totalAmount]]</f>
        <v>1</v>
      </c>
      <c r="M3711" t="b">
        <f>TrafficData[[#This Row],[pendingCourt]]+TrafficData[[#This Row],[disposedCourt]]=TrafficData[[#This Row],[totalCourt]]</f>
        <v>1</v>
      </c>
      <c r="N3711" s="8" t="b">
        <f>AND(TrafficData[[#This Row],[disposedChallan]]&lt;=TrafficData[[#This Row],[totalChallan]],TrafficData[[#This Row],[pendingChallan]]&lt;=TrafficData[[#This Row],[totalChallan]])</f>
        <v>1</v>
      </c>
      <c r="O3711" s="8" t="b">
        <f>AND(TrafficData[[#This Row],[pendingAmount]]&lt;=TrafficData[[#This Row],[totalAmount]],TrafficData[[#This Row],[disposedAmount]]&lt;=TrafficData[[#This Row],[totalAmount]])</f>
        <v>1</v>
      </c>
      <c r="P3711" s="8" t="b">
        <f>AND(TrafficData[[#This Row],[pendingCourt]]&lt;=TrafficData[[#This Row],[totalCourt]],TrafficData[[#This Row],[disposedCourt]]&lt;=TrafficData[[#This Row],[totalCourt]])</f>
        <v>1</v>
      </c>
    </row>
    <row r="3712" spans="1:16">
      <c r="A3712" s="1">
        <v>45716</v>
      </c>
      <c r="B3712">
        <v>267561</v>
      </c>
      <c r="C3712">
        <v>75223</v>
      </c>
      <c r="D3712">
        <v>192338</v>
      </c>
      <c r="E3712">
        <v>361606046</v>
      </c>
      <c r="F3712">
        <v>122300346</v>
      </c>
      <c r="G3712">
        <v>483906392</v>
      </c>
      <c r="H3712">
        <v>111076</v>
      </c>
      <c r="I3712">
        <v>7162</v>
      </c>
      <c r="J3712">
        <v>118238</v>
      </c>
      <c r="K3712" t="b">
        <f>TrafficData[[#This Row],[disposedChallan]]+TrafficData[[#This Row],[pendingChallan]]=TrafficData[[#This Row],[totalChallan]]</f>
        <v>1</v>
      </c>
      <c r="L3712" t="b">
        <f>TrafficData[[#This Row],[pendingAmount]]+TrafficData[[#This Row],[disposedAmount]]=TrafficData[[#This Row],[totalAmount]]</f>
        <v>1</v>
      </c>
      <c r="M3712" t="b">
        <f>TrafficData[[#This Row],[pendingCourt]]+TrafficData[[#This Row],[disposedCourt]]=TrafficData[[#This Row],[totalCourt]]</f>
        <v>1</v>
      </c>
      <c r="N3712" s="8" t="b">
        <f>AND(TrafficData[[#This Row],[disposedChallan]]&lt;=TrafficData[[#This Row],[totalChallan]],TrafficData[[#This Row],[pendingChallan]]&lt;=TrafficData[[#This Row],[totalChallan]])</f>
        <v>1</v>
      </c>
      <c r="O3712" s="8" t="b">
        <f>AND(TrafficData[[#This Row],[pendingAmount]]&lt;=TrafficData[[#This Row],[totalAmount]],TrafficData[[#This Row],[disposedAmount]]&lt;=TrafficData[[#This Row],[totalAmount]])</f>
        <v>1</v>
      </c>
      <c r="P3712" s="8" t="b">
        <f>AND(TrafficData[[#This Row],[pendingCourt]]&lt;=TrafficData[[#This Row],[totalCourt]],TrafficData[[#This Row],[disposedCourt]]&lt;=TrafficData[[#This Row],[totalCourt]])</f>
        <v>1</v>
      </c>
    </row>
    <row r="3713" spans="1:16">
      <c r="A3713" s="1">
        <v>45717</v>
      </c>
      <c r="B3713">
        <v>265329</v>
      </c>
      <c r="C3713">
        <v>83107</v>
      </c>
      <c r="D3713">
        <v>182222</v>
      </c>
      <c r="E3713">
        <v>340503355</v>
      </c>
      <c r="F3713">
        <v>154805290</v>
      </c>
      <c r="G3713">
        <v>495308645</v>
      </c>
      <c r="H3713">
        <v>101380</v>
      </c>
      <c r="I3713">
        <v>7046</v>
      </c>
      <c r="J3713">
        <v>108426</v>
      </c>
      <c r="K3713" t="b">
        <f>TrafficData[[#This Row],[disposedChallan]]+TrafficData[[#This Row],[pendingChallan]]=TrafficData[[#This Row],[totalChallan]]</f>
        <v>1</v>
      </c>
      <c r="L3713" t="b">
        <f>TrafficData[[#This Row],[pendingAmount]]+TrafficData[[#This Row],[disposedAmount]]=TrafficData[[#This Row],[totalAmount]]</f>
        <v>1</v>
      </c>
      <c r="M3713" t="b">
        <f>TrafficData[[#This Row],[pendingCourt]]+TrafficData[[#This Row],[disposedCourt]]=TrafficData[[#This Row],[totalCourt]]</f>
        <v>1</v>
      </c>
      <c r="N3713" s="8" t="b">
        <f>AND(TrafficData[[#This Row],[disposedChallan]]&lt;=TrafficData[[#This Row],[totalChallan]],TrafficData[[#This Row],[pendingChallan]]&lt;=TrafficData[[#This Row],[totalChallan]])</f>
        <v>1</v>
      </c>
      <c r="O3713" s="8" t="b">
        <f>AND(TrafficData[[#This Row],[pendingAmount]]&lt;=TrafficData[[#This Row],[totalAmount]],TrafficData[[#This Row],[disposedAmount]]&lt;=TrafficData[[#This Row],[totalAmount]])</f>
        <v>1</v>
      </c>
      <c r="P3713" s="8" t="b">
        <f>AND(TrafficData[[#This Row],[pendingCourt]]&lt;=TrafficData[[#This Row],[totalCourt]],TrafficData[[#This Row],[disposedCourt]]&lt;=TrafficData[[#This Row],[totalCourt]])</f>
        <v>1</v>
      </c>
    </row>
    <row r="3714" spans="1:16">
      <c r="A3714" s="1">
        <v>45718</v>
      </c>
      <c r="B3714">
        <v>232304</v>
      </c>
      <c r="C3714">
        <v>75116</v>
      </c>
      <c r="D3714">
        <v>157188</v>
      </c>
      <c r="E3714">
        <v>264332284</v>
      </c>
      <c r="F3714">
        <v>128046450</v>
      </c>
      <c r="G3714">
        <v>392378734</v>
      </c>
      <c r="H3714">
        <v>84801</v>
      </c>
      <c r="I3714">
        <v>5416</v>
      </c>
      <c r="J3714">
        <v>90217</v>
      </c>
      <c r="K3714" t="b">
        <f>TrafficData[[#This Row],[disposedChallan]]+TrafficData[[#This Row],[pendingChallan]]=TrafficData[[#This Row],[totalChallan]]</f>
        <v>1</v>
      </c>
      <c r="L3714" t="b">
        <f>TrafficData[[#This Row],[pendingAmount]]+TrafficData[[#This Row],[disposedAmount]]=TrafficData[[#This Row],[totalAmount]]</f>
        <v>1</v>
      </c>
      <c r="M3714" t="b">
        <f>TrafficData[[#This Row],[pendingCourt]]+TrafficData[[#This Row],[disposedCourt]]=TrafficData[[#This Row],[totalCourt]]</f>
        <v>1</v>
      </c>
      <c r="N3714" s="8" t="b">
        <f>AND(TrafficData[[#This Row],[disposedChallan]]&lt;=TrafficData[[#This Row],[totalChallan]],TrafficData[[#This Row],[pendingChallan]]&lt;=TrafficData[[#This Row],[totalChallan]])</f>
        <v>1</v>
      </c>
      <c r="O3714" s="8" t="b">
        <f>AND(TrafficData[[#This Row],[pendingAmount]]&lt;=TrafficData[[#This Row],[totalAmount]],TrafficData[[#This Row],[disposedAmount]]&lt;=TrafficData[[#This Row],[totalAmount]])</f>
        <v>1</v>
      </c>
      <c r="P3714" s="8" t="b">
        <f>AND(TrafficData[[#This Row],[pendingCourt]]&lt;=TrafficData[[#This Row],[totalCourt]],TrafficData[[#This Row],[disposedCourt]]&lt;=TrafficData[[#This Row],[totalCourt]])</f>
        <v>1</v>
      </c>
    </row>
    <row r="3715" spans="1:16">
      <c r="A3715" s="1">
        <v>45719</v>
      </c>
      <c r="B3715">
        <v>263029</v>
      </c>
      <c r="C3715">
        <v>81318</v>
      </c>
      <c r="D3715">
        <v>181711</v>
      </c>
      <c r="E3715">
        <v>346340916</v>
      </c>
      <c r="F3715">
        <v>159768740</v>
      </c>
      <c r="G3715">
        <v>506109656</v>
      </c>
      <c r="H3715">
        <v>102988</v>
      </c>
      <c r="I3715">
        <v>6393</v>
      </c>
      <c r="J3715">
        <v>109381</v>
      </c>
      <c r="K3715" t="b">
        <f>TrafficData[[#This Row],[disposedChallan]]+TrafficData[[#This Row],[pendingChallan]]=TrafficData[[#This Row],[totalChallan]]</f>
        <v>1</v>
      </c>
      <c r="L3715" t="b">
        <f>TrafficData[[#This Row],[pendingAmount]]+TrafficData[[#This Row],[disposedAmount]]=TrafficData[[#This Row],[totalAmount]]</f>
        <v>1</v>
      </c>
      <c r="M3715" t="b">
        <f>TrafficData[[#This Row],[pendingCourt]]+TrafficData[[#This Row],[disposedCourt]]=TrafficData[[#This Row],[totalCourt]]</f>
        <v>1</v>
      </c>
      <c r="N3715" s="8" t="b">
        <f>AND(TrafficData[[#This Row],[disposedChallan]]&lt;=TrafficData[[#This Row],[totalChallan]],TrafficData[[#This Row],[pendingChallan]]&lt;=TrafficData[[#This Row],[totalChallan]])</f>
        <v>1</v>
      </c>
      <c r="O3715" s="8" t="b">
        <f>AND(TrafficData[[#This Row],[pendingAmount]]&lt;=TrafficData[[#This Row],[totalAmount]],TrafficData[[#This Row],[disposedAmount]]&lt;=TrafficData[[#This Row],[totalAmount]])</f>
        <v>1</v>
      </c>
      <c r="P3715" s="8" t="b">
        <f>AND(TrafficData[[#This Row],[pendingCourt]]&lt;=TrafficData[[#This Row],[totalCourt]],TrafficData[[#This Row],[disposedCourt]]&lt;=TrafficData[[#This Row],[totalCourt]])</f>
        <v>1</v>
      </c>
    </row>
    <row r="3716" spans="1:16">
      <c r="A3716" s="1">
        <v>45720</v>
      </c>
      <c r="B3716">
        <v>254787</v>
      </c>
      <c r="C3716">
        <v>76614</v>
      </c>
      <c r="D3716">
        <v>178173</v>
      </c>
      <c r="E3716">
        <v>348553401</v>
      </c>
      <c r="F3716">
        <v>172179541</v>
      </c>
      <c r="G3716">
        <v>520732942</v>
      </c>
      <c r="H3716">
        <v>103923</v>
      </c>
      <c r="I3716">
        <v>6623</v>
      </c>
      <c r="J3716">
        <v>110546</v>
      </c>
      <c r="K3716" t="b">
        <f>TrafficData[[#This Row],[disposedChallan]]+TrafficData[[#This Row],[pendingChallan]]=TrafficData[[#This Row],[totalChallan]]</f>
        <v>1</v>
      </c>
      <c r="L3716" t="b">
        <f>TrafficData[[#This Row],[pendingAmount]]+TrafficData[[#This Row],[disposedAmount]]=TrafficData[[#This Row],[totalAmount]]</f>
        <v>1</v>
      </c>
      <c r="M3716" t="b">
        <f>TrafficData[[#This Row],[pendingCourt]]+TrafficData[[#This Row],[disposedCourt]]=TrafficData[[#This Row],[totalCourt]]</f>
        <v>1</v>
      </c>
      <c r="N3716" s="8" t="b">
        <f>AND(TrafficData[[#This Row],[disposedChallan]]&lt;=TrafficData[[#This Row],[totalChallan]],TrafficData[[#This Row],[pendingChallan]]&lt;=TrafficData[[#This Row],[totalChallan]])</f>
        <v>1</v>
      </c>
      <c r="O3716" s="8" t="b">
        <f>AND(TrafficData[[#This Row],[pendingAmount]]&lt;=TrafficData[[#This Row],[totalAmount]],TrafficData[[#This Row],[disposedAmount]]&lt;=TrafficData[[#This Row],[totalAmount]])</f>
        <v>1</v>
      </c>
      <c r="P3716" s="8" t="b">
        <f>AND(TrafficData[[#This Row],[pendingCourt]]&lt;=TrafficData[[#This Row],[totalCourt]],TrafficData[[#This Row],[disposedCourt]]&lt;=TrafficData[[#This Row],[totalCourt]])</f>
        <v>1</v>
      </c>
    </row>
    <row r="3717" spans="1:16">
      <c r="A3717" s="1">
        <v>45721</v>
      </c>
      <c r="B3717">
        <v>254294</v>
      </c>
      <c r="C3717">
        <v>75871</v>
      </c>
      <c r="D3717">
        <v>178423</v>
      </c>
      <c r="E3717">
        <v>348310763</v>
      </c>
      <c r="F3717">
        <v>172349247</v>
      </c>
      <c r="G3717">
        <v>520660010</v>
      </c>
      <c r="H3717">
        <v>101057</v>
      </c>
      <c r="I3717">
        <v>6718</v>
      </c>
      <c r="J3717">
        <v>107775</v>
      </c>
      <c r="K3717" t="b">
        <f>TrafficData[[#This Row],[disposedChallan]]+TrafficData[[#This Row],[pendingChallan]]=TrafficData[[#This Row],[totalChallan]]</f>
        <v>1</v>
      </c>
      <c r="L3717" t="b">
        <f>TrafficData[[#This Row],[pendingAmount]]+TrafficData[[#This Row],[disposedAmount]]=TrafficData[[#This Row],[totalAmount]]</f>
        <v>1</v>
      </c>
      <c r="M3717" t="b">
        <f>TrafficData[[#This Row],[pendingCourt]]+TrafficData[[#This Row],[disposedCourt]]=TrafficData[[#This Row],[totalCourt]]</f>
        <v>1</v>
      </c>
      <c r="N3717" s="8" t="b">
        <f>AND(TrafficData[[#This Row],[disposedChallan]]&lt;=TrafficData[[#This Row],[totalChallan]],TrafficData[[#This Row],[pendingChallan]]&lt;=TrafficData[[#This Row],[totalChallan]])</f>
        <v>1</v>
      </c>
      <c r="O3717" s="8" t="b">
        <f>AND(TrafficData[[#This Row],[pendingAmount]]&lt;=TrafficData[[#This Row],[totalAmount]],TrafficData[[#This Row],[disposedAmount]]&lt;=TrafficData[[#This Row],[totalAmount]])</f>
        <v>1</v>
      </c>
      <c r="P3717" s="8" t="b">
        <f>AND(TrafficData[[#This Row],[pendingCourt]]&lt;=TrafficData[[#This Row],[totalCourt]],TrafficData[[#This Row],[disposedCourt]]&lt;=TrafficData[[#This Row],[totalCourt]])</f>
        <v>1</v>
      </c>
    </row>
    <row r="3718" spans="1:16">
      <c r="A3718" s="1">
        <v>45722</v>
      </c>
      <c r="B3718">
        <v>257225</v>
      </c>
      <c r="C3718">
        <v>75319</v>
      </c>
      <c r="D3718">
        <v>181906</v>
      </c>
      <c r="E3718">
        <v>357600110</v>
      </c>
      <c r="F3718">
        <v>234988953</v>
      </c>
      <c r="G3718">
        <v>592589063</v>
      </c>
      <c r="H3718">
        <v>104251</v>
      </c>
      <c r="I3718">
        <v>7044</v>
      </c>
      <c r="J3718">
        <v>111295</v>
      </c>
      <c r="K3718" t="b">
        <f>TrafficData[[#This Row],[disposedChallan]]+TrafficData[[#This Row],[pendingChallan]]=TrafficData[[#This Row],[totalChallan]]</f>
        <v>1</v>
      </c>
      <c r="L3718" t="b">
        <f>TrafficData[[#This Row],[pendingAmount]]+TrafficData[[#This Row],[disposedAmount]]=TrafficData[[#This Row],[totalAmount]]</f>
        <v>1</v>
      </c>
      <c r="M3718" t="b">
        <f>TrafficData[[#This Row],[pendingCourt]]+TrafficData[[#This Row],[disposedCourt]]=TrafficData[[#This Row],[totalCourt]]</f>
        <v>1</v>
      </c>
      <c r="N3718" s="8" t="b">
        <f>AND(TrafficData[[#This Row],[disposedChallan]]&lt;=TrafficData[[#This Row],[totalChallan]],TrafficData[[#This Row],[pendingChallan]]&lt;=TrafficData[[#This Row],[totalChallan]])</f>
        <v>1</v>
      </c>
      <c r="O3718" s="8" t="b">
        <f>AND(TrafficData[[#This Row],[pendingAmount]]&lt;=TrafficData[[#This Row],[totalAmount]],TrafficData[[#This Row],[disposedAmount]]&lt;=TrafficData[[#This Row],[totalAmount]])</f>
        <v>1</v>
      </c>
      <c r="P3718" s="8" t="b">
        <f>AND(TrafficData[[#This Row],[pendingCourt]]&lt;=TrafficData[[#This Row],[totalCourt]],TrafficData[[#This Row],[disposedCourt]]&lt;=TrafficData[[#This Row],[totalCourt]])</f>
        <v>1</v>
      </c>
    </row>
    <row r="3719" spans="1:16">
      <c r="A3719" s="1">
        <v>45723</v>
      </c>
      <c r="B3719">
        <v>268433</v>
      </c>
      <c r="C3719">
        <v>77900</v>
      </c>
      <c r="D3719">
        <v>190533</v>
      </c>
      <c r="E3719">
        <v>373468889</v>
      </c>
      <c r="F3719">
        <v>228697193</v>
      </c>
      <c r="G3719">
        <v>602166082</v>
      </c>
      <c r="H3719">
        <v>108607</v>
      </c>
      <c r="I3719">
        <v>7340</v>
      </c>
      <c r="J3719">
        <v>115947</v>
      </c>
      <c r="K3719" t="b">
        <f>TrafficData[[#This Row],[disposedChallan]]+TrafficData[[#This Row],[pendingChallan]]=TrafficData[[#This Row],[totalChallan]]</f>
        <v>1</v>
      </c>
      <c r="L3719" t="b">
        <f>TrafficData[[#This Row],[pendingAmount]]+TrafficData[[#This Row],[disposedAmount]]=TrafficData[[#This Row],[totalAmount]]</f>
        <v>1</v>
      </c>
      <c r="M3719" t="b">
        <f>TrafficData[[#This Row],[pendingCourt]]+TrafficData[[#This Row],[disposedCourt]]=TrafficData[[#This Row],[totalCourt]]</f>
        <v>1</v>
      </c>
      <c r="N3719" s="8" t="b">
        <f>AND(TrafficData[[#This Row],[disposedChallan]]&lt;=TrafficData[[#This Row],[totalChallan]],TrafficData[[#This Row],[pendingChallan]]&lt;=TrafficData[[#This Row],[totalChallan]])</f>
        <v>1</v>
      </c>
      <c r="O3719" s="8" t="b">
        <f>AND(TrafficData[[#This Row],[pendingAmount]]&lt;=TrafficData[[#This Row],[totalAmount]],TrafficData[[#This Row],[disposedAmount]]&lt;=TrafficData[[#This Row],[totalAmount]])</f>
        <v>1</v>
      </c>
      <c r="P3719" s="8" t="b">
        <f>AND(TrafficData[[#This Row],[pendingCourt]]&lt;=TrafficData[[#This Row],[totalCourt]],TrafficData[[#This Row],[disposedCourt]]&lt;=TrafficData[[#This Row],[totalCourt]])</f>
        <v>1</v>
      </c>
    </row>
    <row r="3720" spans="1:16">
      <c r="A3720" s="1">
        <v>45724</v>
      </c>
      <c r="B3720">
        <v>258626</v>
      </c>
      <c r="C3720">
        <v>77089</v>
      </c>
      <c r="D3720">
        <v>181537</v>
      </c>
      <c r="E3720">
        <v>345622566</v>
      </c>
      <c r="F3720">
        <v>147974092</v>
      </c>
      <c r="G3720">
        <v>493596658</v>
      </c>
      <c r="H3720">
        <v>103401</v>
      </c>
      <c r="I3720">
        <v>7050</v>
      </c>
      <c r="J3720">
        <v>110451</v>
      </c>
      <c r="K3720" t="b">
        <f>TrafficData[[#This Row],[disposedChallan]]+TrafficData[[#This Row],[pendingChallan]]=TrafficData[[#This Row],[totalChallan]]</f>
        <v>1</v>
      </c>
      <c r="L3720" t="b">
        <f>TrafficData[[#This Row],[pendingAmount]]+TrafficData[[#This Row],[disposedAmount]]=TrafficData[[#This Row],[totalAmount]]</f>
        <v>1</v>
      </c>
      <c r="M3720" t="b">
        <f>TrafficData[[#This Row],[pendingCourt]]+TrafficData[[#This Row],[disposedCourt]]=TrafficData[[#This Row],[totalCourt]]</f>
        <v>1</v>
      </c>
      <c r="N3720" s="8" t="b">
        <f>AND(TrafficData[[#This Row],[disposedChallan]]&lt;=TrafficData[[#This Row],[totalChallan]],TrafficData[[#This Row],[pendingChallan]]&lt;=TrafficData[[#This Row],[totalChallan]])</f>
        <v>1</v>
      </c>
      <c r="O3720" s="8" t="b">
        <f>AND(TrafficData[[#This Row],[pendingAmount]]&lt;=TrafficData[[#This Row],[totalAmount]],TrafficData[[#This Row],[disposedAmount]]&lt;=TrafficData[[#This Row],[totalAmount]])</f>
        <v>1</v>
      </c>
      <c r="P3720" s="8" t="b">
        <f>AND(TrafficData[[#This Row],[pendingCourt]]&lt;=TrafficData[[#This Row],[totalCourt]],TrafficData[[#This Row],[disposedCourt]]&lt;=TrafficData[[#This Row],[totalCourt]])</f>
        <v>1</v>
      </c>
    </row>
    <row r="3721" spans="1:16">
      <c r="A3721" s="1">
        <v>45725</v>
      </c>
      <c r="B3721">
        <v>246168</v>
      </c>
      <c r="C3721">
        <v>67608</v>
      </c>
      <c r="D3721">
        <v>178560</v>
      </c>
      <c r="E3721">
        <v>316989750</v>
      </c>
      <c r="F3721">
        <v>118889147</v>
      </c>
      <c r="G3721">
        <v>435878897</v>
      </c>
      <c r="H3721">
        <v>101055</v>
      </c>
      <c r="I3721">
        <v>6379</v>
      </c>
      <c r="J3721">
        <v>107434</v>
      </c>
      <c r="K3721" t="b">
        <f>TrafficData[[#This Row],[disposedChallan]]+TrafficData[[#This Row],[pendingChallan]]=TrafficData[[#This Row],[totalChallan]]</f>
        <v>1</v>
      </c>
      <c r="L3721" t="b">
        <f>TrafficData[[#This Row],[pendingAmount]]+TrafficData[[#This Row],[disposedAmount]]=TrafficData[[#This Row],[totalAmount]]</f>
        <v>1</v>
      </c>
      <c r="M3721" t="b">
        <f>TrafficData[[#This Row],[pendingCourt]]+TrafficData[[#This Row],[disposedCourt]]=TrafficData[[#This Row],[totalCourt]]</f>
        <v>1</v>
      </c>
      <c r="N3721" s="8" t="b">
        <f>AND(TrafficData[[#This Row],[disposedChallan]]&lt;=TrafficData[[#This Row],[totalChallan]],TrafficData[[#This Row],[pendingChallan]]&lt;=TrafficData[[#This Row],[totalChallan]])</f>
        <v>1</v>
      </c>
      <c r="O3721" s="8" t="b">
        <f>AND(TrafficData[[#This Row],[pendingAmount]]&lt;=TrafficData[[#This Row],[totalAmount]],TrafficData[[#This Row],[disposedAmount]]&lt;=TrafficData[[#This Row],[totalAmount]])</f>
        <v>1</v>
      </c>
      <c r="P3721" s="8" t="b">
        <f>AND(TrafficData[[#This Row],[pendingCourt]]&lt;=TrafficData[[#This Row],[totalCourt]],TrafficData[[#This Row],[disposedCourt]]&lt;=TrafficData[[#This Row],[totalCourt]])</f>
        <v>1</v>
      </c>
    </row>
    <row r="3722" spans="1:16">
      <c r="A3722" s="1">
        <v>45726</v>
      </c>
      <c r="B3722">
        <v>268407</v>
      </c>
      <c r="C3722">
        <v>74663</v>
      </c>
      <c r="D3722">
        <v>193744</v>
      </c>
      <c r="E3722">
        <v>379506395</v>
      </c>
      <c r="F3722">
        <v>156559343</v>
      </c>
      <c r="G3722">
        <v>536065738</v>
      </c>
      <c r="H3722">
        <v>115123</v>
      </c>
      <c r="I3722">
        <v>7011</v>
      </c>
      <c r="J3722">
        <v>122134</v>
      </c>
      <c r="K3722" t="b">
        <f>TrafficData[[#This Row],[disposedChallan]]+TrafficData[[#This Row],[pendingChallan]]=TrafficData[[#This Row],[totalChallan]]</f>
        <v>1</v>
      </c>
      <c r="L3722" t="b">
        <f>TrafficData[[#This Row],[pendingAmount]]+TrafficData[[#This Row],[disposedAmount]]=TrafficData[[#This Row],[totalAmount]]</f>
        <v>1</v>
      </c>
      <c r="M3722" t="b">
        <f>TrafficData[[#This Row],[pendingCourt]]+TrafficData[[#This Row],[disposedCourt]]=TrafficData[[#This Row],[totalCourt]]</f>
        <v>1</v>
      </c>
      <c r="N3722" s="8" t="b">
        <f>AND(TrafficData[[#This Row],[disposedChallan]]&lt;=TrafficData[[#This Row],[totalChallan]],TrafficData[[#This Row],[pendingChallan]]&lt;=TrafficData[[#This Row],[totalChallan]])</f>
        <v>1</v>
      </c>
      <c r="O3722" s="8" t="b">
        <f>AND(TrafficData[[#This Row],[pendingAmount]]&lt;=TrafficData[[#This Row],[totalAmount]],TrafficData[[#This Row],[disposedAmount]]&lt;=TrafficData[[#This Row],[totalAmount]])</f>
        <v>1</v>
      </c>
      <c r="P3722" s="8" t="b">
        <f>AND(TrafficData[[#This Row],[pendingCourt]]&lt;=TrafficData[[#This Row],[totalCourt]],TrafficData[[#This Row],[disposedCourt]]&lt;=TrafficData[[#This Row],[totalCourt]])</f>
        <v>1</v>
      </c>
    </row>
    <row r="3723" spans="1:16">
      <c r="A3723" s="1">
        <v>45727</v>
      </c>
      <c r="B3723">
        <v>269497</v>
      </c>
      <c r="C3723">
        <v>75187</v>
      </c>
      <c r="D3723">
        <v>194310</v>
      </c>
      <c r="E3723">
        <v>391868712</v>
      </c>
      <c r="F3723">
        <v>159406034</v>
      </c>
      <c r="G3723">
        <v>551274746</v>
      </c>
      <c r="H3723">
        <v>112445</v>
      </c>
      <c r="I3723">
        <v>7353</v>
      </c>
      <c r="J3723">
        <v>119798</v>
      </c>
      <c r="K3723" t="b">
        <f>TrafficData[[#This Row],[disposedChallan]]+TrafficData[[#This Row],[pendingChallan]]=TrafficData[[#This Row],[totalChallan]]</f>
        <v>1</v>
      </c>
      <c r="L3723" t="b">
        <f>TrafficData[[#This Row],[pendingAmount]]+TrafficData[[#This Row],[disposedAmount]]=TrafficData[[#This Row],[totalAmount]]</f>
        <v>1</v>
      </c>
      <c r="M3723" t="b">
        <f>TrafficData[[#This Row],[pendingCourt]]+TrafficData[[#This Row],[disposedCourt]]=TrafficData[[#This Row],[totalCourt]]</f>
        <v>1</v>
      </c>
      <c r="N3723" s="8" t="b">
        <f>AND(TrafficData[[#This Row],[disposedChallan]]&lt;=TrafficData[[#This Row],[totalChallan]],TrafficData[[#This Row],[pendingChallan]]&lt;=TrafficData[[#This Row],[totalChallan]])</f>
        <v>1</v>
      </c>
      <c r="O3723" s="8" t="b">
        <f>AND(TrafficData[[#This Row],[pendingAmount]]&lt;=TrafficData[[#This Row],[totalAmount]],TrafficData[[#This Row],[disposedAmount]]&lt;=TrafficData[[#This Row],[totalAmount]])</f>
        <v>1</v>
      </c>
      <c r="P3723" s="8" t="b">
        <f>AND(TrafficData[[#This Row],[pendingCourt]]&lt;=TrafficData[[#This Row],[totalCourt]],TrafficData[[#This Row],[disposedCourt]]&lt;=TrafficData[[#This Row],[totalCourt]])</f>
        <v>1</v>
      </c>
    </row>
    <row r="3724" spans="1:16">
      <c r="A3724" s="1">
        <v>45728</v>
      </c>
      <c r="B3724">
        <v>271222</v>
      </c>
      <c r="C3724">
        <v>76082</v>
      </c>
      <c r="D3724">
        <v>195140</v>
      </c>
      <c r="E3724">
        <v>376362478</v>
      </c>
      <c r="F3724">
        <v>148067095</v>
      </c>
      <c r="G3724">
        <v>524429573</v>
      </c>
      <c r="H3724">
        <v>111552</v>
      </c>
      <c r="I3724">
        <v>7228</v>
      </c>
      <c r="J3724">
        <v>118780</v>
      </c>
      <c r="K3724" t="b">
        <f>TrafficData[[#This Row],[disposedChallan]]+TrafficData[[#This Row],[pendingChallan]]=TrafficData[[#This Row],[totalChallan]]</f>
        <v>1</v>
      </c>
      <c r="L3724" t="b">
        <f>TrafficData[[#This Row],[pendingAmount]]+TrafficData[[#This Row],[disposedAmount]]=TrafficData[[#This Row],[totalAmount]]</f>
        <v>1</v>
      </c>
      <c r="M3724" t="b">
        <f>TrafficData[[#This Row],[pendingCourt]]+TrafficData[[#This Row],[disposedCourt]]=TrafficData[[#This Row],[totalCourt]]</f>
        <v>1</v>
      </c>
      <c r="N3724" s="8" t="b">
        <f>AND(TrafficData[[#This Row],[disposedChallan]]&lt;=TrafficData[[#This Row],[totalChallan]],TrafficData[[#This Row],[pendingChallan]]&lt;=TrafficData[[#This Row],[totalChallan]])</f>
        <v>1</v>
      </c>
      <c r="O3724" s="8" t="b">
        <f>AND(TrafficData[[#This Row],[pendingAmount]]&lt;=TrafficData[[#This Row],[totalAmount]],TrafficData[[#This Row],[disposedAmount]]&lt;=TrafficData[[#This Row],[totalAmount]])</f>
        <v>1</v>
      </c>
      <c r="P3724" s="8" t="b">
        <f>AND(TrafficData[[#This Row],[pendingCourt]]&lt;=TrafficData[[#This Row],[totalCourt]],TrafficData[[#This Row],[disposedCourt]]&lt;=TrafficData[[#This Row],[totalCourt]])</f>
        <v>1</v>
      </c>
    </row>
    <row r="3725" spans="1:16">
      <c r="A3725" s="1">
        <v>45729</v>
      </c>
      <c r="B3725">
        <v>246391</v>
      </c>
      <c r="C3725">
        <v>67626</v>
      </c>
      <c r="D3725">
        <v>178765</v>
      </c>
      <c r="E3725">
        <v>347294134</v>
      </c>
      <c r="F3725">
        <v>107857437</v>
      </c>
      <c r="G3725">
        <v>455151571</v>
      </c>
      <c r="H3725">
        <v>103280</v>
      </c>
      <c r="I3725">
        <v>6274</v>
      </c>
      <c r="J3725">
        <v>109554</v>
      </c>
      <c r="K3725" t="b">
        <f>TrafficData[[#This Row],[disposedChallan]]+TrafficData[[#This Row],[pendingChallan]]=TrafficData[[#This Row],[totalChallan]]</f>
        <v>1</v>
      </c>
      <c r="L3725" t="b">
        <f>TrafficData[[#This Row],[pendingAmount]]+TrafficData[[#This Row],[disposedAmount]]=TrafficData[[#This Row],[totalAmount]]</f>
        <v>1</v>
      </c>
      <c r="M3725" t="b">
        <f>TrafficData[[#This Row],[pendingCourt]]+TrafficData[[#This Row],[disposedCourt]]=TrafficData[[#This Row],[totalCourt]]</f>
        <v>1</v>
      </c>
      <c r="N3725" s="8" t="b">
        <f>AND(TrafficData[[#This Row],[disposedChallan]]&lt;=TrafficData[[#This Row],[totalChallan]],TrafficData[[#This Row],[pendingChallan]]&lt;=TrafficData[[#This Row],[totalChallan]])</f>
        <v>1</v>
      </c>
      <c r="O3725" s="8" t="b">
        <f>AND(TrafficData[[#This Row],[pendingAmount]]&lt;=TrafficData[[#This Row],[totalAmount]],TrafficData[[#This Row],[disposedAmount]]&lt;=TrafficData[[#This Row],[totalAmount]])</f>
        <v>1</v>
      </c>
      <c r="P3725" s="8" t="b">
        <f>AND(TrafficData[[#This Row],[pendingCourt]]&lt;=TrafficData[[#This Row],[totalCourt]],TrafficData[[#This Row],[disposedCourt]]&lt;=TrafficData[[#This Row],[totalCourt]])</f>
        <v>1</v>
      </c>
    </row>
    <row r="3726" spans="1:16">
      <c r="A3726" s="1">
        <v>45730</v>
      </c>
      <c r="B3726">
        <v>198622</v>
      </c>
      <c r="C3726">
        <v>50860</v>
      </c>
      <c r="D3726">
        <v>147762</v>
      </c>
      <c r="E3726">
        <v>250216363</v>
      </c>
      <c r="F3726">
        <v>127309425</v>
      </c>
      <c r="G3726">
        <v>377525788</v>
      </c>
      <c r="H3726">
        <v>79954</v>
      </c>
      <c r="I3726">
        <v>5291</v>
      </c>
      <c r="J3726">
        <v>85245</v>
      </c>
      <c r="K3726" t="b">
        <f>TrafficData[[#This Row],[disposedChallan]]+TrafficData[[#This Row],[pendingChallan]]=TrafficData[[#This Row],[totalChallan]]</f>
        <v>1</v>
      </c>
      <c r="L3726" t="b">
        <f>TrafficData[[#This Row],[pendingAmount]]+TrafficData[[#This Row],[disposedAmount]]=TrafficData[[#This Row],[totalAmount]]</f>
        <v>1</v>
      </c>
      <c r="M3726" t="b">
        <f>TrafficData[[#This Row],[pendingCourt]]+TrafficData[[#This Row],[disposedCourt]]=TrafficData[[#This Row],[totalCourt]]</f>
        <v>1</v>
      </c>
      <c r="N3726" s="8" t="b">
        <f>AND(TrafficData[[#This Row],[disposedChallan]]&lt;=TrafficData[[#This Row],[totalChallan]],TrafficData[[#This Row],[pendingChallan]]&lt;=TrafficData[[#This Row],[totalChallan]])</f>
        <v>1</v>
      </c>
      <c r="O3726" s="8" t="b">
        <f>AND(TrafficData[[#This Row],[pendingAmount]]&lt;=TrafficData[[#This Row],[totalAmount]],TrafficData[[#This Row],[disposedAmount]]&lt;=TrafficData[[#This Row],[totalAmount]])</f>
        <v>1</v>
      </c>
      <c r="P3726" s="8" t="b">
        <f>AND(TrafficData[[#This Row],[pendingCourt]]&lt;=TrafficData[[#This Row],[totalCourt]],TrafficData[[#This Row],[disposedCourt]]&lt;=TrafficData[[#This Row],[totalCourt]])</f>
        <v>1</v>
      </c>
    </row>
    <row r="3727" spans="1:16">
      <c r="A3727" s="1">
        <v>45731</v>
      </c>
      <c r="B3727">
        <v>217328</v>
      </c>
      <c r="C3727">
        <v>62532</v>
      </c>
      <c r="D3727">
        <v>154796</v>
      </c>
      <c r="E3727">
        <v>291072698</v>
      </c>
      <c r="F3727">
        <v>88329628</v>
      </c>
      <c r="G3727">
        <v>379402326</v>
      </c>
      <c r="H3727">
        <v>80813</v>
      </c>
      <c r="I3727">
        <v>5352</v>
      </c>
      <c r="J3727">
        <v>86165</v>
      </c>
      <c r="K3727" t="b">
        <f>TrafficData[[#This Row],[disposedChallan]]+TrafficData[[#This Row],[pendingChallan]]=TrafficData[[#This Row],[totalChallan]]</f>
        <v>1</v>
      </c>
      <c r="L3727" t="b">
        <f>TrafficData[[#This Row],[pendingAmount]]+TrafficData[[#This Row],[disposedAmount]]=TrafficData[[#This Row],[totalAmount]]</f>
        <v>1</v>
      </c>
      <c r="M3727" t="b">
        <f>TrafficData[[#This Row],[pendingCourt]]+TrafficData[[#This Row],[disposedCourt]]=TrafficData[[#This Row],[totalCourt]]</f>
        <v>1</v>
      </c>
      <c r="N3727" s="8" t="b">
        <f>AND(TrafficData[[#This Row],[disposedChallan]]&lt;=TrafficData[[#This Row],[totalChallan]],TrafficData[[#This Row],[pendingChallan]]&lt;=TrafficData[[#This Row],[totalChallan]])</f>
        <v>1</v>
      </c>
      <c r="O3727" s="8" t="b">
        <f>AND(TrafficData[[#This Row],[pendingAmount]]&lt;=TrafficData[[#This Row],[totalAmount]],TrafficData[[#This Row],[disposedAmount]]&lt;=TrafficData[[#This Row],[totalAmount]])</f>
        <v>1</v>
      </c>
      <c r="P3727" s="8" t="b">
        <f>AND(TrafficData[[#This Row],[pendingCourt]]&lt;=TrafficData[[#This Row],[totalCourt]],TrafficData[[#This Row],[disposedCourt]]&lt;=TrafficData[[#This Row],[totalCourt]])</f>
        <v>1</v>
      </c>
    </row>
    <row r="3728" spans="1:16">
      <c r="A3728" s="1">
        <v>45732</v>
      </c>
      <c r="B3728">
        <v>248770</v>
      </c>
      <c r="C3728">
        <v>66980</v>
      </c>
      <c r="D3728">
        <v>181790</v>
      </c>
      <c r="E3728">
        <v>318062307</v>
      </c>
      <c r="F3728">
        <v>96052190</v>
      </c>
      <c r="G3728">
        <v>414114497</v>
      </c>
      <c r="H3728">
        <v>101043</v>
      </c>
      <c r="I3728">
        <v>6333</v>
      </c>
      <c r="J3728">
        <v>107376</v>
      </c>
      <c r="K3728" t="b">
        <f>TrafficData[[#This Row],[disposedChallan]]+TrafficData[[#This Row],[pendingChallan]]=TrafficData[[#This Row],[totalChallan]]</f>
        <v>1</v>
      </c>
      <c r="L3728" t="b">
        <f>TrafficData[[#This Row],[pendingAmount]]+TrafficData[[#This Row],[disposedAmount]]=TrafficData[[#This Row],[totalAmount]]</f>
        <v>1</v>
      </c>
      <c r="M3728" t="b">
        <f>TrafficData[[#This Row],[pendingCourt]]+TrafficData[[#This Row],[disposedCourt]]=TrafficData[[#This Row],[totalCourt]]</f>
        <v>1</v>
      </c>
      <c r="N3728" s="8" t="b">
        <f>AND(TrafficData[[#This Row],[disposedChallan]]&lt;=TrafficData[[#This Row],[totalChallan]],TrafficData[[#This Row],[pendingChallan]]&lt;=TrafficData[[#This Row],[totalChallan]])</f>
        <v>1</v>
      </c>
      <c r="O3728" s="8" t="b">
        <f>AND(TrafficData[[#This Row],[pendingAmount]]&lt;=TrafficData[[#This Row],[totalAmount]],TrafficData[[#This Row],[disposedAmount]]&lt;=TrafficData[[#This Row],[totalAmount]])</f>
        <v>1</v>
      </c>
      <c r="P3728" s="8" t="b">
        <f>AND(TrafficData[[#This Row],[pendingCourt]]&lt;=TrafficData[[#This Row],[totalCourt]],TrafficData[[#This Row],[disposedCourt]]&lt;=TrafficData[[#This Row],[totalCourt]])</f>
        <v>1</v>
      </c>
    </row>
    <row r="3729" spans="1:16">
      <c r="A3729" s="1">
        <v>45733</v>
      </c>
      <c r="B3729">
        <v>290607</v>
      </c>
      <c r="C3729">
        <v>78133</v>
      </c>
      <c r="D3729">
        <v>212474</v>
      </c>
      <c r="E3729">
        <v>425288669</v>
      </c>
      <c r="F3729">
        <v>141191773</v>
      </c>
      <c r="G3729">
        <v>566480442</v>
      </c>
      <c r="H3729">
        <v>124992</v>
      </c>
      <c r="I3729">
        <v>7520</v>
      </c>
      <c r="J3729">
        <v>132512</v>
      </c>
      <c r="K3729" t="b">
        <f>TrafficData[[#This Row],[disposedChallan]]+TrafficData[[#This Row],[pendingChallan]]=TrafficData[[#This Row],[totalChallan]]</f>
        <v>1</v>
      </c>
      <c r="L3729" t="b">
        <f>TrafficData[[#This Row],[pendingAmount]]+TrafficData[[#This Row],[disposedAmount]]=TrafficData[[#This Row],[totalAmount]]</f>
        <v>1</v>
      </c>
      <c r="M3729" t="b">
        <f>TrafficData[[#This Row],[pendingCourt]]+TrafficData[[#This Row],[disposedCourt]]=TrafficData[[#This Row],[totalCourt]]</f>
        <v>1</v>
      </c>
      <c r="N3729" s="8" t="b">
        <f>AND(TrafficData[[#This Row],[disposedChallan]]&lt;=TrafficData[[#This Row],[totalChallan]],TrafficData[[#This Row],[pendingChallan]]&lt;=TrafficData[[#This Row],[totalChallan]])</f>
        <v>1</v>
      </c>
      <c r="O3729" s="8" t="b">
        <f>AND(TrafficData[[#This Row],[pendingAmount]]&lt;=TrafficData[[#This Row],[totalAmount]],TrafficData[[#This Row],[disposedAmount]]&lt;=TrafficData[[#This Row],[totalAmount]])</f>
        <v>1</v>
      </c>
      <c r="P3729" s="8" t="b">
        <f>AND(TrafficData[[#This Row],[pendingCourt]]&lt;=TrafficData[[#This Row],[totalCourt]],TrafficData[[#This Row],[disposedCourt]]&lt;=TrafficData[[#This Row],[totalCourt]])</f>
        <v>1</v>
      </c>
    </row>
    <row r="3730" spans="1:16">
      <c r="A3730" s="1">
        <v>45734</v>
      </c>
      <c r="B3730">
        <v>286433</v>
      </c>
      <c r="C3730">
        <v>79475</v>
      </c>
      <c r="D3730">
        <v>206958</v>
      </c>
      <c r="E3730">
        <v>421674744</v>
      </c>
      <c r="F3730">
        <v>166017736</v>
      </c>
      <c r="G3730">
        <v>587692480</v>
      </c>
      <c r="H3730">
        <v>115316</v>
      </c>
      <c r="I3730">
        <v>7289</v>
      </c>
      <c r="J3730">
        <v>122605</v>
      </c>
      <c r="K3730" t="b">
        <f>TrafficData[[#This Row],[disposedChallan]]+TrafficData[[#This Row],[pendingChallan]]=TrafficData[[#This Row],[totalChallan]]</f>
        <v>1</v>
      </c>
      <c r="L3730" t="b">
        <f>TrafficData[[#This Row],[pendingAmount]]+TrafficData[[#This Row],[disposedAmount]]=TrafficData[[#This Row],[totalAmount]]</f>
        <v>1</v>
      </c>
      <c r="M3730" t="b">
        <f>TrafficData[[#This Row],[pendingCourt]]+TrafficData[[#This Row],[disposedCourt]]=TrafficData[[#This Row],[totalCourt]]</f>
        <v>1</v>
      </c>
      <c r="N3730" s="8" t="b">
        <f>AND(TrafficData[[#This Row],[disposedChallan]]&lt;=TrafficData[[#This Row],[totalChallan]],TrafficData[[#This Row],[pendingChallan]]&lt;=TrafficData[[#This Row],[totalChallan]])</f>
        <v>1</v>
      </c>
      <c r="O3730" s="8" t="b">
        <f>AND(TrafficData[[#This Row],[pendingAmount]]&lt;=TrafficData[[#This Row],[totalAmount]],TrafficData[[#This Row],[disposedAmount]]&lt;=TrafficData[[#This Row],[totalAmount]])</f>
        <v>1</v>
      </c>
      <c r="P3730" s="8" t="b">
        <f>AND(TrafficData[[#This Row],[pendingCourt]]&lt;=TrafficData[[#This Row],[totalCourt]],TrafficData[[#This Row],[disposedCourt]]&lt;=TrafficData[[#This Row],[totalCourt]])</f>
        <v>1</v>
      </c>
    </row>
    <row r="3731" spans="1:16">
      <c r="A3731" s="1">
        <v>45735</v>
      </c>
      <c r="B3731">
        <v>275274</v>
      </c>
      <c r="C3731">
        <v>76334</v>
      </c>
      <c r="D3731">
        <v>198940</v>
      </c>
      <c r="E3731">
        <v>411635238</v>
      </c>
      <c r="F3731">
        <v>160381401</v>
      </c>
      <c r="G3731">
        <v>572016639</v>
      </c>
      <c r="H3731">
        <v>110644</v>
      </c>
      <c r="I3731">
        <v>7175</v>
      </c>
      <c r="J3731">
        <v>117819</v>
      </c>
      <c r="K3731" t="b">
        <f>TrafficData[[#This Row],[disposedChallan]]+TrafficData[[#This Row],[pendingChallan]]=TrafficData[[#This Row],[totalChallan]]</f>
        <v>1</v>
      </c>
      <c r="L3731" t="b">
        <f>TrafficData[[#This Row],[pendingAmount]]+TrafficData[[#This Row],[disposedAmount]]=TrafficData[[#This Row],[totalAmount]]</f>
        <v>1</v>
      </c>
      <c r="M3731" t="b">
        <f>TrafficData[[#This Row],[pendingCourt]]+TrafficData[[#This Row],[disposedCourt]]=TrafficData[[#This Row],[totalCourt]]</f>
        <v>1</v>
      </c>
      <c r="N3731" s="8" t="b">
        <f>AND(TrafficData[[#This Row],[disposedChallan]]&lt;=TrafficData[[#This Row],[totalChallan]],TrafficData[[#This Row],[pendingChallan]]&lt;=TrafficData[[#This Row],[totalChallan]])</f>
        <v>1</v>
      </c>
      <c r="O3731" s="8" t="b">
        <f>AND(TrafficData[[#This Row],[pendingAmount]]&lt;=TrafficData[[#This Row],[totalAmount]],TrafficData[[#This Row],[disposedAmount]]&lt;=TrafficData[[#This Row],[totalAmount]])</f>
        <v>1</v>
      </c>
      <c r="P3731" s="8" t="b">
        <f>AND(TrafficData[[#This Row],[pendingCourt]]&lt;=TrafficData[[#This Row],[totalCourt]],TrafficData[[#This Row],[disposedCourt]]&lt;=TrafficData[[#This Row],[totalCourt]])</f>
        <v>1</v>
      </c>
    </row>
    <row r="3732" spans="1:16">
      <c r="A3732" s="1">
        <v>45736</v>
      </c>
      <c r="B3732">
        <v>286014</v>
      </c>
      <c r="C3732">
        <v>79528</v>
      </c>
      <c r="D3732">
        <v>206486</v>
      </c>
      <c r="E3732">
        <v>430738562</v>
      </c>
      <c r="F3732">
        <v>158587158</v>
      </c>
      <c r="G3732">
        <v>589325720</v>
      </c>
      <c r="H3732">
        <v>119441</v>
      </c>
      <c r="I3732">
        <v>7628</v>
      </c>
      <c r="J3732">
        <v>127069</v>
      </c>
      <c r="K3732" t="b">
        <f>TrafficData[[#This Row],[disposedChallan]]+TrafficData[[#This Row],[pendingChallan]]=TrafficData[[#This Row],[totalChallan]]</f>
        <v>1</v>
      </c>
      <c r="L3732" t="b">
        <f>TrafficData[[#This Row],[pendingAmount]]+TrafficData[[#This Row],[disposedAmount]]=TrafficData[[#This Row],[totalAmount]]</f>
        <v>1</v>
      </c>
      <c r="M3732" t="b">
        <f>TrafficData[[#This Row],[pendingCourt]]+TrafficData[[#This Row],[disposedCourt]]=TrafficData[[#This Row],[totalCourt]]</f>
        <v>1</v>
      </c>
      <c r="N3732" s="8" t="b">
        <f>AND(TrafficData[[#This Row],[disposedChallan]]&lt;=TrafficData[[#This Row],[totalChallan]],TrafficData[[#This Row],[pendingChallan]]&lt;=TrafficData[[#This Row],[totalChallan]])</f>
        <v>1</v>
      </c>
      <c r="O3732" s="8" t="b">
        <f>AND(TrafficData[[#This Row],[pendingAmount]]&lt;=TrafficData[[#This Row],[totalAmount]],TrafficData[[#This Row],[disposedAmount]]&lt;=TrafficData[[#This Row],[totalAmount]])</f>
        <v>1</v>
      </c>
      <c r="P3732" s="8" t="b">
        <f>AND(TrafficData[[#This Row],[pendingCourt]]&lt;=TrafficData[[#This Row],[totalCourt]],TrafficData[[#This Row],[disposedCourt]]&lt;=TrafficData[[#This Row],[totalCourt]])</f>
        <v>1</v>
      </c>
    </row>
    <row r="3733" spans="1:16">
      <c r="A3733" s="1">
        <v>45737</v>
      </c>
      <c r="B3733">
        <v>288955</v>
      </c>
      <c r="C3733">
        <v>80390</v>
      </c>
      <c r="D3733">
        <v>208565</v>
      </c>
      <c r="E3733">
        <v>423280780</v>
      </c>
      <c r="F3733">
        <v>165432974</v>
      </c>
      <c r="G3733">
        <v>588713754</v>
      </c>
      <c r="H3733">
        <v>119088</v>
      </c>
      <c r="I3733">
        <v>7106</v>
      </c>
      <c r="J3733">
        <v>126194</v>
      </c>
      <c r="K3733" t="b">
        <f>TrafficData[[#This Row],[disposedChallan]]+TrafficData[[#This Row],[pendingChallan]]=TrafficData[[#This Row],[totalChallan]]</f>
        <v>1</v>
      </c>
      <c r="L3733" t="b">
        <f>TrafficData[[#This Row],[pendingAmount]]+TrafficData[[#This Row],[disposedAmount]]=TrafficData[[#This Row],[totalAmount]]</f>
        <v>1</v>
      </c>
      <c r="M3733" t="b">
        <f>TrafficData[[#This Row],[pendingCourt]]+TrafficData[[#This Row],[disposedCourt]]=TrafficData[[#This Row],[totalCourt]]</f>
        <v>1</v>
      </c>
      <c r="N3733" s="8" t="b">
        <f>AND(TrafficData[[#This Row],[disposedChallan]]&lt;=TrafficData[[#This Row],[totalChallan]],TrafficData[[#This Row],[pendingChallan]]&lt;=TrafficData[[#This Row],[totalChallan]])</f>
        <v>1</v>
      </c>
      <c r="O3733" s="8" t="b">
        <f>AND(TrafficData[[#This Row],[pendingAmount]]&lt;=TrafficData[[#This Row],[totalAmount]],TrafficData[[#This Row],[disposedAmount]]&lt;=TrafficData[[#This Row],[totalAmount]])</f>
        <v>1</v>
      </c>
      <c r="P3733" s="8" t="b">
        <f>AND(TrafficData[[#This Row],[pendingCourt]]&lt;=TrafficData[[#This Row],[totalCourt]],TrafficData[[#This Row],[disposedCourt]]&lt;=TrafficData[[#This Row],[totalCourt]])</f>
        <v>1</v>
      </c>
    </row>
    <row r="3734" spans="1:16">
      <c r="A3734" s="1">
        <v>45738</v>
      </c>
      <c r="B3734">
        <v>288305</v>
      </c>
      <c r="C3734">
        <v>80882</v>
      </c>
      <c r="D3734">
        <v>207423</v>
      </c>
      <c r="E3734">
        <v>429348548</v>
      </c>
      <c r="F3734">
        <v>153716120</v>
      </c>
      <c r="G3734">
        <v>583064668</v>
      </c>
      <c r="H3734">
        <v>119049</v>
      </c>
      <c r="I3734">
        <v>7396</v>
      </c>
      <c r="J3734">
        <v>126445</v>
      </c>
      <c r="K3734" t="b">
        <f>TrafficData[[#This Row],[disposedChallan]]+TrafficData[[#This Row],[pendingChallan]]=TrafficData[[#This Row],[totalChallan]]</f>
        <v>1</v>
      </c>
      <c r="L3734" t="b">
        <f>TrafficData[[#This Row],[pendingAmount]]+TrafficData[[#This Row],[disposedAmount]]=TrafficData[[#This Row],[totalAmount]]</f>
        <v>1</v>
      </c>
      <c r="M3734" t="b">
        <f>TrafficData[[#This Row],[pendingCourt]]+TrafficData[[#This Row],[disposedCourt]]=TrafficData[[#This Row],[totalCourt]]</f>
        <v>1</v>
      </c>
      <c r="N3734" s="8" t="b">
        <f>AND(TrafficData[[#This Row],[disposedChallan]]&lt;=TrafficData[[#This Row],[totalChallan]],TrafficData[[#This Row],[pendingChallan]]&lt;=TrafficData[[#This Row],[totalChallan]])</f>
        <v>1</v>
      </c>
      <c r="O3734" s="8" t="b">
        <f>AND(TrafficData[[#This Row],[pendingAmount]]&lt;=TrafficData[[#This Row],[totalAmount]],TrafficData[[#This Row],[disposedAmount]]&lt;=TrafficData[[#This Row],[totalAmount]])</f>
        <v>1</v>
      </c>
      <c r="P3734" s="8" t="b">
        <f>AND(TrafficData[[#This Row],[pendingCourt]]&lt;=TrafficData[[#This Row],[totalCourt]],TrafficData[[#This Row],[disposedCourt]]&lt;=TrafficData[[#This Row],[totalCourt]])</f>
        <v>1</v>
      </c>
    </row>
    <row r="3735" spans="1:16">
      <c r="A3735" s="1">
        <v>45739</v>
      </c>
      <c r="B3735">
        <v>267856</v>
      </c>
      <c r="C3735">
        <v>72593</v>
      </c>
      <c r="D3735">
        <v>195263</v>
      </c>
      <c r="E3735">
        <v>371202953</v>
      </c>
      <c r="F3735">
        <v>117850733</v>
      </c>
      <c r="G3735">
        <v>489053686</v>
      </c>
      <c r="H3735">
        <v>104361</v>
      </c>
      <c r="I3735">
        <v>6489</v>
      </c>
      <c r="J3735">
        <v>110850</v>
      </c>
      <c r="K3735" t="b">
        <f>TrafficData[[#This Row],[disposedChallan]]+TrafficData[[#This Row],[pendingChallan]]=TrafficData[[#This Row],[totalChallan]]</f>
        <v>1</v>
      </c>
      <c r="L3735" t="b">
        <f>TrafficData[[#This Row],[pendingAmount]]+TrafficData[[#This Row],[disposedAmount]]=TrafficData[[#This Row],[totalAmount]]</f>
        <v>1</v>
      </c>
      <c r="M3735" t="b">
        <f>TrafficData[[#This Row],[pendingCourt]]+TrafficData[[#This Row],[disposedCourt]]=TrafficData[[#This Row],[totalCourt]]</f>
        <v>1</v>
      </c>
      <c r="N3735" s="8" t="b">
        <f>AND(TrafficData[[#This Row],[disposedChallan]]&lt;=TrafficData[[#This Row],[totalChallan]],TrafficData[[#This Row],[pendingChallan]]&lt;=TrafficData[[#This Row],[totalChallan]])</f>
        <v>1</v>
      </c>
      <c r="O3735" s="8" t="b">
        <f>AND(TrafficData[[#This Row],[pendingAmount]]&lt;=TrafficData[[#This Row],[totalAmount]],TrafficData[[#This Row],[disposedAmount]]&lt;=TrafficData[[#This Row],[totalAmount]])</f>
        <v>1</v>
      </c>
      <c r="P3735" s="8" t="b">
        <f>AND(TrafficData[[#This Row],[pendingCourt]]&lt;=TrafficData[[#This Row],[totalCourt]],TrafficData[[#This Row],[disposedCourt]]&lt;=TrafficData[[#This Row],[totalCourt]])</f>
        <v>1</v>
      </c>
    </row>
    <row r="3736" spans="1:16">
      <c r="A3736" s="1">
        <v>45740</v>
      </c>
      <c r="B3736">
        <v>287265</v>
      </c>
      <c r="C3736">
        <v>79506</v>
      </c>
      <c r="D3736">
        <v>207759</v>
      </c>
      <c r="E3736">
        <v>441949820</v>
      </c>
      <c r="F3736">
        <v>143316867</v>
      </c>
      <c r="G3736">
        <v>585266687</v>
      </c>
      <c r="H3736">
        <v>116783</v>
      </c>
      <c r="I3736">
        <v>7584</v>
      </c>
      <c r="J3736">
        <v>124367</v>
      </c>
      <c r="K3736" t="b">
        <f>TrafficData[[#This Row],[disposedChallan]]+TrafficData[[#This Row],[pendingChallan]]=TrafficData[[#This Row],[totalChallan]]</f>
        <v>1</v>
      </c>
      <c r="L3736" t="b">
        <f>TrafficData[[#This Row],[pendingAmount]]+TrafficData[[#This Row],[disposedAmount]]=TrafficData[[#This Row],[totalAmount]]</f>
        <v>1</v>
      </c>
      <c r="M3736" t="b">
        <f>TrafficData[[#This Row],[pendingCourt]]+TrafficData[[#This Row],[disposedCourt]]=TrafficData[[#This Row],[totalCourt]]</f>
        <v>1</v>
      </c>
      <c r="N3736" s="8" t="b">
        <f>AND(TrafficData[[#This Row],[disposedChallan]]&lt;=TrafficData[[#This Row],[totalChallan]],TrafficData[[#This Row],[pendingChallan]]&lt;=TrafficData[[#This Row],[totalChallan]])</f>
        <v>1</v>
      </c>
      <c r="O3736" s="8" t="b">
        <f>AND(TrafficData[[#This Row],[pendingAmount]]&lt;=TrafficData[[#This Row],[totalAmount]],TrafficData[[#This Row],[disposedAmount]]&lt;=TrafficData[[#This Row],[totalAmount]])</f>
        <v>1</v>
      </c>
      <c r="P3736" s="8" t="b">
        <f>AND(TrafficData[[#This Row],[pendingCourt]]&lt;=TrafficData[[#This Row],[totalCourt]],TrafficData[[#This Row],[disposedCourt]]&lt;=TrafficData[[#This Row],[totalCourt]])</f>
        <v>1</v>
      </c>
    </row>
    <row r="3737" spans="1:16">
      <c r="A3737" s="1">
        <v>45741</v>
      </c>
      <c r="B3737">
        <v>285401</v>
      </c>
      <c r="C3737">
        <v>79266</v>
      </c>
      <c r="D3737">
        <v>206135</v>
      </c>
      <c r="E3737">
        <v>426586623</v>
      </c>
      <c r="F3737">
        <v>147182153</v>
      </c>
      <c r="G3737">
        <v>573768776</v>
      </c>
      <c r="H3737">
        <v>117662</v>
      </c>
      <c r="I3737">
        <v>7268</v>
      </c>
      <c r="J3737">
        <v>124930</v>
      </c>
      <c r="K3737" t="b">
        <f>TrafficData[[#This Row],[disposedChallan]]+TrafficData[[#This Row],[pendingChallan]]=TrafficData[[#This Row],[totalChallan]]</f>
        <v>1</v>
      </c>
      <c r="L3737" t="b">
        <f>TrafficData[[#This Row],[pendingAmount]]+TrafficData[[#This Row],[disposedAmount]]=TrafficData[[#This Row],[totalAmount]]</f>
        <v>1</v>
      </c>
      <c r="M3737" t="b">
        <f>TrafficData[[#This Row],[pendingCourt]]+TrafficData[[#This Row],[disposedCourt]]=TrafficData[[#This Row],[totalCourt]]</f>
        <v>1</v>
      </c>
      <c r="N3737" s="8" t="b">
        <f>AND(TrafficData[[#This Row],[disposedChallan]]&lt;=TrafficData[[#This Row],[totalChallan]],TrafficData[[#This Row],[pendingChallan]]&lt;=TrafficData[[#This Row],[totalChallan]])</f>
        <v>1</v>
      </c>
      <c r="O3737" s="8" t="b">
        <f>AND(TrafficData[[#This Row],[pendingAmount]]&lt;=TrafficData[[#This Row],[totalAmount]],TrafficData[[#This Row],[disposedAmount]]&lt;=TrafficData[[#This Row],[totalAmount]])</f>
        <v>1</v>
      </c>
      <c r="P3737" s="8" t="b">
        <f>AND(TrafficData[[#This Row],[pendingCourt]]&lt;=TrafficData[[#This Row],[totalCourt]],TrafficData[[#This Row],[disposedCourt]]&lt;=TrafficData[[#This Row],[totalCourt]])</f>
        <v>1</v>
      </c>
    </row>
    <row r="3738" spans="1:16">
      <c r="A3738" s="1">
        <v>45742</v>
      </c>
      <c r="B3738">
        <v>298447</v>
      </c>
      <c r="C3738">
        <v>83526</v>
      </c>
      <c r="D3738">
        <v>214921</v>
      </c>
      <c r="E3738">
        <v>430696306</v>
      </c>
      <c r="F3738">
        <v>151388493</v>
      </c>
      <c r="G3738">
        <v>582084799</v>
      </c>
      <c r="H3738">
        <v>118597</v>
      </c>
      <c r="I3738">
        <v>7459</v>
      </c>
      <c r="J3738">
        <v>126056</v>
      </c>
      <c r="K3738" t="b">
        <f>TrafficData[[#This Row],[disposedChallan]]+TrafficData[[#This Row],[pendingChallan]]=TrafficData[[#This Row],[totalChallan]]</f>
        <v>1</v>
      </c>
      <c r="L3738" t="b">
        <f>TrafficData[[#This Row],[pendingAmount]]+TrafficData[[#This Row],[disposedAmount]]=TrafficData[[#This Row],[totalAmount]]</f>
        <v>1</v>
      </c>
      <c r="M3738" t="b">
        <f>TrafficData[[#This Row],[pendingCourt]]+TrafficData[[#This Row],[disposedCourt]]=TrafficData[[#This Row],[totalCourt]]</f>
        <v>1</v>
      </c>
      <c r="N3738" s="8" t="b">
        <f>AND(TrafficData[[#This Row],[disposedChallan]]&lt;=TrafficData[[#This Row],[totalChallan]],TrafficData[[#This Row],[pendingChallan]]&lt;=TrafficData[[#This Row],[totalChallan]])</f>
        <v>1</v>
      </c>
      <c r="O3738" s="8" t="b">
        <f>AND(TrafficData[[#This Row],[pendingAmount]]&lt;=TrafficData[[#This Row],[totalAmount]],TrafficData[[#This Row],[disposedAmount]]&lt;=TrafficData[[#This Row],[totalAmount]])</f>
        <v>1</v>
      </c>
      <c r="P3738" s="8" t="b">
        <f>AND(TrafficData[[#This Row],[pendingCourt]]&lt;=TrafficData[[#This Row],[totalCourt]],TrafficData[[#This Row],[disposedCourt]]&lt;=TrafficData[[#This Row],[totalCourt]])</f>
        <v>1</v>
      </c>
    </row>
    <row r="3739" spans="1:16">
      <c r="A3739" s="1">
        <v>45743</v>
      </c>
      <c r="B3739">
        <v>290466</v>
      </c>
      <c r="C3739">
        <v>80961</v>
      </c>
      <c r="D3739">
        <v>209505</v>
      </c>
      <c r="E3739">
        <v>433474704</v>
      </c>
      <c r="F3739">
        <v>143786805</v>
      </c>
      <c r="G3739">
        <v>577261509</v>
      </c>
      <c r="H3739">
        <v>115562</v>
      </c>
      <c r="I3739">
        <v>7335</v>
      </c>
      <c r="J3739">
        <v>122897</v>
      </c>
      <c r="K3739" t="b">
        <f>TrafficData[[#This Row],[disposedChallan]]+TrafficData[[#This Row],[pendingChallan]]=TrafficData[[#This Row],[totalChallan]]</f>
        <v>1</v>
      </c>
      <c r="L3739" t="b">
        <f>TrafficData[[#This Row],[pendingAmount]]+TrafficData[[#This Row],[disposedAmount]]=TrafficData[[#This Row],[totalAmount]]</f>
        <v>1</v>
      </c>
      <c r="M3739" t="b">
        <f>TrafficData[[#This Row],[pendingCourt]]+TrafficData[[#This Row],[disposedCourt]]=TrafficData[[#This Row],[totalCourt]]</f>
        <v>1</v>
      </c>
      <c r="N3739" s="8" t="b">
        <f>AND(TrafficData[[#This Row],[disposedChallan]]&lt;=TrafficData[[#This Row],[totalChallan]],TrafficData[[#This Row],[pendingChallan]]&lt;=TrafficData[[#This Row],[totalChallan]])</f>
        <v>1</v>
      </c>
      <c r="O3739" s="8" t="b">
        <f>AND(TrafficData[[#This Row],[pendingAmount]]&lt;=TrafficData[[#This Row],[totalAmount]],TrafficData[[#This Row],[disposedAmount]]&lt;=TrafficData[[#This Row],[totalAmount]])</f>
        <v>1</v>
      </c>
      <c r="P3739" s="8" t="b">
        <f>AND(TrafficData[[#This Row],[pendingCourt]]&lt;=TrafficData[[#This Row],[totalCourt]],TrafficData[[#This Row],[disposedCourt]]&lt;=TrafficData[[#This Row],[totalCourt]])</f>
        <v>1</v>
      </c>
    </row>
    <row r="3740" spans="1:16">
      <c r="A3740" s="1">
        <v>45744</v>
      </c>
      <c r="B3740">
        <v>282746</v>
      </c>
      <c r="C3740">
        <v>79165</v>
      </c>
      <c r="D3740">
        <v>203581</v>
      </c>
      <c r="E3740">
        <v>411439342</v>
      </c>
      <c r="F3740">
        <v>136793537</v>
      </c>
      <c r="G3740">
        <v>548232879</v>
      </c>
      <c r="H3740">
        <v>112955</v>
      </c>
      <c r="I3740">
        <v>6729</v>
      </c>
      <c r="J3740">
        <v>119684</v>
      </c>
      <c r="K3740" t="b">
        <f>TrafficData[[#This Row],[disposedChallan]]+TrafficData[[#This Row],[pendingChallan]]=TrafficData[[#This Row],[totalChallan]]</f>
        <v>1</v>
      </c>
      <c r="L3740" t="b">
        <f>TrafficData[[#This Row],[pendingAmount]]+TrafficData[[#This Row],[disposedAmount]]=TrafficData[[#This Row],[totalAmount]]</f>
        <v>1</v>
      </c>
      <c r="M3740" t="b">
        <f>TrafficData[[#This Row],[pendingCourt]]+TrafficData[[#This Row],[disposedCourt]]=TrafficData[[#This Row],[totalCourt]]</f>
        <v>1</v>
      </c>
      <c r="N3740" s="8" t="b">
        <f>AND(TrafficData[[#This Row],[disposedChallan]]&lt;=TrafficData[[#This Row],[totalChallan]],TrafficData[[#This Row],[pendingChallan]]&lt;=TrafficData[[#This Row],[totalChallan]])</f>
        <v>1</v>
      </c>
      <c r="O3740" s="8" t="b">
        <f>AND(TrafficData[[#This Row],[pendingAmount]]&lt;=TrafficData[[#This Row],[totalAmount]],TrafficData[[#This Row],[disposedAmount]]&lt;=TrafficData[[#This Row],[totalAmount]])</f>
        <v>1</v>
      </c>
      <c r="P3740" s="8" t="b">
        <f>AND(TrafficData[[#This Row],[pendingCourt]]&lt;=TrafficData[[#This Row],[totalCourt]],TrafficData[[#This Row],[disposedCourt]]&lt;=TrafficData[[#This Row],[totalCourt]])</f>
        <v>1</v>
      </c>
    </row>
    <row r="3741" spans="1:16">
      <c r="A3741" s="1">
        <v>45745</v>
      </c>
      <c r="B3741">
        <v>278230</v>
      </c>
      <c r="C3741">
        <v>78176</v>
      </c>
      <c r="D3741">
        <v>200054</v>
      </c>
      <c r="E3741">
        <v>391346484</v>
      </c>
      <c r="F3741">
        <v>128889233</v>
      </c>
      <c r="G3741">
        <v>520235717</v>
      </c>
      <c r="H3741">
        <v>113638</v>
      </c>
      <c r="I3741">
        <v>7424</v>
      </c>
      <c r="J3741">
        <v>121062</v>
      </c>
      <c r="K3741" t="b">
        <f>TrafficData[[#This Row],[disposedChallan]]+TrafficData[[#This Row],[pendingChallan]]=TrafficData[[#This Row],[totalChallan]]</f>
        <v>1</v>
      </c>
      <c r="L3741" t="b">
        <f>TrafficData[[#This Row],[pendingAmount]]+TrafficData[[#This Row],[disposedAmount]]=TrafficData[[#This Row],[totalAmount]]</f>
        <v>1</v>
      </c>
      <c r="M3741" t="b">
        <f>TrafficData[[#This Row],[pendingCourt]]+TrafficData[[#This Row],[disposedCourt]]=TrafficData[[#This Row],[totalCourt]]</f>
        <v>1</v>
      </c>
      <c r="N3741" s="8" t="b">
        <f>AND(TrafficData[[#This Row],[disposedChallan]]&lt;=TrafficData[[#This Row],[totalChallan]],TrafficData[[#This Row],[pendingChallan]]&lt;=TrafficData[[#This Row],[totalChallan]])</f>
        <v>1</v>
      </c>
      <c r="O3741" s="8" t="b">
        <f>AND(TrafficData[[#This Row],[pendingAmount]]&lt;=TrafficData[[#This Row],[totalAmount]],TrafficData[[#This Row],[disposedAmount]]&lt;=TrafficData[[#This Row],[totalAmount]])</f>
        <v>1</v>
      </c>
      <c r="P3741" s="8" t="b">
        <f>AND(TrafficData[[#This Row],[pendingCourt]]&lt;=TrafficData[[#This Row],[totalCourt]],TrafficData[[#This Row],[disposedCourt]]&lt;=TrafficData[[#This Row],[totalCourt]])</f>
        <v>1</v>
      </c>
    </row>
    <row r="3742" spans="1:16">
      <c r="A3742" s="1">
        <v>45746</v>
      </c>
      <c r="B3742">
        <v>250806</v>
      </c>
      <c r="C3742">
        <v>68247</v>
      </c>
      <c r="D3742">
        <v>182559</v>
      </c>
      <c r="E3742">
        <v>330496460</v>
      </c>
      <c r="F3742">
        <v>159974801</v>
      </c>
      <c r="G3742">
        <v>490471261</v>
      </c>
      <c r="H3742">
        <v>99803</v>
      </c>
      <c r="I3742">
        <v>6142</v>
      </c>
      <c r="J3742">
        <v>105945</v>
      </c>
      <c r="K3742" t="b">
        <f>TrafficData[[#This Row],[disposedChallan]]+TrafficData[[#This Row],[pendingChallan]]=TrafficData[[#This Row],[totalChallan]]</f>
        <v>1</v>
      </c>
      <c r="L3742" t="b">
        <f>TrafficData[[#This Row],[pendingAmount]]+TrafficData[[#This Row],[disposedAmount]]=TrafficData[[#This Row],[totalAmount]]</f>
        <v>1</v>
      </c>
      <c r="M3742" t="b">
        <f>TrafficData[[#This Row],[pendingCourt]]+TrafficData[[#This Row],[disposedCourt]]=TrafficData[[#This Row],[totalCourt]]</f>
        <v>1</v>
      </c>
      <c r="N3742" s="8" t="b">
        <f>AND(TrafficData[[#This Row],[disposedChallan]]&lt;=TrafficData[[#This Row],[totalChallan]],TrafficData[[#This Row],[pendingChallan]]&lt;=TrafficData[[#This Row],[totalChallan]])</f>
        <v>1</v>
      </c>
      <c r="O3742" s="8" t="b">
        <f>AND(TrafficData[[#This Row],[pendingAmount]]&lt;=TrafficData[[#This Row],[totalAmount]],TrafficData[[#This Row],[disposedAmount]]&lt;=TrafficData[[#This Row],[totalAmount]])</f>
        <v>1</v>
      </c>
      <c r="P3742" s="8" t="b">
        <f>AND(TrafficData[[#This Row],[pendingCourt]]&lt;=TrafficData[[#This Row],[totalCourt]],TrafficData[[#This Row],[disposedCourt]]&lt;=TrafficData[[#This Row],[totalCourt]])</f>
        <v>1</v>
      </c>
    </row>
    <row r="3743" spans="1:16">
      <c r="A3743" s="1">
        <v>45747</v>
      </c>
      <c r="B3743">
        <v>246623</v>
      </c>
      <c r="C3743">
        <v>64841</v>
      </c>
      <c r="D3743">
        <v>181782</v>
      </c>
      <c r="E3743">
        <v>340014084</v>
      </c>
      <c r="F3743">
        <v>88966583</v>
      </c>
      <c r="G3743">
        <v>428980667</v>
      </c>
      <c r="H3743">
        <v>97552</v>
      </c>
      <c r="I3743">
        <v>5451</v>
      </c>
      <c r="J3743">
        <v>103003</v>
      </c>
      <c r="K3743" t="b">
        <f>TrafficData[[#This Row],[disposedChallan]]+TrafficData[[#This Row],[pendingChallan]]=TrafficData[[#This Row],[totalChallan]]</f>
        <v>1</v>
      </c>
      <c r="L3743" t="b">
        <f>TrafficData[[#This Row],[pendingAmount]]+TrafficData[[#This Row],[disposedAmount]]=TrafficData[[#This Row],[totalAmount]]</f>
        <v>1</v>
      </c>
      <c r="M3743" t="b">
        <f>TrafficData[[#This Row],[pendingCourt]]+TrafficData[[#This Row],[disposedCourt]]=TrafficData[[#This Row],[totalCourt]]</f>
        <v>1</v>
      </c>
      <c r="N3743" s="8" t="b">
        <f>AND(TrafficData[[#This Row],[disposedChallan]]&lt;=TrafficData[[#This Row],[totalChallan]],TrafficData[[#This Row],[pendingChallan]]&lt;=TrafficData[[#This Row],[totalChallan]])</f>
        <v>1</v>
      </c>
      <c r="O3743" s="8" t="b">
        <f>AND(TrafficData[[#This Row],[pendingAmount]]&lt;=TrafficData[[#This Row],[totalAmount]],TrafficData[[#This Row],[disposedAmount]]&lt;=TrafficData[[#This Row],[totalAmount]])</f>
        <v>1</v>
      </c>
      <c r="P3743" s="8" t="b">
        <f>AND(TrafficData[[#This Row],[pendingCourt]]&lt;=TrafficData[[#This Row],[totalCourt]],TrafficData[[#This Row],[disposedCourt]]&lt;=TrafficData[[#This Row],[totalCourt]])</f>
        <v>1</v>
      </c>
    </row>
    <row r="3744" spans="1:16">
      <c r="A3744" s="1">
        <v>45748</v>
      </c>
      <c r="B3744">
        <v>274857</v>
      </c>
      <c r="C3744">
        <v>77908</v>
      </c>
      <c r="D3744">
        <v>196949</v>
      </c>
      <c r="E3744">
        <v>378797275</v>
      </c>
      <c r="F3744">
        <v>127530824</v>
      </c>
      <c r="G3744">
        <v>506328099</v>
      </c>
      <c r="H3744">
        <v>114113</v>
      </c>
      <c r="I3744">
        <v>6984</v>
      </c>
      <c r="J3744">
        <v>121097</v>
      </c>
      <c r="K3744" t="b">
        <f>TrafficData[[#This Row],[disposedChallan]]+TrafficData[[#This Row],[pendingChallan]]=TrafficData[[#This Row],[totalChallan]]</f>
        <v>1</v>
      </c>
      <c r="L3744" t="b">
        <f>TrafficData[[#This Row],[pendingAmount]]+TrafficData[[#This Row],[disposedAmount]]=TrafficData[[#This Row],[totalAmount]]</f>
        <v>1</v>
      </c>
      <c r="M3744" t="b">
        <f>TrafficData[[#This Row],[pendingCourt]]+TrafficData[[#This Row],[disposedCourt]]=TrafficData[[#This Row],[totalCourt]]</f>
        <v>1</v>
      </c>
      <c r="N3744" s="8" t="b">
        <f>AND(TrafficData[[#This Row],[disposedChallan]]&lt;=TrafficData[[#This Row],[totalChallan]],TrafficData[[#This Row],[pendingChallan]]&lt;=TrafficData[[#This Row],[totalChallan]])</f>
        <v>1</v>
      </c>
      <c r="O3744" s="8" t="b">
        <f>AND(TrafficData[[#This Row],[pendingAmount]]&lt;=TrafficData[[#This Row],[totalAmount]],TrafficData[[#This Row],[disposedAmount]]&lt;=TrafficData[[#This Row],[totalAmount]])</f>
        <v>1</v>
      </c>
      <c r="P3744" s="8" t="b">
        <f>AND(TrafficData[[#This Row],[pendingCourt]]&lt;=TrafficData[[#This Row],[totalCourt]],TrafficData[[#This Row],[disposedCourt]]&lt;=TrafficData[[#This Row],[totalCourt]])</f>
        <v>1</v>
      </c>
    </row>
    <row r="3745" spans="1:16">
      <c r="A3745" s="1">
        <v>45749</v>
      </c>
      <c r="B3745">
        <v>290393</v>
      </c>
      <c r="C3745">
        <v>83064</v>
      </c>
      <c r="D3745">
        <v>207329</v>
      </c>
      <c r="E3745">
        <v>400263756</v>
      </c>
      <c r="F3745">
        <v>206092960</v>
      </c>
      <c r="G3745">
        <v>606356716</v>
      </c>
      <c r="H3745">
        <v>115185</v>
      </c>
      <c r="I3745">
        <v>7574</v>
      </c>
      <c r="J3745">
        <v>122759</v>
      </c>
      <c r="K3745" t="b">
        <f>TrafficData[[#This Row],[disposedChallan]]+TrafficData[[#This Row],[pendingChallan]]=TrafficData[[#This Row],[totalChallan]]</f>
        <v>1</v>
      </c>
      <c r="L3745" t="b">
        <f>TrafficData[[#This Row],[pendingAmount]]+TrafficData[[#This Row],[disposedAmount]]=TrafficData[[#This Row],[totalAmount]]</f>
        <v>1</v>
      </c>
      <c r="M3745" t="b">
        <f>TrafficData[[#This Row],[pendingCourt]]+TrafficData[[#This Row],[disposedCourt]]=TrafficData[[#This Row],[totalCourt]]</f>
        <v>1</v>
      </c>
      <c r="N3745" s="8" t="b">
        <f>AND(TrafficData[[#This Row],[disposedChallan]]&lt;=TrafficData[[#This Row],[totalChallan]],TrafficData[[#This Row],[pendingChallan]]&lt;=TrafficData[[#This Row],[totalChallan]])</f>
        <v>1</v>
      </c>
      <c r="O3745" s="8" t="b">
        <f>AND(TrafficData[[#This Row],[pendingAmount]]&lt;=TrafficData[[#This Row],[totalAmount]],TrafficData[[#This Row],[disposedAmount]]&lt;=TrafficData[[#This Row],[totalAmount]])</f>
        <v>1</v>
      </c>
      <c r="P3745" s="8" t="b">
        <f>AND(TrafficData[[#This Row],[pendingCourt]]&lt;=TrafficData[[#This Row],[totalCourt]],TrafficData[[#This Row],[disposedCourt]]&lt;=TrafficData[[#This Row],[totalCourt]])</f>
        <v>1</v>
      </c>
    </row>
    <row r="3746" spans="1:16">
      <c r="A3746" s="1">
        <v>45750</v>
      </c>
      <c r="B3746">
        <v>284058</v>
      </c>
      <c r="C3746">
        <v>79929</v>
      </c>
      <c r="D3746">
        <v>204129</v>
      </c>
      <c r="E3746">
        <v>416846939</v>
      </c>
      <c r="F3746">
        <v>140438871</v>
      </c>
      <c r="G3746">
        <v>557285810</v>
      </c>
      <c r="H3746">
        <v>120708</v>
      </c>
      <c r="I3746">
        <v>7126</v>
      </c>
      <c r="J3746">
        <v>127834</v>
      </c>
      <c r="K3746" t="b">
        <f>TrafficData[[#This Row],[disposedChallan]]+TrafficData[[#This Row],[pendingChallan]]=TrafficData[[#This Row],[totalChallan]]</f>
        <v>1</v>
      </c>
      <c r="L3746" t="b">
        <f>TrafficData[[#This Row],[pendingAmount]]+TrafficData[[#This Row],[disposedAmount]]=TrafficData[[#This Row],[totalAmount]]</f>
        <v>1</v>
      </c>
      <c r="M3746" t="b">
        <f>TrafficData[[#This Row],[pendingCourt]]+TrafficData[[#This Row],[disposedCourt]]=TrafficData[[#This Row],[totalCourt]]</f>
        <v>1</v>
      </c>
      <c r="N3746" s="8" t="b">
        <f>AND(TrafficData[[#This Row],[disposedChallan]]&lt;=TrafficData[[#This Row],[totalChallan]],TrafficData[[#This Row],[pendingChallan]]&lt;=TrafficData[[#This Row],[totalChallan]])</f>
        <v>1</v>
      </c>
      <c r="O3746" s="8" t="b">
        <f>AND(TrafficData[[#This Row],[pendingAmount]]&lt;=TrafficData[[#This Row],[totalAmount]],TrafficData[[#This Row],[disposedAmount]]&lt;=TrafficData[[#This Row],[totalAmount]])</f>
        <v>1</v>
      </c>
      <c r="P3746" s="8" t="b">
        <f>AND(TrafficData[[#This Row],[pendingCourt]]&lt;=TrafficData[[#This Row],[totalCourt]],TrafficData[[#This Row],[disposedCourt]]&lt;=TrafficData[[#This Row],[totalCourt]])</f>
        <v>1</v>
      </c>
    </row>
    <row r="3747" spans="1:16">
      <c r="A3747" s="1">
        <v>45751</v>
      </c>
      <c r="B3747">
        <v>279424</v>
      </c>
      <c r="C3747">
        <v>78102</v>
      </c>
      <c r="D3747">
        <v>201322</v>
      </c>
      <c r="E3747">
        <v>407814106</v>
      </c>
      <c r="F3747">
        <v>140002183</v>
      </c>
      <c r="G3747">
        <v>547816289</v>
      </c>
      <c r="H3747">
        <v>122201</v>
      </c>
      <c r="I3747">
        <v>7206</v>
      </c>
      <c r="J3747">
        <v>129407</v>
      </c>
      <c r="K3747" t="b">
        <f>TrafficData[[#This Row],[disposedChallan]]+TrafficData[[#This Row],[pendingChallan]]=TrafficData[[#This Row],[totalChallan]]</f>
        <v>1</v>
      </c>
      <c r="L3747" t="b">
        <f>TrafficData[[#This Row],[pendingAmount]]+TrafficData[[#This Row],[disposedAmount]]=TrafficData[[#This Row],[totalAmount]]</f>
        <v>1</v>
      </c>
      <c r="M3747" t="b">
        <f>TrafficData[[#This Row],[pendingCourt]]+TrafficData[[#This Row],[disposedCourt]]=TrafficData[[#This Row],[totalCourt]]</f>
        <v>1</v>
      </c>
      <c r="N3747" s="8" t="b">
        <f>AND(TrafficData[[#This Row],[disposedChallan]]&lt;=TrafficData[[#This Row],[totalChallan]],TrafficData[[#This Row],[pendingChallan]]&lt;=TrafficData[[#This Row],[totalChallan]])</f>
        <v>1</v>
      </c>
      <c r="O3747" s="8" t="b">
        <f>AND(TrafficData[[#This Row],[pendingAmount]]&lt;=TrafficData[[#This Row],[totalAmount]],TrafficData[[#This Row],[disposedAmount]]&lt;=TrafficData[[#This Row],[totalAmount]])</f>
        <v>1</v>
      </c>
      <c r="P3747" s="8" t="b">
        <f>AND(TrafficData[[#This Row],[pendingCourt]]&lt;=TrafficData[[#This Row],[totalCourt]],TrafficData[[#This Row],[disposedCourt]]&lt;=TrafficData[[#This Row],[totalCourt]])</f>
        <v>1</v>
      </c>
    </row>
    <row r="3748" spans="1:16">
      <c r="A3748" s="1">
        <v>45752</v>
      </c>
      <c r="B3748">
        <v>270364</v>
      </c>
      <c r="C3748">
        <v>74353</v>
      </c>
      <c r="D3748">
        <v>196011</v>
      </c>
      <c r="E3748">
        <v>408919339</v>
      </c>
      <c r="F3748">
        <v>119661536</v>
      </c>
      <c r="G3748">
        <v>528580875</v>
      </c>
      <c r="H3748">
        <v>115508</v>
      </c>
      <c r="I3748">
        <v>6512</v>
      </c>
      <c r="J3748">
        <v>122020</v>
      </c>
      <c r="K3748" t="b">
        <f>TrafficData[[#This Row],[disposedChallan]]+TrafficData[[#This Row],[pendingChallan]]=TrafficData[[#This Row],[totalChallan]]</f>
        <v>1</v>
      </c>
      <c r="L3748" t="b">
        <f>TrafficData[[#This Row],[pendingAmount]]+TrafficData[[#This Row],[disposedAmount]]=TrafficData[[#This Row],[totalAmount]]</f>
        <v>1</v>
      </c>
      <c r="M3748" t="b">
        <f>TrafficData[[#This Row],[pendingCourt]]+TrafficData[[#This Row],[disposedCourt]]=TrafficData[[#This Row],[totalCourt]]</f>
        <v>1</v>
      </c>
      <c r="N3748" s="8" t="b">
        <f>AND(TrafficData[[#This Row],[disposedChallan]]&lt;=TrafficData[[#This Row],[totalChallan]],TrafficData[[#This Row],[pendingChallan]]&lt;=TrafficData[[#This Row],[totalChallan]])</f>
        <v>1</v>
      </c>
      <c r="O3748" s="8" t="b">
        <f>AND(TrafficData[[#This Row],[pendingAmount]]&lt;=TrafficData[[#This Row],[totalAmount]],TrafficData[[#This Row],[disposedAmount]]&lt;=TrafficData[[#This Row],[totalAmount]])</f>
        <v>1</v>
      </c>
      <c r="P3748" s="8" t="b">
        <f>AND(TrafficData[[#This Row],[pendingCourt]]&lt;=TrafficData[[#This Row],[totalCourt]],TrafficData[[#This Row],[disposedCourt]]&lt;=TrafficData[[#This Row],[totalCourt]])</f>
        <v>1</v>
      </c>
    </row>
    <row r="3749" spans="1:16">
      <c r="A3749" s="1">
        <v>45753</v>
      </c>
      <c r="B3749">
        <v>230920</v>
      </c>
      <c r="C3749">
        <v>60294</v>
      </c>
      <c r="D3749">
        <v>170626</v>
      </c>
      <c r="E3749">
        <v>325438887</v>
      </c>
      <c r="F3749">
        <v>85203687</v>
      </c>
      <c r="G3749">
        <v>410642574</v>
      </c>
      <c r="H3749">
        <v>104679</v>
      </c>
      <c r="I3749">
        <v>6174</v>
      </c>
      <c r="J3749">
        <v>110853</v>
      </c>
      <c r="K3749" t="b">
        <f>TrafficData[[#This Row],[disposedChallan]]+TrafficData[[#This Row],[pendingChallan]]=TrafficData[[#This Row],[totalChallan]]</f>
        <v>1</v>
      </c>
      <c r="L3749" t="b">
        <f>TrafficData[[#This Row],[pendingAmount]]+TrafficData[[#This Row],[disposedAmount]]=TrafficData[[#This Row],[totalAmount]]</f>
        <v>1</v>
      </c>
      <c r="M3749" t="b">
        <f>TrafficData[[#This Row],[pendingCourt]]+TrafficData[[#This Row],[disposedCourt]]=TrafficData[[#This Row],[totalCourt]]</f>
        <v>1</v>
      </c>
      <c r="N3749" s="8" t="b">
        <f>AND(TrafficData[[#This Row],[disposedChallan]]&lt;=TrafficData[[#This Row],[totalChallan]],TrafficData[[#This Row],[pendingChallan]]&lt;=TrafficData[[#This Row],[totalChallan]])</f>
        <v>1</v>
      </c>
      <c r="O3749" s="8" t="b">
        <f>AND(TrafficData[[#This Row],[pendingAmount]]&lt;=TrafficData[[#This Row],[totalAmount]],TrafficData[[#This Row],[disposedAmount]]&lt;=TrafficData[[#This Row],[totalAmount]])</f>
        <v>1</v>
      </c>
      <c r="P3749" s="8" t="b">
        <f>AND(TrafficData[[#This Row],[pendingCourt]]&lt;=TrafficData[[#This Row],[totalCourt]],TrafficData[[#This Row],[disposedCourt]]&lt;=TrafficData[[#This Row],[totalCourt]])</f>
        <v>1</v>
      </c>
    </row>
    <row r="3750" spans="1:16">
      <c r="A3750" s="1">
        <v>45754</v>
      </c>
      <c r="B3750">
        <v>276137</v>
      </c>
      <c r="C3750">
        <v>73067</v>
      </c>
      <c r="D3750">
        <v>203070</v>
      </c>
      <c r="E3750">
        <v>432809248</v>
      </c>
      <c r="F3750">
        <v>120872472</v>
      </c>
      <c r="G3750">
        <v>553681720</v>
      </c>
      <c r="H3750">
        <v>125091</v>
      </c>
      <c r="I3750">
        <v>7388</v>
      </c>
      <c r="J3750">
        <v>132479</v>
      </c>
      <c r="K3750" t="b">
        <f>TrafficData[[#This Row],[disposedChallan]]+TrafficData[[#This Row],[pendingChallan]]=TrafficData[[#This Row],[totalChallan]]</f>
        <v>1</v>
      </c>
      <c r="L3750" t="b">
        <f>TrafficData[[#This Row],[pendingAmount]]+TrafficData[[#This Row],[disposedAmount]]=TrafficData[[#This Row],[totalAmount]]</f>
        <v>1</v>
      </c>
      <c r="M3750" t="b">
        <f>TrafficData[[#This Row],[pendingCourt]]+TrafficData[[#This Row],[disposedCourt]]=TrafficData[[#This Row],[totalCourt]]</f>
        <v>1</v>
      </c>
      <c r="N3750" s="8" t="b">
        <f>AND(TrafficData[[#This Row],[disposedChallan]]&lt;=TrafficData[[#This Row],[totalChallan]],TrafficData[[#This Row],[pendingChallan]]&lt;=TrafficData[[#This Row],[totalChallan]])</f>
        <v>1</v>
      </c>
      <c r="O3750" s="8" t="b">
        <f>AND(TrafficData[[#This Row],[pendingAmount]]&lt;=TrafficData[[#This Row],[totalAmount]],TrafficData[[#This Row],[disposedAmount]]&lt;=TrafficData[[#This Row],[totalAmount]])</f>
        <v>1</v>
      </c>
      <c r="P3750" s="8" t="b">
        <f>AND(TrafficData[[#This Row],[pendingCourt]]&lt;=TrafficData[[#This Row],[totalCourt]],TrafficData[[#This Row],[disposedCourt]]&lt;=TrafficData[[#This Row],[totalCourt]])</f>
        <v>1</v>
      </c>
    </row>
    <row r="3751" spans="1:16">
      <c r="A3751" s="1">
        <v>45755</v>
      </c>
      <c r="B3751">
        <v>297635</v>
      </c>
      <c r="C3751">
        <v>76878</v>
      </c>
      <c r="D3751">
        <v>220757</v>
      </c>
      <c r="E3751">
        <v>464550958</v>
      </c>
      <c r="F3751">
        <v>143406606</v>
      </c>
      <c r="G3751">
        <v>607957564</v>
      </c>
      <c r="H3751">
        <v>134290</v>
      </c>
      <c r="I3751">
        <v>7495</v>
      </c>
      <c r="J3751">
        <v>141785</v>
      </c>
      <c r="K3751" t="b">
        <f>TrafficData[[#This Row],[disposedChallan]]+TrafficData[[#This Row],[pendingChallan]]=TrafficData[[#This Row],[totalChallan]]</f>
        <v>1</v>
      </c>
      <c r="L3751" t="b">
        <f>TrafficData[[#This Row],[pendingAmount]]+TrafficData[[#This Row],[disposedAmount]]=TrafficData[[#This Row],[totalAmount]]</f>
        <v>1</v>
      </c>
      <c r="M3751" t="b">
        <f>TrafficData[[#This Row],[pendingCourt]]+TrafficData[[#This Row],[disposedCourt]]=TrafficData[[#This Row],[totalCourt]]</f>
        <v>1</v>
      </c>
      <c r="N3751" s="8" t="b">
        <f>AND(TrafficData[[#This Row],[disposedChallan]]&lt;=TrafficData[[#This Row],[totalChallan]],TrafficData[[#This Row],[pendingChallan]]&lt;=TrafficData[[#This Row],[totalChallan]])</f>
        <v>1</v>
      </c>
      <c r="O3751" s="8" t="b">
        <f>AND(TrafficData[[#This Row],[pendingAmount]]&lt;=TrafficData[[#This Row],[totalAmount]],TrafficData[[#This Row],[disposedAmount]]&lt;=TrafficData[[#This Row],[totalAmount]])</f>
        <v>1</v>
      </c>
      <c r="P3751" s="8" t="b">
        <f>AND(TrafficData[[#This Row],[pendingCourt]]&lt;=TrafficData[[#This Row],[totalCourt]],TrafficData[[#This Row],[disposedCourt]]&lt;=TrafficData[[#This Row],[totalCourt]])</f>
        <v>1</v>
      </c>
    </row>
    <row r="3752" spans="1:16">
      <c r="A3752" s="1">
        <v>45756</v>
      </c>
      <c r="B3752">
        <v>286673</v>
      </c>
      <c r="C3752">
        <v>73544</v>
      </c>
      <c r="D3752">
        <v>213129</v>
      </c>
      <c r="E3752">
        <v>441385280</v>
      </c>
      <c r="F3752">
        <v>130776540</v>
      </c>
      <c r="G3752">
        <v>572161820</v>
      </c>
      <c r="H3752">
        <v>134290</v>
      </c>
      <c r="I3752">
        <v>7388</v>
      </c>
      <c r="J3752">
        <v>141678</v>
      </c>
      <c r="K3752" t="b">
        <f>TrafficData[[#This Row],[disposedChallan]]+TrafficData[[#This Row],[pendingChallan]]=TrafficData[[#This Row],[totalChallan]]</f>
        <v>1</v>
      </c>
      <c r="L3752" t="b">
        <f>TrafficData[[#This Row],[pendingAmount]]+TrafficData[[#This Row],[disposedAmount]]=TrafficData[[#This Row],[totalAmount]]</f>
        <v>1</v>
      </c>
      <c r="M3752" t="b">
        <f>TrafficData[[#This Row],[pendingCourt]]+TrafficData[[#This Row],[disposedCourt]]=TrafficData[[#This Row],[totalCourt]]</f>
        <v>1</v>
      </c>
      <c r="N3752" s="8" t="b">
        <f>AND(TrafficData[[#This Row],[disposedChallan]]&lt;=TrafficData[[#This Row],[totalChallan]],TrafficData[[#This Row],[pendingChallan]]&lt;=TrafficData[[#This Row],[totalChallan]])</f>
        <v>1</v>
      </c>
      <c r="O3752" s="8" t="b">
        <f>AND(TrafficData[[#This Row],[pendingAmount]]&lt;=TrafficData[[#This Row],[totalAmount]],TrafficData[[#This Row],[disposedAmount]]&lt;=TrafficData[[#This Row],[totalAmount]])</f>
        <v>1</v>
      </c>
      <c r="P3752" s="8" t="b">
        <f>AND(TrafficData[[#This Row],[pendingCourt]]&lt;=TrafficData[[#This Row],[totalCourt]],TrafficData[[#This Row],[disposedCourt]]&lt;=TrafficData[[#This Row],[totalCourt]])</f>
        <v>1</v>
      </c>
    </row>
    <row r="3753" spans="1:16">
      <c r="A3753" s="1">
        <v>45757</v>
      </c>
      <c r="B3753">
        <v>245288</v>
      </c>
      <c r="C3753">
        <v>62192</v>
      </c>
      <c r="D3753">
        <v>183096</v>
      </c>
      <c r="E3753">
        <v>357301634</v>
      </c>
      <c r="F3753">
        <v>102651621</v>
      </c>
      <c r="G3753">
        <v>459953255</v>
      </c>
      <c r="H3753">
        <v>111893</v>
      </c>
      <c r="I3753">
        <v>6172</v>
      </c>
      <c r="J3753">
        <v>118065</v>
      </c>
      <c r="K3753" t="b">
        <f>TrafficData[[#This Row],[disposedChallan]]+TrafficData[[#This Row],[pendingChallan]]=TrafficData[[#This Row],[totalChallan]]</f>
        <v>1</v>
      </c>
      <c r="L3753" t="b">
        <f>TrafficData[[#This Row],[pendingAmount]]+TrafficData[[#This Row],[disposedAmount]]=TrafficData[[#This Row],[totalAmount]]</f>
        <v>1</v>
      </c>
      <c r="M3753" t="b">
        <f>TrafficData[[#This Row],[pendingCourt]]+TrafficData[[#This Row],[disposedCourt]]=TrafficData[[#This Row],[totalCourt]]</f>
        <v>1</v>
      </c>
      <c r="N3753" s="8" t="b">
        <f>AND(TrafficData[[#This Row],[disposedChallan]]&lt;=TrafficData[[#This Row],[totalChallan]],TrafficData[[#This Row],[pendingChallan]]&lt;=TrafficData[[#This Row],[totalChallan]])</f>
        <v>1</v>
      </c>
      <c r="O3753" s="8" t="b">
        <f>AND(TrafficData[[#This Row],[pendingAmount]]&lt;=TrafficData[[#This Row],[totalAmount]],TrafficData[[#This Row],[disposedAmount]]&lt;=TrafficData[[#This Row],[totalAmount]])</f>
        <v>1</v>
      </c>
      <c r="P3753" s="8" t="b">
        <f>AND(TrafficData[[#This Row],[pendingCourt]]&lt;=TrafficData[[#This Row],[totalCourt]],TrafficData[[#This Row],[disposedCourt]]&lt;=TrafficData[[#This Row],[totalCourt]])</f>
        <v>1</v>
      </c>
    </row>
    <row r="3754" spans="1:16">
      <c r="A3754" s="1">
        <v>45758</v>
      </c>
      <c r="B3754">
        <v>254175</v>
      </c>
      <c r="C3754">
        <v>65006</v>
      </c>
      <c r="D3754">
        <v>189169</v>
      </c>
      <c r="E3754">
        <v>371493475</v>
      </c>
      <c r="F3754">
        <v>100259809</v>
      </c>
      <c r="G3754">
        <v>471753284</v>
      </c>
      <c r="H3754">
        <v>114851</v>
      </c>
      <c r="I3754">
        <v>6372</v>
      </c>
      <c r="J3754">
        <v>121223</v>
      </c>
      <c r="K3754" t="b">
        <f>TrafficData[[#This Row],[disposedChallan]]+TrafficData[[#This Row],[pendingChallan]]=TrafficData[[#This Row],[totalChallan]]</f>
        <v>1</v>
      </c>
      <c r="L3754" t="b">
        <f>TrafficData[[#This Row],[pendingAmount]]+TrafficData[[#This Row],[disposedAmount]]=TrafficData[[#This Row],[totalAmount]]</f>
        <v>1</v>
      </c>
      <c r="M3754" t="b">
        <f>TrafficData[[#This Row],[pendingCourt]]+TrafficData[[#This Row],[disposedCourt]]=TrafficData[[#This Row],[totalCourt]]</f>
        <v>1</v>
      </c>
      <c r="N3754" s="8" t="b">
        <f>AND(TrafficData[[#This Row],[disposedChallan]]&lt;=TrafficData[[#This Row],[totalChallan]],TrafficData[[#This Row],[pendingChallan]]&lt;=TrafficData[[#This Row],[totalChallan]])</f>
        <v>1</v>
      </c>
      <c r="O3754" s="8" t="b">
        <f>AND(TrafficData[[#This Row],[pendingAmount]]&lt;=TrafficData[[#This Row],[totalAmount]],TrafficData[[#This Row],[disposedAmount]]&lt;=TrafficData[[#This Row],[totalAmount]])</f>
        <v>1</v>
      </c>
      <c r="P3754" s="8" t="b">
        <f>AND(TrafficData[[#This Row],[pendingCourt]]&lt;=TrafficData[[#This Row],[totalCourt]],TrafficData[[#This Row],[disposedCourt]]&lt;=TrafficData[[#This Row],[totalCourt]])</f>
        <v>1</v>
      </c>
    </row>
    <row r="3755" spans="1:16">
      <c r="A3755" s="1">
        <v>45759</v>
      </c>
      <c r="B3755">
        <v>265284</v>
      </c>
      <c r="C3755">
        <v>69608</v>
      </c>
      <c r="D3755">
        <v>195676</v>
      </c>
      <c r="E3755">
        <v>392126933</v>
      </c>
      <c r="F3755">
        <v>98542718</v>
      </c>
      <c r="G3755">
        <v>490669651</v>
      </c>
      <c r="H3755">
        <v>113533</v>
      </c>
      <c r="I3755">
        <v>6615</v>
      </c>
      <c r="J3755">
        <v>120148</v>
      </c>
      <c r="K3755" t="b">
        <f>TrafficData[[#This Row],[disposedChallan]]+TrafficData[[#This Row],[pendingChallan]]=TrafficData[[#This Row],[totalChallan]]</f>
        <v>1</v>
      </c>
      <c r="L3755" t="b">
        <f>TrafficData[[#This Row],[pendingAmount]]+TrafficData[[#This Row],[disposedAmount]]=TrafficData[[#This Row],[totalAmount]]</f>
        <v>1</v>
      </c>
      <c r="M3755" t="b">
        <f>TrafficData[[#This Row],[pendingCourt]]+TrafficData[[#This Row],[disposedCourt]]=TrafficData[[#This Row],[totalCourt]]</f>
        <v>1</v>
      </c>
      <c r="N3755" s="8" t="b">
        <f>AND(TrafficData[[#This Row],[disposedChallan]]&lt;=TrafficData[[#This Row],[totalChallan]],TrafficData[[#This Row],[pendingChallan]]&lt;=TrafficData[[#This Row],[totalChallan]])</f>
        <v>1</v>
      </c>
      <c r="O3755" s="8" t="b">
        <f>AND(TrafficData[[#This Row],[pendingAmount]]&lt;=TrafficData[[#This Row],[totalAmount]],TrafficData[[#This Row],[disposedAmount]]&lt;=TrafficData[[#This Row],[totalAmount]])</f>
        <v>1</v>
      </c>
      <c r="P3755" s="8" t="b">
        <f>AND(TrafficData[[#This Row],[pendingCourt]]&lt;=TrafficData[[#This Row],[totalCourt]],TrafficData[[#This Row],[disposedCourt]]&lt;=TrafficData[[#This Row],[totalCourt]])</f>
        <v>1</v>
      </c>
    </row>
    <row r="3756" spans="1:16">
      <c r="A3756" s="1">
        <v>45760</v>
      </c>
      <c r="B3756">
        <v>264323</v>
      </c>
      <c r="C3756">
        <v>71254</v>
      </c>
      <c r="D3756">
        <v>193069</v>
      </c>
      <c r="E3756">
        <v>333986209</v>
      </c>
      <c r="F3756">
        <v>84532943</v>
      </c>
      <c r="G3756">
        <v>418519152</v>
      </c>
      <c r="H3756">
        <v>112655</v>
      </c>
      <c r="I3756">
        <v>6519</v>
      </c>
      <c r="J3756">
        <v>119174</v>
      </c>
      <c r="K3756" t="b">
        <f>TrafficData[[#This Row],[disposedChallan]]+TrafficData[[#This Row],[pendingChallan]]=TrafficData[[#This Row],[totalChallan]]</f>
        <v>1</v>
      </c>
      <c r="L3756" t="b">
        <f>TrafficData[[#This Row],[pendingAmount]]+TrafficData[[#This Row],[disposedAmount]]=TrafficData[[#This Row],[totalAmount]]</f>
        <v>1</v>
      </c>
      <c r="M3756" t="b">
        <f>TrafficData[[#This Row],[pendingCourt]]+TrafficData[[#This Row],[disposedCourt]]=TrafficData[[#This Row],[totalCourt]]</f>
        <v>1</v>
      </c>
      <c r="N3756" s="8" t="b">
        <f>AND(TrafficData[[#This Row],[disposedChallan]]&lt;=TrafficData[[#This Row],[totalChallan]],TrafficData[[#This Row],[pendingChallan]]&lt;=TrafficData[[#This Row],[totalChallan]])</f>
        <v>1</v>
      </c>
      <c r="O3756" s="8" t="b">
        <f>AND(TrafficData[[#This Row],[pendingAmount]]&lt;=TrafficData[[#This Row],[totalAmount]],TrafficData[[#This Row],[disposedAmount]]&lt;=TrafficData[[#This Row],[totalAmount]])</f>
        <v>1</v>
      </c>
      <c r="P3756" s="8" t="b">
        <f>AND(TrafficData[[#This Row],[pendingCourt]]&lt;=TrafficData[[#This Row],[totalCourt]],TrafficData[[#This Row],[disposedCourt]]&lt;=TrafficData[[#This Row],[totalCourt]])</f>
        <v>1</v>
      </c>
    </row>
    <row r="3757" spans="1:16">
      <c r="A3757" s="1">
        <v>45761</v>
      </c>
      <c r="B3757">
        <v>247786</v>
      </c>
      <c r="C3757">
        <v>62597</v>
      </c>
      <c r="D3757">
        <v>185189</v>
      </c>
      <c r="E3757">
        <v>328985601</v>
      </c>
      <c r="F3757">
        <v>74251820</v>
      </c>
      <c r="G3757">
        <v>403237421</v>
      </c>
      <c r="H3757">
        <v>112234</v>
      </c>
      <c r="I3757">
        <v>6212</v>
      </c>
      <c r="J3757">
        <v>118446</v>
      </c>
      <c r="K3757" t="b">
        <f>TrafficData[[#This Row],[disposedChallan]]+TrafficData[[#This Row],[pendingChallan]]=TrafficData[[#This Row],[totalChallan]]</f>
        <v>1</v>
      </c>
      <c r="L3757" t="b">
        <f>TrafficData[[#This Row],[pendingAmount]]+TrafficData[[#This Row],[disposedAmount]]=TrafficData[[#This Row],[totalAmount]]</f>
        <v>1</v>
      </c>
      <c r="M3757" t="b">
        <f>TrafficData[[#This Row],[pendingCourt]]+TrafficData[[#This Row],[disposedCourt]]=TrafficData[[#This Row],[totalCourt]]</f>
        <v>1</v>
      </c>
      <c r="N3757" s="8" t="b">
        <f>AND(TrafficData[[#This Row],[disposedChallan]]&lt;=TrafficData[[#This Row],[totalChallan]],TrafficData[[#This Row],[pendingChallan]]&lt;=TrafficData[[#This Row],[totalChallan]])</f>
        <v>1</v>
      </c>
      <c r="O3757" s="8" t="b">
        <f>AND(TrafficData[[#This Row],[pendingAmount]]&lt;=TrafficData[[#This Row],[totalAmount]],TrafficData[[#This Row],[disposedAmount]]&lt;=TrafficData[[#This Row],[totalAmount]])</f>
        <v>1</v>
      </c>
      <c r="P3757" s="8" t="b">
        <f>AND(TrafficData[[#This Row],[pendingCourt]]&lt;=TrafficData[[#This Row],[totalCourt]],TrafficData[[#This Row],[disposedCourt]]&lt;=TrafficData[[#This Row],[totalCourt]])</f>
        <v>1</v>
      </c>
    </row>
    <row r="3758" spans="1:16">
      <c r="A3758" s="1">
        <v>45762</v>
      </c>
      <c r="B3758">
        <v>284714</v>
      </c>
      <c r="C3758">
        <v>75573</v>
      </c>
      <c r="D3758">
        <v>209141</v>
      </c>
      <c r="E3758">
        <v>431612400</v>
      </c>
      <c r="F3758">
        <v>111448540</v>
      </c>
      <c r="G3758">
        <v>543060940</v>
      </c>
      <c r="H3758">
        <v>129312</v>
      </c>
      <c r="I3758">
        <v>7301</v>
      </c>
      <c r="J3758">
        <v>136613</v>
      </c>
      <c r="K3758" t="b">
        <f>TrafficData[[#This Row],[disposedChallan]]+TrafficData[[#This Row],[pendingChallan]]=TrafficData[[#This Row],[totalChallan]]</f>
        <v>1</v>
      </c>
      <c r="L3758" t="b">
        <f>TrafficData[[#This Row],[pendingAmount]]+TrafficData[[#This Row],[disposedAmount]]=TrafficData[[#This Row],[totalAmount]]</f>
        <v>1</v>
      </c>
      <c r="M3758" t="b">
        <f>TrafficData[[#This Row],[pendingCourt]]+TrafficData[[#This Row],[disposedCourt]]=TrafficData[[#This Row],[totalCourt]]</f>
        <v>1</v>
      </c>
      <c r="N3758" s="8" t="b">
        <f>AND(TrafficData[[#This Row],[disposedChallan]]&lt;=TrafficData[[#This Row],[totalChallan]],TrafficData[[#This Row],[pendingChallan]]&lt;=TrafficData[[#This Row],[totalChallan]])</f>
        <v>1</v>
      </c>
      <c r="O3758" s="8" t="b">
        <f>AND(TrafficData[[#This Row],[pendingAmount]]&lt;=TrafficData[[#This Row],[totalAmount]],TrafficData[[#This Row],[disposedAmount]]&lt;=TrafficData[[#This Row],[totalAmount]])</f>
        <v>1</v>
      </c>
      <c r="P3758" s="8" t="b">
        <f>AND(TrafficData[[#This Row],[pendingCourt]]&lt;=TrafficData[[#This Row],[totalCourt]],TrafficData[[#This Row],[disposedCourt]]&lt;=TrafficData[[#This Row],[totalCourt]])</f>
        <v>1</v>
      </c>
    </row>
    <row r="3759" spans="1:16">
      <c r="A3759" s="1">
        <v>45763</v>
      </c>
      <c r="B3759">
        <v>281386</v>
      </c>
      <c r="C3759">
        <v>71629</v>
      </c>
      <c r="D3759">
        <v>209757</v>
      </c>
      <c r="E3759">
        <v>413252443</v>
      </c>
      <c r="F3759">
        <v>126430216</v>
      </c>
      <c r="G3759">
        <v>539682659</v>
      </c>
      <c r="H3759">
        <v>124157</v>
      </c>
      <c r="I3759">
        <v>7025</v>
      </c>
      <c r="J3759">
        <v>131182</v>
      </c>
      <c r="K3759" t="b">
        <f>TrafficData[[#This Row],[disposedChallan]]+TrafficData[[#This Row],[pendingChallan]]=TrafficData[[#This Row],[totalChallan]]</f>
        <v>1</v>
      </c>
      <c r="L3759" t="b">
        <f>TrafficData[[#This Row],[pendingAmount]]+TrafficData[[#This Row],[disposedAmount]]=TrafficData[[#This Row],[totalAmount]]</f>
        <v>1</v>
      </c>
      <c r="M3759" t="b">
        <f>TrafficData[[#This Row],[pendingCourt]]+TrafficData[[#This Row],[disposedCourt]]=TrafficData[[#This Row],[totalCourt]]</f>
        <v>1</v>
      </c>
      <c r="N3759" s="8" t="b">
        <f>AND(TrafficData[[#This Row],[disposedChallan]]&lt;=TrafficData[[#This Row],[totalChallan]],TrafficData[[#This Row],[pendingChallan]]&lt;=TrafficData[[#This Row],[totalChallan]])</f>
        <v>1</v>
      </c>
      <c r="O3759" s="8" t="b">
        <f>AND(TrafficData[[#This Row],[pendingAmount]]&lt;=TrafficData[[#This Row],[totalAmount]],TrafficData[[#This Row],[disposedAmount]]&lt;=TrafficData[[#This Row],[totalAmount]])</f>
        <v>1</v>
      </c>
      <c r="P3759" s="8" t="b">
        <f>AND(TrafficData[[#This Row],[pendingCourt]]&lt;=TrafficData[[#This Row],[totalCourt]],TrafficData[[#This Row],[disposedCourt]]&lt;=TrafficData[[#This Row],[totalCourt]])</f>
        <v>1</v>
      </c>
    </row>
    <row r="3760" spans="1:16">
      <c r="A3760" s="1">
        <v>45764</v>
      </c>
      <c r="B3760">
        <v>285232</v>
      </c>
      <c r="C3760">
        <v>73532</v>
      </c>
      <c r="D3760">
        <v>211700</v>
      </c>
      <c r="E3760">
        <v>423055066</v>
      </c>
      <c r="F3760">
        <v>131455931</v>
      </c>
      <c r="G3760">
        <v>554510997</v>
      </c>
      <c r="H3760">
        <v>120155</v>
      </c>
      <c r="I3760">
        <v>6812</v>
      </c>
      <c r="J3760">
        <v>126967</v>
      </c>
      <c r="K3760" t="b">
        <f>TrafficData[[#This Row],[disposedChallan]]+TrafficData[[#This Row],[pendingChallan]]=TrafficData[[#This Row],[totalChallan]]</f>
        <v>1</v>
      </c>
      <c r="L3760" t="b">
        <f>TrafficData[[#This Row],[pendingAmount]]+TrafficData[[#This Row],[disposedAmount]]=TrafficData[[#This Row],[totalAmount]]</f>
        <v>1</v>
      </c>
      <c r="M3760" t="b">
        <f>TrafficData[[#This Row],[pendingCourt]]+TrafficData[[#This Row],[disposedCourt]]=TrafficData[[#This Row],[totalCourt]]</f>
        <v>1</v>
      </c>
      <c r="N3760" s="8" t="b">
        <f>AND(TrafficData[[#This Row],[disposedChallan]]&lt;=TrafficData[[#This Row],[totalChallan]],TrafficData[[#This Row],[pendingChallan]]&lt;=TrafficData[[#This Row],[totalChallan]])</f>
        <v>1</v>
      </c>
      <c r="O3760" s="8" t="b">
        <f>AND(TrafficData[[#This Row],[pendingAmount]]&lt;=TrafficData[[#This Row],[totalAmount]],TrafficData[[#This Row],[disposedAmount]]&lt;=TrafficData[[#This Row],[totalAmount]])</f>
        <v>1</v>
      </c>
      <c r="P3760" s="8" t="b">
        <f>AND(TrafficData[[#This Row],[pendingCourt]]&lt;=TrafficData[[#This Row],[totalCourt]],TrafficData[[#This Row],[disposedCourt]]&lt;=TrafficData[[#This Row],[totalCourt]])</f>
        <v>1</v>
      </c>
    </row>
    <row r="3761" spans="1:16">
      <c r="A3761" s="1">
        <v>45765</v>
      </c>
      <c r="B3761">
        <v>284531</v>
      </c>
      <c r="C3761">
        <v>71090</v>
      </c>
      <c r="D3761">
        <v>213441</v>
      </c>
      <c r="E3761">
        <v>375799280</v>
      </c>
      <c r="F3761">
        <v>106763457</v>
      </c>
      <c r="G3761">
        <v>482562737</v>
      </c>
      <c r="H3761">
        <v>120933</v>
      </c>
      <c r="I3761">
        <v>6835</v>
      </c>
      <c r="J3761">
        <v>127768</v>
      </c>
      <c r="K3761" t="b">
        <f>TrafficData[[#This Row],[disposedChallan]]+TrafficData[[#This Row],[pendingChallan]]=TrafficData[[#This Row],[totalChallan]]</f>
        <v>1</v>
      </c>
      <c r="L3761" t="b">
        <f>TrafficData[[#This Row],[pendingAmount]]+TrafficData[[#This Row],[disposedAmount]]=TrafficData[[#This Row],[totalAmount]]</f>
        <v>1</v>
      </c>
      <c r="M3761" t="b">
        <f>TrafficData[[#This Row],[pendingCourt]]+TrafficData[[#This Row],[disposedCourt]]=TrafficData[[#This Row],[totalCourt]]</f>
        <v>1</v>
      </c>
      <c r="N3761" s="8" t="b">
        <f>AND(TrafficData[[#This Row],[disposedChallan]]&lt;=TrafficData[[#This Row],[totalChallan]],TrafficData[[#This Row],[pendingChallan]]&lt;=TrafficData[[#This Row],[totalChallan]])</f>
        <v>1</v>
      </c>
      <c r="O3761" s="8" t="b">
        <f>AND(TrafficData[[#This Row],[pendingAmount]]&lt;=TrafficData[[#This Row],[totalAmount]],TrafficData[[#This Row],[disposedAmount]]&lt;=TrafficData[[#This Row],[totalAmount]])</f>
        <v>1</v>
      </c>
      <c r="P3761" s="8" t="b">
        <f>AND(TrafficData[[#This Row],[pendingCourt]]&lt;=TrafficData[[#This Row],[totalCourt]],TrafficData[[#This Row],[disposedCourt]]&lt;=TrafficData[[#This Row],[totalCourt]])</f>
        <v>1</v>
      </c>
    </row>
    <row r="3762" spans="1:16">
      <c r="A3762" s="1">
        <v>45766</v>
      </c>
      <c r="B3762">
        <v>279791</v>
      </c>
      <c r="C3762">
        <v>71813</v>
      </c>
      <c r="D3762">
        <v>207978</v>
      </c>
      <c r="E3762">
        <v>391032389</v>
      </c>
      <c r="F3762">
        <v>104547886</v>
      </c>
      <c r="G3762">
        <v>495580275</v>
      </c>
      <c r="H3762">
        <v>116914</v>
      </c>
      <c r="I3762">
        <v>5993</v>
      </c>
      <c r="J3762">
        <v>122907</v>
      </c>
      <c r="K3762" t="b">
        <f>TrafficData[[#This Row],[disposedChallan]]+TrafficData[[#This Row],[pendingChallan]]=TrafficData[[#This Row],[totalChallan]]</f>
        <v>1</v>
      </c>
      <c r="L3762" t="b">
        <f>TrafficData[[#This Row],[pendingAmount]]+TrafficData[[#This Row],[disposedAmount]]=TrafficData[[#This Row],[totalAmount]]</f>
        <v>1</v>
      </c>
      <c r="M3762" t="b">
        <f>TrafficData[[#This Row],[pendingCourt]]+TrafficData[[#This Row],[disposedCourt]]=TrafficData[[#This Row],[totalCourt]]</f>
        <v>1</v>
      </c>
      <c r="N3762" s="8" t="b">
        <f>AND(TrafficData[[#This Row],[disposedChallan]]&lt;=TrafficData[[#This Row],[totalChallan]],TrafficData[[#This Row],[pendingChallan]]&lt;=TrafficData[[#This Row],[totalChallan]])</f>
        <v>1</v>
      </c>
      <c r="O3762" s="8" t="b">
        <f>AND(TrafficData[[#This Row],[pendingAmount]]&lt;=TrafficData[[#This Row],[totalAmount]],TrafficData[[#This Row],[disposedAmount]]&lt;=TrafficData[[#This Row],[totalAmount]])</f>
        <v>1</v>
      </c>
      <c r="P3762" s="8" t="b">
        <f>AND(TrafficData[[#This Row],[pendingCourt]]&lt;=TrafficData[[#This Row],[totalCourt]],TrafficData[[#This Row],[disposedCourt]]&lt;=TrafficData[[#This Row],[totalCourt]])</f>
        <v>1</v>
      </c>
    </row>
    <row r="3763" spans="1:16">
      <c r="A3763" s="1">
        <v>45767</v>
      </c>
      <c r="B3763">
        <v>255150</v>
      </c>
      <c r="C3763">
        <v>63216</v>
      </c>
      <c r="D3763">
        <v>191934</v>
      </c>
      <c r="E3763">
        <v>320703087</v>
      </c>
      <c r="F3763">
        <v>81765870</v>
      </c>
      <c r="G3763">
        <v>402468957</v>
      </c>
      <c r="H3763">
        <v>107695</v>
      </c>
      <c r="I3763">
        <v>6336</v>
      </c>
      <c r="J3763">
        <v>114031</v>
      </c>
      <c r="K3763" t="b">
        <f>TrafficData[[#This Row],[disposedChallan]]+TrafficData[[#This Row],[pendingChallan]]=TrafficData[[#This Row],[totalChallan]]</f>
        <v>1</v>
      </c>
      <c r="L3763" t="b">
        <f>TrafficData[[#This Row],[pendingAmount]]+TrafficData[[#This Row],[disposedAmount]]=TrafficData[[#This Row],[totalAmount]]</f>
        <v>1</v>
      </c>
      <c r="M3763" t="b">
        <f>TrafficData[[#This Row],[pendingCourt]]+TrafficData[[#This Row],[disposedCourt]]=TrafficData[[#This Row],[totalCourt]]</f>
        <v>1</v>
      </c>
      <c r="N3763" s="8" t="b">
        <f>AND(TrafficData[[#This Row],[disposedChallan]]&lt;=TrafficData[[#This Row],[totalChallan]],TrafficData[[#This Row],[pendingChallan]]&lt;=TrafficData[[#This Row],[totalChallan]])</f>
        <v>1</v>
      </c>
      <c r="O3763" s="8" t="b">
        <f>AND(TrafficData[[#This Row],[pendingAmount]]&lt;=TrafficData[[#This Row],[totalAmount]],TrafficData[[#This Row],[disposedAmount]]&lt;=TrafficData[[#This Row],[totalAmount]])</f>
        <v>1</v>
      </c>
      <c r="P3763" s="8" t="b">
        <f>AND(TrafficData[[#This Row],[pendingCourt]]&lt;=TrafficData[[#This Row],[totalCourt]],TrafficData[[#This Row],[disposedCourt]]&lt;=TrafficData[[#This Row],[totalCourt]])</f>
        <v>1</v>
      </c>
    </row>
    <row r="3764" spans="1:16">
      <c r="A3764" s="1">
        <v>45768</v>
      </c>
      <c r="B3764">
        <v>278153</v>
      </c>
      <c r="C3764">
        <v>71809</v>
      </c>
      <c r="D3764">
        <v>206344</v>
      </c>
      <c r="E3764">
        <v>397158065</v>
      </c>
      <c r="F3764">
        <v>117531640</v>
      </c>
      <c r="G3764">
        <v>514689705</v>
      </c>
      <c r="H3764">
        <v>114102</v>
      </c>
      <c r="I3764">
        <v>6588</v>
      </c>
      <c r="J3764">
        <v>120690</v>
      </c>
      <c r="K3764" t="b">
        <f>TrafficData[[#This Row],[disposedChallan]]+TrafficData[[#This Row],[pendingChallan]]=TrafficData[[#This Row],[totalChallan]]</f>
        <v>1</v>
      </c>
      <c r="L3764" t="b">
        <f>TrafficData[[#This Row],[pendingAmount]]+TrafficData[[#This Row],[disposedAmount]]=TrafficData[[#This Row],[totalAmount]]</f>
        <v>1</v>
      </c>
      <c r="M3764" t="b">
        <f>TrafficData[[#This Row],[pendingCourt]]+TrafficData[[#This Row],[disposedCourt]]=TrafficData[[#This Row],[totalCourt]]</f>
        <v>1</v>
      </c>
      <c r="N3764" s="8" t="b">
        <f>AND(TrafficData[[#This Row],[disposedChallan]]&lt;=TrafficData[[#This Row],[totalChallan]],TrafficData[[#This Row],[pendingChallan]]&lt;=TrafficData[[#This Row],[totalChallan]])</f>
        <v>1</v>
      </c>
      <c r="O3764" s="8" t="b">
        <f>AND(TrafficData[[#This Row],[pendingAmount]]&lt;=TrafficData[[#This Row],[totalAmount]],TrafficData[[#This Row],[disposedAmount]]&lt;=TrafficData[[#This Row],[totalAmount]])</f>
        <v>1</v>
      </c>
      <c r="P3764" s="8" t="b">
        <f>AND(TrafficData[[#This Row],[pendingCourt]]&lt;=TrafficData[[#This Row],[totalCourt]],TrafficData[[#This Row],[disposedCourt]]&lt;=TrafficData[[#This Row],[totalCourt]])</f>
        <v>1</v>
      </c>
    </row>
    <row r="3765" spans="1:16">
      <c r="A3765" s="1">
        <v>45769</v>
      </c>
      <c r="B3765">
        <v>275828</v>
      </c>
      <c r="C3765">
        <v>72192</v>
      </c>
      <c r="D3765">
        <v>203636</v>
      </c>
      <c r="E3765">
        <v>407245384</v>
      </c>
      <c r="F3765">
        <v>122864685</v>
      </c>
      <c r="G3765">
        <v>530110069</v>
      </c>
      <c r="H3765">
        <v>115254</v>
      </c>
      <c r="I3765">
        <v>6437</v>
      </c>
      <c r="J3765">
        <v>121691</v>
      </c>
      <c r="K3765" t="b">
        <f>TrafficData[[#This Row],[disposedChallan]]+TrafficData[[#This Row],[pendingChallan]]=TrafficData[[#This Row],[totalChallan]]</f>
        <v>1</v>
      </c>
      <c r="L3765" t="b">
        <f>TrafficData[[#This Row],[pendingAmount]]+TrafficData[[#This Row],[disposedAmount]]=TrafficData[[#This Row],[totalAmount]]</f>
        <v>1</v>
      </c>
      <c r="M3765" t="b">
        <f>TrafficData[[#This Row],[pendingCourt]]+TrafficData[[#This Row],[disposedCourt]]=TrafficData[[#This Row],[totalCourt]]</f>
        <v>1</v>
      </c>
      <c r="N3765" s="8" t="b">
        <f>AND(TrafficData[[#This Row],[disposedChallan]]&lt;=TrafficData[[#This Row],[totalChallan]],TrafficData[[#This Row],[pendingChallan]]&lt;=TrafficData[[#This Row],[totalChallan]])</f>
        <v>1</v>
      </c>
      <c r="O3765" s="8" t="b">
        <f>AND(TrafficData[[#This Row],[pendingAmount]]&lt;=TrafficData[[#This Row],[totalAmount]],TrafficData[[#This Row],[disposedAmount]]&lt;=TrafficData[[#This Row],[totalAmount]])</f>
        <v>1</v>
      </c>
      <c r="P3765" s="8" t="b">
        <f>AND(TrafficData[[#This Row],[pendingCourt]]&lt;=TrafficData[[#This Row],[totalCourt]],TrafficData[[#This Row],[disposedCourt]]&lt;=TrafficData[[#This Row],[totalCourt]])</f>
        <v>1</v>
      </c>
    </row>
    <row r="3766" spans="1:16">
      <c r="A3766" s="1">
        <v>45770</v>
      </c>
      <c r="B3766">
        <v>265932</v>
      </c>
      <c r="C3766">
        <v>71115</v>
      </c>
      <c r="D3766">
        <v>194817</v>
      </c>
      <c r="E3766">
        <v>405786226</v>
      </c>
      <c r="F3766">
        <v>123886754</v>
      </c>
      <c r="G3766">
        <v>529672980</v>
      </c>
      <c r="H3766">
        <v>111270</v>
      </c>
      <c r="I3766">
        <v>6145</v>
      </c>
      <c r="J3766">
        <v>117415</v>
      </c>
      <c r="K3766" t="b">
        <f>TrafficData[[#This Row],[disposedChallan]]+TrafficData[[#This Row],[pendingChallan]]=TrafficData[[#This Row],[totalChallan]]</f>
        <v>1</v>
      </c>
      <c r="L3766" t="b">
        <f>TrafficData[[#This Row],[pendingAmount]]+TrafficData[[#This Row],[disposedAmount]]=TrafficData[[#This Row],[totalAmount]]</f>
        <v>1</v>
      </c>
      <c r="M3766" t="b">
        <f>TrafficData[[#This Row],[pendingCourt]]+TrafficData[[#This Row],[disposedCourt]]=TrafficData[[#This Row],[totalCourt]]</f>
        <v>1</v>
      </c>
      <c r="N3766" s="8" t="b">
        <f>AND(TrafficData[[#This Row],[disposedChallan]]&lt;=TrafficData[[#This Row],[totalChallan]],TrafficData[[#This Row],[pendingChallan]]&lt;=TrafficData[[#This Row],[totalChallan]])</f>
        <v>1</v>
      </c>
      <c r="O3766" s="8" t="b">
        <f>AND(TrafficData[[#This Row],[pendingAmount]]&lt;=TrafficData[[#This Row],[totalAmount]],TrafficData[[#This Row],[disposedAmount]]&lt;=TrafficData[[#This Row],[totalAmount]])</f>
        <v>1</v>
      </c>
      <c r="P3766" s="8" t="b">
        <f>AND(TrafficData[[#This Row],[pendingCourt]]&lt;=TrafficData[[#This Row],[totalCourt]],TrafficData[[#This Row],[disposedCourt]]&lt;=TrafficData[[#This Row],[totalCourt]])</f>
        <v>1</v>
      </c>
    </row>
    <row r="3767" spans="1:16">
      <c r="A3767" s="1">
        <v>45771</v>
      </c>
      <c r="B3767">
        <v>274495</v>
      </c>
      <c r="C3767">
        <v>72019</v>
      </c>
      <c r="D3767">
        <v>202476</v>
      </c>
      <c r="E3767">
        <v>407386496</v>
      </c>
      <c r="F3767">
        <v>110993733</v>
      </c>
      <c r="G3767">
        <v>518380229</v>
      </c>
      <c r="H3767">
        <v>112915</v>
      </c>
      <c r="I3767">
        <v>6244</v>
      </c>
      <c r="J3767">
        <v>119159</v>
      </c>
      <c r="K3767" t="b">
        <f>TrafficData[[#This Row],[disposedChallan]]+TrafficData[[#This Row],[pendingChallan]]=TrafficData[[#This Row],[totalChallan]]</f>
        <v>1</v>
      </c>
      <c r="L3767" t="b">
        <f>TrafficData[[#This Row],[pendingAmount]]+TrafficData[[#This Row],[disposedAmount]]=TrafficData[[#This Row],[totalAmount]]</f>
        <v>1</v>
      </c>
      <c r="M3767" t="b">
        <f>TrafficData[[#This Row],[pendingCourt]]+TrafficData[[#This Row],[disposedCourt]]=TrafficData[[#This Row],[totalCourt]]</f>
        <v>1</v>
      </c>
      <c r="N3767" s="8" t="b">
        <f>AND(TrafficData[[#This Row],[disposedChallan]]&lt;=TrafficData[[#This Row],[totalChallan]],TrafficData[[#This Row],[pendingChallan]]&lt;=TrafficData[[#This Row],[totalChallan]])</f>
        <v>1</v>
      </c>
      <c r="O3767" s="8" t="b">
        <f>AND(TrafficData[[#This Row],[pendingAmount]]&lt;=TrafficData[[#This Row],[totalAmount]],TrafficData[[#This Row],[disposedAmount]]&lt;=TrafficData[[#This Row],[totalAmount]])</f>
        <v>1</v>
      </c>
      <c r="P3767" s="8" t="b">
        <f>AND(TrafficData[[#This Row],[pendingCourt]]&lt;=TrafficData[[#This Row],[totalCourt]],TrafficData[[#This Row],[disposedCourt]]&lt;=TrafficData[[#This Row],[totalCourt]])</f>
        <v>1</v>
      </c>
    </row>
    <row r="3768" spans="1:16">
      <c r="A3768" s="1">
        <v>45772</v>
      </c>
      <c r="B3768">
        <v>279286</v>
      </c>
      <c r="C3768">
        <v>74081</v>
      </c>
      <c r="D3768">
        <v>205205</v>
      </c>
      <c r="E3768">
        <v>426374527</v>
      </c>
      <c r="F3768">
        <v>115476056</v>
      </c>
      <c r="G3768">
        <v>541850583</v>
      </c>
      <c r="H3768">
        <v>106954</v>
      </c>
      <c r="I3768">
        <v>6386</v>
      </c>
      <c r="J3768">
        <v>113340</v>
      </c>
      <c r="K3768" t="b">
        <f>TrafficData[[#This Row],[disposedChallan]]+TrafficData[[#This Row],[pendingChallan]]=TrafficData[[#This Row],[totalChallan]]</f>
        <v>1</v>
      </c>
      <c r="L3768" t="b">
        <f>TrafficData[[#This Row],[pendingAmount]]+TrafficData[[#This Row],[disposedAmount]]=TrafficData[[#This Row],[totalAmount]]</f>
        <v>1</v>
      </c>
      <c r="M3768" t="b">
        <f>TrafficData[[#This Row],[pendingCourt]]+TrafficData[[#This Row],[disposedCourt]]=TrafficData[[#This Row],[totalCourt]]</f>
        <v>1</v>
      </c>
      <c r="N3768" s="8" t="b">
        <f>AND(TrafficData[[#This Row],[disposedChallan]]&lt;=TrafficData[[#This Row],[totalChallan]],TrafficData[[#This Row],[pendingChallan]]&lt;=TrafficData[[#This Row],[totalChallan]])</f>
        <v>1</v>
      </c>
      <c r="O3768" s="8" t="b">
        <f>AND(TrafficData[[#This Row],[pendingAmount]]&lt;=TrafficData[[#This Row],[totalAmount]],TrafficData[[#This Row],[disposedAmount]]&lt;=TrafficData[[#This Row],[totalAmount]])</f>
        <v>1</v>
      </c>
      <c r="P3768" s="8" t="b">
        <f>AND(TrafficData[[#This Row],[pendingCourt]]&lt;=TrafficData[[#This Row],[totalCourt]],TrafficData[[#This Row],[disposedCourt]]&lt;=TrafficData[[#This Row],[totalCourt]])</f>
        <v>1</v>
      </c>
    </row>
    <row r="3769" spans="1:16">
      <c r="A3769" s="1">
        <v>45773</v>
      </c>
      <c r="B3769">
        <v>282732</v>
      </c>
      <c r="C3769">
        <v>75839</v>
      </c>
      <c r="D3769">
        <v>206893</v>
      </c>
      <c r="E3769">
        <v>399925434</v>
      </c>
      <c r="F3769">
        <v>106773580</v>
      </c>
      <c r="G3769">
        <v>506699014</v>
      </c>
      <c r="H3769">
        <v>94553</v>
      </c>
      <c r="I3769">
        <v>6555</v>
      </c>
      <c r="J3769">
        <v>101108</v>
      </c>
      <c r="K3769" t="b">
        <f>TrafficData[[#This Row],[disposedChallan]]+TrafficData[[#This Row],[pendingChallan]]=TrafficData[[#This Row],[totalChallan]]</f>
        <v>1</v>
      </c>
      <c r="L3769" t="b">
        <f>TrafficData[[#This Row],[pendingAmount]]+TrafficData[[#This Row],[disposedAmount]]=TrafficData[[#This Row],[totalAmount]]</f>
        <v>1</v>
      </c>
      <c r="M3769" t="b">
        <f>TrafficData[[#This Row],[pendingCourt]]+TrafficData[[#This Row],[disposedCourt]]=TrafficData[[#This Row],[totalCourt]]</f>
        <v>1</v>
      </c>
      <c r="N3769" s="8" t="b">
        <f>AND(TrafficData[[#This Row],[disposedChallan]]&lt;=TrafficData[[#This Row],[totalChallan]],TrafficData[[#This Row],[pendingChallan]]&lt;=TrafficData[[#This Row],[totalChallan]])</f>
        <v>1</v>
      </c>
      <c r="O3769" s="8" t="b">
        <f>AND(TrafficData[[#This Row],[pendingAmount]]&lt;=TrafficData[[#This Row],[totalAmount]],TrafficData[[#This Row],[disposedAmount]]&lt;=TrafficData[[#This Row],[totalAmount]])</f>
        <v>1</v>
      </c>
      <c r="P3769" s="8" t="b">
        <f>AND(TrafficData[[#This Row],[pendingCourt]]&lt;=TrafficData[[#This Row],[totalCourt]],TrafficData[[#This Row],[disposedCourt]]&lt;=TrafficData[[#This Row],[totalCourt]])</f>
        <v>1</v>
      </c>
    </row>
    <row r="3770" spans="1:16">
      <c r="A3770" s="1">
        <v>45774</v>
      </c>
      <c r="B3770">
        <v>260751</v>
      </c>
      <c r="C3770">
        <v>67144</v>
      </c>
      <c r="D3770">
        <v>193607</v>
      </c>
      <c r="E3770">
        <v>329033574</v>
      </c>
      <c r="F3770">
        <v>82079781</v>
      </c>
      <c r="G3770">
        <v>411113355</v>
      </c>
      <c r="H3770">
        <v>103845</v>
      </c>
      <c r="I3770">
        <v>5827</v>
      </c>
      <c r="J3770">
        <v>109672</v>
      </c>
      <c r="K3770" t="b">
        <f>TrafficData[[#This Row],[disposedChallan]]+TrafficData[[#This Row],[pendingChallan]]=TrafficData[[#This Row],[totalChallan]]</f>
        <v>1</v>
      </c>
      <c r="L3770" t="b">
        <f>TrafficData[[#This Row],[pendingAmount]]+TrafficData[[#This Row],[disposedAmount]]=TrafficData[[#This Row],[totalAmount]]</f>
        <v>1</v>
      </c>
      <c r="M3770" t="b">
        <f>TrafficData[[#This Row],[pendingCourt]]+TrafficData[[#This Row],[disposedCourt]]=TrafficData[[#This Row],[totalCourt]]</f>
        <v>1</v>
      </c>
      <c r="N3770" s="8" t="b">
        <f>AND(TrafficData[[#This Row],[disposedChallan]]&lt;=TrafficData[[#This Row],[totalChallan]],TrafficData[[#This Row],[pendingChallan]]&lt;=TrafficData[[#This Row],[totalChallan]])</f>
        <v>1</v>
      </c>
      <c r="O3770" s="8" t="b">
        <f>AND(TrafficData[[#This Row],[pendingAmount]]&lt;=TrafficData[[#This Row],[totalAmount]],TrafficData[[#This Row],[disposedAmount]]&lt;=TrafficData[[#This Row],[totalAmount]])</f>
        <v>1</v>
      </c>
      <c r="P3770" s="8" t="b">
        <f>AND(TrafficData[[#This Row],[pendingCourt]]&lt;=TrafficData[[#This Row],[totalCourt]],TrafficData[[#This Row],[disposedCourt]]&lt;=TrafficData[[#This Row],[totalCourt]])</f>
        <v>1</v>
      </c>
    </row>
    <row r="3771" spans="1:16">
      <c r="A3771" s="1">
        <v>45775</v>
      </c>
      <c r="B3771">
        <v>288313</v>
      </c>
      <c r="C3771">
        <v>72086</v>
      </c>
      <c r="D3771">
        <v>216227</v>
      </c>
      <c r="E3771">
        <v>413693454</v>
      </c>
      <c r="F3771">
        <v>98664005</v>
      </c>
      <c r="G3771">
        <v>512357459</v>
      </c>
      <c r="H3771">
        <v>118485</v>
      </c>
      <c r="I3771">
        <v>6559</v>
      </c>
      <c r="J3771">
        <v>125044</v>
      </c>
      <c r="K3771" t="b">
        <f>TrafficData[[#This Row],[disposedChallan]]+TrafficData[[#This Row],[pendingChallan]]=TrafficData[[#This Row],[totalChallan]]</f>
        <v>1</v>
      </c>
      <c r="L3771" t="b">
        <f>TrafficData[[#This Row],[pendingAmount]]+TrafficData[[#This Row],[disposedAmount]]=TrafficData[[#This Row],[totalAmount]]</f>
        <v>1</v>
      </c>
      <c r="M3771" t="b">
        <f>TrafficData[[#This Row],[pendingCourt]]+TrafficData[[#This Row],[disposedCourt]]=TrafficData[[#This Row],[totalCourt]]</f>
        <v>1</v>
      </c>
      <c r="N3771" s="8" t="b">
        <f>AND(TrafficData[[#This Row],[disposedChallan]]&lt;=TrafficData[[#This Row],[totalChallan]],TrafficData[[#This Row],[pendingChallan]]&lt;=TrafficData[[#This Row],[totalChallan]])</f>
        <v>1</v>
      </c>
      <c r="O3771" s="8" t="b">
        <f>AND(TrafficData[[#This Row],[pendingAmount]]&lt;=TrafficData[[#This Row],[totalAmount]],TrafficData[[#This Row],[disposedAmount]]&lt;=TrafficData[[#This Row],[totalAmount]])</f>
        <v>1</v>
      </c>
      <c r="P3771" s="8" t="b">
        <f>AND(TrafficData[[#This Row],[pendingCourt]]&lt;=TrafficData[[#This Row],[totalCourt]],TrafficData[[#This Row],[disposedCourt]]&lt;=TrafficData[[#This Row],[totalCourt]])</f>
        <v>1</v>
      </c>
    </row>
    <row r="3772" spans="1:16">
      <c r="A3772" s="1">
        <v>45776</v>
      </c>
      <c r="B3772">
        <v>266284</v>
      </c>
      <c r="C3772">
        <v>67931</v>
      </c>
      <c r="D3772">
        <v>198353</v>
      </c>
      <c r="E3772">
        <v>379626413</v>
      </c>
      <c r="F3772">
        <v>99936596</v>
      </c>
      <c r="G3772">
        <v>479563009</v>
      </c>
      <c r="H3772">
        <v>97471</v>
      </c>
      <c r="I3772">
        <v>5806</v>
      </c>
      <c r="J3772">
        <v>103277</v>
      </c>
      <c r="K3772" t="b">
        <f>TrafficData[[#This Row],[disposedChallan]]+TrafficData[[#This Row],[pendingChallan]]=TrafficData[[#This Row],[totalChallan]]</f>
        <v>1</v>
      </c>
      <c r="L3772" t="b">
        <f>TrafficData[[#This Row],[pendingAmount]]+TrafficData[[#This Row],[disposedAmount]]=TrafficData[[#This Row],[totalAmount]]</f>
        <v>1</v>
      </c>
      <c r="M3772" t="b">
        <f>TrafficData[[#This Row],[pendingCourt]]+TrafficData[[#This Row],[disposedCourt]]=TrafficData[[#This Row],[totalCourt]]</f>
        <v>1</v>
      </c>
      <c r="N3772" s="8" t="b">
        <f>AND(TrafficData[[#This Row],[disposedChallan]]&lt;=TrafficData[[#This Row],[totalChallan]],TrafficData[[#This Row],[pendingChallan]]&lt;=TrafficData[[#This Row],[totalChallan]])</f>
        <v>1</v>
      </c>
      <c r="O3772" s="8" t="b">
        <f>AND(TrafficData[[#This Row],[pendingAmount]]&lt;=TrafficData[[#This Row],[totalAmount]],TrafficData[[#This Row],[disposedAmount]]&lt;=TrafficData[[#This Row],[totalAmount]])</f>
        <v>1</v>
      </c>
      <c r="P3772" s="8" t="b">
        <f>AND(TrafficData[[#This Row],[pendingCourt]]&lt;=TrafficData[[#This Row],[totalCourt]],TrafficData[[#This Row],[disposedCourt]]&lt;=TrafficData[[#This Row],[totalCourt]])</f>
        <v>1</v>
      </c>
    </row>
    <row r="3773" spans="1:16">
      <c r="A3773" s="1">
        <v>45777</v>
      </c>
      <c r="B3773">
        <v>260400</v>
      </c>
      <c r="C3773">
        <v>65900</v>
      </c>
      <c r="D3773">
        <v>194500</v>
      </c>
      <c r="E3773">
        <v>372581738</v>
      </c>
      <c r="F3773">
        <v>94345944</v>
      </c>
      <c r="G3773">
        <v>466927682</v>
      </c>
      <c r="H3773">
        <v>97542</v>
      </c>
      <c r="I3773">
        <v>5183</v>
      </c>
      <c r="J3773">
        <v>102725</v>
      </c>
      <c r="K3773" t="b">
        <f>TrafficData[[#This Row],[disposedChallan]]+TrafficData[[#This Row],[pendingChallan]]=TrafficData[[#This Row],[totalChallan]]</f>
        <v>1</v>
      </c>
      <c r="L3773" t="b">
        <f>TrafficData[[#This Row],[pendingAmount]]+TrafficData[[#This Row],[disposedAmount]]=TrafficData[[#This Row],[totalAmount]]</f>
        <v>1</v>
      </c>
      <c r="M3773" t="b">
        <f>TrafficData[[#This Row],[pendingCourt]]+TrafficData[[#This Row],[disposedCourt]]=TrafficData[[#This Row],[totalCourt]]</f>
        <v>1</v>
      </c>
      <c r="N3773" s="8" t="b">
        <f>AND(TrafficData[[#This Row],[disposedChallan]]&lt;=TrafficData[[#This Row],[totalChallan]],TrafficData[[#This Row],[pendingChallan]]&lt;=TrafficData[[#This Row],[totalChallan]])</f>
        <v>1</v>
      </c>
      <c r="O3773" s="8" t="b">
        <f>AND(TrafficData[[#This Row],[pendingAmount]]&lt;=TrafficData[[#This Row],[totalAmount]],TrafficData[[#This Row],[disposedAmount]]&lt;=TrafficData[[#This Row],[totalAmount]])</f>
        <v>1</v>
      </c>
      <c r="P3773" s="8" t="b">
        <f>AND(TrafficData[[#This Row],[pendingCourt]]&lt;=TrafficData[[#This Row],[totalCourt]],TrafficData[[#This Row],[disposedCourt]]&lt;=TrafficData[[#This Row],[totalCourt]])</f>
        <v>1</v>
      </c>
    </row>
    <row r="3774" spans="1:16">
      <c r="A3774" s="1">
        <v>45778</v>
      </c>
      <c r="B3774">
        <v>272221</v>
      </c>
      <c r="C3774">
        <v>73064</v>
      </c>
      <c r="D3774">
        <v>199157</v>
      </c>
      <c r="E3774">
        <v>367108978</v>
      </c>
      <c r="F3774">
        <v>114309533</v>
      </c>
      <c r="G3774">
        <v>481418511</v>
      </c>
      <c r="H3774">
        <v>104014</v>
      </c>
      <c r="I3774">
        <v>5470</v>
      </c>
      <c r="J3774">
        <v>109484</v>
      </c>
      <c r="K3774" t="b">
        <f>TrafficData[[#This Row],[disposedChallan]]+TrafficData[[#This Row],[pendingChallan]]=TrafficData[[#This Row],[totalChallan]]</f>
        <v>1</v>
      </c>
      <c r="L3774" t="b">
        <f>TrafficData[[#This Row],[pendingAmount]]+TrafficData[[#This Row],[disposedAmount]]=TrafficData[[#This Row],[totalAmount]]</f>
        <v>1</v>
      </c>
      <c r="M3774" t="b">
        <f>TrafficData[[#This Row],[pendingCourt]]+TrafficData[[#This Row],[disposedCourt]]=TrafficData[[#This Row],[totalCourt]]</f>
        <v>1</v>
      </c>
      <c r="N3774" s="8" t="b">
        <f>AND(TrafficData[[#This Row],[disposedChallan]]&lt;=TrafficData[[#This Row],[totalChallan]],TrafficData[[#This Row],[pendingChallan]]&lt;=TrafficData[[#This Row],[totalChallan]])</f>
        <v>1</v>
      </c>
      <c r="O3774" s="8" t="b">
        <f>AND(TrafficData[[#This Row],[pendingAmount]]&lt;=TrafficData[[#This Row],[totalAmount]],TrafficData[[#This Row],[disposedAmount]]&lt;=TrafficData[[#This Row],[totalAmount]])</f>
        <v>1</v>
      </c>
      <c r="P3774" s="8" t="b">
        <f>AND(TrafficData[[#This Row],[pendingCourt]]&lt;=TrafficData[[#This Row],[totalCourt]],TrafficData[[#This Row],[disposedCourt]]&lt;=TrafficData[[#This Row],[totalCourt]])</f>
        <v>1</v>
      </c>
    </row>
    <row r="3775" spans="1:16">
      <c r="A3775" s="1">
        <v>45779</v>
      </c>
      <c r="B3775">
        <v>277721</v>
      </c>
      <c r="C3775">
        <v>76390</v>
      </c>
      <c r="D3775">
        <v>201331</v>
      </c>
      <c r="E3775">
        <v>366283345</v>
      </c>
      <c r="F3775">
        <v>127509243</v>
      </c>
      <c r="G3775">
        <v>493792588</v>
      </c>
      <c r="H3775">
        <v>100270</v>
      </c>
      <c r="I3775">
        <v>5124</v>
      </c>
      <c r="J3775">
        <v>105394</v>
      </c>
      <c r="K3775" t="b">
        <f>TrafficData[[#This Row],[disposedChallan]]+TrafficData[[#This Row],[pendingChallan]]=TrafficData[[#This Row],[totalChallan]]</f>
        <v>1</v>
      </c>
      <c r="L3775" t="b">
        <f>TrafficData[[#This Row],[pendingAmount]]+TrafficData[[#This Row],[disposedAmount]]=TrafficData[[#This Row],[totalAmount]]</f>
        <v>1</v>
      </c>
      <c r="M3775" t="b">
        <f>TrafficData[[#This Row],[pendingCourt]]+TrafficData[[#This Row],[disposedCourt]]=TrafficData[[#This Row],[totalCourt]]</f>
        <v>1</v>
      </c>
      <c r="N3775" s="8" t="b">
        <f>AND(TrafficData[[#This Row],[disposedChallan]]&lt;=TrafficData[[#This Row],[totalChallan]],TrafficData[[#This Row],[pendingChallan]]&lt;=TrafficData[[#This Row],[totalChallan]])</f>
        <v>1</v>
      </c>
      <c r="O3775" s="8" t="b">
        <f>AND(TrafficData[[#This Row],[pendingAmount]]&lt;=TrafficData[[#This Row],[totalAmount]],TrafficData[[#This Row],[disposedAmount]]&lt;=TrafficData[[#This Row],[totalAmount]])</f>
        <v>1</v>
      </c>
      <c r="P3775" s="8" t="b">
        <f>AND(TrafficData[[#This Row],[pendingCourt]]&lt;=TrafficData[[#This Row],[totalCourt]],TrafficData[[#This Row],[disposedCourt]]&lt;=TrafficData[[#This Row],[totalCourt]])</f>
        <v>1</v>
      </c>
    </row>
    <row r="3776" spans="1:16">
      <c r="A3776" s="1">
        <v>45780</v>
      </c>
      <c r="B3776">
        <v>288143</v>
      </c>
      <c r="C3776">
        <v>76739</v>
      </c>
      <c r="D3776">
        <v>211404</v>
      </c>
      <c r="E3776">
        <v>400166885</v>
      </c>
      <c r="F3776">
        <v>128613786</v>
      </c>
      <c r="G3776">
        <v>528780671</v>
      </c>
      <c r="H3776">
        <v>114009</v>
      </c>
      <c r="I3776">
        <v>6025</v>
      </c>
      <c r="J3776">
        <v>120034</v>
      </c>
      <c r="K3776" t="b">
        <f>TrafficData[[#This Row],[disposedChallan]]+TrafficData[[#This Row],[pendingChallan]]=TrafficData[[#This Row],[totalChallan]]</f>
        <v>1</v>
      </c>
      <c r="L3776" t="b">
        <f>TrafficData[[#This Row],[pendingAmount]]+TrafficData[[#This Row],[disposedAmount]]=TrafficData[[#This Row],[totalAmount]]</f>
        <v>1</v>
      </c>
      <c r="M3776" t="b">
        <f>TrafficData[[#This Row],[pendingCourt]]+TrafficData[[#This Row],[disposedCourt]]=TrafficData[[#This Row],[totalCourt]]</f>
        <v>1</v>
      </c>
      <c r="N3776" s="8" t="b">
        <f>AND(TrafficData[[#This Row],[disposedChallan]]&lt;=TrafficData[[#This Row],[totalChallan]],TrafficData[[#This Row],[pendingChallan]]&lt;=TrafficData[[#This Row],[totalChallan]])</f>
        <v>1</v>
      </c>
      <c r="O3776" s="8" t="b">
        <f>AND(TrafficData[[#This Row],[pendingAmount]]&lt;=TrafficData[[#This Row],[totalAmount]],TrafficData[[#This Row],[disposedAmount]]&lt;=TrafficData[[#This Row],[totalAmount]])</f>
        <v>1</v>
      </c>
      <c r="P3776" s="8" t="b">
        <f>AND(TrafficData[[#This Row],[pendingCourt]]&lt;=TrafficData[[#This Row],[totalCourt]],TrafficData[[#This Row],[disposedCourt]]&lt;=TrafficData[[#This Row],[totalCourt]])</f>
        <v>1</v>
      </c>
    </row>
    <row r="3777" spans="1:16">
      <c r="A3777" s="1">
        <v>45781</v>
      </c>
      <c r="B3777">
        <v>246852</v>
      </c>
      <c r="C3777">
        <v>63538</v>
      </c>
      <c r="D3777">
        <v>183314</v>
      </c>
      <c r="E3777">
        <v>318312092</v>
      </c>
      <c r="F3777">
        <v>87852591</v>
      </c>
      <c r="G3777">
        <v>406164683</v>
      </c>
      <c r="H3777">
        <v>93050</v>
      </c>
      <c r="I3777">
        <v>4807</v>
      </c>
      <c r="J3777">
        <v>97857</v>
      </c>
      <c r="K3777" t="b">
        <f>TrafficData[[#This Row],[disposedChallan]]+TrafficData[[#This Row],[pendingChallan]]=TrafficData[[#This Row],[totalChallan]]</f>
        <v>1</v>
      </c>
      <c r="L3777" t="b">
        <f>TrafficData[[#This Row],[pendingAmount]]+TrafficData[[#This Row],[disposedAmount]]=TrafficData[[#This Row],[totalAmount]]</f>
        <v>1</v>
      </c>
      <c r="M3777" t="b">
        <f>TrafficData[[#This Row],[pendingCourt]]+TrafficData[[#This Row],[disposedCourt]]=TrafficData[[#This Row],[totalCourt]]</f>
        <v>1</v>
      </c>
      <c r="N3777" s="8" t="b">
        <f>AND(TrafficData[[#This Row],[disposedChallan]]&lt;=TrafficData[[#This Row],[totalChallan]],TrafficData[[#This Row],[pendingChallan]]&lt;=TrafficData[[#This Row],[totalChallan]])</f>
        <v>1</v>
      </c>
      <c r="O3777" s="8" t="b">
        <f>AND(TrafficData[[#This Row],[pendingAmount]]&lt;=TrafficData[[#This Row],[totalAmount]],TrafficData[[#This Row],[disposedAmount]]&lt;=TrafficData[[#This Row],[totalAmount]])</f>
        <v>1</v>
      </c>
      <c r="P3777" s="8" t="b">
        <f>AND(TrafficData[[#This Row],[pendingCourt]]&lt;=TrafficData[[#This Row],[totalCourt]],TrafficData[[#This Row],[disposedCourt]]&lt;=TrafficData[[#This Row],[totalCourt]])</f>
        <v>1</v>
      </c>
    </row>
    <row r="3778" spans="1:16">
      <c r="A3778" s="1">
        <v>45782</v>
      </c>
      <c r="B3778">
        <v>277734</v>
      </c>
      <c r="C3778">
        <v>71846</v>
      </c>
      <c r="D3778">
        <v>205888</v>
      </c>
      <c r="E3778">
        <v>398862854</v>
      </c>
      <c r="F3778">
        <v>121150639</v>
      </c>
      <c r="G3778">
        <v>520013493</v>
      </c>
      <c r="H3778">
        <v>109026</v>
      </c>
      <c r="I3778">
        <v>5755</v>
      </c>
      <c r="J3778">
        <v>114781</v>
      </c>
      <c r="K3778" t="b">
        <f>TrafficData[[#This Row],[disposedChallan]]+TrafficData[[#This Row],[pendingChallan]]=TrafficData[[#This Row],[totalChallan]]</f>
        <v>1</v>
      </c>
      <c r="L3778" t="b">
        <f>TrafficData[[#This Row],[pendingAmount]]+TrafficData[[#This Row],[disposedAmount]]=TrafficData[[#This Row],[totalAmount]]</f>
        <v>1</v>
      </c>
      <c r="M3778" t="b">
        <f>TrafficData[[#This Row],[pendingCourt]]+TrafficData[[#This Row],[disposedCourt]]=TrafficData[[#This Row],[totalCourt]]</f>
        <v>1</v>
      </c>
      <c r="N3778" s="8" t="b">
        <f>AND(TrafficData[[#This Row],[disposedChallan]]&lt;=TrafficData[[#This Row],[totalChallan]],TrafficData[[#This Row],[pendingChallan]]&lt;=TrafficData[[#This Row],[totalChallan]])</f>
        <v>1</v>
      </c>
      <c r="O3778" s="8" t="b">
        <f>AND(TrafficData[[#This Row],[pendingAmount]]&lt;=TrafficData[[#This Row],[totalAmount]],TrafficData[[#This Row],[disposedAmount]]&lt;=TrafficData[[#This Row],[totalAmount]])</f>
        <v>1</v>
      </c>
      <c r="P3778" s="8" t="b">
        <f>AND(TrafficData[[#This Row],[pendingCourt]]&lt;=TrafficData[[#This Row],[totalCourt]],TrafficData[[#This Row],[disposedCourt]]&lt;=TrafficData[[#This Row],[totalCourt]])</f>
        <v>1</v>
      </c>
    </row>
    <row r="3779" spans="1:16">
      <c r="A3779" s="1">
        <v>45783</v>
      </c>
      <c r="B3779">
        <v>282714</v>
      </c>
      <c r="C3779">
        <v>73204</v>
      </c>
      <c r="D3779">
        <v>209510</v>
      </c>
      <c r="E3779">
        <v>401976994</v>
      </c>
      <c r="F3779">
        <v>123966775</v>
      </c>
      <c r="G3779">
        <v>525943769</v>
      </c>
      <c r="H3779">
        <v>115269</v>
      </c>
      <c r="I3779">
        <v>5877</v>
      </c>
      <c r="J3779">
        <v>121146</v>
      </c>
      <c r="K3779" t="b">
        <f>TrafficData[[#This Row],[disposedChallan]]+TrafficData[[#This Row],[pendingChallan]]=TrafficData[[#This Row],[totalChallan]]</f>
        <v>1</v>
      </c>
      <c r="L3779" t="b">
        <f>TrafficData[[#This Row],[pendingAmount]]+TrafficData[[#This Row],[disposedAmount]]=TrafficData[[#This Row],[totalAmount]]</f>
        <v>1</v>
      </c>
      <c r="M3779" t="b">
        <f>TrafficData[[#This Row],[pendingCourt]]+TrafficData[[#This Row],[disposedCourt]]=TrafficData[[#This Row],[totalCourt]]</f>
        <v>1</v>
      </c>
      <c r="N3779" s="8" t="b">
        <f>AND(TrafficData[[#This Row],[disposedChallan]]&lt;=TrafficData[[#This Row],[totalChallan]],TrafficData[[#This Row],[pendingChallan]]&lt;=TrafficData[[#This Row],[totalChallan]])</f>
        <v>1</v>
      </c>
      <c r="O3779" s="8" t="b">
        <f>AND(TrafficData[[#This Row],[pendingAmount]]&lt;=TrafficData[[#This Row],[totalAmount]],TrafficData[[#This Row],[disposedAmount]]&lt;=TrafficData[[#This Row],[totalAmount]])</f>
        <v>1</v>
      </c>
      <c r="P3779" s="8" t="b">
        <f>AND(TrafficData[[#This Row],[pendingCourt]]&lt;=TrafficData[[#This Row],[totalCourt]],TrafficData[[#This Row],[disposedCourt]]&lt;=TrafficData[[#This Row],[totalCourt]])</f>
        <v>1</v>
      </c>
    </row>
    <row r="3780" spans="1:16">
      <c r="A3780" s="1">
        <v>45784</v>
      </c>
      <c r="B3780">
        <v>264252</v>
      </c>
      <c r="C3780">
        <v>67008</v>
      </c>
      <c r="D3780">
        <v>197244</v>
      </c>
      <c r="E3780">
        <v>378561481</v>
      </c>
      <c r="F3780">
        <v>120240559</v>
      </c>
      <c r="G3780">
        <v>498802040</v>
      </c>
      <c r="H3780">
        <v>106524</v>
      </c>
      <c r="I3780">
        <v>5469</v>
      </c>
      <c r="J3780">
        <v>111993</v>
      </c>
      <c r="K3780" t="b">
        <f>TrafficData[[#This Row],[disposedChallan]]+TrafficData[[#This Row],[pendingChallan]]=TrafficData[[#This Row],[totalChallan]]</f>
        <v>1</v>
      </c>
      <c r="L3780" t="b">
        <f>TrafficData[[#This Row],[pendingAmount]]+TrafficData[[#This Row],[disposedAmount]]=TrafficData[[#This Row],[totalAmount]]</f>
        <v>1</v>
      </c>
      <c r="M3780" t="b">
        <f>TrafficData[[#This Row],[pendingCourt]]+TrafficData[[#This Row],[disposedCourt]]=TrafficData[[#This Row],[totalCourt]]</f>
        <v>1</v>
      </c>
      <c r="N3780" s="8" t="b">
        <f>AND(TrafficData[[#This Row],[disposedChallan]]&lt;=TrafficData[[#This Row],[totalChallan]],TrafficData[[#This Row],[pendingChallan]]&lt;=TrafficData[[#This Row],[totalChallan]])</f>
        <v>1</v>
      </c>
      <c r="O3780" s="8" t="b">
        <f>AND(TrafficData[[#This Row],[pendingAmount]]&lt;=TrafficData[[#This Row],[totalAmount]],TrafficData[[#This Row],[disposedAmount]]&lt;=TrafficData[[#This Row],[totalAmount]])</f>
        <v>1</v>
      </c>
      <c r="P3780" s="8" t="b">
        <f>AND(TrafficData[[#This Row],[pendingCourt]]&lt;=TrafficData[[#This Row],[totalCourt]],TrafficData[[#This Row],[disposedCourt]]&lt;=TrafficData[[#This Row],[totalCourt]])</f>
        <v>1</v>
      </c>
    </row>
    <row r="3781" spans="1:16">
      <c r="A3781" s="1">
        <v>45785</v>
      </c>
      <c r="B3781">
        <v>279848</v>
      </c>
      <c r="C3781">
        <v>72923</v>
      </c>
      <c r="D3781">
        <v>206925</v>
      </c>
      <c r="E3781">
        <v>402590235</v>
      </c>
      <c r="F3781">
        <v>130253902</v>
      </c>
      <c r="G3781">
        <v>532844137</v>
      </c>
      <c r="H3781">
        <v>114879</v>
      </c>
      <c r="I3781">
        <v>5748</v>
      </c>
      <c r="J3781">
        <v>120627</v>
      </c>
      <c r="K3781" t="b">
        <f>TrafficData[[#This Row],[disposedChallan]]+TrafficData[[#This Row],[pendingChallan]]=TrafficData[[#This Row],[totalChallan]]</f>
        <v>1</v>
      </c>
      <c r="L3781" t="b">
        <f>TrafficData[[#This Row],[pendingAmount]]+TrafficData[[#This Row],[disposedAmount]]=TrafficData[[#This Row],[totalAmount]]</f>
        <v>1</v>
      </c>
      <c r="M3781" t="b">
        <f>TrafficData[[#This Row],[pendingCourt]]+TrafficData[[#This Row],[disposedCourt]]=TrafficData[[#This Row],[totalCourt]]</f>
        <v>1</v>
      </c>
      <c r="N3781" s="8" t="b">
        <f>AND(TrafficData[[#This Row],[disposedChallan]]&lt;=TrafficData[[#This Row],[totalChallan]],TrafficData[[#This Row],[pendingChallan]]&lt;=TrafficData[[#This Row],[totalChallan]])</f>
        <v>1</v>
      </c>
      <c r="O3781" s="8" t="b">
        <f>AND(TrafficData[[#This Row],[pendingAmount]]&lt;=TrafficData[[#This Row],[totalAmount]],TrafficData[[#This Row],[disposedAmount]]&lt;=TrafficData[[#This Row],[totalAmount]])</f>
        <v>1</v>
      </c>
      <c r="P3781" s="8" t="b">
        <f>AND(TrafficData[[#This Row],[pendingCourt]]&lt;=TrafficData[[#This Row],[totalCourt]],TrafficData[[#This Row],[disposedCourt]]&lt;=TrafficData[[#This Row],[totalCourt]])</f>
        <v>1</v>
      </c>
    </row>
    <row r="3782" spans="1:16">
      <c r="A3782" s="1">
        <v>45786</v>
      </c>
      <c r="B3782">
        <v>272704</v>
      </c>
      <c r="C3782">
        <v>72119</v>
      </c>
      <c r="D3782">
        <v>200585</v>
      </c>
      <c r="E3782">
        <v>399786466</v>
      </c>
      <c r="F3782">
        <v>113081654</v>
      </c>
      <c r="G3782">
        <v>512868120</v>
      </c>
      <c r="H3782">
        <v>118368</v>
      </c>
      <c r="I3782">
        <v>5992</v>
      </c>
      <c r="J3782">
        <v>124360</v>
      </c>
      <c r="K3782" t="b">
        <f>TrafficData[[#This Row],[disposedChallan]]+TrafficData[[#This Row],[pendingChallan]]=TrafficData[[#This Row],[totalChallan]]</f>
        <v>1</v>
      </c>
      <c r="L3782" t="b">
        <f>TrafficData[[#This Row],[pendingAmount]]+TrafficData[[#This Row],[disposedAmount]]=TrafficData[[#This Row],[totalAmount]]</f>
        <v>1</v>
      </c>
      <c r="M3782" t="b">
        <f>TrafficData[[#This Row],[pendingCourt]]+TrafficData[[#This Row],[disposedCourt]]=TrafficData[[#This Row],[totalCourt]]</f>
        <v>1</v>
      </c>
      <c r="N3782" s="8" t="b">
        <f>AND(TrafficData[[#This Row],[disposedChallan]]&lt;=TrafficData[[#This Row],[totalChallan]],TrafficData[[#This Row],[pendingChallan]]&lt;=TrafficData[[#This Row],[totalChallan]])</f>
        <v>1</v>
      </c>
      <c r="O3782" s="8" t="b">
        <f>AND(TrafficData[[#This Row],[pendingAmount]]&lt;=TrafficData[[#This Row],[totalAmount]],TrafficData[[#This Row],[disposedAmount]]&lt;=TrafficData[[#This Row],[totalAmount]])</f>
        <v>1</v>
      </c>
      <c r="P3782" s="8" t="b">
        <f>AND(TrafficData[[#This Row],[pendingCourt]]&lt;=TrafficData[[#This Row],[totalCourt]],TrafficData[[#This Row],[disposedCourt]]&lt;=TrafficData[[#This Row],[totalCourt]])</f>
        <v>1</v>
      </c>
    </row>
    <row r="3783" spans="1:16">
      <c r="A3783" s="1">
        <v>45787</v>
      </c>
      <c r="B3783">
        <v>261056</v>
      </c>
      <c r="C3783">
        <v>69771</v>
      </c>
      <c r="D3783">
        <v>191285</v>
      </c>
      <c r="E3783">
        <v>349862077</v>
      </c>
      <c r="F3783">
        <v>96274099</v>
      </c>
      <c r="G3783">
        <v>446136176</v>
      </c>
      <c r="H3783">
        <v>110281</v>
      </c>
      <c r="I3783">
        <v>5592</v>
      </c>
      <c r="J3783">
        <v>115873</v>
      </c>
      <c r="K3783" t="b">
        <f>TrafficData[[#This Row],[disposedChallan]]+TrafficData[[#This Row],[pendingChallan]]=TrafficData[[#This Row],[totalChallan]]</f>
        <v>1</v>
      </c>
      <c r="L3783" t="b">
        <f>TrafficData[[#This Row],[pendingAmount]]+TrafficData[[#This Row],[disposedAmount]]=TrafficData[[#This Row],[totalAmount]]</f>
        <v>1</v>
      </c>
      <c r="M3783" t="b">
        <f>TrafficData[[#This Row],[pendingCourt]]+TrafficData[[#This Row],[disposedCourt]]=TrafficData[[#This Row],[totalCourt]]</f>
        <v>1</v>
      </c>
      <c r="N3783" s="8" t="b">
        <f>AND(TrafficData[[#This Row],[disposedChallan]]&lt;=TrafficData[[#This Row],[totalChallan]],TrafficData[[#This Row],[pendingChallan]]&lt;=TrafficData[[#This Row],[totalChallan]])</f>
        <v>1</v>
      </c>
      <c r="O3783" s="8" t="b">
        <f>AND(TrafficData[[#This Row],[pendingAmount]]&lt;=TrafficData[[#This Row],[totalAmount]],TrafficData[[#This Row],[disposedAmount]]&lt;=TrafficData[[#This Row],[totalAmount]])</f>
        <v>1</v>
      </c>
      <c r="P3783" s="8" t="b">
        <f>AND(TrafficData[[#This Row],[pendingCourt]]&lt;=TrafficData[[#This Row],[totalCourt]],TrafficData[[#This Row],[disposedCourt]]&lt;=TrafficData[[#This Row],[totalCourt]])</f>
        <v>1</v>
      </c>
    </row>
    <row r="3784" spans="1:16">
      <c r="A3784" s="1">
        <v>45788</v>
      </c>
      <c r="B3784">
        <v>252308</v>
      </c>
      <c r="C3784">
        <v>65015</v>
      </c>
      <c r="D3784">
        <v>187293</v>
      </c>
      <c r="E3784">
        <v>329217944</v>
      </c>
      <c r="F3784">
        <v>80417092</v>
      </c>
      <c r="G3784">
        <v>409635036</v>
      </c>
      <c r="H3784">
        <v>103620</v>
      </c>
      <c r="I3784">
        <v>5502</v>
      </c>
      <c r="J3784">
        <v>109122</v>
      </c>
      <c r="K3784" t="b">
        <f>TrafficData[[#This Row],[disposedChallan]]+TrafficData[[#This Row],[pendingChallan]]=TrafficData[[#This Row],[totalChallan]]</f>
        <v>1</v>
      </c>
      <c r="L3784" t="b">
        <f>TrafficData[[#This Row],[pendingAmount]]+TrafficData[[#This Row],[disposedAmount]]=TrafficData[[#This Row],[totalAmount]]</f>
        <v>1</v>
      </c>
      <c r="M3784" t="b">
        <f>TrafficData[[#This Row],[pendingCourt]]+TrafficData[[#This Row],[disposedCourt]]=TrafficData[[#This Row],[totalCourt]]</f>
        <v>1</v>
      </c>
      <c r="N3784" s="8" t="b">
        <f>AND(TrafficData[[#This Row],[disposedChallan]]&lt;=TrafficData[[#This Row],[totalChallan]],TrafficData[[#This Row],[pendingChallan]]&lt;=TrafficData[[#This Row],[totalChallan]])</f>
        <v>1</v>
      </c>
      <c r="O3784" s="8" t="b">
        <f>AND(TrafficData[[#This Row],[pendingAmount]]&lt;=TrafficData[[#This Row],[totalAmount]],TrafficData[[#This Row],[disposedAmount]]&lt;=TrafficData[[#This Row],[totalAmount]])</f>
        <v>1</v>
      </c>
      <c r="P3784" s="8" t="b">
        <f>AND(TrafficData[[#This Row],[pendingCourt]]&lt;=TrafficData[[#This Row],[totalCourt]],TrafficData[[#This Row],[disposedCourt]]&lt;=TrafficData[[#This Row],[totalCourt]])</f>
        <v>1</v>
      </c>
    </row>
    <row r="3785" spans="1:16">
      <c r="A3785" s="1">
        <v>45789</v>
      </c>
      <c r="B3785">
        <v>272127</v>
      </c>
      <c r="C3785">
        <v>71410</v>
      </c>
      <c r="D3785">
        <v>200717</v>
      </c>
      <c r="E3785">
        <v>380571758</v>
      </c>
      <c r="F3785">
        <v>101018897</v>
      </c>
      <c r="G3785">
        <v>481590655</v>
      </c>
      <c r="H3785">
        <v>112473</v>
      </c>
      <c r="I3785">
        <v>6120</v>
      </c>
      <c r="J3785">
        <v>118593</v>
      </c>
      <c r="K3785" t="b">
        <f>TrafficData[[#This Row],[disposedChallan]]+TrafficData[[#This Row],[pendingChallan]]=TrafficData[[#This Row],[totalChallan]]</f>
        <v>1</v>
      </c>
      <c r="L3785" t="b">
        <f>TrafficData[[#This Row],[pendingAmount]]+TrafficData[[#This Row],[disposedAmount]]=TrafficData[[#This Row],[totalAmount]]</f>
        <v>1</v>
      </c>
      <c r="M3785" t="b">
        <f>TrafficData[[#This Row],[pendingCourt]]+TrafficData[[#This Row],[disposedCourt]]=TrafficData[[#This Row],[totalCourt]]</f>
        <v>1</v>
      </c>
      <c r="N3785" s="8" t="b">
        <f>AND(TrafficData[[#This Row],[disposedChallan]]&lt;=TrafficData[[#This Row],[totalChallan]],TrafficData[[#This Row],[pendingChallan]]&lt;=TrafficData[[#This Row],[totalChallan]])</f>
        <v>1</v>
      </c>
      <c r="O3785" s="8" t="b">
        <f>AND(TrafficData[[#This Row],[pendingAmount]]&lt;=TrafficData[[#This Row],[totalAmount]],TrafficData[[#This Row],[disposedAmount]]&lt;=TrafficData[[#This Row],[totalAmount]])</f>
        <v>1</v>
      </c>
      <c r="P3785" s="8" t="b">
        <f>AND(TrafficData[[#This Row],[pendingCourt]]&lt;=TrafficData[[#This Row],[totalCourt]],TrafficData[[#This Row],[disposedCourt]]&lt;=TrafficData[[#This Row],[totalCourt]])</f>
        <v>1</v>
      </c>
    </row>
    <row r="3786" spans="1:16">
      <c r="A3786" s="1">
        <v>45790</v>
      </c>
      <c r="B3786">
        <v>275150</v>
      </c>
      <c r="C3786">
        <v>71537</v>
      </c>
      <c r="D3786">
        <v>203613</v>
      </c>
      <c r="E3786">
        <v>395637962</v>
      </c>
      <c r="F3786">
        <v>118012997</v>
      </c>
      <c r="G3786">
        <v>513650959</v>
      </c>
      <c r="H3786">
        <v>117390</v>
      </c>
      <c r="I3786">
        <v>6070</v>
      </c>
      <c r="J3786">
        <v>123460</v>
      </c>
      <c r="K3786" t="b">
        <f>TrafficData[[#This Row],[disposedChallan]]+TrafficData[[#This Row],[pendingChallan]]=TrafficData[[#This Row],[totalChallan]]</f>
        <v>1</v>
      </c>
      <c r="L3786" t="b">
        <f>TrafficData[[#This Row],[pendingAmount]]+TrafficData[[#This Row],[disposedAmount]]=TrafficData[[#This Row],[totalAmount]]</f>
        <v>1</v>
      </c>
      <c r="M3786" t="b">
        <f>TrafficData[[#This Row],[pendingCourt]]+TrafficData[[#This Row],[disposedCourt]]=TrafficData[[#This Row],[totalCourt]]</f>
        <v>1</v>
      </c>
      <c r="N3786" s="8" t="b">
        <f>AND(TrafficData[[#This Row],[disposedChallan]]&lt;=TrafficData[[#This Row],[totalChallan]],TrafficData[[#This Row],[pendingChallan]]&lt;=TrafficData[[#This Row],[totalChallan]])</f>
        <v>1</v>
      </c>
      <c r="O3786" s="8" t="b">
        <f>AND(TrafficData[[#This Row],[pendingAmount]]&lt;=TrafficData[[#This Row],[totalAmount]],TrafficData[[#This Row],[disposedAmount]]&lt;=TrafficData[[#This Row],[totalAmount]])</f>
        <v>1</v>
      </c>
      <c r="P3786" s="8" t="b">
        <f>AND(TrafficData[[#This Row],[pendingCourt]]&lt;=TrafficData[[#This Row],[totalCourt]],TrafficData[[#This Row],[disposedCourt]]&lt;=TrafficData[[#This Row],[totalCourt]])</f>
        <v>1</v>
      </c>
    </row>
    <row r="3787" spans="1:16">
      <c r="A3787" s="1">
        <v>45791</v>
      </c>
      <c r="B3787">
        <v>270026</v>
      </c>
      <c r="C3787">
        <v>69680</v>
      </c>
      <c r="D3787">
        <v>200346</v>
      </c>
      <c r="E3787">
        <v>402814741</v>
      </c>
      <c r="F3787">
        <v>120607163</v>
      </c>
      <c r="G3787">
        <v>523421904</v>
      </c>
      <c r="H3787">
        <v>112718</v>
      </c>
      <c r="I3787">
        <v>5934</v>
      </c>
      <c r="J3787">
        <v>118652</v>
      </c>
      <c r="K3787" t="b">
        <f>TrafficData[[#This Row],[disposedChallan]]+TrafficData[[#This Row],[pendingChallan]]=TrafficData[[#This Row],[totalChallan]]</f>
        <v>1</v>
      </c>
      <c r="L3787" t="b">
        <f>TrafficData[[#This Row],[pendingAmount]]+TrafficData[[#This Row],[disposedAmount]]=TrafficData[[#This Row],[totalAmount]]</f>
        <v>1</v>
      </c>
      <c r="M3787" t="b">
        <f>TrafficData[[#This Row],[pendingCourt]]+TrafficData[[#This Row],[disposedCourt]]=TrafficData[[#This Row],[totalCourt]]</f>
        <v>1</v>
      </c>
      <c r="N3787" s="8" t="b">
        <f>AND(TrafficData[[#This Row],[disposedChallan]]&lt;=TrafficData[[#This Row],[totalChallan]],TrafficData[[#This Row],[pendingChallan]]&lt;=TrafficData[[#This Row],[totalChallan]])</f>
        <v>1</v>
      </c>
      <c r="O3787" s="8" t="b">
        <f>AND(TrafficData[[#This Row],[pendingAmount]]&lt;=TrafficData[[#This Row],[totalAmount]],TrafficData[[#This Row],[disposedAmount]]&lt;=TrafficData[[#This Row],[totalAmount]])</f>
        <v>1</v>
      </c>
      <c r="P3787" s="8" t="b">
        <f>AND(TrafficData[[#This Row],[pendingCourt]]&lt;=TrafficData[[#This Row],[totalCourt]],TrafficData[[#This Row],[disposedCourt]]&lt;=TrafficData[[#This Row],[totalCourt]])</f>
        <v>1</v>
      </c>
    </row>
    <row r="3788" spans="1:16">
      <c r="A3788" s="1">
        <v>45792</v>
      </c>
      <c r="B3788">
        <v>283906</v>
      </c>
      <c r="C3788">
        <v>73290</v>
      </c>
      <c r="D3788">
        <v>210616</v>
      </c>
      <c r="E3788">
        <v>422631164</v>
      </c>
      <c r="F3788">
        <v>131081903</v>
      </c>
      <c r="G3788">
        <v>553713067</v>
      </c>
      <c r="H3788">
        <v>115422</v>
      </c>
      <c r="I3788">
        <v>6450</v>
      </c>
      <c r="J3788">
        <v>121872</v>
      </c>
      <c r="K3788" t="b">
        <f>TrafficData[[#This Row],[disposedChallan]]+TrafficData[[#This Row],[pendingChallan]]=TrafficData[[#This Row],[totalChallan]]</f>
        <v>1</v>
      </c>
      <c r="L3788" t="b">
        <f>TrafficData[[#This Row],[pendingAmount]]+TrafficData[[#This Row],[disposedAmount]]=TrafficData[[#This Row],[totalAmount]]</f>
        <v>1</v>
      </c>
      <c r="M3788" t="b">
        <f>TrafficData[[#This Row],[pendingCourt]]+TrafficData[[#This Row],[disposedCourt]]=TrafficData[[#This Row],[totalCourt]]</f>
        <v>1</v>
      </c>
      <c r="N3788" s="8" t="b">
        <f>AND(TrafficData[[#This Row],[disposedChallan]]&lt;=TrafficData[[#This Row],[totalChallan]],TrafficData[[#This Row],[pendingChallan]]&lt;=TrafficData[[#This Row],[totalChallan]])</f>
        <v>1</v>
      </c>
      <c r="O3788" s="8" t="b">
        <f>AND(TrafficData[[#This Row],[pendingAmount]]&lt;=TrafficData[[#This Row],[totalAmount]],TrafficData[[#This Row],[disposedAmount]]&lt;=TrafficData[[#This Row],[totalAmount]])</f>
        <v>1</v>
      </c>
      <c r="P3788" s="8" t="b">
        <f>AND(TrafficData[[#This Row],[pendingCourt]]&lt;=TrafficData[[#This Row],[totalCourt]],TrafficData[[#This Row],[disposedCourt]]&lt;=TrafficData[[#This Row],[totalCourt]])</f>
        <v>1</v>
      </c>
    </row>
    <row r="3789" spans="1:16">
      <c r="A3789" s="1">
        <v>45793</v>
      </c>
      <c r="B3789">
        <v>294383</v>
      </c>
      <c r="C3789">
        <v>76809</v>
      </c>
      <c r="D3789">
        <v>217574</v>
      </c>
      <c r="E3789">
        <v>424937145</v>
      </c>
      <c r="F3789">
        <v>130840099</v>
      </c>
      <c r="G3789">
        <v>555777244</v>
      </c>
      <c r="H3789">
        <v>117508</v>
      </c>
      <c r="I3789">
        <v>6515</v>
      </c>
      <c r="J3789">
        <v>124023</v>
      </c>
      <c r="K3789" t="b">
        <f>TrafficData[[#This Row],[disposedChallan]]+TrafficData[[#This Row],[pendingChallan]]=TrafficData[[#This Row],[totalChallan]]</f>
        <v>1</v>
      </c>
      <c r="L3789" t="b">
        <f>TrafficData[[#This Row],[pendingAmount]]+TrafficData[[#This Row],[disposedAmount]]=TrafficData[[#This Row],[totalAmount]]</f>
        <v>1</v>
      </c>
      <c r="M3789" t="b">
        <f>TrafficData[[#This Row],[pendingCourt]]+TrafficData[[#This Row],[disposedCourt]]=TrafficData[[#This Row],[totalCourt]]</f>
        <v>1</v>
      </c>
      <c r="N3789" s="8" t="b">
        <f>AND(TrafficData[[#This Row],[disposedChallan]]&lt;=TrafficData[[#This Row],[totalChallan]],TrafficData[[#This Row],[pendingChallan]]&lt;=TrafficData[[#This Row],[totalChallan]])</f>
        <v>1</v>
      </c>
      <c r="O3789" s="8" t="b">
        <f>AND(TrafficData[[#This Row],[pendingAmount]]&lt;=TrafficData[[#This Row],[totalAmount]],TrafficData[[#This Row],[disposedAmount]]&lt;=TrafficData[[#This Row],[totalAmount]])</f>
        <v>1</v>
      </c>
      <c r="P3789" s="8" t="b">
        <f>AND(TrafficData[[#This Row],[pendingCourt]]&lt;=TrafficData[[#This Row],[totalCourt]],TrafficData[[#This Row],[disposedCourt]]&lt;=TrafficData[[#This Row],[totalCourt]])</f>
        <v>1</v>
      </c>
    </row>
    <row r="3790" spans="1:16">
      <c r="A3790" s="1">
        <v>45794</v>
      </c>
      <c r="B3790">
        <v>295649</v>
      </c>
      <c r="C3790">
        <v>77265</v>
      </c>
      <c r="D3790">
        <v>218384</v>
      </c>
      <c r="E3790">
        <v>440333242</v>
      </c>
      <c r="F3790">
        <v>122568553</v>
      </c>
      <c r="G3790">
        <v>562901795</v>
      </c>
      <c r="H3790">
        <v>118237</v>
      </c>
      <c r="I3790">
        <v>6669</v>
      </c>
      <c r="J3790">
        <v>124906</v>
      </c>
      <c r="K3790" t="b">
        <f>TrafficData[[#This Row],[disposedChallan]]+TrafficData[[#This Row],[pendingChallan]]=TrafficData[[#This Row],[totalChallan]]</f>
        <v>1</v>
      </c>
      <c r="L3790" t="b">
        <f>TrafficData[[#This Row],[pendingAmount]]+TrafficData[[#This Row],[disposedAmount]]=TrafficData[[#This Row],[totalAmount]]</f>
        <v>1</v>
      </c>
      <c r="M3790" t="b">
        <f>TrafficData[[#This Row],[pendingCourt]]+TrafficData[[#This Row],[disposedCourt]]=TrafficData[[#This Row],[totalCourt]]</f>
        <v>1</v>
      </c>
      <c r="N3790" s="8" t="b">
        <f>AND(TrafficData[[#This Row],[disposedChallan]]&lt;=TrafficData[[#This Row],[totalChallan]],TrafficData[[#This Row],[pendingChallan]]&lt;=TrafficData[[#This Row],[totalChallan]])</f>
        <v>1</v>
      </c>
      <c r="O3790" s="8" t="b">
        <f>AND(TrafficData[[#This Row],[pendingAmount]]&lt;=TrafficData[[#This Row],[totalAmount]],TrafficData[[#This Row],[disposedAmount]]&lt;=TrafficData[[#This Row],[totalAmount]])</f>
        <v>1</v>
      </c>
      <c r="P3790" s="8" t="b">
        <f>AND(TrafficData[[#This Row],[pendingCourt]]&lt;=TrafficData[[#This Row],[totalCourt]],TrafficData[[#This Row],[disposedCourt]]&lt;=TrafficData[[#This Row],[totalCourt]])</f>
        <v>1</v>
      </c>
    </row>
    <row r="3791" spans="1:16">
      <c r="A3791" s="1">
        <v>45795</v>
      </c>
      <c r="B3791">
        <v>278121</v>
      </c>
      <c r="C3791">
        <v>71483</v>
      </c>
      <c r="D3791">
        <v>206638</v>
      </c>
      <c r="E3791">
        <v>377039909</v>
      </c>
      <c r="F3791">
        <v>93033553</v>
      </c>
      <c r="G3791">
        <v>470073462</v>
      </c>
      <c r="H3791">
        <v>108679</v>
      </c>
      <c r="I3791">
        <v>6034</v>
      </c>
      <c r="J3791">
        <v>114713</v>
      </c>
      <c r="K3791" t="b">
        <f>TrafficData[[#This Row],[disposedChallan]]+TrafficData[[#This Row],[pendingChallan]]=TrafficData[[#This Row],[totalChallan]]</f>
        <v>1</v>
      </c>
      <c r="L3791" t="b">
        <f>TrafficData[[#This Row],[pendingAmount]]+TrafficData[[#This Row],[disposedAmount]]=TrafficData[[#This Row],[totalAmount]]</f>
        <v>1</v>
      </c>
      <c r="M3791" t="b">
        <f>TrafficData[[#This Row],[pendingCourt]]+TrafficData[[#This Row],[disposedCourt]]=TrafficData[[#This Row],[totalCourt]]</f>
        <v>1</v>
      </c>
      <c r="N3791" s="8" t="b">
        <f>AND(TrafficData[[#This Row],[disposedChallan]]&lt;=TrafficData[[#This Row],[totalChallan]],TrafficData[[#This Row],[pendingChallan]]&lt;=TrafficData[[#This Row],[totalChallan]])</f>
        <v>1</v>
      </c>
      <c r="O3791" s="8" t="b">
        <f>AND(TrafficData[[#This Row],[pendingAmount]]&lt;=TrafficData[[#This Row],[totalAmount]],TrafficData[[#This Row],[disposedAmount]]&lt;=TrafficData[[#This Row],[totalAmount]])</f>
        <v>1</v>
      </c>
      <c r="P3791" s="8" t="b">
        <f>AND(TrafficData[[#This Row],[pendingCourt]]&lt;=TrafficData[[#This Row],[totalCourt]],TrafficData[[#This Row],[disposedCourt]]&lt;=TrafficData[[#This Row],[totalCourt]])</f>
        <v>1</v>
      </c>
    </row>
    <row r="3792" spans="1:16">
      <c r="A3792" s="1">
        <v>45796</v>
      </c>
      <c r="B3792">
        <v>285184</v>
      </c>
      <c r="C3792">
        <v>73171</v>
      </c>
      <c r="D3792">
        <v>212013</v>
      </c>
      <c r="E3792">
        <v>406488317</v>
      </c>
      <c r="F3792">
        <v>111983010</v>
      </c>
      <c r="G3792">
        <v>518471327</v>
      </c>
      <c r="H3792">
        <v>110181</v>
      </c>
      <c r="I3792">
        <v>6401</v>
      </c>
      <c r="J3792">
        <v>116582</v>
      </c>
      <c r="K3792" t="b">
        <f>TrafficData[[#This Row],[disposedChallan]]+TrafficData[[#This Row],[pendingChallan]]=TrafficData[[#This Row],[totalChallan]]</f>
        <v>1</v>
      </c>
      <c r="L3792" t="b">
        <f>TrafficData[[#This Row],[pendingAmount]]+TrafficData[[#This Row],[disposedAmount]]=TrafficData[[#This Row],[totalAmount]]</f>
        <v>1</v>
      </c>
      <c r="M3792" t="b">
        <f>TrafficData[[#This Row],[pendingCourt]]+TrafficData[[#This Row],[disposedCourt]]=TrafficData[[#This Row],[totalCourt]]</f>
        <v>1</v>
      </c>
      <c r="N3792" s="8" t="b">
        <f>AND(TrafficData[[#This Row],[disposedChallan]]&lt;=TrafficData[[#This Row],[totalChallan]],TrafficData[[#This Row],[pendingChallan]]&lt;=TrafficData[[#This Row],[totalChallan]])</f>
        <v>1</v>
      </c>
      <c r="O3792" s="8" t="b">
        <f>AND(TrafficData[[#This Row],[pendingAmount]]&lt;=TrafficData[[#This Row],[totalAmount]],TrafficData[[#This Row],[disposedAmount]]&lt;=TrafficData[[#This Row],[totalAmount]])</f>
        <v>1</v>
      </c>
      <c r="P3792" s="8" t="b">
        <f>AND(TrafficData[[#This Row],[pendingCourt]]&lt;=TrafficData[[#This Row],[totalCourt]],TrafficData[[#This Row],[disposedCourt]]&lt;=TrafficData[[#This Row],[totalCourt]])</f>
        <v>1</v>
      </c>
    </row>
    <row r="3793" spans="1:16">
      <c r="A3793" s="1">
        <v>45797</v>
      </c>
      <c r="B3793">
        <v>282779</v>
      </c>
      <c r="C3793">
        <v>72047</v>
      </c>
      <c r="D3793">
        <v>210732</v>
      </c>
      <c r="E3793">
        <v>414205708</v>
      </c>
      <c r="F3793">
        <v>114299755</v>
      </c>
      <c r="G3793">
        <v>528505463</v>
      </c>
      <c r="H3793">
        <v>119532</v>
      </c>
      <c r="I3793">
        <v>6579</v>
      </c>
      <c r="J3793">
        <v>126111</v>
      </c>
      <c r="K3793" t="b">
        <f>TrafficData[[#This Row],[disposedChallan]]+TrafficData[[#This Row],[pendingChallan]]=TrafficData[[#This Row],[totalChallan]]</f>
        <v>1</v>
      </c>
      <c r="L3793" t="b">
        <f>TrafficData[[#This Row],[pendingAmount]]+TrafficData[[#This Row],[disposedAmount]]=TrafficData[[#This Row],[totalAmount]]</f>
        <v>1</v>
      </c>
      <c r="M3793" t="b">
        <f>TrafficData[[#This Row],[pendingCourt]]+TrafficData[[#This Row],[disposedCourt]]=TrafficData[[#This Row],[totalCourt]]</f>
        <v>1</v>
      </c>
      <c r="N3793" s="8" t="b">
        <f>AND(TrafficData[[#This Row],[disposedChallan]]&lt;=TrafficData[[#This Row],[totalChallan]],TrafficData[[#This Row],[pendingChallan]]&lt;=TrafficData[[#This Row],[totalChallan]])</f>
        <v>1</v>
      </c>
      <c r="O3793" s="8" t="b">
        <f>AND(TrafficData[[#This Row],[pendingAmount]]&lt;=TrafficData[[#This Row],[totalAmount]],TrafficData[[#This Row],[disposedAmount]]&lt;=TrafficData[[#This Row],[totalAmount]])</f>
        <v>1</v>
      </c>
      <c r="P3793" s="8" t="b">
        <f>AND(TrafficData[[#This Row],[pendingCourt]]&lt;=TrafficData[[#This Row],[totalCourt]],TrafficData[[#This Row],[disposedCourt]]&lt;=TrafficData[[#This Row],[totalCourt]])</f>
        <v>1</v>
      </c>
    </row>
    <row r="3794" spans="1:16">
      <c r="A3794" s="1">
        <v>45798</v>
      </c>
      <c r="B3794">
        <v>277880</v>
      </c>
      <c r="C3794">
        <v>69561</v>
      </c>
      <c r="D3794">
        <v>208319</v>
      </c>
      <c r="E3794">
        <v>405202875</v>
      </c>
      <c r="F3794">
        <v>117790402</v>
      </c>
      <c r="G3794">
        <v>522993277</v>
      </c>
      <c r="H3794">
        <v>113738</v>
      </c>
      <c r="I3794">
        <v>6059</v>
      </c>
      <c r="J3794">
        <v>119797</v>
      </c>
      <c r="K3794" t="b">
        <f>TrafficData[[#This Row],[disposedChallan]]+TrafficData[[#This Row],[pendingChallan]]=TrafficData[[#This Row],[totalChallan]]</f>
        <v>1</v>
      </c>
      <c r="L3794" t="b">
        <f>TrafficData[[#This Row],[pendingAmount]]+TrafficData[[#This Row],[disposedAmount]]=TrafficData[[#This Row],[totalAmount]]</f>
        <v>1</v>
      </c>
      <c r="M3794" t="b">
        <f>TrafficData[[#This Row],[pendingCourt]]+TrafficData[[#This Row],[disposedCourt]]=TrafficData[[#This Row],[totalCourt]]</f>
        <v>1</v>
      </c>
      <c r="N3794" s="8" t="b">
        <f>AND(TrafficData[[#This Row],[disposedChallan]]&lt;=TrafficData[[#This Row],[totalChallan]],TrafficData[[#This Row],[pendingChallan]]&lt;=TrafficData[[#This Row],[totalChallan]])</f>
        <v>1</v>
      </c>
      <c r="O3794" s="8" t="b">
        <f>AND(TrafficData[[#This Row],[pendingAmount]]&lt;=TrafficData[[#This Row],[totalAmount]],TrafficData[[#This Row],[disposedAmount]]&lt;=TrafficData[[#This Row],[totalAmount]])</f>
        <v>1</v>
      </c>
      <c r="P3794" s="8" t="b">
        <f>AND(TrafficData[[#This Row],[pendingCourt]]&lt;=TrafficData[[#This Row],[totalCourt]],TrafficData[[#This Row],[disposedCourt]]&lt;=TrafficData[[#This Row],[totalCourt]])</f>
        <v>1</v>
      </c>
    </row>
    <row r="3795" spans="1:16">
      <c r="A3795" s="1">
        <v>45799</v>
      </c>
      <c r="B3795">
        <v>281628</v>
      </c>
      <c r="C3795">
        <v>71600</v>
      </c>
      <c r="D3795">
        <v>210028</v>
      </c>
      <c r="E3795">
        <v>406828734</v>
      </c>
      <c r="F3795">
        <v>113934826</v>
      </c>
      <c r="G3795">
        <v>520763560</v>
      </c>
      <c r="H3795">
        <v>116999</v>
      </c>
      <c r="I3795">
        <v>5261</v>
      </c>
      <c r="J3795">
        <v>122260</v>
      </c>
      <c r="K3795" t="b">
        <f>TrafficData[[#This Row],[disposedChallan]]+TrafficData[[#This Row],[pendingChallan]]=TrafficData[[#This Row],[totalChallan]]</f>
        <v>1</v>
      </c>
      <c r="L3795" t="b">
        <f>TrafficData[[#This Row],[pendingAmount]]+TrafficData[[#This Row],[disposedAmount]]=TrafficData[[#This Row],[totalAmount]]</f>
        <v>1</v>
      </c>
      <c r="M3795" t="b">
        <f>TrafficData[[#This Row],[pendingCourt]]+TrafficData[[#This Row],[disposedCourt]]=TrafficData[[#This Row],[totalCourt]]</f>
        <v>1</v>
      </c>
      <c r="N3795" s="8" t="b">
        <f>AND(TrafficData[[#This Row],[disposedChallan]]&lt;=TrafficData[[#This Row],[totalChallan]],TrafficData[[#This Row],[pendingChallan]]&lt;=TrafficData[[#This Row],[totalChallan]])</f>
        <v>1</v>
      </c>
      <c r="O3795" s="8" t="b">
        <f>AND(TrafficData[[#This Row],[pendingAmount]]&lt;=TrafficData[[#This Row],[totalAmount]],TrafficData[[#This Row],[disposedAmount]]&lt;=TrafficData[[#This Row],[totalAmount]])</f>
        <v>1</v>
      </c>
      <c r="P3795" s="8" t="b">
        <f>AND(TrafficData[[#This Row],[pendingCourt]]&lt;=TrafficData[[#This Row],[totalCourt]],TrafficData[[#This Row],[disposedCourt]]&lt;=TrafficData[[#This Row],[totalCourt]])</f>
        <v>1</v>
      </c>
    </row>
    <row r="3796" spans="1:16">
      <c r="A3796" s="1">
        <v>45800</v>
      </c>
      <c r="B3796">
        <v>254340</v>
      </c>
      <c r="C3796">
        <v>68083</v>
      </c>
      <c r="D3796">
        <v>186257</v>
      </c>
      <c r="E3796">
        <v>334958697</v>
      </c>
      <c r="F3796">
        <v>111489479</v>
      </c>
      <c r="G3796">
        <v>446448176</v>
      </c>
      <c r="H3796">
        <v>106954</v>
      </c>
      <c r="I3796">
        <v>5179</v>
      </c>
      <c r="J3796">
        <v>112133</v>
      </c>
      <c r="K3796" t="b">
        <f>TrafficData[[#This Row],[disposedChallan]]+TrafficData[[#This Row],[pendingChallan]]=TrafficData[[#This Row],[totalChallan]]</f>
        <v>1</v>
      </c>
      <c r="L3796" t="b">
        <f>TrafficData[[#This Row],[pendingAmount]]+TrafficData[[#This Row],[disposedAmount]]=TrafficData[[#This Row],[totalAmount]]</f>
        <v>1</v>
      </c>
      <c r="M3796" t="b">
        <f>TrafficData[[#This Row],[pendingCourt]]+TrafficData[[#This Row],[disposedCourt]]=TrafficData[[#This Row],[totalCourt]]</f>
        <v>1</v>
      </c>
      <c r="N3796" s="8" t="b">
        <f>AND(TrafficData[[#This Row],[disposedChallan]]&lt;=TrafficData[[#This Row],[totalChallan]],TrafficData[[#This Row],[pendingChallan]]&lt;=TrafficData[[#This Row],[totalChallan]])</f>
        <v>1</v>
      </c>
      <c r="O3796" s="8" t="b">
        <f>AND(TrafficData[[#This Row],[pendingAmount]]&lt;=TrafficData[[#This Row],[totalAmount]],TrafficData[[#This Row],[disposedAmount]]&lt;=TrafficData[[#This Row],[totalAmount]])</f>
        <v>1</v>
      </c>
      <c r="P3796" s="8" t="b">
        <f>AND(TrafficData[[#This Row],[pendingCourt]]&lt;=TrafficData[[#This Row],[totalCourt]],TrafficData[[#This Row],[disposedCourt]]&lt;=TrafficData[[#This Row],[totalCourt]])</f>
        <v>1</v>
      </c>
    </row>
    <row r="3797" spans="1:16">
      <c r="A3797" s="1">
        <v>45801</v>
      </c>
      <c r="B3797">
        <v>250264</v>
      </c>
      <c r="C3797">
        <v>61423</v>
      </c>
      <c r="D3797">
        <v>188841</v>
      </c>
      <c r="E3797">
        <v>368932736</v>
      </c>
      <c r="F3797">
        <v>93836296</v>
      </c>
      <c r="G3797">
        <v>462769032</v>
      </c>
      <c r="H3797">
        <v>107040</v>
      </c>
      <c r="I3797">
        <v>5644</v>
      </c>
      <c r="J3797">
        <v>112684</v>
      </c>
      <c r="K3797" t="b">
        <f>TrafficData[[#This Row],[disposedChallan]]+TrafficData[[#This Row],[pendingChallan]]=TrafficData[[#This Row],[totalChallan]]</f>
        <v>1</v>
      </c>
      <c r="L3797" t="b">
        <f>TrafficData[[#This Row],[pendingAmount]]+TrafficData[[#This Row],[disposedAmount]]=TrafficData[[#This Row],[totalAmount]]</f>
        <v>1</v>
      </c>
      <c r="M3797" t="b">
        <f>TrafficData[[#This Row],[pendingCourt]]+TrafficData[[#This Row],[disposedCourt]]=TrafficData[[#This Row],[totalCourt]]</f>
        <v>1</v>
      </c>
      <c r="N3797" s="8" t="b">
        <f>AND(TrafficData[[#This Row],[disposedChallan]]&lt;=TrafficData[[#This Row],[totalChallan]],TrafficData[[#This Row],[pendingChallan]]&lt;=TrafficData[[#This Row],[totalChallan]])</f>
        <v>1</v>
      </c>
      <c r="O3797" s="8" t="b">
        <f>AND(TrafficData[[#This Row],[pendingAmount]]&lt;=TrafficData[[#This Row],[totalAmount]],TrafficData[[#This Row],[disposedAmount]]&lt;=TrafficData[[#This Row],[totalAmount]])</f>
        <v>1</v>
      </c>
      <c r="P3797" s="8" t="b">
        <f>AND(TrafficData[[#This Row],[pendingCourt]]&lt;=TrafficData[[#This Row],[totalCourt]],TrafficData[[#This Row],[disposedCourt]]&lt;=TrafficData[[#This Row],[totalCourt]])</f>
        <v>1</v>
      </c>
    </row>
    <row r="3798" spans="1:16">
      <c r="A3798" s="1">
        <v>45802</v>
      </c>
      <c r="B3798">
        <v>234774</v>
      </c>
      <c r="C3798">
        <v>58393</v>
      </c>
      <c r="D3798">
        <v>176381</v>
      </c>
      <c r="E3798">
        <v>314093770</v>
      </c>
      <c r="F3798">
        <v>73961702</v>
      </c>
      <c r="G3798">
        <v>388055472</v>
      </c>
      <c r="H3798">
        <v>99527</v>
      </c>
      <c r="I3798">
        <v>4902</v>
      </c>
      <c r="J3798">
        <v>104429</v>
      </c>
      <c r="K3798" t="b">
        <f>TrafficData[[#This Row],[disposedChallan]]+TrafficData[[#This Row],[pendingChallan]]=TrafficData[[#This Row],[totalChallan]]</f>
        <v>1</v>
      </c>
      <c r="L3798" t="b">
        <f>TrafficData[[#This Row],[pendingAmount]]+TrafficData[[#This Row],[disposedAmount]]=TrafficData[[#This Row],[totalAmount]]</f>
        <v>1</v>
      </c>
      <c r="M3798" t="b">
        <f>TrafficData[[#This Row],[pendingCourt]]+TrafficData[[#This Row],[disposedCourt]]=TrafficData[[#This Row],[totalCourt]]</f>
        <v>1</v>
      </c>
      <c r="N3798" s="8" t="b">
        <f>AND(TrafficData[[#This Row],[disposedChallan]]&lt;=TrafficData[[#This Row],[totalChallan]],TrafficData[[#This Row],[pendingChallan]]&lt;=TrafficData[[#This Row],[totalChallan]])</f>
        <v>1</v>
      </c>
      <c r="O3798" s="8" t="b">
        <f>AND(TrafficData[[#This Row],[pendingAmount]]&lt;=TrafficData[[#This Row],[totalAmount]],TrafficData[[#This Row],[disposedAmount]]&lt;=TrafficData[[#This Row],[totalAmount]])</f>
        <v>1</v>
      </c>
      <c r="P3798" s="8" t="b">
        <f>AND(TrafficData[[#This Row],[pendingCourt]]&lt;=TrafficData[[#This Row],[totalCourt]],TrafficData[[#This Row],[disposedCourt]]&lt;=TrafficData[[#This Row],[totalCourt]])</f>
        <v>1</v>
      </c>
    </row>
    <row r="3799" spans="1:16">
      <c r="A3799" s="1">
        <v>45803</v>
      </c>
      <c r="B3799">
        <v>264029</v>
      </c>
      <c r="C3799">
        <v>62583</v>
      </c>
      <c r="D3799">
        <v>201446</v>
      </c>
      <c r="E3799">
        <v>390056582</v>
      </c>
      <c r="F3799">
        <v>93896175</v>
      </c>
      <c r="G3799">
        <v>483952757</v>
      </c>
      <c r="H3799">
        <v>117138</v>
      </c>
      <c r="I3799">
        <v>5905</v>
      </c>
      <c r="J3799">
        <v>123043</v>
      </c>
      <c r="K3799" t="b">
        <f>TrafficData[[#This Row],[disposedChallan]]+TrafficData[[#This Row],[pendingChallan]]=TrafficData[[#This Row],[totalChallan]]</f>
        <v>1</v>
      </c>
      <c r="L3799" t="b">
        <f>TrafficData[[#This Row],[pendingAmount]]+TrafficData[[#This Row],[disposedAmount]]=TrafficData[[#This Row],[totalAmount]]</f>
        <v>1</v>
      </c>
      <c r="M3799" t="b">
        <f>TrafficData[[#This Row],[pendingCourt]]+TrafficData[[#This Row],[disposedCourt]]=TrafficData[[#This Row],[totalCourt]]</f>
        <v>1</v>
      </c>
      <c r="N3799" s="8" t="b">
        <f>AND(TrafficData[[#This Row],[disposedChallan]]&lt;=TrafficData[[#This Row],[totalChallan]],TrafficData[[#This Row],[pendingChallan]]&lt;=TrafficData[[#This Row],[totalChallan]])</f>
        <v>1</v>
      </c>
      <c r="O3799" s="8" t="b">
        <f>AND(TrafficData[[#This Row],[pendingAmount]]&lt;=TrafficData[[#This Row],[totalAmount]],TrafficData[[#This Row],[disposedAmount]]&lt;=TrafficData[[#This Row],[totalAmount]])</f>
        <v>1</v>
      </c>
      <c r="P3799" s="8" t="b">
        <f>AND(TrafficData[[#This Row],[pendingCourt]]&lt;=TrafficData[[#This Row],[totalCourt]],TrafficData[[#This Row],[disposedCourt]]&lt;=TrafficData[[#This Row],[totalCourt]])</f>
        <v>1</v>
      </c>
    </row>
    <row r="3800" spans="1:16">
      <c r="A3800" s="1">
        <v>45804</v>
      </c>
      <c r="B3800">
        <v>274445</v>
      </c>
      <c r="C3800">
        <v>66564</v>
      </c>
      <c r="D3800">
        <v>207881</v>
      </c>
      <c r="E3800">
        <v>400997454</v>
      </c>
      <c r="F3800">
        <v>109718344</v>
      </c>
      <c r="G3800">
        <v>510715798</v>
      </c>
      <c r="H3800">
        <v>116821</v>
      </c>
      <c r="I3800">
        <v>5725</v>
      </c>
      <c r="J3800">
        <v>122546</v>
      </c>
      <c r="K3800" t="b">
        <f>TrafficData[[#This Row],[disposedChallan]]+TrafficData[[#This Row],[pendingChallan]]=TrafficData[[#This Row],[totalChallan]]</f>
        <v>1</v>
      </c>
      <c r="L3800" t="b">
        <f>TrafficData[[#This Row],[pendingAmount]]+TrafficData[[#This Row],[disposedAmount]]=TrafficData[[#This Row],[totalAmount]]</f>
        <v>1</v>
      </c>
      <c r="M3800" t="b">
        <f>TrafficData[[#This Row],[pendingCourt]]+TrafficData[[#This Row],[disposedCourt]]=TrafficData[[#This Row],[totalCourt]]</f>
        <v>1</v>
      </c>
      <c r="N3800" s="8" t="b">
        <f>AND(TrafficData[[#This Row],[disposedChallan]]&lt;=TrafficData[[#This Row],[totalChallan]],TrafficData[[#This Row],[pendingChallan]]&lt;=TrafficData[[#This Row],[totalChallan]])</f>
        <v>1</v>
      </c>
      <c r="O3800" s="8" t="b">
        <f>AND(TrafficData[[#This Row],[pendingAmount]]&lt;=TrafficData[[#This Row],[totalAmount]],TrafficData[[#This Row],[disposedAmount]]&lt;=TrafficData[[#This Row],[totalAmount]])</f>
        <v>1</v>
      </c>
      <c r="P3800" s="8" t="b">
        <f>AND(TrafficData[[#This Row],[pendingCourt]]&lt;=TrafficData[[#This Row],[totalCourt]],TrafficData[[#This Row],[disposedCourt]]&lt;=TrafficData[[#This Row],[totalCourt]])</f>
        <v>1</v>
      </c>
    </row>
    <row r="3801" spans="1:16">
      <c r="A3801" s="1">
        <v>45805</v>
      </c>
      <c r="B3801">
        <v>279714</v>
      </c>
      <c r="C3801">
        <v>67887</v>
      </c>
      <c r="D3801">
        <v>211827</v>
      </c>
      <c r="E3801">
        <v>414667894</v>
      </c>
      <c r="F3801">
        <v>109305378</v>
      </c>
      <c r="G3801">
        <v>523973272</v>
      </c>
      <c r="H3801">
        <v>120276</v>
      </c>
      <c r="I3801">
        <v>5909</v>
      </c>
      <c r="J3801">
        <v>126185</v>
      </c>
      <c r="K3801" t="b">
        <f>TrafficData[[#This Row],[disposedChallan]]+TrafficData[[#This Row],[pendingChallan]]=TrafficData[[#This Row],[totalChallan]]</f>
        <v>1</v>
      </c>
      <c r="L3801" t="b">
        <f>TrafficData[[#This Row],[pendingAmount]]+TrafficData[[#This Row],[disposedAmount]]=TrafficData[[#This Row],[totalAmount]]</f>
        <v>1</v>
      </c>
      <c r="M3801" t="b">
        <f>TrafficData[[#This Row],[pendingCourt]]+TrafficData[[#This Row],[disposedCourt]]=TrafficData[[#This Row],[totalCourt]]</f>
        <v>1</v>
      </c>
      <c r="N3801" s="8" t="b">
        <f>AND(TrafficData[[#This Row],[disposedChallan]]&lt;=TrafficData[[#This Row],[totalChallan]],TrafficData[[#This Row],[pendingChallan]]&lt;=TrafficData[[#This Row],[totalChallan]])</f>
        <v>1</v>
      </c>
      <c r="O3801" s="8" t="b">
        <f>AND(TrafficData[[#This Row],[pendingAmount]]&lt;=TrafficData[[#This Row],[totalAmount]],TrafficData[[#This Row],[disposedAmount]]&lt;=TrafficData[[#This Row],[totalAmount]])</f>
        <v>1</v>
      </c>
      <c r="P3801" s="8" t="b">
        <f>AND(TrafficData[[#This Row],[pendingCourt]]&lt;=TrafficData[[#This Row],[totalCourt]],TrafficData[[#This Row],[disposedCourt]]&lt;=TrafficData[[#This Row],[totalCourt]])</f>
        <v>1</v>
      </c>
    </row>
    <row r="3802" spans="1:16">
      <c r="A3802" s="1">
        <v>45806</v>
      </c>
      <c r="B3802">
        <v>254785</v>
      </c>
      <c r="C3802">
        <v>62587</v>
      </c>
      <c r="D3802">
        <v>192198</v>
      </c>
      <c r="E3802">
        <v>388303860</v>
      </c>
      <c r="F3802">
        <v>99680566</v>
      </c>
      <c r="G3802">
        <v>487984426</v>
      </c>
      <c r="H3802">
        <v>105194</v>
      </c>
      <c r="I3802">
        <v>5459</v>
      </c>
      <c r="J3802">
        <v>110653</v>
      </c>
      <c r="K3802" t="b">
        <f>TrafficData[[#This Row],[disposedChallan]]+TrafficData[[#This Row],[pendingChallan]]=TrafficData[[#This Row],[totalChallan]]</f>
        <v>1</v>
      </c>
      <c r="L3802" t="b">
        <f>TrafficData[[#This Row],[pendingAmount]]+TrafficData[[#This Row],[disposedAmount]]=TrafficData[[#This Row],[totalAmount]]</f>
        <v>1</v>
      </c>
      <c r="M3802" t="b">
        <f>TrafficData[[#This Row],[pendingCourt]]+TrafficData[[#This Row],[disposedCourt]]=TrafficData[[#This Row],[totalCourt]]</f>
        <v>1</v>
      </c>
      <c r="N3802" s="8" t="b">
        <f>AND(TrafficData[[#This Row],[disposedChallan]]&lt;=TrafficData[[#This Row],[totalChallan]],TrafficData[[#This Row],[pendingChallan]]&lt;=TrafficData[[#This Row],[totalChallan]])</f>
        <v>1</v>
      </c>
      <c r="O3802" s="8" t="b">
        <f>AND(TrafficData[[#This Row],[pendingAmount]]&lt;=TrafficData[[#This Row],[totalAmount]],TrafficData[[#This Row],[disposedAmount]]&lt;=TrafficData[[#This Row],[totalAmount]])</f>
        <v>1</v>
      </c>
      <c r="P3802" s="8" t="b">
        <f>AND(TrafficData[[#This Row],[pendingCourt]]&lt;=TrafficData[[#This Row],[totalCourt]],TrafficData[[#This Row],[disposedCourt]]&lt;=TrafficData[[#This Row],[totalCourt]])</f>
        <v>1</v>
      </c>
    </row>
    <row r="3803" spans="1:16">
      <c r="A3803" s="1">
        <v>45807</v>
      </c>
      <c r="B3803">
        <v>253201</v>
      </c>
      <c r="C3803">
        <v>62984</v>
      </c>
      <c r="D3803">
        <v>190217</v>
      </c>
      <c r="E3803">
        <v>389368912</v>
      </c>
      <c r="F3803">
        <v>97589728</v>
      </c>
      <c r="G3803">
        <v>486958640</v>
      </c>
      <c r="H3803">
        <v>108009</v>
      </c>
      <c r="I3803">
        <v>5616</v>
      </c>
      <c r="J3803">
        <v>113625</v>
      </c>
      <c r="K3803" t="b">
        <f>TrafficData[[#This Row],[disposedChallan]]+TrafficData[[#This Row],[pendingChallan]]=TrafficData[[#This Row],[totalChallan]]</f>
        <v>1</v>
      </c>
      <c r="L3803" t="b">
        <f>TrafficData[[#This Row],[pendingAmount]]+TrafficData[[#This Row],[disposedAmount]]=TrafficData[[#This Row],[totalAmount]]</f>
        <v>1</v>
      </c>
      <c r="M3803" t="b">
        <f>TrafficData[[#This Row],[pendingCourt]]+TrafficData[[#This Row],[disposedCourt]]=TrafficData[[#This Row],[totalCourt]]</f>
        <v>1</v>
      </c>
      <c r="N3803" s="8" t="b">
        <f>AND(TrafficData[[#This Row],[disposedChallan]]&lt;=TrafficData[[#This Row],[totalChallan]],TrafficData[[#This Row],[pendingChallan]]&lt;=TrafficData[[#This Row],[totalChallan]])</f>
        <v>1</v>
      </c>
      <c r="O3803" s="8" t="b">
        <f>AND(TrafficData[[#This Row],[pendingAmount]]&lt;=TrafficData[[#This Row],[totalAmount]],TrafficData[[#This Row],[disposedAmount]]&lt;=TrafficData[[#This Row],[totalAmount]])</f>
        <v>1</v>
      </c>
      <c r="P3803" s="8" t="b">
        <f>AND(TrafficData[[#This Row],[pendingCourt]]&lt;=TrafficData[[#This Row],[totalCourt]],TrafficData[[#This Row],[disposedCourt]]&lt;=TrafficData[[#This Row],[totalCourt]])</f>
        <v>1</v>
      </c>
    </row>
    <row r="3804" spans="1:16">
      <c r="A3804" s="1">
        <v>45808</v>
      </c>
      <c r="B3804">
        <v>251815</v>
      </c>
      <c r="C3804">
        <v>63535</v>
      </c>
      <c r="D3804">
        <v>188280</v>
      </c>
      <c r="E3804">
        <v>365892936</v>
      </c>
      <c r="F3804">
        <v>87652169</v>
      </c>
      <c r="G3804">
        <v>453545105</v>
      </c>
      <c r="H3804">
        <v>101986</v>
      </c>
      <c r="I3804">
        <v>5324</v>
      </c>
      <c r="J3804">
        <v>107310</v>
      </c>
      <c r="K3804" t="b">
        <f>TrafficData[[#This Row],[disposedChallan]]+TrafficData[[#This Row],[pendingChallan]]=TrafficData[[#This Row],[totalChallan]]</f>
        <v>1</v>
      </c>
      <c r="L3804" t="b">
        <f>TrafficData[[#This Row],[pendingAmount]]+TrafficData[[#This Row],[disposedAmount]]=TrafficData[[#This Row],[totalAmount]]</f>
        <v>1</v>
      </c>
      <c r="M3804" t="b">
        <f>TrafficData[[#This Row],[pendingCourt]]+TrafficData[[#This Row],[disposedCourt]]=TrafficData[[#This Row],[totalCourt]]</f>
        <v>1</v>
      </c>
      <c r="N3804" s="8" t="b">
        <f>AND(TrafficData[[#This Row],[disposedChallan]]&lt;=TrafficData[[#This Row],[totalChallan]],TrafficData[[#This Row],[pendingChallan]]&lt;=TrafficData[[#This Row],[totalChallan]])</f>
        <v>1</v>
      </c>
      <c r="O3804" s="8" t="b">
        <f>AND(TrafficData[[#This Row],[pendingAmount]]&lt;=TrafficData[[#This Row],[totalAmount]],TrafficData[[#This Row],[disposedAmount]]&lt;=TrafficData[[#This Row],[totalAmount]])</f>
        <v>1</v>
      </c>
      <c r="P3804" s="8" t="b">
        <f>AND(TrafficData[[#This Row],[pendingCourt]]&lt;=TrafficData[[#This Row],[totalCourt]],TrafficData[[#This Row],[disposedCourt]]&lt;=TrafficData[[#This Row],[totalCourt]])</f>
        <v>1</v>
      </c>
    </row>
    <row r="3805" spans="1:16">
      <c r="A3805" s="1">
        <v>45809</v>
      </c>
      <c r="B3805">
        <v>246634</v>
      </c>
      <c r="C3805">
        <v>66199</v>
      </c>
      <c r="D3805">
        <v>180435</v>
      </c>
      <c r="E3805">
        <v>308809271</v>
      </c>
      <c r="F3805">
        <v>86076917</v>
      </c>
      <c r="G3805">
        <v>394886188</v>
      </c>
      <c r="H3805">
        <v>104065</v>
      </c>
      <c r="I3805">
        <v>4754</v>
      </c>
      <c r="J3805">
        <v>108819</v>
      </c>
      <c r="K3805" t="b">
        <f>TrafficData[[#This Row],[disposedChallan]]+TrafficData[[#This Row],[pendingChallan]]=TrafficData[[#This Row],[totalChallan]]</f>
        <v>1</v>
      </c>
      <c r="L3805" t="b">
        <f>TrafficData[[#This Row],[pendingAmount]]+TrafficData[[#This Row],[disposedAmount]]=TrafficData[[#This Row],[totalAmount]]</f>
        <v>1</v>
      </c>
      <c r="M3805" t="b">
        <f>TrafficData[[#This Row],[pendingCourt]]+TrafficData[[#This Row],[disposedCourt]]=TrafficData[[#This Row],[totalCourt]]</f>
        <v>1</v>
      </c>
      <c r="N3805" s="8" t="b">
        <f>AND(TrafficData[[#This Row],[disposedChallan]]&lt;=TrafficData[[#This Row],[totalChallan]],TrafficData[[#This Row],[pendingChallan]]&lt;=TrafficData[[#This Row],[totalChallan]])</f>
        <v>1</v>
      </c>
      <c r="O3805" s="8" t="b">
        <f>AND(TrafficData[[#This Row],[pendingAmount]]&lt;=TrafficData[[#This Row],[totalAmount]],TrafficData[[#This Row],[disposedAmount]]&lt;=TrafficData[[#This Row],[totalAmount]])</f>
        <v>1</v>
      </c>
      <c r="P3805" s="8" t="b">
        <f>AND(TrafficData[[#This Row],[pendingCourt]]&lt;=TrafficData[[#This Row],[totalCourt]],TrafficData[[#This Row],[disposedCourt]]&lt;=TrafficData[[#This Row],[totalCourt]])</f>
        <v>1</v>
      </c>
    </row>
    <row r="3806" spans="1:16">
      <c r="A3806" s="1">
        <v>45810</v>
      </c>
      <c r="B3806">
        <v>287295</v>
      </c>
      <c r="C3806">
        <v>75360</v>
      </c>
      <c r="D3806">
        <v>211935</v>
      </c>
      <c r="E3806">
        <v>391651688</v>
      </c>
      <c r="F3806">
        <v>127060520</v>
      </c>
      <c r="G3806">
        <v>518712208</v>
      </c>
      <c r="H3806">
        <v>119427</v>
      </c>
      <c r="I3806">
        <v>5313</v>
      </c>
      <c r="J3806">
        <v>124740</v>
      </c>
      <c r="K3806" t="b">
        <f>TrafficData[[#This Row],[disposedChallan]]+TrafficData[[#This Row],[pendingChallan]]=TrafficData[[#This Row],[totalChallan]]</f>
        <v>1</v>
      </c>
      <c r="L3806" t="b">
        <f>TrafficData[[#This Row],[pendingAmount]]+TrafficData[[#This Row],[disposedAmount]]=TrafficData[[#This Row],[totalAmount]]</f>
        <v>1</v>
      </c>
      <c r="M3806" t="b">
        <f>TrafficData[[#This Row],[pendingCourt]]+TrafficData[[#This Row],[disposedCourt]]=TrafficData[[#This Row],[totalCourt]]</f>
        <v>1</v>
      </c>
      <c r="N3806" s="8" t="b">
        <f>AND(TrafficData[[#This Row],[disposedChallan]]&lt;=TrafficData[[#This Row],[totalChallan]],TrafficData[[#This Row],[pendingChallan]]&lt;=TrafficData[[#This Row],[totalChallan]])</f>
        <v>1</v>
      </c>
      <c r="O3806" s="8" t="b">
        <f>AND(TrafficData[[#This Row],[pendingAmount]]&lt;=TrafficData[[#This Row],[totalAmount]],TrafficData[[#This Row],[disposedAmount]]&lt;=TrafficData[[#This Row],[totalAmount]])</f>
        <v>1</v>
      </c>
      <c r="P3806" s="8" t="b">
        <f>AND(TrafficData[[#This Row],[pendingCourt]]&lt;=TrafficData[[#This Row],[totalCourt]],TrafficData[[#This Row],[disposedCourt]]&lt;=TrafficData[[#This Row],[totalCourt]])</f>
        <v>1</v>
      </c>
    </row>
    <row r="3807" spans="1:16">
      <c r="A3807" s="1">
        <v>45811</v>
      </c>
      <c r="B3807">
        <v>298421</v>
      </c>
      <c r="C3807">
        <v>75720</v>
      </c>
      <c r="D3807">
        <v>222701</v>
      </c>
      <c r="E3807">
        <v>426178246</v>
      </c>
      <c r="F3807">
        <v>134766317</v>
      </c>
      <c r="G3807">
        <v>560944563</v>
      </c>
      <c r="H3807">
        <v>130598</v>
      </c>
      <c r="I3807">
        <v>5704</v>
      </c>
      <c r="J3807">
        <v>136302</v>
      </c>
      <c r="K3807" t="b">
        <f>TrafficData[[#This Row],[disposedChallan]]+TrafficData[[#This Row],[pendingChallan]]=TrafficData[[#This Row],[totalChallan]]</f>
        <v>1</v>
      </c>
      <c r="L3807" t="b">
        <f>TrafficData[[#This Row],[pendingAmount]]+TrafficData[[#This Row],[disposedAmount]]=TrafficData[[#This Row],[totalAmount]]</f>
        <v>1</v>
      </c>
      <c r="M3807" t="b">
        <f>TrafficData[[#This Row],[pendingCourt]]+TrafficData[[#This Row],[disposedCourt]]=TrafficData[[#This Row],[totalCourt]]</f>
        <v>1</v>
      </c>
      <c r="N3807" s="8" t="b">
        <f>AND(TrafficData[[#This Row],[disposedChallan]]&lt;=TrafficData[[#This Row],[totalChallan]],TrafficData[[#This Row],[pendingChallan]]&lt;=TrafficData[[#This Row],[totalChallan]])</f>
        <v>1</v>
      </c>
      <c r="O3807" s="8" t="b">
        <f>AND(TrafficData[[#This Row],[pendingAmount]]&lt;=TrafficData[[#This Row],[totalAmount]],TrafficData[[#This Row],[disposedAmount]]&lt;=TrafficData[[#This Row],[totalAmount]])</f>
        <v>1</v>
      </c>
      <c r="P3807" s="8" t="b">
        <f>AND(TrafficData[[#This Row],[pendingCourt]]&lt;=TrafficData[[#This Row],[totalCourt]],TrafficData[[#This Row],[disposedCourt]]&lt;=TrafficData[[#This Row],[totalCourt]])</f>
        <v>1</v>
      </c>
    </row>
    <row r="3808" spans="1:16">
      <c r="A3808" s="1">
        <v>45812</v>
      </c>
      <c r="B3808">
        <v>294603</v>
      </c>
      <c r="C3808">
        <v>74551</v>
      </c>
      <c r="D3808">
        <v>220052</v>
      </c>
      <c r="E3808">
        <v>428870372</v>
      </c>
      <c r="F3808">
        <v>132687468</v>
      </c>
      <c r="G3808">
        <v>561557840</v>
      </c>
      <c r="H3808">
        <v>121416</v>
      </c>
      <c r="I3808">
        <v>5782</v>
      </c>
      <c r="J3808">
        <v>127198</v>
      </c>
      <c r="K3808" t="b">
        <f>TrafficData[[#This Row],[disposedChallan]]+TrafficData[[#This Row],[pendingChallan]]=TrafficData[[#This Row],[totalChallan]]</f>
        <v>1</v>
      </c>
      <c r="L3808" t="b">
        <f>TrafficData[[#This Row],[pendingAmount]]+TrafficData[[#This Row],[disposedAmount]]=TrafficData[[#This Row],[totalAmount]]</f>
        <v>1</v>
      </c>
      <c r="M3808" t="b">
        <f>TrafficData[[#This Row],[pendingCourt]]+TrafficData[[#This Row],[disposedCourt]]=TrafficData[[#This Row],[totalCourt]]</f>
        <v>1</v>
      </c>
      <c r="N3808" s="8" t="b">
        <f>AND(TrafficData[[#This Row],[disposedChallan]]&lt;=TrafficData[[#This Row],[totalChallan]],TrafficData[[#This Row],[pendingChallan]]&lt;=TrafficData[[#This Row],[totalChallan]])</f>
        <v>1</v>
      </c>
      <c r="O3808" s="8" t="b">
        <f>AND(TrafficData[[#This Row],[pendingAmount]]&lt;=TrafficData[[#This Row],[totalAmount]],TrafficData[[#This Row],[disposedAmount]]&lt;=TrafficData[[#This Row],[totalAmount]])</f>
        <v>1</v>
      </c>
      <c r="P3808" s="8" t="b">
        <f>AND(TrafficData[[#This Row],[pendingCourt]]&lt;=TrafficData[[#This Row],[totalCourt]],TrafficData[[#This Row],[disposedCourt]]&lt;=TrafficData[[#This Row],[totalCourt]])</f>
        <v>1</v>
      </c>
    </row>
    <row r="3809" spans="1:16">
      <c r="A3809" s="1">
        <v>45813</v>
      </c>
      <c r="B3809">
        <v>288602</v>
      </c>
      <c r="C3809">
        <v>73293</v>
      </c>
      <c r="D3809">
        <v>215309</v>
      </c>
      <c r="E3809">
        <v>420548848</v>
      </c>
      <c r="F3809">
        <v>125091033</v>
      </c>
      <c r="G3809">
        <v>545639881</v>
      </c>
      <c r="H3809">
        <v>118686</v>
      </c>
      <c r="I3809">
        <v>5602</v>
      </c>
      <c r="J3809">
        <v>124288</v>
      </c>
      <c r="K3809" t="b">
        <f>TrafficData[[#This Row],[disposedChallan]]+TrafficData[[#This Row],[pendingChallan]]=TrafficData[[#This Row],[totalChallan]]</f>
        <v>1</v>
      </c>
      <c r="L3809" t="b">
        <f>TrafficData[[#This Row],[pendingAmount]]+TrafficData[[#This Row],[disposedAmount]]=TrafficData[[#This Row],[totalAmount]]</f>
        <v>1</v>
      </c>
      <c r="M3809" t="b">
        <f>TrafficData[[#This Row],[pendingCourt]]+TrafficData[[#This Row],[disposedCourt]]=TrafficData[[#This Row],[totalCourt]]</f>
        <v>1</v>
      </c>
      <c r="N3809" s="8" t="b">
        <f>AND(TrafficData[[#This Row],[disposedChallan]]&lt;=TrafficData[[#This Row],[totalChallan]],TrafficData[[#This Row],[pendingChallan]]&lt;=TrafficData[[#This Row],[totalChallan]])</f>
        <v>1</v>
      </c>
      <c r="O3809" s="8" t="b">
        <f>AND(TrafficData[[#This Row],[pendingAmount]]&lt;=TrafficData[[#This Row],[totalAmount]],TrafficData[[#This Row],[disposedAmount]]&lt;=TrafficData[[#This Row],[totalAmount]])</f>
        <v>1</v>
      </c>
      <c r="P3809" s="8" t="b">
        <f>AND(TrafficData[[#This Row],[pendingCourt]]&lt;=TrafficData[[#This Row],[totalCourt]],TrafficData[[#This Row],[disposedCourt]]&lt;=TrafficData[[#This Row],[totalCourt]])</f>
        <v>1</v>
      </c>
    </row>
    <row r="3810" spans="1:16">
      <c r="A3810" s="1">
        <v>45814</v>
      </c>
      <c r="B3810">
        <v>281893</v>
      </c>
      <c r="C3810">
        <v>71699</v>
      </c>
      <c r="D3810">
        <v>210194</v>
      </c>
      <c r="E3810">
        <v>400261894</v>
      </c>
      <c r="F3810">
        <v>124266073</v>
      </c>
      <c r="G3810">
        <v>524527967</v>
      </c>
      <c r="H3810">
        <v>121486</v>
      </c>
      <c r="I3810">
        <v>4772</v>
      </c>
      <c r="J3810">
        <v>126258</v>
      </c>
      <c r="K3810" t="b">
        <f>TrafficData[[#This Row],[disposedChallan]]+TrafficData[[#This Row],[pendingChallan]]=TrafficData[[#This Row],[totalChallan]]</f>
        <v>1</v>
      </c>
      <c r="L3810" t="b">
        <f>TrafficData[[#This Row],[pendingAmount]]+TrafficData[[#This Row],[disposedAmount]]=TrafficData[[#This Row],[totalAmount]]</f>
        <v>1</v>
      </c>
      <c r="M3810" t="b">
        <f>TrafficData[[#This Row],[pendingCourt]]+TrafficData[[#This Row],[disposedCourt]]=TrafficData[[#This Row],[totalCourt]]</f>
        <v>1</v>
      </c>
      <c r="N3810" s="8" t="b">
        <f>AND(TrafficData[[#This Row],[disposedChallan]]&lt;=TrafficData[[#This Row],[totalChallan]],TrafficData[[#This Row],[pendingChallan]]&lt;=TrafficData[[#This Row],[totalChallan]])</f>
        <v>1</v>
      </c>
      <c r="O3810" s="8" t="b">
        <f>AND(TrafficData[[#This Row],[pendingAmount]]&lt;=TrafficData[[#This Row],[totalAmount]],TrafficData[[#This Row],[disposedAmount]]&lt;=TrafficData[[#This Row],[totalAmount]])</f>
        <v>1</v>
      </c>
      <c r="P3810" s="8" t="b">
        <f>AND(TrafficData[[#This Row],[pendingCourt]]&lt;=TrafficData[[#This Row],[totalCourt]],TrafficData[[#This Row],[disposedCourt]]&lt;=TrafficData[[#This Row],[totalCourt]])</f>
        <v>1</v>
      </c>
    </row>
    <row r="3811" spans="1:16">
      <c r="A3811" s="1">
        <v>45815</v>
      </c>
      <c r="B3811">
        <v>258841</v>
      </c>
      <c r="C3811">
        <v>63245</v>
      </c>
      <c r="D3811">
        <v>195596</v>
      </c>
      <c r="E3811">
        <v>337604722</v>
      </c>
      <c r="F3811">
        <v>93736992</v>
      </c>
      <c r="G3811">
        <v>431341714</v>
      </c>
      <c r="H3811">
        <v>102501</v>
      </c>
      <c r="I3811">
        <v>5138</v>
      </c>
      <c r="J3811">
        <v>107639</v>
      </c>
      <c r="K3811" t="b">
        <f>TrafficData[[#This Row],[disposedChallan]]+TrafficData[[#This Row],[pendingChallan]]=TrafficData[[#This Row],[totalChallan]]</f>
        <v>1</v>
      </c>
      <c r="L3811" t="b">
        <f>TrafficData[[#This Row],[pendingAmount]]+TrafficData[[#This Row],[disposedAmount]]=TrafficData[[#This Row],[totalAmount]]</f>
        <v>1</v>
      </c>
      <c r="M3811" t="b">
        <f>TrafficData[[#This Row],[pendingCourt]]+TrafficData[[#This Row],[disposedCourt]]=TrafficData[[#This Row],[totalCourt]]</f>
        <v>1</v>
      </c>
      <c r="N3811" s="8" t="b">
        <f>AND(TrafficData[[#This Row],[disposedChallan]]&lt;=TrafficData[[#This Row],[totalChallan]],TrafficData[[#This Row],[pendingChallan]]&lt;=TrafficData[[#This Row],[totalChallan]])</f>
        <v>1</v>
      </c>
      <c r="O3811" s="8" t="b">
        <f>AND(TrafficData[[#This Row],[pendingAmount]]&lt;=TrafficData[[#This Row],[totalAmount]],TrafficData[[#This Row],[disposedAmount]]&lt;=TrafficData[[#This Row],[totalAmount]])</f>
        <v>1</v>
      </c>
      <c r="P3811" s="8" t="b">
        <f>AND(TrafficData[[#This Row],[pendingCourt]]&lt;=TrafficData[[#This Row],[totalCourt]],TrafficData[[#This Row],[disposedCourt]]&lt;=TrafficData[[#This Row],[totalCourt]])</f>
        <v>1</v>
      </c>
    </row>
    <row r="3812" spans="1:16">
      <c r="A3812" s="1">
        <v>45816</v>
      </c>
      <c r="B3812">
        <v>262474</v>
      </c>
      <c r="C3812">
        <v>65219</v>
      </c>
      <c r="D3812">
        <v>197255</v>
      </c>
      <c r="E3812">
        <v>333822055</v>
      </c>
      <c r="F3812">
        <v>82081270</v>
      </c>
      <c r="G3812">
        <v>415903325</v>
      </c>
      <c r="H3812">
        <v>115815</v>
      </c>
      <c r="I3812">
        <v>5132</v>
      </c>
      <c r="J3812">
        <v>120947</v>
      </c>
      <c r="K3812" t="b">
        <f>TrafficData[[#This Row],[disposedChallan]]+TrafficData[[#This Row],[pendingChallan]]=TrafficData[[#This Row],[totalChallan]]</f>
        <v>1</v>
      </c>
      <c r="L3812" t="b">
        <f>TrafficData[[#This Row],[pendingAmount]]+TrafficData[[#This Row],[disposedAmount]]=TrafficData[[#This Row],[totalAmount]]</f>
        <v>1</v>
      </c>
      <c r="M3812" t="b">
        <f>TrafficData[[#This Row],[pendingCourt]]+TrafficData[[#This Row],[disposedCourt]]=TrafficData[[#This Row],[totalCourt]]</f>
        <v>1</v>
      </c>
      <c r="N3812" s="8" t="b">
        <f>AND(TrafficData[[#This Row],[disposedChallan]]&lt;=TrafficData[[#This Row],[totalChallan]],TrafficData[[#This Row],[pendingChallan]]&lt;=TrafficData[[#This Row],[totalChallan]])</f>
        <v>1</v>
      </c>
      <c r="O3812" s="8" t="b">
        <f>AND(TrafficData[[#This Row],[pendingAmount]]&lt;=TrafficData[[#This Row],[totalAmount]],TrafficData[[#This Row],[disposedAmount]]&lt;=TrafficData[[#This Row],[totalAmount]])</f>
        <v>1</v>
      </c>
      <c r="P3812" s="8" t="b">
        <f>AND(TrafficData[[#This Row],[pendingCourt]]&lt;=TrafficData[[#This Row],[totalCourt]],TrafficData[[#This Row],[disposedCourt]]&lt;=TrafficData[[#This Row],[totalCourt]])</f>
        <v>1</v>
      </c>
    </row>
    <row r="3813" spans="1:16">
      <c r="A3813" s="1">
        <v>45817</v>
      </c>
      <c r="B3813">
        <v>287888</v>
      </c>
      <c r="C3813">
        <v>71286</v>
      </c>
      <c r="D3813">
        <v>216602</v>
      </c>
      <c r="E3813">
        <v>402240424</v>
      </c>
      <c r="F3813">
        <v>116262629</v>
      </c>
      <c r="G3813">
        <v>518503053</v>
      </c>
      <c r="H3813">
        <v>121945</v>
      </c>
      <c r="I3813">
        <v>5297</v>
      </c>
      <c r="J3813">
        <v>127242</v>
      </c>
      <c r="K3813" t="b">
        <f>TrafficData[[#This Row],[disposedChallan]]+TrafficData[[#This Row],[pendingChallan]]=TrafficData[[#This Row],[totalChallan]]</f>
        <v>1</v>
      </c>
      <c r="L3813" t="b">
        <f>TrafficData[[#This Row],[pendingAmount]]+TrafficData[[#This Row],[disposedAmount]]=TrafficData[[#This Row],[totalAmount]]</f>
        <v>1</v>
      </c>
      <c r="M3813" t="b">
        <f>TrafficData[[#This Row],[pendingCourt]]+TrafficData[[#This Row],[disposedCourt]]=TrafficData[[#This Row],[totalCourt]]</f>
        <v>1</v>
      </c>
      <c r="N3813" s="8" t="b">
        <f>AND(TrafficData[[#This Row],[disposedChallan]]&lt;=TrafficData[[#This Row],[totalChallan]],TrafficData[[#This Row],[pendingChallan]]&lt;=TrafficData[[#This Row],[totalChallan]])</f>
        <v>1</v>
      </c>
      <c r="O3813" s="8" t="b">
        <f>AND(TrafficData[[#This Row],[pendingAmount]]&lt;=TrafficData[[#This Row],[totalAmount]],TrafficData[[#This Row],[disposedAmount]]&lt;=TrafficData[[#This Row],[totalAmount]])</f>
        <v>1</v>
      </c>
      <c r="P3813" s="8" t="b">
        <f>AND(TrafficData[[#This Row],[pendingCourt]]&lt;=TrafficData[[#This Row],[totalCourt]],TrafficData[[#This Row],[disposedCourt]]&lt;=TrafficData[[#This Row],[totalCourt]])</f>
        <v>1</v>
      </c>
    </row>
    <row r="3814" spans="1:16">
      <c r="A3814" s="1">
        <v>45818</v>
      </c>
      <c r="B3814">
        <v>281062</v>
      </c>
      <c r="C3814">
        <v>71471</v>
      </c>
      <c r="D3814">
        <v>209591</v>
      </c>
      <c r="E3814">
        <v>395637213</v>
      </c>
      <c r="F3814">
        <v>121459906</v>
      </c>
      <c r="G3814">
        <v>517097119</v>
      </c>
      <c r="H3814">
        <v>116387</v>
      </c>
      <c r="I3814">
        <v>5302</v>
      </c>
      <c r="J3814">
        <v>121689</v>
      </c>
      <c r="K3814" t="b">
        <f>TrafficData[[#This Row],[disposedChallan]]+TrafficData[[#This Row],[pendingChallan]]=TrafficData[[#This Row],[totalChallan]]</f>
        <v>1</v>
      </c>
      <c r="L3814" t="b">
        <f>TrafficData[[#This Row],[pendingAmount]]+TrafficData[[#This Row],[disposedAmount]]=TrafficData[[#This Row],[totalAmount]]</f>
        <v>1</v>
      </c>
      <c r="M3814" t="b">
        <f>TrafficData[[#This Row],[pendingCourt]]+TrafficData[[#This Row],[disposedCourt]]=TrafficData[[#This Row],[totalCourt]]</f>
        <v>1</v>
      </c>
      <c r="N3814" s="8" t="b">
        <f>AND(TrafficData[[#This Row],[disposedChallan]]&lt;=TrafficData[[#This Row],[totalChallan]],TrafficData[[#This Row],[pendingChallan]]&lt;=TrafficData[[#This Row],[totalChallan]])</f>
        <v>1</v>
      </c>
      <c r="O3814" s="8" t="b">
        <f>AND(TrafficData[[#This Row],[pendingAmount]]&lt;=TrafficData[[#This Row],[totalAmount]],TrafficData[[#This Row],[disposedAmount]]&lt;=TrafficData[[#This Row],[totalAmount]])</f>
        <v>1</v>
      </c>
      <c r="P3814" s="8" t="b">
        <f>AND(TrafficData[[#This Row],[pendingCourt]]&lt;=TrafficData[[#This Row],[totalCourt]],TrafficData[[#This Row],[disposedCourt]]&lt;=TrafficData[[#This Row],[totalCourt]])</f>
        <v>1</v>
      </c>
    </row>
    <row r="3815" spans="1:16">
      <c r="A3815" s="1">
        <v>45819</v>
      </c>
      <c r="B3815">
        <v>281994</v>
      </c>
      <c r="C3815">
        <v>69225</v>
      </c>
      <c r="D3815">
        <v>212769</v>
      </c>
      <c r="E3815">
        <v>406796870</v>
      </c>
      <c r="F3815">
        <v>119350104</v>
      </c>
      <c r="G3815">
        <v>526146974</v>
      </c>
      <c r="H3815">
        <v>127038</v>
      </c>
      <c r="I3815">
        <v>5465</v>
      </c>
      <c r="J3815">
        <v>132503</v>
      </c>
      <c r="K3815" t="b">
        <f>TrafficData[[#This Row],[disposedChallan]]+TrafficData[[#This Row],[pendingChallan]]=TrafficData[[#This Row],[totalChallan]]</f>
        <v>1</v>
      </c>
      <c r="L3815" t="b">
        <f>TrafficData[[#This Row],[pendingAmount]]+TrafficData[[#This Row],[disposedAmount]]=TrafficData[[#This Row],[totalAmount]]</f>
        <v>1</v>
      </c>
      <c r="M3815" t="b">
        <f>TrafficData[[#This Row],[pendingCourt]]+TrafficData[[#This Row],[disposedCourt]]=TrafficData[[#This Row],[totalCourt]]</f>
        <v>1</v>
      </c>
      <c r="N3815" s="8" t="b">
        <f>AND(TrafficData[[#This Row],[disposedChallan]]&lt;=TrafficData[[#This Row],[totalChallan]],TrafficData[[#This Row],[pendingChallan]]&lt;=TrafficData[[#This Row],[totalChallan]])</f>
        <v>1</v>
      </c>
      <c r="O3815" s="8" t="b">
        <f>AND(TrafficData[[#This Row],[pendingAmount]]&lt;=TrafficData[[#This Row],[totalAmount]],TrafficData[[#This Row],[disposedAmount]]&lt;=TrafficData[[#This Row],[totalAmount]])</f>
        <v>1</v>
      </c>
      <c r="P3815" s="8" t="b">
        <f>AND(TrafficData[[#This Row],[pendingCourt]]&lt;=TrafficData[[#This Row],[totalCourt]],TrafficData[[#This Row],[disposedCourt]]&lt;=TrafficData[[#This Row],[totalCourt]])</f>
        <v>1</v>
      </c>
    </row>
    <row r="3816" spans="1:16">
      <c r="A3816" s="1">
        <v>45820</v>
      </c>
      <c r="B3816">
        <v>269440</v>
      </c>
      <c r="C3816">
        <v>68389</v>
      </c>
      <c r="D3816">
        <v>201051</v>
      </c>
      <c r="E3816">
        <v>384100303</v>
      </c>
      <c r="F3816">
        <v>118674614</v>
      </c>
      <c r="G3816">
        <v>502774917</v>
      </c>
      <c r="H3816">
        <v>110500</v>
      </c>
      <c r="I3816">
        <v>5327</v>
      </c>
      <c r="J3816">
        <v>115827</v>
      </c>
      <c r="K3816" t="b">
        <f>TrafficData[[#This Row],[disposedChallan]]+TrafficData[[#This Row],[pendingChallan]]=TrafficData[[#This Row],[totalChallan]]</f>
        <v>1</v>
      </c>
      <c r="L3816" t="b">
        <f>TrafficData[[#This Row],[pendingAmount]]+TrafficData[[#This Row],[disposedAmount]]=TrafficData[[#This Row],[totalAmount]]</f>
        <v>1</v>
      </c>
      <c r="M3816" t="b">
        <f>TrafficData[[#This Row],[pendingCourt]]+TrafficData[[#This Row],[disposedCourt]]=TrafficData[[#This Row],[totalCourt]]</f>
        <v>1</v>
      </c>
      <c r="N3816" s="8" t="b">
        <f>AND(TrafficData[[#This Row],[disposedChallan]]&lt;=TrafficData[[#This Row],[totalChallan]],TrafficData[[#This Row],[pendingChallan]]&lt;=TrafficData[[#This Row],[totalChallan]])</f>
        <v>1</v>
      </c>
      <c r="O3816" s="8" t="b">
        <f>AND(TrafficData[[#This Row],[pendingAmount]]&lt;=TrafficData[[#This Row],[totalAmount]],TrafficData[[#This Row],[disposedAmount]]&lt;=TrafficData[[#This Row],[totalAmount]])</f>
        <v>1</v>
      </c>
      <c r="P3816" s="8" t="b">
        <f>AND(TrafficData[[#This Row],[pendingCourt]]&lt;=TrafficData[[#This Row],[totalCourt]],TrafficData[[#This Row],[disposedCourt]]&lt;=TrafficData[[#This Row],[totalCourt]])</f>
        <v>1</v>
      </c>
    </row>
    <row r="3817" spans="1:16">
      <c r="A3817" s="1">
        <v>45821</v>
      </c>
      <c r="B3817">
        <v>266312</v>
      </c>
      <c r="C3817">
        <v>67002</v>
      </c>
      <c r="D3817">
        <v>199310</v>
      </c>
      <c r="E3817">
        <v>392195331</v>
      </c>
      <c r="F3817">
        <v>120515069</v>
      </c>
      <c r="G3817">
        <v>512710400</v>
      </c>
      <c r="H3817">
        <v>103817</v>
      </c>
      <c r="I3817">
        <v>5267</v>
      </c>
      <c r="J3817">
        <v>109084</v>
      </c>
      <c r="K3817" t="b">
        <f>TrafficData[[#This Row],[disposedChallan]]+TrafficData[[#This Row],[pendingChallan]]=TrafficData[[#This Row],[totalChallan]]</f>
        <v>1</v>
      </c>
      <c r="L3817" t="b">
        <f>TrafficData[[#This Row],[pendingAmount]]+TrafficData[[#This Row],[disposedAmount]]=TrafficData[[#This Row],[totalAmount]]</f>
        <v>1</v>
      </c>
      <c r="M3817" t="b">
        <f>TrafficData[[#This Row],[pendingCourt]]+TrafficData[[#This Row],[disposedCourt]]=TrafficData[[#This Row],[totalCourt]]</f>
        <v>1</v>
      </c>
      <c r="N3817" s="8" t="b">
        <f>AND(TrafficData[[#This Row],[disposedChallan]]&lt;=TrafficData[[#This Row],[totalChallan]],TrafficData[[#This Row],[pendingChallan]]&lt;=TrafficData[[#This Row],[totalChallan]])</f>
        <v>1</v>
      </c>
      <c r="O3817" s="8" t="b">
        <f>AND(TrafficData[[#This Row],[pendingAmount]]&lt;=TrafficData[[#This Row],[totalAmount]],TrafficData[[#This Row],[disposedAmount]]&lt;=TrafficData[[#This Row],[totalAmount]])</f>
        <v>1</v>
      </c>
      <c r="P3817" s="8" t="b">
        <f>AND(TrafficData[[#This Row],[pendingCourt]]&lt;=TrafficData[[#This Row],[totalCourt]],TrafficData[[#This Row],[disposedCourt]]&lt;=TrafficData[[#This Row],[totalCourt]])</f>
        <v>1</v>
      </c>
    </row>
    <row r="3818" spans="1:16">
      <c r="A3818" s="1">
        <v>45822</v>
      </c>
      <c r="B3818">
        <v>255478</v>
      </c>
      <c r="C3818">
        <v>64469</v>
      </c>
      <c r="D3818">
        <v>191009</v>
      </c>
      <c r="E3818">
        <v>349817794</v>
      </c>
      <c r="F3818">
        <v>93409455</v>
      </c>
      <c r="G3818">
        <v>443227249</v>
      </c>
      <c r="H3818">
        <v>96508</v>
      </c>
      <c r="I3818">
        <v>5105</v>
      </c>
      <c r="J3818">
        <v>101613</v>
      </c>
      <c r="K3818" t="b">
        <f>TrafficData[[#This Row],[disposedChallan]]+TrafficData[[#This Row],[pendingChallan]]=TrafficData[[#This Row],[totalChallan]]</f>
        <v>1</v>
      </c>
      <c r="L3818" t="b">
        <f>TrafficData[[#This Row],[pendingAmount]]+TrafficData[[#This Row],[disposedAmount]]=TrafficData[[#This Row],[totalAmount]]</f>
        <v>1</v>
      </c>
      <c r="M3818" t="b">
        <f>TrafficData[[#This Row],[pendingCourt]]+TrafficData[[#This Row],[disposedCourt]]=TrafficData[[#This Row],[totalCourt]]</f>
        <v>1</v>
      </c>
      <c r="N3818" s="8" t="b">
        <f>AND(TrafficData[[#This Row],[disposedChallan]]&lt;=TrafficData[[#This Row],[totalChallan]],TrafficData[[#This Row],[pendingChallan]]&lt;=TrafficData[[#This Row],[totalChallan]])</f>
        <v>1</v>
      </c>
      <c r="O3818" s="8" t="b">
        <f>AND(TrafficData[[#This Row],[pendingAmount]]&lt;=TrafficData[[#This Row],[totalAmount]],TrafficData[[#This Row],[disposedAmount]]&lt;=TrafficData[[#This Row],[totalAmount]])</f>
        <v>1</v>
      </c>
      <c r="P3818" s="8" t="b">
        <f>AND(TrafficData[[#This Row],[pendingCourt]]&lt;=TrafficData[[#This Row],[totalCourt]],TrafficData[[#This Row],[disposedCourt]]&lt;=TrafficData[[#This Row],[totalCourt]])</f>
        <v>1</v>
      </c>
    </row>
    <row r="3819" spans="1:16">
      <c r="A3819" s="1">
        <v>45823</v>
      </c>
      <c r="B3819">
        <v>236576</v>
      </c>
      <c r="C3819">
        <v>56917</v>
      </c>
      <c r="D3819">
        <v>179659</v>
      </c>
      <c r="E3819">
        <v>312666453</v>
      </c>
      <c r="F3819">
        <v>78071655</v>
      </c>
      <c r="G3819">
        <v>390738108</v>
      </c>
      <c r="H3819">
        <v>89018</v>
      </c>
      <c r="I3819">
        <v>4557</v>
      </c>
      <c r="J3819">
        <v>93575</v>
      </c>
      <c r="K3819" t="b">
        <f>TrafficData[[#This Row],[disposedChallan]]+TrafficData[[#This Row],[pendingChallan]]=TrafficData[[#This Row],[totalChallan]]</f>
        <v>1</v>
      </c>
      <c r="L3819" t="b">
        <f>TrafficData[[#This Row],[pendingAmount]]+TrafficData[[#This Row],[disposedAmount]]=TrafficData[[#This Row],[totalAmount]]</f>
        <v>1</v>
      </c>
      <c r="M3819" t="b">
        <f>TrafficData[[#This Row],[pendingCourt]]+TrafficData[[#This Row],[disposedCourt]]=TrafficData[[#This Row],[totalCourt]]</f>
        <v>1</v>
      </c>
      <c r="N3819" s="8" t="b">
        <f>AND(TrafficData[[#This Row],[disposedChallan]]&lt;=TrafficData[[#This Row],[totalChallan]],TrafficData[[#This Row],[pendingChallan]]&lt;=TrafficData[[#This Row],[totalChallan]])</f>
        <v>1</v>
      </c>
      <c r="O3819" s="8" t="b">
        <f>AND(TrafficData[[#This Row],[pendingAmount]]&lt;=TrafficData[[#This Row],[totalAmount]],TrafficData[[#This Row],[disposedAmount]]&lt;=TrafficData[[#This Row],[totalAmount]])</f>
        <v>1</v>
      </c>
      <c r="P3819" s="8" t="b">
        <f>AND(TrafficData[[#This Row],[pendingCourt]]&lt;=TrafficData[[#This Row],[totalCourt]],TrafficData[[#This Row],[disposedCourt]]&lt;=TrafficData[[#This Row],[totalCourt]])</f>
        <v>1</v>
      </c>
    </row>
    <row r="3820" spans="1:16">
      <c r="A3820" s="1">
        <v>45824</v>
      </c>
      <c r="B3820">
        <v>269761</v>
      </c>
      <c r="C3820">
        <v>63418</v>
      </c>
      <c r="D3820">
        <v>206343</v>
      </c>
      <c r="E3820">
        <v>391283115</v>
      </c>
      <c r="F3820">
        <v>100251198</v>
      </c>
      <c r="G3820">
        <v>491534313</v>
      </c>
      <c r="H3820">
        <v>111296</v>
      </c>
      <c r="I3820">
        <v>5652</v>
      </c>
      <c r="J3820">
        <v>116948</v>
      </c>
      <c r="K3820" t="b">
        <f>TrafficData[[#This Row],[disposedChallan]]+TrafficData[[#This Row],[pendingChallan]]=TrafficData[[#This Row],[totalChallan]]</f>
        <v>1</v>
      </c>
      <c r="L3820" t="b">
        <f>TrafficData[[#This Row],[pendingAmount]]+TrafficData[[#This Row],[disposedAmount]]=TrafficData[[#This Row],[totalAmount]]</f>
        <v>1</v>
      </c>
      <c r="M3820" t="b">
        <f>TrafficData[[#This Row],[pendingCourt]]+TrafficData[[#This Row],[disposedCourt]]=TrafficData[[#This Row],[totalCourt]]</f>
        <v>1</v>
      </c>
      <c r="N3820" s="8" t="b">
        <f>AND(TrafficData[[#This Row],[disposedChallan]]&lt;=TrafficData[[#This Row],[totalChallan]],TrafficData[[#This Row],[pendingChallan]]&lt;=TrafficData[[#This Row],[totalChallan]])</f>
        <v>1</v>
      </c>
      <c r="O3820" s="8" t="b">
        <f>AND(TrafficData[[#This Row],[pendingAmount]]&lt;=TrafficData[[#This Row],[totalAmount]],TrafficData[[#This Row],[disposedAmount]]&lt;=TrafficData[[#This Row],[totalAmount]])</f>
        <v>1</v>
      </c>
      <c r="P3820" s="8" t="b">
        <f>AND(TrafficData[[#This Row],[pendingCourt]]&lt;=TrafficData[[#This Row],[totalCourt]],TrafficData[[#This Row],[disposedCourt]]&lt;=TrafficData[[#This Row],[totalCourt]])</f>
        <v>1</v>
      </c>
    </row>
    <row r="3821" spans="1:16">
      <c r="A3821" s="1">
        <v>45825</v>
      </c>
      <c r="B3821">
        <v>255101</v>
      </c>
      <c r="C3821">
        <v>61078</v>
      </c>
      <c r="D3821">
        <v>194023</v>
      </c>
      <c r="E3821">
        <v>364688242</v>
      </c>
      <c r="F3821">
        <v>104165829</v>
      </c>
      <c r="G3821">
        <v>468854071</v>
      </c>
      <c r="H3821">
        <v>106776</v>
      </c>
      <c r="I3821">
        <v>4837</v>
      </c>
      <c r="J3821">
        <v>111613</v>
      </c>
      <c r="K3821" t="b">
        <f>TrafficData[[#This Row],[disposedChallan]]+TrafficData[[#This Row],[pendingChallan]]=TrafficData[[#This Row],[totalChallan]]</f>
        <v>1</v>
      </c>
      <c r="L3821" t="b">
        <f>TrafficData[[#This Row],[pendingAmount]]+TrafficData[[#This Row],[disposedAmount]]=TrafficData[[#This Row],[totalAmount]]</f>
        <v>1</v>
      </c>
      <c r="M3821" t="b">
        <f>TrafficData[[#This Row],[pendingCourt]]+TrafficData[[#This Row],[disposedCourt]]=TrafficData[[#This Row],[totalCourt]]</f>
        <v>1</v>
      </c>
      <c r="N3821" s="8" t="b">
        <f>AND(TrafficData[[#This Row],[disposedChallan]]&lt;=TrafficData[[#This Row],[totalChallan]],TrafficData[[#This Row],[pendingChallan]]&lt;=TrafficData[[#This Row],[totalChallan]])</f>
        <v>1</v>
      </c>
      <c r="O3821" s="8" t="b">
        <f>AND(TrafficData[[#This Row],[pendingAmount]]&lt;=TrafficData[[#This Row],[totalAmount]],TrafficData[[#This Row],[disposedAmount]]&lt;=TrafficData[[#This Row],[totalAmount]])</f>
        <v>1</v>
      </c>
      <c r="P3821" s="8" t="b">
        <f>AND(TrafficData[[#This Row],[pendingCourt]]&lt;=TrafficData[[#This Row],[totalCourt]],TrafficData[[#This Row],[disposedCourt]]&lt;=TrafficData[[#This Row],[totalCourt]])</f>
        <v>1</v>
      </c>
    </row>
    <row r="3822" spans="1:16">
      <c r="A3822" s="1">
        <v>45826</v>
      </c>
      <c r="B3822">
        <v>279275</v>
      </c>
      <c r="C3822">
        <v>66569</v>
      </c>
      <c r="D3822">
        <v>212706</v>
      </c>
      <c r="E3822">
        <v>403156013</v>
      </c>
      <c r="F3822">
        <v>109582602</v>
      </c>
      <c r="G3822">
        <v>512738615</v>
      </c>
      <c r="H3822">
        <v>124539</v>
      </c>
      <c r="I3822">
        <v>5849</v>
      </c>
      <c r="J3822">
        <v>130388</v>
      </c>
      <c r="K3822" t="b">
        <f>TrafficData[[#This Row],[disposedChallan]]+TrafficData[[#This Row],[pendingChallan]]=TrafficData[[#This Row],[totalChallan]]</f>
        <v>1</v>
      </c>
      <c r="L3822" t="b">
        <f>TrafficData[[#This Row],[pendingAmount]]+TrafficData[[#This Row],[disposedAmount]]=TrafficData[[#This Row],[totalAmount]]</f>
        <v>1</v>
      </c>
      <c r="M3822" t="b">
        <f>TrafficData[[#This Row],[pendingCourt]]+TrafficData[[#This Row],[disposedCourt]]=TrafficData[[#This Row],[totalCourt]]</f>
        <v>1</v>
      </c>
      <c r="N3822" s="8" t="b">
        <f>AND(TrafficData[[#This Row],[disposedChallan]]&lt;=TrafficData[[#This Row],[totalChallan]],TrafficData[[#This Row],[pendingChallan]]&lt;=TrafficData[[#This Row],[totalChallan]])</f>
        <v>1</v>
      </c>
      <c r="O3822" s="8" t="b">
        <f>AND(TrafficData[[#This Row],[pendingAmount]]&lt;=TrafficData[[#This Row],[totalAmount]],TrafficData[[#This Row],[disposedAmount]]&lt;=TrafficData[[#This Row],[totalAmount]])</f>
        <v>1</v>
      </c>
      <c r="P3822" s="8" t="b">
        <f>AND(TrafficData[[#This Row],[pendingCourt]]&lt;=TrafficData[[#This Row],[totalCourt]],TrafficData[[#This Row],[disposedCourt]]&lt;=TrafficData[[#This Row],[totalCourt]])</f>
        <v>1</v>
      </c>
    </row>
    <row r="3823" spans="1:16">
      <c r="A3823" s="1">
        <v>45827</v>
      </c>
      <c r="B3823">
        <v>271303</v>
      </c>
      <c r="C3823">
        <v>64214</v>
      </c>
      <c r="D3823">
        <v>207089</v>
      </c>
      <c r="E3823">
        <v>402799851</v>
      </c>
      <c r="F3823">
        <v>110721150</v>
      </c>
      <c r="G3823">
        <v>513521001</v>
      </c>
      <c r="H3823">
        <v>120035</v>
      </c>
      <c r="I3823">
        <v>5901</v>
      </c>
      <c r="J3823">
        <v>125936</v>
      </c>
      <c r="K3823" t="b">
        <f>TrafficData[[#This Row],[disposedChallan]]+TrafficData[[#This Row],[pendingChallan]]=TrafficData[[#This Row],[totalChallan]]</f>
        <v>1</v>
      </c>
      <c r="L3823" t="b">
        <f>TrafficData[[#This Row],[pendingAmount]]+TrafficData[[#This Row],[disposedAmount]]=TrafficData[[#This Row],[totalAmount]]</f>
        <v>1</v>
      </c>
      <c r="M3823" t="b">
        <f>TrafficData[[#This Row],[pendingCourt]]+TrafficData[[#This Row],[disposedCourt]]=TrafficData[[#This Row],[totalCourt]]</f>
        <v>1</v>
      </c>
      <c r="N3823" s="8" t="b">
        <f>AND(TrafficData[[#This Row],[disposedChallan]]&lt;=TrafficData[[#This Row],[totalChallan]],TrafficData[[#This Row],[pendingChallan]]&lt;=TrafficData[[#This Row],[totalChallan]])</f>
        <v>1</v>
      </c>
      <c r="O3823" s="8" t="b">
        <f>AND(TrafficData[[#This Row],[pendingAmount]]&lt;=TrafficData[[#This Row],[totalAmount]],TrafficData[[#This Row],[disposedAmount]]&lt;=TrafficData[[#This Row],[totalAmount]])</f>
        <v>1</v>
      </c>
      <c r="P3823" s="8" t="b">
        <f>AND(TrafficData[[#This Row],[pendingCourt]]&lt;=TrafficData[[#This Row],[totalCourt]],TrafficData[[#This Row],[disposedCourt]]&lt;=TrafficData[[#This Row],[totalCourt]])</f>
        <v>1</v>
      </c>
    </row>
    <row r="3824" spans="1:16">
      <c r="A3824" s="1">
        <v>45828</v>
      </c>
      <c r="B3824">
        <v>289944</v>
      </c>
      <c r="C3824">
        <v>67482</v>
      </c>
      <c r="D3824">
        <v>222462</v>
      </c>
      <c r="E3824">
        <v>418351877</v>
      </c>
      <c r="F3824">
        <v>111512110</v>
      </c>
      <c r="G3824">
        <v>529863987</v>
      </c>
      <c r="H3824">
        <v>119000</v>
      </c>
      <c r="I3824">
        <v>6340</v>
      </c>
      <c r="J3824">
        <v>125340</v>
      </c>
      <c r="K3824" t="b">
        <f>TrafficData[[#This Row],[disposedChallan]]+TrafficData[[#This Row],[pendingChallan]]=TrafficData[[#This Row],[totalChallan]]</f>
        <v>1</v>
      </c>
      <c r="L3824" t="b">
        <f>TrafficData[[#This Row],[pendingAmount]]+TrafficData[[#This Row],[disposedAmount]]=TrafficData[[#This Row],[totalAmount]]</f>
        <v>1</v>
      </c>
      <c r="M3824" t="b">
        <f>TrafficData[[#This Row],[pendingCourt]]+TrafficData[[#This Row],[disposedCourt]]=TrafficData[[#This Row],[totalCourt]]</f>
        <v>1</v>
      </c>
      <c r="N3824" s="8" t="b">
        <f>AND(TrafficData[[#This Row],[disposedChallan]]&lt;=TrafficData[[#This Row],[totalChallan]],TrafficData[[#This Row],[pendingChallan]]&lt;=TrafficData[[#This Row],[totalChallan]])</f>
        <v>1</v>
      </c>
      <c r="O3824" s="8" t="b">
        <f>AND(TrafficData[[#This Row],[pendingAmount]]&lt;=TrafficData[[#This Row],[totalAmount]],TrafficData[[#This Row],[disposedAmount]]&lt;=TrafficData[[#This Row],[totalAmount]])</f>
        <v>1</v>
      </c>
      <c r="P3824" s="8" t="b">
        <f>AND(TrafficData[[#This Row],[pendingCourt]]&lt;=TrafficData[[#This Row],[totalCourt]],TrafficData[[#This Row],[disposedCourt]]&lt;=TrafficData[[#This Row],[totalCourt]])</f>
        <v>1</v>
      </c>
    </row>
    <row r="3825" spans="1:16">
      <c r="A3825" s="1">
        <v>45829</v>
      </c>
      <c r="B3825">
        <v>283856</v>
      </c>
      <c r="C3825">
        <v>68071</v>
      </c>
      <c r="D3825">
        <v>215785</v>
      </c>
      <c r="E3825">
        <v>396839897</v>
      </c>
      <c r="F3825">
        <v>99844926</v>
      </c>
      <c r="G3825">
        <v>496684823</v>
      </c>
      <c r="H3825">
        <v>120436</v>
      </c>
      <c r="I3825">
        <v>6027</v>
      </c>
      <c r="J3825">
        <v>126463</v>
      </c>
      <c r="K3825" t="b">
        <f>TrafficData[[#This Row],[disposedChallan]]+TrafficData[[#This Row],[pendingChallan]]=TrafficData[[#This Row],[totalChallan]]</f>
        <v>1</v>
      </c>
      <c r="L3825" t="b">
        <f>TrafficData[[#This Row],[pendingAmount]]+TrafficData[[#This Row],[disposedAmount]]=TrafficData[[#This Row],[totalAmount]]</f>
        <v>1</v>
      </c>
      <c r="M3825" t="b">
        <f>TrafficData[[#This Row],[pendingCourt]]+TrafficData[[#This Row],[disposedCourt]]=TrafficData[[#This Row],[totalCourt]]</f>
        <v>1</v>
      </c>
      <c r="N3825" s="8" t="b">
        <f>AND(TrafficData[[#This Row],[disposedChallan]]&lt;=TrafficData[[#This Row],[totalChallan]],TrafficData[[#This Row],[pendingChallan]]&lt;=TrafficData[[#This Row],[totalChallan]])</f>
        <v>1</v>
      </c>
      <c r="O3825" s="8" t="b">
        <f>AND(TrafficData[[#This Row],[pendingAmount]]&lt;=TrafficData[[#This Row],[totalAmount]],TrafficData[[#This Row],[disposedAmount]]&lt;=TrafficData[[#This Row],[totalAmount]])</f>
        <v>1</v>
      </c>
      <c r="P3825" s="8" t="b">
        <f>AND(TrafficData[[#This Row],[pendingCourt]]&lt;=TrafficData[[#This Row],[totalCourt]],TrafficData[[#This Row],[disposedCourt]]&lt;=TrafficData[[#This Row],[totalCourt]])</f>
        <v>1</v>
      </c>
    </row>
    <row r="3826" spans="1:16">
      <c r="A3826" s="1">
        <v>45830</v>
      </c>
      <c r="B3826">
        <v>254586</v>
      </c>
      <c r="C3826">
        <v>58515</v>
      </c>
      <c r="D3826">
        <v>196071</v>
      </c>
      <c r="E3826">
        <v>338554374</v>
      </c>
      <c r="F3826">
        <v>73846657</v>
      </c>
      <c r="G3826">
        <v>412401031</v>
      </c>
      <c r="H3826">
        <v>110830</v>
      </c>
      <c r="I3826">
        <v>5429</v>
      </c>
      <c r="J3826">
        <v>116259</v>
      </c>
      <c r="K3826" t="b">
        <f>TrafficData[[#This Row],[disposedChallan]]+TrafficData[[#This Row],[pendingChallan]]=TrafficData[[#This Row],[totalChallan]]</f>
        <v>1</v>
      </c>
      <c r="L3826" t="b">
        <f>TrafficData[[#This Row],[pendingAmount]]+TrafficData[[#This Row],[disposedAmount]]=TrafficData[[#This Row],[totalAmount]]</f>
        <v>1</v>
      </c>
      <c r="M3826" t="b">
        <f>TrafficData[[#This Row],[pendingCourt]]+TrafficData[[#This Row],[disposedCourt]]=TrafficData[[#This Row],[totalCourt]]</f>
        <v>1</v>
      </c>
      <c r="N3826" s="8" t="b">
        <f>AND(TrafficData[[#This Row],[disposedChallan]]&lt;=TrafficData[[#This Row],[totalChallan]],TrafficData[[#This Row],[pendingChallan]]&lt;=TrafficData[[#This Row],[totalChallan]])</f>
        <v>1</v>
      </c>
      <c r="O3826" s="8" t="b">
        <f>AND(TrafficData[[#This Row],[pendingAmount]]&lt;=TrafficData[[#This Row],[totalAmount]],TrafficData[[#This Row],[disposedAmount]]&lt;=TrafficData[[#This Row],[totalAmount]])</f>
        <v>1</v>
      </c>
      <c r="P3826" s="8" t="b">
        <f>AND(TrafficData[[#This Row],[pendingCourt]]&lt;=TrafficData[[#This Row],[totalCourt]],TrafficData[[#This Row],[disposedCourt]]&lt;=TrafficData[[#This Row],[totalCourt]])</f>
        <v>1</v>
      </c>
    </row>
    <row r="3827" spans="1:16">
      <c r="A3827" s="1">
        <v>45831</v>
      </c>
      <c r="B3827">
        <v>282142</v>
      </c>
      <c r="C3827">
        <v>65755</v>
      </c>
      <c r="D3827">
        <v>216387</v>
      </c>
      <c r="E3827">
        <v>401371319</v>
      </c>
      <c r="F3827">
        <v>99976417</v>
      </c>
      <c r="G3827">
        <v>501347736</v>
      </c>
      <c r="H3827">
        <v>116920</v>
      </c>
      <c r="I3827">
        <v>5602</v>
      </c>
      <c r="J3827">
        <v>122522</v>
      </c>
      <c r="K3827" t="b">
        <f>TrafficData[[#This Row],[disposedChallan]]+TrafficData[[#This Row],[pendingChallan]]=TrafficData[[#This Row],[totalChallan]]</f>
        <v>1</v>
      </c>
      <c r="L3827" t="b">
        <f>TrafficData[[#This Row],[pendingAmount]]+TrafficData[[#This Row],[disposedAmount]]=TrafficData[[#This Row],[totalAmount]]</f>
        <v>1</v>
      </c>
      <c r="M3827" t="b">
        <f>TrafficData[[#This Row],[pendingCourt]]+TrafficData[[#This Row],[disposedCourt]]=TrafficData[[#This Row],[totalCourt]]</f>
        <v>1</v>
      </c>
      <c r="N3827" s="8" t="b">
        <f>AND(TrafficData[[#This Row],[disposedChallan]]&lt;=TrafficData[[#This Row],[totalChallan]],TrafficData[[#This Row],[pendingChallan]]&lt;=TrafficData[[#This Row],[totalChallan]])</f>
        <v>1</v>
      </c>
      <c r="O3827" s="8" t="b">
        <f>AND(TrafficData[[#This Row],[pendingAmount]]&lt;=TrafficData[[#This Row],[totalAmount]],TrafficData[[#This Row],[disposedAmount]]&lt;=TrafficData[[#This Row],[totalAmount]])</f>
        <v>1</v>
      </c>
      <c r="P3827" s="8" t="b">
        <f>AND(TrafficData[[#This Row],[pendingCourt]]&lt;=TrafficData[[#This Row],[totalCourt]],TrafficData[[#This Row],[disposedCourt]]&lt;=TrafficData[[#This Row],[totalCourt]])</f>
        <v>1</v>
      </c>
    </row>
    <row r="3828" spans="1:16">
      <c r="A3828" s="1">
        <v>45832</v>
      </c>
      <c r="B3828">
        <v>282233</v>
      </c>
      <c r="C3828">
        <v>67758</v>
      </c>
      <c r="D3828">
        <v>214475</v>
      </c>
      <c r="E3828">
        <v>407540959</v>
      </c>
      <c r="F3828">
        <v>112428264</v>
      </c>
      <c r="G3828">
        <v>519969223</v>
      </c>
      <c r="H3828">
        <v>114356</v>
      </c>
      <c r="I3828">
        <v>5319</v>
      </c>
      <c r="J3828">
        <v>119675</v>
      </c>
      <c r="K3828" t="b">
        <f>TrafficData[[#This Row],[disposedChallan]]+TrafficData[[#This Row],[pendingChallan]]=TrafficData[[#This Row],[totalChallan]]</f>
        <v>1</v>
      </c>
      <c r="L3828" t="b">
        <f>TrafficData[[#This Row],[pendingAmount]]+TrafficData[[#This Row],[disposedAmount]]=TrafficData[[#This Row],[totalAmount]]</f>
        <v>1</v>
      </c>
      <c r="M3828" t="b">
        <f>TrafficData[[#This Row],[pendingCourt]]+TrafficData[[#This Row],[disposedCourt]]=TrafficData[[#This Row],[totalCourt]]</f>
        <v>1</v>
      </c>
      <c r="N3828" s="8" t="b">
        <f>AND(TrafficData[[#This Row],[disposedChallan]]&lt;=TrafficData[[#This Row],[totalChallan]],TrafficData[[#This Row],[pendingChallan]]&lt;=TrafficData[[#This Row],[totalChallan]])</f>
        <v>1</v>
      </c>
      <c r="O3828" s="8" t="b">
        <f>AND(TrafficData[[#This Row],[pendingAmount]]&lt;=TrafficData[[#This Row],[totalAmount]],TrafficData[[#This Row],[disposedAmount]]&lt;=TrafficData[[#This Row],[totalAmount]])</f>
        <v>1</v>
      </c>
      <c r="P3828" s="8" t="b">
        <f>AND(TrafficData[[#This Row],[pendingCourt]]&lt;=TrafficData[[#This Row],[totalCourt]],TrafficData[[#This Row],[disposedCourt]]&lt;=TrafficData[[#This Row],[totalCourt]])</f>
        <v>1</v>
      </c>
    </row>
    <row r="3829" spans="1:16">
      <c r="A3829" s="1">
        <v>45833</v>
      </c>
      <c r="B3829">
        <v>261215</v>
      </c>
      <c r="C3829">
        <v>62749</v>
      </c>
      <c r="D3829">
        <v>198466</v>
      </c>
      <c r="E3829">
        <v>387670420</v>
      </c>
      <c r="F3829">
        <v>105719852</v>
      </c>
      <c r="G3829">
        <v>493390272</v>
      </c>
      <c r="H3829">
        <v>110327</v>
      </c>
      <c r="I3829">
        <v>5090</v>
      </c>
      <c r="J3829">
        <v>115417</v>
      </c>
      <c r="K3829" t="b">
        <f>TrafficData[[#This Row],[disposedChallan]]+TrafficData[[#This Row],[pendingChallan]]=TrafficData[[#This Row],[totalChallan]]</f>
        <v>1</v>
      </c>
      <c r="L3829" t="b">
        <f>TrafficData[[#This Row],[pendingAmount]]+TrafficData[[#This Row],[disposedAmount]]=TrafficData[[#This Row],[totalAmount]]</f>
        <v>1</v>
      </c>
      <c r="M3829" t="b">
        <f>TrafficData[[#This Row],[pendingCourt]]+TrafficData[[#This Row],[disposedCourt]]=TrafficData[[#This Row],[totalCourt]]</f>
        <v>1</v>
      </c>
      <c r="N3829" s="8" t="b">
        <f>AND(TrafficData[[#This Row],[disposedChallan]]&lt;=TrafficData[[#This Row],[totalChallan]],TrafficData[[#This Row],[pendingChallan]]&lt;=TrafficData[[#This Row],[totalChallan]])</f>
        <v>1</v>
      </c>
      <c r="O3829" s="8" t="b">
        <f>AND(TrafficData[[#This Row],[pendingAmount]]&lt;=TrafficData[[#This Row],[totalAmount]],TrafficData[[#This Row],[disposedAmount]]&lt;=TrafficData[[#This Row],[totalAmount]])</f>
        <v>1</v>
      </c>
      <c r="P3829" s="8" t="b">
        <f>AND(TrafficData[[#This Row],[pendingCourt]]&lt;=TrafficData[[#This Row],[totalCourt]],TrafficData[[#This Row],[disposedCourt]]&lt;=TrafficData[[#This Row],[totalCourt]])</f>
        <v>1</v>
      </c>
    </row>
    <row r="3830" spans="1:16">
      <c r="A3830" s="1">
        <v>45834</v>
      </c>
      <c r="B3830">
        <v>248132</v>
      </c>
      <c r="C3830">
        <v>59368</v>
      </c>
      <c r="D3830">
        <v>188764</v>
      </c>
      <c r="E3830">
        <v>380341318</v>
      </c>
      <c r="F3830">
        <v>102847968</v>
      </c>
      <c r="G3830">
        <v>483189286</v>
      </c>
      <c r="H3830">
        <v>105072</v>
      </c>
      <c r="I3830">
        <v>5163</v>
      </c>
      <c r="J3830">
        <v>110235</v>
      </c>
      <c r="K3830" t="b">
        <f>TrafficData[[#This Row],[disposedChallan]]+TrafficData[[#This Row],[pendingChallan]]=TrafficData[[#This Row],[totalChallan]]</f>
        <v>1</v>
      </c>
      <c r="L3830" t="b">
        <f>TrafficData[[#This Row],[pendingAmount]]+TrafficData[[#This Row],[disposedAmount]]=TrafficData[[#This Row],[totalAmount]]</f>
        <v>1</v>
      </c>
      <c r="M3830" t="b">
        <f>TrafficData[[#This Row],[pendingCourt]]+TrafficData[[#This Row],[disposedCourt]]=TrafficData[[#This Row],[totalCourt]]</f>
        <v>1</v>
      </c>
      <c r="N3830" s="8" t="b">
        <f>AND(TrafficData[[#This Row],[disposedChallan]]&lt;=TrafficData[[#This Row],[totalChallan]],TrafficData[[#This Row],[pendingChallan]]&lt;=TrafficData[[#This Row],[totalChallan]])</f>
        <v>1</v>
      </c>
      <c r="O3830" s="8" t="b">
        <f>AND(TrafficData[[#This Row],[pendingAmount]]&lt;=TrafficData[[#This Row],[totalAmount]],TrafficData[[#This Row],[disposedAmount]]&lt;=TrafficData[[#This Row],[totalAmount]])</f>
        <v>1</v>
      </c>
      <c r="P3830" s="8" t="b">
        <f>AND(TrafficData[[#This Row],[pendingCourt]]&lt;=TrafficData[[#This Row],[totalCourt]],TrafficData[[#This Row],[disposedCourt]]&lt;=TrafficData[[#This Row],[totalCourt]])</f>
        <v>1</v>
      </c>
    </row>
    <row r="3831" spans="1:16">
      <c r="A3831" s="1">
        <v>45835</v>
      </c>
      <c r="B3831">
        <v>260258</v>
      </c>
      <c r="C3831">
        <v>61566</v>
      </c>
      <c r="D3831">
        <v>198692</v>
      </c>
      <c r="E3831">
        <v>380226534</v>
      </c>
      <c r="F3831">
        <v>100541631</v>
      </c>
      <c r="G3831">
        <v>480768165</v>
      </c>
      <c r="H3831">
        <v>105178</v>
      </c>
      <c r="I3831">
        <v>5333</v>
      </c>
      <c r="J3831">
        <v>110511</v>
      </c>
      <c r="K3831" t="b">
        <f>TrafficData[[#This Row],[disposedChallan]]+TrafficData[[#This Row],[pendingChallan]]=TrafficData[[#This Row],[totalChallan]]</f>
        <v>1</v>
      </c>
      <c r="L3831" t="b">
        <f>TrafficData[[#This Row],[pendingAmount]]+TrafficData[[#This Row],[disposedAmount]]=TrafficData[[#This Row],[totalAmount]]</f>
        <v>1</v>
      </c>
      <c r="M3831" t="b">
        <f>TrafficData[[#This Row],[pendingCourt]]+TrafficData[[#This Row],[disposedCourt]]=TrafficData[[#This Row],[totalCourt]]</f>
        <v>1</v>
      </c>
      <c r="N3831" s="8" t="b">
        <f>AND(TrafficData[[#This Row],[disposedChallan]]&lt;=TrafficData[[#This Row],[totalChallan]],TrafficData[[#This Row],[pendingChallan]]&lt;=TrafficData[[#This Row],[totalChallan]])</f>
        <v>1</v>
      </c>
      <c r="O3831" s="8" t="b">
        <f>AND(TrafficData[[#This Row],[pendingAmount]]&lt;=TrafficData[[#This Row],[totalAmount]],TrafficData[[#This Row],[disposedAmount]]&lt;=TrafficData[[#This Row],[totalAmount]])</f>
        <v>1</v>
      </c>
      <c r="P3831" s="8" t="b">
        <f>AND(TrafficData[[#This Row],[pendingCourt]]&lt;=TrafficData[[#This Row],[totalCourt]],TrafficData[[#This Row],[disposedCourt]]&lt;=TrafficData[[#This Row],[totalCourt]])</f>
        <v>1</v>
      </c>
    </row>
    <row r="3832" spans="1:16">
      <c r="A3832" s="1">
        <v>45836</v>
      </c>
      <c r="B3832">
        <v>266857</v>
      </c>
      <c r="C3832">
        <v>66037</v>
      </c>
      <c r="D3832">
        <v>200820</v>
      </c>
      <c r="E3832">
        <v>370335653</v>
      </c>
      <c r="F3832">
        <v>93797147</v>
      </c>
      <c r="G3832">
        <v>464132800</v>
      </c>
      <c r="H3832">
        <v>105073</v>
      </c>
      <c r="I3832">
        <v>5364</v>
      </c>
      <c r="J3832">
        <v>110437</v>
      </c>
      <c r="K3832" t="b">
        <f>TrafficData[[#This Row],[disposedChallan]]+TrafficData[[#This Row],[pendingChallan]]=TrafficData[[#This Row],[totalChallan]]</f>
        <v>1</v>
      </c>
      <c r="L3832" t="b">
        <f>TrafficData[[#This Row],[pendingAmount]]+TrafficData[[#This Row],[disposedAmount]]=TrafficData[[#This Row],[totalAmount]]</f>
        <v>1</v>
      </c>
      <c r="M3832" t="b">
        <f>TrafficData[[#This Row],[pendingCourt]]+TrafficData[[#This Row],[disposedCourt]]=TrafficData[[#This Row],[totalCourt]]</f>
        <v>1</v>
      </c>
      <c r="N3832" s="8" t="b">
        <f>AND(TrafficData[[#This Row],[disposedChallan]]&lt;=TrafficData[[#This Row],[totalChallan]],TrafficData[[#This Row],[pendingChallan]]&lt;=TrafficData[[#This Row],[totalChallan]])</f>
        <v>1</v>
      </c>
      <c r="O3832" s="8" t="b">
        <f>AND(TrafficData[[#This Row],[pendingAmount]]&lt;=TrafficData[[#This Row],[totalAmount]],TrafficData[[#This Row],[disposedAmount]]&lt;=TrafficData[[#This Row],[totalAmount]])</f>
        <v>1</v>
      </c>
      <c r="P3832" s="8" t="b">
        <f>AND(TrafficData[[#This Row],[pendingCourt]]&lt;=TrafficData[[#This Row],[totalCourt]],TrafficData[[#This Row],[disposedCourt]]&lt;=TrafficData[[#This Row],[totalCourt]])</f>
        <v>1</v>
      </c>
    </row>
    <row r="3833" spans="1:16">
      <c r="A3833" s="1">
        <v>45837</v>
      </c>
      <c r="B3833">
        <v>245247</v>
      </c>
      <c r="C3833">
        <v>59340</v>
      </c>
      <c r="D3833">
        <v>185907</v>
      </c>
      <c r="E3833">
        <v>314657065</v>
      </c>
      <c r="F3833">
        <v>72379600</v>
      </c>
      <c r="G3833">
        <v>387036665</v>
      </c>
      <c r="H3833">
        <v>100583</v>
      </c>
      <c r="I3833">
        <v>5044</v>
      </c>
      <c r="J3833">
        <v>105627</v>
      </c>
      <c r="K3833" t="b">
        <f>TrafficData[[#This Row],[disposedChallan]]+TrafficData[[#This Row],[pendingChallan]]=TrafficData[[#This Row],[totalChallan]]</f>
        <v>1</v>
      </c>
      <c r="L3833" t="b">
        <f>TrafficData[[#This Row],[pendingAmount]]+TrafficData[[#This Row],[disposedAmount]]=TrafficData[[#This Row],[totalAmount]]</f>
        <v>1</v>
      </c>
      <c r="M3833" t="b">
        <f>TrafficData[[#This Row],[pendingCourt]]+TrafficData[[#This Row],[disposedCourt]]=TrafficData[[#This Row],[totalCourt]]</f>
        <v>1</v>
      </c>
      <c r="N3833" s="8" t="b">
        <f>AND(TrafficData[[#This Row],[disposedChallan]]&lt;=TrafficData[[#This Row],[totalChallan]],TrafficData[[#This Row],[pendingChallan]]&lt;=TrafficData[[#This Row],[totalChallan]])</f>
        <v>1</v>
      </c>
      <c r="O3833" s="8" t="b">
        <f>AND(TrafficData[[#This Row],[pendingAmount]]&lt;=TrafficData[[#This Row],[totalAmount]],TrafficData[[#This Row],[disposedAmount]]&lt;=TrafficData[[#This Row],[totalAmount]])</f>
        <v>1</v>
      </c>
      <c r="P3833" s="8" t="b">
        <f>AND(TrafficData[[#This Row],[pendingCourt]]&lt;=TrafficData[[#This Row],[totalCourt]],TrafficData[[#This Row],[disposedCourt]]&lt;=TrafficData[[#This Row],[totalCourt]])</f>
        <v>1</v>
      </c>
    </row>
    <row r="3834" spans="1:16">
      <c r="A3834" s="1">
        <v>45838</v>
      </c>
      <c r="B3834">
        <v>267053</v>
      </c>
      <c r="C3834">
        <v>64302</v>
      </c>
      <c r="D3834">
        <v>202751</v>
      </c>
      <c r="E3834">
        <v>379475656</v>
      </c>
      <c r="F3834">
        <v>86919471</v>
      </c>
      <c r="G3834">
        <v>466395127</v>
      </c>
      <c r="H3834">
        <v>110449</v>
      </c>
      <c r="I3834">
        <v>5448</v>
      </c>
      <c r="J3834">
        <v>115897</v>
      </c>
      <c r="K3834" t="b">
        <f>TrafficData[[#This Row],[disposedChallan]]+TrafficData[[#This Row],[pendingChallan]]=TrafficData[[#This Row],[totalChallan]]</f>
        <v>1</v>
      </c>
      <c r="L3834" t="b">
        <f>TrafficData[[#This Row],[pendingAmount]]+TrafficData[[#This Row],[disposedAmount]]=TrafficData[[#This Row],[totalAmount]]</f>
        <v>1</v>
      </c>
      <c r="M3834" t="b">
        <f>TrafficData[[#This Row],[pendingCourt]]+TrafficData[[#This Row],[disposedCourt]]=TrafficData[[#This Row],[totalCourt]]</f>
        <v>1</v>
      </c>
      <c r="N3834" s="8" t="b">
        <f>AND(TrafficData[[#This Row],[disposedChallan]]&lt;=TrafficData[[#This Row],[totalChallan]],TrafficData[[#This Row],[pendingChallan]]&lt;=TrafficData[[#This Row],[totalChallan]])</f>
        <v>1</v>
      </c>
      <c r="O3834" s="8" t="b">
        <f>AND(TrafficData[[#This Row],[pendingAmount]]&lt;=TrafficData[[#This Row],[totalAmount]],TrafficData[[#This Row],[disposedAmount]]&lt;=TrafficData[[#This Row],[totalAmount]])</f>
        <v>1</v>
      </c>
      <c r="P3834" s="8" t="b">
        <f>AND(TrafficData[[#This Row],[pendingCourt]]&lt;=TrafficData[[#This Row],[totalCourt]],TrafficData[[#This Row],[disposedCourt]]&lt;=TrafficData[[#This Row],[totalCourt]])</f>
        <v>1</v>
      </c>
    </row>
    <row r="3835" spans="1:16">
      <c r="A3835" s="1">
        <v>45839</v>
      </c>
      <c r="B3835">
        <v>276880</v>
      </c>
      <c r="C3835">
        <v>66994</v>
      </c>
      <c r="D3835">
        <v>209886</v>
      </c>
      <c r="E3835">
        <v>377992594</v>
      </c>
      <c r="F3835">
        <v>111644067</v>
      </c>
      <c r="G3835">
        <v>489636661</v>
      </c>
      <c r="H3835">
        <v>126642</v>
      </c>
      <c r="I3835">
        <v>4983</v>
      </c>
      <c r="J3835">
        <v>131625</v>
      </c>
      <c r="K3835" t="b">
        <f>TrafficData[[#This Row],[disposedChallan]]+TrafficData[[#This Row],[pendingChallan]]=TrafficData[[#This Row],[totalChallan]]</f>
        <v>1</v>
      </c>
      <c r="L3835" t="b">
        <f>TrafficData[[#This Row],[pendingAmount]]+TrafficData[[#This Row],[disposedAmount]]=TrafficData[[#This Row],[totalAmount]]</f>
        <v>1</v>
      </c>
      <c r="M3835" t="b">
        <f>TrafficData[[#This Row],[pendingCourt]]+TrafficData[[#This Row],[disposedCourt]]=TrafficData[[#This Row],[totalCourt]]</f>
        <v>1</v>
      </c>
      <c r="N3835" s="8" t="b">
        <f>AND(TrafficData[[#This Row],[disposedChallan]]&lt;=TrafficData[[#This Row],[totalChallan]],TrafficData[[#This Row],[pendingChallan]]&lt;=TrafficData[[#This Row],[totalChallan]])</f>
        <v>1</v>
      </c>
      <c r="O3835" s="8" t="b">
        <f>AND(TrafficData[[#This Row],[pendingAmount]]&lt;=TrafficData[[#This Row],[totalAmount]],TrafficData[[#This Row],[disposedAmount]]&lt;=TrafficData[[#This Row],[totalAmount]])</f>
        <v>1</v>
      </c>
      <c r="P3835" s="8" t="b">
        <f>AND(TrafficData[[#This Row],[pendingCourt]]&lt;=TrafficData[[#This Row],[totalCourt]],TrafficData[[#This Row],[disposedCourt]]&lt;=TrafficData[[#This Row],[totalCourt]])</f>
        <v>1</v>
      </c>
    </row>
    <row r="3836" spans="1:16">
      <c r="A3836" s="1">
        <v>45840</v>
      </c>
      <c r="B3836">
        <v>283059</v>
      </c>
      <c r="C3836">
        <v>68007</v>
      </c>
      <c r="D3836">
        <v>215052</v>
      </c>
      <c r="E3836">
        <v>399286144</v>
      </c>
      <c r="F3836">
        <v>122005207</v>
      </c>
      <c r="G3836">
        <v>521291351</v>
      </c>
      <c r="H3836">
        <v>123188</v>
      </c>
      <c r="I3836">
        <v>5306</v>
      </c>
      <c r="J3836">
        <v>128494</v>
      </c>
      <c r="K3836" t="b">
        <f>TrafficData[[#This Row],[disposedChallan]]+TrafficData[[#This Row],[pendingChallan]]=TrafficData[[#This Row],[totalChallan]]</f>
        <v>1</v>
      </c>
      <c r="L3836" t="b">
        <f>TrafficData[[#This Row],[pendingAmount]]+TrafficData[[#This Row],[disposedAmount]]=TrafficData[[#This Row],[totalAmount]]</f>
        <v>1</v>
      </c>
      <c r="M3836" t="b">
        <f>TrafficData[[#This Row],[pendingCourt]]+TrafficData[[#This Row],[disposedCourt]]=TrafficData[[#This Row],[totalCourt]]</f>
        <v>1</v>
      </c>
      <c r="N3836" s="8" t="b">
        <f>AND(TrafficData[[#This Row],[disposedChallan]]&lt;=TrafficData[[#This Row],[totalChallan]],TrafficData[[#This Row],[pendingChallan]]&lt;=TrafficData[[#This Row],[totalChallan]])</f>
        <v>1</v>
      </c>
      <c r="O3836" s="8" t="b">
        <f>AND(TrafficData[[#This Row],[pendingAmount]]&lt;=TrafficData[[#This Row],[totalAmount]],TrafficData[[#This Row],[disposedAmount]]&lt;=TrafficData[[#This Row],[totalAmount]])</f>
        <v>1</v>
      </c>
      <c r="P3836" s="8" t="b">
        <f>AND(TrafficData[[#This Row],[pendingCourt]]&lt;=TrafficData[[#This Row],[totalCourt]],TrafficData[[#This Row],[disposedCourt]]&lt;=TrafficData[[#This Row],[totalCourt]])</f>
        <v>1</v>
      </c>
    </row>
    <row r="3837" spans="1:16">
      <c r="A3837" s="1">
        <v>45841</v>
      </c>
      <c r="B3837">
        <v>278685</v>
      </c>
      <c r="C3837">
        <v>67126</v>
      </c>
      <c r="D3837">
        <v>211559</v>
      </c>
      <c r="E3837">
        <v>401729426</v>
      </c>
      <c r="F3837">
        <v>124325334</v>
      </c>
      <c r="G3837">
        <v>526054760</v>
      </c>
      <c r="H3837">
        <v>128239</v>
      </c>
      <c r="I3837">
        <v>5358</v>
      </c>
      <c r="J3837">
        <v>133597</v>
      </c>
      <c r="K3837" t="b">
        <f>TrafficData[[#This Row],[disposedChallan]]+TrafficData[[#This Row],[pendingChallan]]=TrafficData[[#This Row],[totalChallan]]</f>
        <v>1</v>
      </c>
      <c r="L3837" t="b">
        <f>TrafficData[[#This Row],[pendingAmount]]+TrafficData[[#This Row],[disposedAmount]]=TrafficData[[#This Row],[totalAmount]]</f>
        <v>1</v>
      </c>
      <c r="M3837" t="b">
        <f>TrafficData[[#This Row],[pendingCourt]]+TrafficData[[#This Row],[disposedCourt]]=TrafficData[[#This Row],[totalCourt]]</f>
        <v>1</v>
      </c>
      <c r="N3837" s="8" t="b">
        <f>AND(TrafficData[[#This Row],[disposedChallan]]&lt;=TrafficData[[#This Row],[totalChallan]],TrafficData[[#This Row],[pendingChallan]]&lt;=TrafficData[[#This Row],[totalChallan]])</f>
        <v>1</v>
      </c>
      <c r="O3837" s="8" t="b">
        <f>AND(TrafficData[[#This Row],[pendingAmount]]&lt;=TrafficData[[#This Row],[totalAmount]],TrafficData[[#This Row],[disposedAmount]]&lt;=TrafficData[[#This Row],[totalAmount]])</f>
        <v>1</v>
      </c>
      <c r="P3837" s="8" t="b">
        <f>AND(TrafficData[[#This Row],[pendingCourt]]&lt;=TrafficData[[#This Row],[totalCourt]],TrafficData[[#This Row],[disposedCourt]]&lt;=TrafficData[[#This Row],[totalCourt]])</f>
        <v>1</v>
      </c>
    </row>
    <row r="3838" spans="1:16">
      <c r="A3838" s="1">
        <v>45842</v>
      </c>
      <c r="B3838">
        <v>273345</v>
      </c>
      <c r="C3838">
        <v>65419</v>
      </c>
      <c r="D3838">
        <v>207926</v>
      </c>
      <c r="E3838">
        <v>402105751</v>
      </c>
      <c r="F3838">
        <v>118350999</v>
      </c>
      <c r="G3838">
        <v>520456750</v>
      </c>
      <c r="H3838">
        <v>123513</v>
      </c>
      <c r="I3838">
        <v>5387</v>
      </c>
      <c r="J3838">
        <v>128900</v>
      </c>
      <c r="K3838" t="b">
        <f>TrafficData[[#This Row],[disposedChallan]]+TrafficData[[#This Row],[pendingChallan]]=TrafficData[[#This Row],[totalChallan]]</f>
        <v>1</v>
      </c>
      <c r="L3838" t="b">
        <f>TrafficData[[#This Row],[pendingAmount]]+TrafficData[[#This Row],[disposedAmount]]=TrafficData[[#This Row],[totalAmount]]</f>
        <v>1</v>
      </c>
      <c r="M3838" t="b">
        <f>TrafficData[[#This Row],[pendingCourt]]+TrafficData[[#This Row],[disposedCourt]]=TrafficData[[#This Row],[totalCourt]]</f>
        <v>1</v>
      </c>
      <c r="N3838" s="8" t="b">
        <f>AND(TrafficData[[#This Row],[disposedChallan]]&lt;=TrafficData[[#This Row],[totalChallan]],TrafficData[[#This Row],[pendingChallan]]&lt;=TrafficData[[#This Row],[totalChallan]])</f>
        <v>1</v>
      </c>
      <c r="O3838" s="8" t="b">
        <f>AND(TrafficData[[#This Row],[pendingAmount]]&lt;=TrafficData[[#This Row],[totalAmount]],TrafficData[[#This Row],[disposedAmount]]&lt;=TrafficData[[#This Row],[totalAmount]])</f>
        <v>1</v>
      </c>
      <c r="P3838" s="8" t="b">
        <f>AND(TrafficData[[#This Row],[pendingCourt]]&lt;=TrafficData[[#This Row],[totalCourt]],TrafficData[[#This Row],[disposedCourt]]&lt;=TrafficData[[#This Row],[totalCourt]])</f>
        <v>1</v>
      </c>
    </row>
    <row r="3839" spans="1:16">
      <c r="A3839" s="1">
        <v>45843</v>
      </c>
      <c r="B3839">
        <v>256474</v>
      </c>
      <c r="C3839">
        <v>60093</v>
      </c>
      <c r="D3839">
        <v>196381</v>
      </c>
      <c r="E3839">
        <v>380684891</v>
      </c>
      <c r="F3839">
        <v>100326588</v>
      </c>
      <c r="G3839">
        <v>481011479</v>
      </c>
      <c r="H3839">
        <v>118908</v>
      </c>
      <c r="I3839">
        <v>5430</v>
      </c>
      <c r="J3839">
        <v>124338</v>
      </c>
      <c r="K3839" t="b">
        <f>TrafficData[[#This Row],[disposedChallan]]+TrafficData[[#This Row],[pendingChallan]]=TrafficData[[#This Row],[totalChallan]]</f>
        <v>1</v>
      </c>
      <c r="L3839" t="b">
        <f>TrafficData[[#This Row],[pendingAmount]]+TrafficData[[#This Row],[disposedAmount]]=TrafficData[[#This Row],[totalAmount]]</f>
        <v>1</v>
      </c>
      <c r="M3839" t="b">
        <f>TrafficData[[#This Row],[pendingCourt]]+TrafficData[[#This Row],[disposedCourt]]=TrafficData[[#This Row],[totalCourt]]</f>
        <v>1</v>
      </c>
      <c r="N3839" s="8" t="b">
        <f>AND(TrafficData[[#This Row],[disposedChallan]]&lt;=TrafficData[[#This Row],[totalChallan]],TrafficData[[#This Row],[pendingChallan]]&lt;=TrafficData[[#This Row],[totalChallan]])</f>
        <v>1</v>
      </c>
      <c r="O3839" s="8" t="b">
        <f>AND(TrafficData[[#This Row],[pendingAmount]]&lt;=TrafficData[[#This Row],[totalAmount]],TrafficData[[#This Row],[disposedAmount]]&lt;=TrafficData[[#This Row],[totalAmount]])</f>
        <v>1</v>
      </c>
      <c r="P3839" s="8" t="b">
        <f>AND(TrafficData[[#This Row],[pendingCourt]]&lt;=TrafficData[[#This Row],[totalCourt]],TrafficData[[#This Row],[disposedCourt]]&lt;=TrafficData[[#This Row],[totalCourt]])</f>
        <v>1</v>
      </c>
    </row>
    <row r="3840" spans="1:16">
      <c r="A3840" s="1">
        <v>45844</v>
      </c>
      <c r="B3840">
        <v>217945</v>
      </c>
      <c r="C3840">
        <v>48880</v>
      </c>
      <c r="D3840">
        <v>169065</v>
      </c>
      <c r="E3840">
        <v>301069364</v>
      </c>
      <c r="F3840">
        <v>68244341</v>
      </c>
      <c r="G3840">
        <v>369313705</v>
      </c>
      <c r="H3840">
        <v>105333</v>
      </c>
      <c r="I3840">
        <v>4605</v>
      </c>
      <c r="J3840">
        <v>109938</v>
      </c>
      <c r="K3840" t="b">
        <f>TrafficData[[#This Row],[disposedChallan]]+TrafficData[[#This Row],[pendingChallan]]=TrafficData[[#This Row],[totalChallan]]</f>
        <v>1</v>
      </c>
      <c r="L3840" t="b">
        <f>TrafficData[[#This Row],[pendingAmount]]+TrafficData[[#This Row],[disposedAmount]]=TrafficData[[#This Row],[totalAmount]]</f>
        <v>1</v>
      </c>
      <c r="M3840" t="b">
        <f>TrafficData[[#This Row],[pendingCourt]]+TrafficData[[#This Row],[disposedCourt]]=TrafficData[[#This Row],[totalCourt]]</f>
        <v>1</v>
      </c>
      <c r="N3840" s="8" t="b">
        <f>AND(TrafficData[[#This Row],[disposedChallan]]&lt;=TrafficData[[#This Row],[totalChallan]],TrafficData[[#This Row],[pendingChallan]]&lt;=TrafficData[[#This Row],[totalChallan]])</f>
        <v>1</v>
      </c>
      <c r="O3840" s="8" t="b">
        <f>AND(TrafficData[[#This Row],[pendingAmount]]&lt;=TrafficData[[#This Row],[totalAmount]],TrafficData[[#This Row],[disposedAmount]]&lt;=TrafficData[[#This Row],[totalAmount]])</f>
        <v>1</v>
      </c>
      <c r="P3840" s="8" t="b">
        <f>AND(TrafficData[[#This Row],[pendingCourt]]&lt;=TrafficData[[#This Row],[totalCourt]],TrafficData[[#This Row],[disposedCourt]]&lt;=TrafficData[[#This Row],[totalCourt]])</f>
        <v>1</v>
      </c>
    </row>
    <row r="3841" spans="1:16">
      <c r="A3841" s="1">
        <v>45845</v>
      </c>
      <c r="B3841">
        <v>264894</v>
      </c>
      <c r="C3841">
        <v>60115</v>
      </c>
      <c r="D3841">
        <v>204779</v>
      </c>
      <c r="E3841">
        <v>380635202</v>
      </c>
      <c r="F3841">
        <v>101330914</v>
      </c>
      <c r="G3841">
        <v>481966116</v>
      </c>
      <c r="H3841">
        <v>126814</v>
      </c>
      <c r="I3841">
        <v>5109</v>
      </c>
      <c r="J3841">
        <v>131923</v>
      </c>
      <c r="K3841" t="b">
        <f>TrafficData[[#This Row],[disposedChallan]]+TrafficData[[#This Row],[pendingChallan]]=TrafficData[[#This Row],[totalChallan]]</f>
        <v>1</v>
      </c>
      <c r="L3841" t="b">
        <f>TrafficData[[#This Row],[pendingAmount]]+TrafficData[[#This Row],[disposedAmount]]=TrafficData[[#This Row],[totalAmount]]</f>
        <v>1</v>
      </c>
      <c r="M3841" t="b">
        <f>TrafficData[[#This Row],[pendingCourt]]+TrafficData[[#This Row],[disposedCourt]]=TrafficData[[#This Row],[totalCourt]]</f>
        <v>1</v>
      </c>
      <c r="N3841" s="8" t="b">
        <f>AND(TrafficData[[#This Row],[disposedChallan]]&lt;=TrafficData[[#This Row],[totalChallan]],TrafficData[[#This Row],[pendingChallan]]&lt;=TrafficData[[#This Row],[totalChallan]])</f>
        <v>1</v>
      </c>
      <c r="O3841" s="8" t="b">
        <f>AND(TrafficData[[#This Row],[pendingAmount]]&lt;=TrafficData[[#This Row],[totalAmount]],TrafficData[[#This Row],[disposedAmount]]&lt;=TrafficData[[#This Row],[totalAmount]])</f>
        <v>1</v>
      </c>
      <c r="P3841" s="8" t="b">
        <f>AND(TrafficData[[#This Row],[pendingCourt]]&lt;=TrafficData[[#This Row],[totalCourt]],TrafficData[[#This Row],[disposedCourt]]&lt;=TrafficData[[#This Row],[totalCourt]])</f>
        <v>1</v>
      </c>
    </row>
    <row r="3842" spans="1:16">
      <c r="A3842" s="1">
        <v>45846</v>
      </c>
      <c r="B3842">
        <v>258801</v>
      </c>
      <c r="C3842">
        <v>58925</v>
      </c>
      <c r="D3842">
        <v>199876</v>
      </c>
      <c r="E3842">
        <v>384690810</v>
      </c>
      <c r="F3842">
        <v>112221863</v>
      </c>
      <c r="G3842">
        <v>496912673</v>
      </c>
      <c r="H3842">
        <v>129699</v>
      </c>
      <c r="I3842">
        <v>5112</v>
      </c>
      <c r="J3842">
        <v>134811</v>
      </c>
      <c r="K3842" t="b">
        <f>TrafficData[[#This Row],[disposedChallan]]+TrafficData[[#This Row],[pendingChallan]]=TrafficData[[#This Row],[totalChallan]]</f>
        <v>1</v>
      </c>
      <c r="L3842" t="b">
        <f>TrafficData[[#This Row],[pendingAmount]]+TrafficData[[#This Row],[disposedAmount]]=TrafficData[[#This Row],[totalAmount]]</f>
        <v>1</v>
      </c>
      <c r="M3842" t="b">
        <f>TrafficData[[#This Row],[pendingCourt]]+TrafficData[[#This Row],[disposedCourt]]=TrafficData[[#This Row],[totalCourt]]</f>
        <v>1</v>
      </c>
      <c r="N3842" s="8" t="b">
        <f>AND(TrafficData[[#This Row],[disposedChallan]]&lt;=TrafficData[[#This Row],[totalChallan]],TrafficData[[#This Row],[pendingChallan]]&lt;=TrafficData[[#This Row],[totalChallan]])</f>
        <v>1</v>
      </c>
      <c r="O3842" s="8" t="b">
        <f>AND(TrafficData[[#This Row],[pendingAmount]]&lt;=TrafficData[[#This Row],[totalAmount]],TrafficData[[#This Row],[disposedAmount]]&lt;=TrafficData[[#This Row],[totalAmount]])</f>
        <v>1</v>
      </c>
      <c r="P3842" s="8" t="b">
        <f>AND(TrafficData[[#This Row],[pendingCourt]]&lt;=TrafficData[[#This Row],[totalCourt]],TrafficData[[#This Row],[disposedCourt]]&lt;=TrafficData[[#This Row],[totalCourt]])</f>
        <v>1</v>
      </c>
    </row>
    <row r="3843" spans="1:16">
      <c r="A3843" s="1">
        <v>45847</v>
      </c>
      <c r="B3843">
        <v>253088</v>
      </c>
      <c r="C3843">
        <v>55491</v>
      </c>
      <c r="D3843">
        <v>197597</v>
      </c>
      <c r="E3843">
        <v>372781036</v>
      </c>
      <c r="F3843">
        <v>99581411</v>
      </c>
      <c r="G3843">
        <v>472362447</v>
      </c>
      <c r="H3843">
        <v>115030</v>
      </c>
      <c r="I3843">
        <v>5262</v>
      </c>
      <c r="J3843">
        <v>120292</v>
      </c>
      <c r="K3843" t="b">
        <f>TrafficData[[#This Row],[disposedChallan]]+TrafficData[[#This Row],[pendingChallan]]=TrafficData[[#This Row],[totalChallan]]</f>
        <v>1</v>
      </c>
      <c r="L3843" t="b">
        <f>TrafficData[[#This Row],[pendingAmount]]+TrafficData[[#This Row],[disposedAmount]]=TrafficData[[#This Row],[totalAmount]]</f>
        <v>1</v>
      </c>
      <c r="M3843" t="b">
        <f>TrafficData[[#This Row],[pendingCourt]]+TrafficData[[#This Row],[disposedCourt]]=TrafficData[[#This Row],[totalCourt]]</f>
        <v>1</v>
      </c>
      <c r="N3843" s="8" t="b">
        <f>AND(TrafficData[[#This Row],[disposedChallan]]&lt;=TrafficData[[#This Row],[totalChallan]],TrafficData[[#This Row],[pendingChallan]]&lt;=TrafficData[[#This Row],[totalChallan]])</f>
        <v>1</v>
      </c>
      <c r="O3843" s="8" t="b">
        <f>AND(TrafficData[[#This Row],[pendingAmount]]&lt;=TrafficData[[#This Row],[totalAmount]],TrafficData[[#This Row],[disposedAmount]]&lt;=TrafficData[[#This Row],[totalAmount]])</f>
        <v>1</v>
      </c>
      <c r="P3843" s="8" t="b">
        <f>AND(TrafficData[[#This Row],[pendingCourt]]&lt;=TrafficData[[#This Row],[totalCourt]],TrafficData[[#This Row],[disposedCourt]]&lt;=TrafficData[[#This Row],[totalCourt]])</f>
        <v>1</v>
      </c>
    </row>
    <row r="3844" spans="1:16">
      <c r="A3844" s="1">
        <v>45848</v>
      </c>
      <c r="B3844">
        <v>260961</v>
      </c>
      <c r="C3844">
        <v>61752</v>
      </c>
      <c r="D3844">
        <v>199209</v>
      </c>
      <c r="E3844">
        <v>386124070</v>
      </c>
      <c r="F3844">
        <v>112232616</v>
      </c>
      <c r="G3844">
        <v>498356686</v>
      </c>
      <c r="H3844">
        <v>121716</v>
      </c>
      <c r="I3844">
        <v>5124</v>
      </c>
      <c r="J3844">
        <v>126840</v>
      </c>
      <c r="K3844" t="b">
        <f>TrafficData[[#This Row],[disposedChallan]]+TrafficData[[#This Row],[pendingChallan]]=TrafficData[[#This Row],[totalChallan]]</f>
        <v>1</v>
      </c>
      <c r="L3844" t="b">
        <f>TrafficData[[#This Row],[pendingAmount]]+TrafficData[[#This Row],[disposedAmount]]=TrafficData[[#This Row],[totalAmount]]</f>
        <v>1</v>
      </c>
      <c r="M3844" t="b">
        <f>TrafficData[[#This Row],[pendingCourt]]+TrafficData[[#This Row],[disposedCourt]]=TrafficData[[#This Row],[totalCourt]]</f>
        <v>1</v>
      </c>
      <c r="N3844" s="8" t="b">
        <f>AND(TrafficData[[#This Row],[disposedChallan]]&lt;=TrafficData[[#This Row],[totalChallan]],TrafficData[[#This Row],[pendingChallan]]&lt;=TrafficData[[#This Row],[totalChallan]])</f>
        <v>1</v>
      </c>
      <c r="O3844" s="8" t="b">
        <f>AND(TrafficData[[#This Row],[pendingAmount]]&lt;=TrafficData[[#This Row],[totalAmount]],TrafficData[[#This Row],[disposedAmount]]&lt;=TrafficData[[#This Row],[totalAmount]])</f>
        <v>1</v>
      </c>
      <c r="P3844" s="8" t="b">
        <f>AND(TrafficData[[#This Row],[pendingCourt]]&lt;=TrafficData[[#This Row],[totalCourt]],TrafficData[[#This Row],[disposedCourt]]&lt;=TrafficData[[#This Row],[totalCourt]])</f>
        <v>1</v>
      </c>
    </row>
    <row r="3845" spans="1:16">
      <c r="A3845" s="1">
        <v>45849</v>
      </c>
      <c r="B3845">
        <v>278494</v>
      </c>
      <c r="C3845">
        <v>65212</v>
      </c>
      <c r="D3845">
        <v>213282</v>
      </c>
      <c r="E3845">
        <v>420572374</v>
      </c>
      <c r="F3845">
        <v>111821207</v>
      </c>
      <c r="G3845">
        <v>532393581</v>
      </c>
      <c r="H3845">
        <v>130571</v>
      </c>
      <c r="I3845">
        <v>5626</v>
      </c>
      <c r="J3845">
        <v>136197</v>
      </c>
      <c r="K3845" t="b">
        <f>TrafficData[[#This Row],[disposedChallan]]+TrafficData[[#This Row],[pendingChallan]]=TrafficData[[#This Row],[totalChallan]]</f>
        <v>1</v>
      </c>
      <c r="L3845" t="b">
        <f>TrafficData[[#This Row],[pendingAmount]]+TrafficData[[#This Row],[disposedAmount]]=TrafficData[[#This Row],[totalAmount]]</f>
        <v>1</v>
      </c>
      <c r="M3845" t="b">
        <f>TrafficData[[#This Row],[pendingCourt]]+TrafficData[[#This Row],[disposedCourt]]=TrafficData[[#This Row],[totalCourt]]</f>
        <v>1</v>
      </c>
      <c r="N3845" s="8" t="b">
        <f>AND(TrafficData[[#This Row],[disposedChallan]]&lt;=TrafficData[[#This Row],[totalChallan]],TrafficData[[#This Row],[pendingChallan]]&lt;=TrafficData[[#This Row],[totalChallan]])</f>
        <v>1</v>
      </c>
      <c r="O3845" s="8" t="b">
        <f>AND(TrafficData[[#This Row],[pendingAmount]]&lt;=TrafficData[[#This Row],[totalAmount]],TrafficData[[#This Row],[disposedAmount]]&lt;=TrafficData[[#This Row],[totalAmount]])</f>
        <v>1</v>
      </c>
      <c r="P3845" s="8" t="b">
        <f>AND(TrafficData[[#This Row],[pendingCourt]]&lt;=TrafficData[[#This Row],[totalCourt]],TrafficData[[#This Row],[disposedCourt]]&lt;=TrafficData[[#This Row],[totalCourt]])</f>
        <v>1</v>
      </c>
    </row>
    <row r="3846" spans="1:16">
      <c r="A3846" s="1">
        <v>45850</v>
      </c>
      <c r="B3846">
        <v>265995</v>
      </c>
      <c r="C3846">
        <v>61941</v>
      </c>
      <c r="D3846">
        <v>204054</v>
      </c>
      <c r="E3846">
        <v>385694244</v>
      </c>
      <c r="F3846">
        <v>87202182</v>
      </c>
      <c r="G3846">
        <v>472896426</v>
      </c>
      <c r="H3846">
        <v>109703</v>
      </c>
      <c r="I3846">
        <v>5367</v>
      </c>
      <c r="J3846">
        <v>115070</v>
      </c>
      <c r="K3846" t="b">
        <f>TrafficData[[#This Row],[disposedChallan]]+TrafficData[[#This Row],[pendingChallan]]=TrafficData[[#This Row],[totalChallan]]</f>
        <v>1</v>
      </c>
      <c r="L3846" t="b">
        <f>TrafficData[[#This Row],[pendingAmount]]+TrafficData[[#This Row],[disposedAmount]]=TrafficData[[#This Row],[totalAmount]]</f>
        <v>1</v>
      </c>
      <c r="M3846" t="b">
        <f>TrafficData[[#This Row],[pendingCourt]]+TrafficData[[#This Row],[disposedCourt]]=TrafficData[[#This Row],[totalCourt]]</f>
        <v>1</v>
      </c>
      <c r="N3846" s="8" t="b">
        <f>AND(TrafficData[[#This Row],[disposedChallan]]&lt;=TrafficData[[#This Row],[totalChallan]],TrafficData[[#This Row],[pendingChallan]]&lt;=TrafficData[[#This Row],[totalChallan]])</f>
        <v>1</v>
      </c>
      <c r="O3846" s="8" t="b">
        <f>AND(TrafficData[[#This Row],[pendingAmount]]&lt;=TrafficData[[#This Row],[totalAmount]],TrafficData[[#This Row],[disposedAmount]]&lt;=TrafficData[[#This Row],[totalAmount]])</f>
        <v>1</v>
      </c>
      <c r="P3846" s="8" t="b">
        <f>AND(TrafficData[[#This Row],[pendingCourt]]&lt;=TrafficData[[#This Row],[totalCourt]],TrafficData[[#This Row],[disposedCourt]]&lt;=TrafficData[[#This Row],[totalCourt]])</f>
        <v>1</v>
      </c>
    </row>
    <row r="3847" spans="1:16">
      <c r="A3847" s="1">
        <v>45851</v>
      </c>
      <c r="B3847">
        <v>247879</v>
      </c>
      <c r="C3847">
        <v>58798</v>
      </c>
      <c r="D3847">
        <v>189081</v>
      </c>
      <c r="E3847">
        <v>337090121</v>
      </c>
      <c r="F3847">
        <v>72733835</v>
      </c>
      <c r="G3847">
        <v>409823956</v>
      </c>
      <c r="H3847">
        <v>103661</v>
      </c>
      <c r="I3847">
        <v>4746</v>
      </c>
      <c r="J3847">
        <v>108407</v>
      </c>
      <c r="K3847" t="b">
        <f>TrafficData[[#This Row],[disposedChallan]]+TrafficData[[#This Row],[pendingChallan]]=TrafficData[[#This Row],[totalChallan]]</f>
        <v>1</v>
      </c>
      <c r="L3847" t="b">
        <f>TrafficData[[#This Row],[pendingAmount]]+TrafficData[[#This Row],[disposedAmount]]=TrafficData[[#This Row],[totalAmount]]</f>
        <v>1</v>
      </c>
      <c r="M3847" t="b">
        <f>TrafficData[[#This Row],[pendingCourt]]+TrafficData[[#This Row],[disposedCourt]]=TrafficData[[#This Row],[totalCourt]]</f>
        <v>1</v>
      </c>
      <c r="N3847" s="8" t="b">
        <f>AND(TrafficData[[#This Row],[disposedChallan]]&lt;=TrafficData[[#This Row],[totalChallan]],TrafficData[[#This Row],[pendingChallan]]&lt;=TrafficData[[#This Row],[totalChallan]])</f>
        <v>1</v>
      </c>
      <c r="O3847" s="8" t="b">
        <f>AND(TrafficData[[#This Row],[pendingAmount]]&lt;=TrafficData[[#This Row],[totalAmount]],TrafficData[[#This Row],[disposedAmount]]&lt;=TrafficData[[#This Row],[totalAmount]])</f>
        <v>1</v>
      </c>
      <c r="P3847" s="8" t="b">
        <f>AND(TrafficData[[#This Row],[pendingCourt]]&lt;=TrafficData[[#This Row],[totalCourt]],TrafficData[[#This Row],[disposedCourt]]&lt;=TrafficData[[#This Row],[totalCourt]])</f>
        <v>1</v>
      </c>
    </row>
    <row r="3848" spans="1:16">
      <c r="A3848" s="1">
        <v>45852</v>
      </c>
      <c r="B3848">
        <v>258669</v>
      </c>
      <c r="C3848">
        <v>59373</v>
      </c>
      <c r="D3848">
        <v>199296</v>
      </c>
      <c r="E3848">
        <v>382291068</v>
      </c>
      <c r="F3848">
        <v>94228668</v>
      </c>
      <c r="G3848">
        <v>476519736</v>
      </c>
      <c r="H3848">
        <v>109241</v>
      </c>
      <c r="I3848">
        <v>4941</v>
      </c>
      <c r="J3848">
        <v>114182</v>
      </c>
      <c r="K3848" t="b">
        <f>TrafficData[[#This Row],[disposedChallan]]+TrafficData[[#This Row],[pendingChallan]]=TrafficData[[#This Row],[totalChallan]]</f>
        <v>1</v>
      </c>
      <c r="L3848" t="b">
        <f>TrafficData[[#This Row],[pendingAmount]]+TrafficData[[#This Row],[disposedAmount]]=TrafficData[[#This Row],[totalAmount]]</f>
        <v>1</v>
      </c>
      <c r="M3848" t="b">
        <f>TrafficData[[#This Row],[pendingCourt]]+TrafficData[[#This Row],[disposedCourt]]=TrafficData[[#This Row],[totalCourt]]</f>
        <v>1</v>
      </c>
      <c r="N3848" s="8" t="b">
        <f>AND(TrafficData[[#This Row],[disposedChallan]]&lt;=TrafficData[[#This Row],[totalChallan]],TrafficData[[#This Row],[pendingChallan]]&lt;=TrafficData[[#This Row],[totalChallan]])</f>
        <v>1</v>
      </c>
      <c r="O3848" s="8" t="b">
        <f>AND(TrafficData[[#This Row],[pendingAmount]]&lt;=TrafficData[[#This Row],[totalAmount]],TrafficData[[#This Row],[disposedAmount]]&lt;=TrafficData[[#This Row],[totalAmount]])</f>
        <v>1</v>
      </c>
      <c r="P3848" s="8" t="b">
        <f>AND(TrafficData[[#This Row],[pendingCourt]]&lt;=TrafficData[[#This Row],[totalCourt]],TrafficData[[#This Row],[disposedCourt]]&lt;=TrafficData[[#This Row],[totalCourt]])</f>
        <v>1</v>
      </c>
    </row>
    <row r="3849" spans="1:16">
      <c r="A3849" s="1">
        <v>45853</v>
      </c>
      <c r="B3849">
        <v>276598</v>
      </c>
      <c r="C3849">
        <v>64360</v>
      </c>
      <c r="D3849">
        <v>212238</v>
      </c>
      <c r="E3849">
        <v>419064644</v>
      </c>
      <c r="F3849">
        <v>110472240</v>
      </c>
      <c r="G3849">
        <v>529536884</v>
      </c>
      <c r="H3849">
        <v>118294</v>
      </c>
      <c r="I3849">
        <v>5498</v>
      </c>
      <c r="J3849">
        <v>123792</v>
      </c>
      <c r="K3849" t="b">
        <f>TrafficData[[#This Row],[disposedChallan]]+TrafficData[[#This Row],[pendingChallan]]=TrafficData[[#This Row],[totalChallan]]</f>
        <v>1</v>
      </c>
      <c r="L3849" t="b">
        <f>TrafficData[[#This Row],[pendingAmount]]+TrafficData[[#This Row],[disposedAmount]]=TrafficData[[#This Row],[totalAmount]]</f>
        <v>1</v>
      </c>
      <c r="M3849" t="b">
        <f>TrafficData[[#This Row],[pendingCourt]]+TrafficData[[#This Row],[disposedCourt]]=TrafficData[[#This Row],[totalCourt]]</f>
        <v>1</v>
      </c>
      <c r="N3849" s="8" t="b">
        <f>AND(TrafficData[[#This Row],[disposedChallan]]&lt;=TrafficData[[#This Row],[totalChallan]],TrafficData[[#This Row],[pendingChallan]]&lt;=TrafficData[[#This Row],[totalChallan]])</f>
        <v>1</v>
      </c>
      <c r="O3849" s="8" t="b">
        <f>AND(TrafficData[[#This Row],[pendingAmount]]&lt;=TrafficData[[#This Row],[totalAmount]],TrafficData[[#This Row],[disposedAmount]]&lt;=TrafficData[[#This Row],[totalAmount]])</f>
        <v>1</v>
      </c>
      <c r="P3849" s="8" t="b">
        <f>AND(TrafficData[[#This Row],[pendingCourt]]&lt;=TrafficData[[#This Row],[totalCourt]],TrafficData[[#This Row],[disposedCourt]]&lt;=TrafficData[[#This Row],[totalCourt]])</f>
        <v>1</v>
      </c>
    </row>
    <row r="3850" spans="1:16">
      <c r="A3850" s="1">
        <v>45854</v>
      </c>
      <c r="B3850">
        <v>270265</v>
      </c>
      <c r="C3850">
        <v>61807</v>
      </c>
      <c r="D3850">
        <v>208458</v>
      </c>
      <c r="E3850">
        <v>408800405</v>
      </c>
      <c r="F3850">
        <v>111713118</v>
      </c>
      <c r="G3850">
        <v>520513523</v>
      </c>
      <c r="H3850">
        <v>116960</v>
      </c>
      <c r="I3850">
        <v>5593</v>
      </c>
      <c r="J3850">
        <v>122553</v>
      </c>
      <c r="K3850" t="b">
        <f>TrafficData[[#This Row],[disposedChallan]]+TrafficData[[#This Row],[pendingChallan]]=TrafficData[[#This Row],[totalChallan]]</f>
        <v>1</v>
      </c>
      <c r="L3850" t="b">
        <f>TrafficData[[#This Row],[pendingAmount]]+TrafficData[[#This Row],[disposedAmount]]=TrafficData[[#This Row],[totalAmount]]</f>
        <v>1</v>
      </c>
      <c r="M3850" t="b">
        <f>TrafficData[[#This Row],[pendingCourt]]+TrafficData[[#This Row],[disposedCourt]]=TrafficData[[#This Row],[totalCourt]]</f>
        <v>1</v>
      </c>
      <c r="N3850" s="8" t="b">
        <f>AND(TrafficData[[#This Row],[disposedChallan]]&lt;=TrafficData[[#This Row],[totalChallan]],TrafficData[[#This Row],[pendingChallan]]&lt;=TrafficData[[#This Row],[totalChallan]])</f>
        <v>1</v>
      </c>
      <c r="O3850" s="8" t="b">
        <f>AND(TrafficData[[#This Row],[pendingAmount]]&lt;=TrafficData[[#This Row],[totalAmount]],TrafficData[[#This Row],[disposedAmount]]&lt;=TrafficData[[#This Row],[totalAmount]])</f>
        <v>1</v>
      </c>
      <c r="P3850" s="8" t="b">
        <f>AND(TrafficData[[#This Row],[pendingCourt]]&lt;=TrafficData[[#This Row],[totalCourt]],TrafficData[[#This Row],[disposedCourt]]&lt;=TrafficData[[#This Row],[totalCourt]])</f>
        <v>1</v>
      </c>
    </row>
    <row r="3851" spans="1:16">
      <c r="A3851" s="1">
        <v>45855</v>
      </c>
      <c r="B3851">
        <v>260253</v>
      </c>
      <c r="C3851">
        <v>61159</v>
      </c>
      <c r="D3851">
        <v>199094</v>
      </c>
      <c r="E3851">
        <v>384846312</v>
      </c>
      <c r="F3851">
        <v>105035390</v>
      </c>
      <c r="G3851">
        <v>489881702</v>
      </c>
      <c r="H3851">
        <v>113353</v>
      </c>
      <c r="I3851">
        <v>5367</v>
      </c>
      <c r="J3851">
        <v>118720</v>
      </c>
      <c r="K3851" t="b">
        <f>TrafficData[[#This Row],[disposedChallan]]+TrafficData[[#This Row],[pendingChallan]]=TrafficData[[#This Row],[totalChallan]]</f>
        <v>1</v>
      </c>
      <c r="L3851" t="b">
        <f>TrafficData[[#This Row],[pendingAmount]]+TrafficData[[#This Row],[disposedAmount]]=TrafficData[[#This Row],[totalAmount]]</f>
        <v>1</v>
      </c>
      <c r="M3851" t="b">
        <f>TrafficData[[#This Row],[pendingCourt]]+TrafficData[[#This Row],[disposedCourt]]=TrafficData[[#This Row],[totalCourt]]</f>
        <v>1</v>
      </c>
      <c r="N3851" s="8" t="b">
        <f>AND(TrafficData[[#This Row],[disposedChallan]]&lt;=TrafficData[[#This Row],[totalChallan]],TrafficData[[#This Row],[pendingChallan]]&lt;=TrafficData[[#This Row],[totalChallan]])</f>
        <v>1</v>
      </c>
      <c r="O3851" s="8" t="b">
        <f>AND(TrafficData[[#This Row],[pendingAmount]]&lt;=TrafficData[[#This Row],[totalAmount]],TrafficData[[#This Row],[disposedAmount]]&lt;=TrafficData[[#This Row],[totalAmount]])</f>
        <v>1</v>
      </c>
      <c r="P3851" s="8" t="b">
        <f>AND(TrafficData[[#This Row],[pendingCourt]]&lt;=TrafficData[[#This Row],[totalCourt]],TrafficData[[#This Row],[disposedCourt]]&lt;=TrafficData[[#This Row],[totalCourt]])</f>
        <v>1</v>
      </c>
    </row>
    <row r="3852" spans="1:16">
      <c r="A3852" s="1">
        <v>45856</v>
      </c>
      <c r="B3852">
        <v>270249</v>
      </c>
      <c r="C3852">
        <v>63196</v>
      </c>
      <c r="D3852">
        <v>207053</v>
      </c>
      <c r="E3852">
        <v>384168892</v>
      </c>
      <c r="F3852">
        <v>102037478</v>
      </c>
      <c r="G3852">
        <v>486206370</v>
      </c>
      <c r="H3852">
        <v>116960</v>
      </c>
      <c r="I3852">
        <v>5053</v>
      </c>
      <c r="J3852">
        <v>122013</v>
      </c>
      <c r="K3852" t="b">
        <f>TrafficData[[#This Row],[disposedChallan]]+TrafficData[[#This Row],[pendingChallan]]=TrafficData[[#This Row],[totalChallan]]</f>
        <v>1</v>
      </c>
      <c r="L3852" t="b">
        <f>TrafficData[[#This Row],[pendingAmount]]+TrafficData[[#This Row],[disposedAmount]]=TrafficData[[#This Row],[totalAmount]]</f>
        <v>1</v>
      </c>
      <c r="M3852" t="b">
        <f>TrafficData[[#This Row],[pendingCourt]]+TrafficData[[#This Row],[disposedCourt]]=TrafficData[[#This Row],[totalCourt]]</f>
        <v>1</v>
      </c>
      <c r="N3852" s="8" t="b">
        <f>AND(TrafficData[[#This Row],[disposedChallan]]&lt;=TrafficData[[#This Row],[totalChallan]],TrafficData[[#This Row],[pendingChallan]]&lt;=TrafficData[[#This Row],[totalChallan]])</f>
        <v>1</v>
      </c>
      <c r="O3852" s="8" t="b">
        <f>AND(TrafficData[[#This Row],[pendingAmount]]&lt;=TrafficData[[#This Row],[totalAmount]],TrafficData[[#This Row],[disposedAmount]]&lt;=TrafficData[[#This Row],[totalAmount]])</f>
        <v>1</v>
      </c>
      <c r="P3852" s="8" t="b">
        <f>AND(TrafficData[[#This Row],[pendingCourt]]&lt;=TrafficData[[#This Row],[totalCourt]],TrafficData[[#This Row],[disposedCourt]]&lt;=TrafficData[[#This Row],[totalCourt]])</f>
        <v>1</v>
      </c>
    </row>
    <row r="3853" spans="1:16">
      <c r="A3853" s="1">
        <v>45857</v>
      </c>
      <c r="B3853">
        <v>261351</v>
      </c>
      <c r="C3853">
        <v>62835</v>
      </c>
      <c r="D3853">
        <v>198516</v>
      </c>
      <c r="E3853">
        <v>371770430</v>
      </c>
      <c r="F3853">
        <v>92732925</v>
      </c>
      <c r="G3853">
        <v>464503355</v>
      </c>
      <c r="H3853">
        <v>103595</v>
      </c>
      <c r="I3853">
        <v>5012</v>
      </c>
      <c r="J3853">
        <v>108607</v>
      </c>
      <c r="K3853" t="b">
        <f>TrafficData[[#This Row],[disposedChallan]]+TrafficData[[#This Row],[pendingChallan]]=TrafficData[[#This Row],[totalChallan]]</f>
        <v>1</v>
      </c>
      <c r="L3853" t="b">
        <f>TrafficData[[#This Row],[pendingAmount]]+TrafficData[[#This Row],[disposedAmount]]=TrafficData[[#This Row],[totalAmount]]</f>
        <v>1</v>
      </c>
      <c r="M3853" t="b">
        <f>TrafficData[[#This Row],[pendingCourt]]+TrafficData[[#This Row],[disposedCourt]]=TrafficData[[#This Row],[totalCourt]]</f>
        <v>1</v>
      </c>
      <c r="N3853" s="8" t="b">
        <f>AND(TrafficData[[#This Row],[disposedChallan]]&lt;=TrafficData[[#This Row],[totalChallan]],TrafficData[[#This Row],[pendingChallan]]&lt;=TrafficData[[#This Row],[totalChallan]])</f>
        <v>1</v>
      </c>
      <c r="O3853" s="8" t="b">
        <f>AND(TrafficData[[#This Row],[pendingAmount]]&lt;=TrafficData[[#This Row],[totalAmount]],TrafficData[[#This Row],[disposedAmount]]&lt;=TrafficData[[#This Row],[totalAmount]])</f>
        <v>1</v>
      </c>
      <c r="P3853" s="8" t="b">
        <f>AND(TrafficData[[#This Row],[pendingCourt]]&lt;=TrafficData[[#This Row],[totalCourt]],TrafficData[[#This Row],[disposedCourt]]&lt;=TrafficData[[#This Row],[totalCourt]])</f>
        <v>1</v>
      </c>
    </row>
    <row r="3854" spans="1:16">
      <c r="A3854" s="1">
        <v>45858</v>
      </c>
      <c r="B3854">
        <v>247647</v>
      </c>
      <c r="C3854">
        <v>57694</v>
      </c>
      <c r="D3854">
        <v>189953</v>
      </c>
      <c r="E3854">
        <v>314017229</v>
      </c>
      <c r="F3854">
        <v>70221686</v>
      </c>
      <c r="G3854">
        <v>384238915</v>
      </c>
      <c r="H3854">
        <v>99443</v>
      </c>
      <c r="I3854">
        <v>4800</v>
      </c>
      <c r="J3854">
        <v>104243</v>
      </c>
      <c r="K3854" t="b">
        <f>TrafficData[[#This Row],[disposedChallan]]+TrafficData[[#This Row],[pendingChallan]]=TrafficData[[#This Row],[totalChallan]]</f>
        <v>1</v>
      </c>
      <c r="L3854" t="b">
        <f>TrafficData[[#This Row],[pendingAmount]]+TrafficData[[#This Row],[disposedAmount]]=TrafficData[[#This Row],[totalAmount]]</f>
        <v>1</v>
      </c>
      <c r="M3854" t="b">
        <f>TrafficData[[#This Row],[pendingCourt]]+TrafficData[[#This Row],[disposedCourt]]=TrafficData[[#This Row],[totalCourt]]</f>
        <v>1</v>
      </c>
      <c r="N3854" s="8" t="b">
        <f>AND(TrafficData[[#This Row],[disposedChallan]]&lt;=TrafficData[[#This Row],[totalChallan]],TrafficData[[#This Row],[pendingChallan]]&lt;=TrafficData[[#This Row],[totalChallan]])</f>
        <v>1</v>
      </c>
      <c r="O3854" s="8" t="b">
        <f>AND(TrafficData[[#This Row],[pendingAmount]]&lt;=TrafficData[[#This Row],[totalAmount]],TrafficData[[#This Row],[disposedAmount]]&lt;=TrafficData[[#This Row],[totalAmount]])</f>
        <v>1</v>
      </c>
      <c r="P3854" s="8" t="b">
        <f>AND(TrafficData[[#This Row],[pendingCourt]]&lt;=TrafficData[[#This Row],[totalCourt]],TrafficData[[#This Row],[disposedCourt]]&lt;=TrafficData[[#This Row],[totalCourt]])</f>
        <v>1</v>
      </c>
    </row>
    <row r="3855" spans="1:16">
      <c r="A3855" s="1">
        <v>45859</v>
      </c>
      <c r="B3855">
        <v>241334</v>
      </c>
      <c r="C3855">
        <v>56586</v>
      </c>
      <c r="D3855">
        <v>184748</v>
      </c>
      <c r="E3855">
        <v>355321586</v>
      </c>
      <c r="F3855">
        <v>87084905</v>
      </c>
      <c r="G3855">
        <v>442406491</v>
      </c>
      <c r="H3855">
        <v>105804</v>
      </c>
      <c r="I3855">
        <v>4172</v>
      </c>
      <c r="J3855">
        <v>109976</v>
      </c>
      <c r="K3855" t="b">
        <f>TrafficData[[#This Row],[disposedChallan]]+TrafficData[[#This Row],[pendingChallan]]=TrafficData[[#This Row],[totalChallan]]</f>
        <v>1</v>
      </c>
      <c r="L3855" t="b">
        <f>TrafficData[[#This Row],[pendingAmount]]+TrafficData[[#This Row],[disposedAmount]]=TrafficData[[#This Row],[totalAmount]]</f>
        <v>1</v>
      </c>
      <c r="M3855" t="b">
        <f>TrafficData[[#This Row],[pendingCourt]]+TrafficData[[#This Row],[disposedCourt]]=TrafficData[[#This Row],[totalCourt]]</f>
        <v>1</v>
      </c>
      <c r="N3855" s="8" t="b">
        <f>AND(TrafficData[[#This Row],[disposedChallan]]&lt;=TrafficData[[#This Row],[totalChallan]],TrafficData[[#This Row],[pendingChallan]]&lt;=TrafficData[[#This Row],[totalChallan]])</f>
        <v>1</v>
      </c>
      <c r="O3855" s="8" t="b">
        <f>AND(TrafficData[[#This Row],[pendingAmount]]&lt;=TrafficData[[#This Row],[totalAmount]],TrafficData[[#This Row],[disposedAmount]]&lt;=TrafficData[[#This Row],[totalAmount]])</f>
        <v>1</v>
      </c>
      <c r="P3855" s="8" t="b">
        <f>AND(TrafficData[[#This Row],[pendingCourt]]&lt;=TrafficData[[#This Row],[totalCourt]],TrafficData[[#This Row],[disposedCourt]]&lt;=TrafficData[[#This Row],[totalCourt]])</f>
        <v>1</v>
      </c>
    </row>
    <row r="3856" spans="1:16">
      <c r="A3856" s="1">
        <v>45860</v>
      </c>
      <c r="B3856">
        <v>244188</v>
      </c>
      <c r="C3856">
        <v>57087</v>
      </c>
      <c r="D3856">
        <v>187101</v>
      </c>
      <c r="E3856">
        <v>346074053</v>
      </c>
      <c r="F3856">
        <v>94067571</v>
      </c>
      <c r="G3856">
        <v>440141624</v>
      </c>
      <c r="H3856">
        <v>104469</v>
      </c>
      <c r="I3856">
        <v>4230</v>
      </c>
      <c r="J3856">
        <v>108699</v>
      </c>
      <c r="K3856" t="b">
        <f>TrafficData[[#This Row],[disposedChallan]]+TrafficData[[#This Row],[pendingChallan]]=TrafficData[[#This Row],[totalChallan]]</f>
        <v>1</v>
      </c>
      <c r="L3856" t="b">
        <f>TrafficData[[#This Row],[pendingAmount]]+TrafficData[[#This Row],[disposedAmount]]=TrafficData[[#This Row],[totalAmount]]</f>
        <v>1</v>
      </c>
      <c r="M3856" t="b">
        <f>TrafficData[[#This Row],[pendingCourt]]+TrafficData[[#This Row],[disposedCourt]]=TrafficData[[#This Row],[totalCourt]]</f>
        <v>1</v>
      </c>
      <c r="N3856" s="8" t="b">
        <f>AND(TrafficData[[#This Row],[disposedChallan]]&lt;=TrafficData[[#This Row],[totalChallan]],TrafficData[[#This Row],[pendingChallan]]&lt;=TrafficData[[#This Row],[totalChallan]])</f>
        <v>1</v>
      </c>
      <c r="O3856" s="8" t="b">
        <f>AND(TrafficData[[#This Row],[pendingAmount]]&lt;=TrafficData[[#This Row],[totalAmount]],TrafficData[[#This Row],[disposedAmount]]&lt;=TrafficData[[#This Row],[totalAmount]])</f>
        <v>1</v>
      </c>
      <c r="P3856" s="8" t="b">
        <f>AND(TrafficData[[#This Row],[pendingCourt]]&lt;=TrafficData[[#This Row],[totalCourt]],TrafficData[[#This Row],[disposedCourt]]&lt;=TrafficData[[#This Row],[totalCourt]])</f>
        <v>1</v>
      </c>
    </row>
    <row r="3857" spans="1:16">
      <c r="A3857" s="1">
        <v>45861</v>
      </c>
      <c r="B3857">
        <v>251301</v>
      </c>
      <c r="C3857">
        <v>60779</v>
      </c>
      <c r="D3857">
        <v>190522</v>
      </c>
      <c r="E3857">
        <v>358931868</v>
      </c>
      <c r="F3857">
        <v>105068160</v>
      </c>
      <c r="G3857">
        <v>464000028</v>
      </c>
      <c r="H3857">
        <v>107183</v>
      </c>
      <c r="I3857">
        <v>4299</v>
      </c>
      <c r="J3857">
        <v>111482</v>
      </c>
      <c r="K3857" t="b">
        <f>TrafficData[[#This Row],[disposedChallan]]+TrafficData[[#This Row],[pendingChallan]]=TrafficData[[#This Row],[totalChallan]]</f>
        <v>1</v>
      </c>
      <c r="L3857" t="b">
        <f>TrafficData[[#This Row],[pendingAmount]]+TrafficData[[#This Row],[disposedAmount]]=TrafficData[[#This Row],[totalAmount]]</f>
        <v>1</v>
      </c>
      <c r="M3857" t="b">
        <f>TrafficData[[#This Row],[pendingCourt]]+TrafficData[[#This Row],[disposedCourt]]=TrafficData[[#This Row],[totalCourt]]</f>
        <v>1</v>
      </c>
      <c r="N3857" s="8" t="b">
        <f>AND(TrafficData[[#This Row],[disposedChallan]]&lt;=TrafficData[[#This Row],[totalChallan]],TrafficData[[#This Row],[pendingChallan]]&lt;=TrafficData[[#This Row],[totalChallan]])</f>
        <v>1</v>
      </c>
      <c r="O3857" s="8" t="b">
        <f>AND(TrafficData[[#This Row],[pendingAmount]]&lt;=TrafficData[[#This Row],[totalAmount]],TrafficData[[#This Row],[disposedAmount]]&lt;=TrafficData[[#This Row],[totalAmount]])</f>
        <v>1</v>
      </c>
      <c r="P3857" s="8" t="b">
        <f>AND(TrafficData[[#This Row],[pendingCourt]]&lt;=TrafficData[[#This Row],[totalCourt]],TrafficData[[#This Row],[disposedCourt]]&lt;=TrafficData[[#This Row],[totalCourt]])</f>
        <v>1</v>
      </c>
    </row>
    <row r="3858" spans="1:16">
      <c r="A3858" s="1">
        <v>45862</v>
      </c>
      <c r="B3858">
        <v>261893</v>
      </c>
      <c r="C3858">
        <v>60661</v>
      </c>
      <c r="D3858">
        <v>201232</v>
      </c>
      <c r="E3858">
        <v>386424025</v>
      </c>
      <c r="F3858">
        <v>99698039</v>
      </c>
      <c r="G3858">
        <v>486122064</v>
      </c>
      <c r="H3858">
        <v>113324</v>
      </c>
      <c r="I3858">
        <v>4959</v>
      </c>
      <c r="J3858">
        <v>118283</v>
      </c>
      <c r="K3858" t="b">
        <f>TrafficData[[#This Row],[disposedChallan]]+TrafficData[[#This Row],[pendingChallan]]=TrafficData[[#This Row],[totalChallan]]</f>
        <v>1</v>
      </c>
      <c r="L3858" t="b">
        <f>TrafficData[[#This Row],[pendingAmount]]+TrafficData[[#This Row],[disposedAmount]]=TrafficData[[#This Row],[totalAmount]]</f>
        <v>1</v>
      </c>
      <c r="M3858" t="b">
        <f>TrafficData[[#This Row],[pendingCourt]]+TrafficData[[#This Row],[disposedCourt]]=TrafficData[[#This Row],[totalCourt]]</f>
        <v>1</v>
      </c>
      <c r="N3858" s="8" t="b">
        <f>AND(TrafficData[[#This Row],[disposedChallan]]&lt;=TrafficData[[#This Row],[totalChallan]],TrafficData[[#This Row],[pendingChallan]]&lt;=TrafficData[[#This Row],[totalChallan]])</f>
        <v>1</v>
      </c>
      <c r="O3858" s="8" t="b">
        <f>AND(TrafficData[[#This Row],[pendingAmount]]&lt;=TrafficData[[#This Row],[totalAmount]],TrafficData[[#This Row],[disposedAmount]]&lt;=TrafficData[[#This Row],[totalAmount]])</f>
        <v>1</v>
      </c>
      <c r="P3858" s="8" t="b">
        <f>AND(TrafficData[[#This Row],[pendingCourt]]&lt;=TrafficData[[#This Row],[totalCourt]],TrafficData[[#This Row],[disposedCourt]]&lt;=TrafficData[[#This Row],[totalCourt]])</f>
        <v>1</v>
      </c>
    </row>
    <row r="3859" spans="1:16">
      <c r="A3859" s="1">
        <v>45863</v>
      </c>
      <c r="B3859">
        <v>250892</v>
      </c>
      <c r="C3859">
        <v>60653</v>
      </c>
      <c r="D3859">
        <v>190239</v>
      </c>
      <c r="E3859">
        <v>372957377</v>
      </c>
      <c r="F3859">
        <v>98346390</v>
      </c>
      <c r="G3859">
        <v>471303767</v>
      </c>
      <c r="H3859">
        <v>104784</v>
      </c>
      <c r="I3859">
        <v>4842</v>
      </c>
      <c r="J3859">
        <v>109626</v>
      </c>
      <c r="K3859" t="b">
        <f>TrafficData[[#This Row],[disposedChallan]]+TrafficData[[#This Row],[pendingChallan]]=TrafficData[[#This Row],[totalChallan]]</f>
        <v>1</v>
      </c>
      <c r="L3859" t="b">
        <f>TrafficData[[#This Row],[pendingAmount]]+TrafficData[[#This Row],[disposedAmount]]=TrafficData[[#This Row],[totalAmount]]</f>
        <v>1</v>
      </c>
      <c r="M3859" t="b">
        <f>TrafficData[[#This Row],[pendingCourt]]+TrafficData[[#This Row],[disposedCourt]]=TrafficData[[#This Row],[totalCourt]]</f>
        <v>1</v>
      </c>
      <c r="N3859" s="8" t="b">
        <f>AND(TrafficData[[#This Row],[disposedChallan]]&lt;=TrafficData[[#This Row],[totalChallan]],TrafficData[[#This Row],[pendingChallan]]&lt;=TrafficData[[#This Row],[totalChallan]])</f>
        <v>1</v>
      </c>
      <c r="O3859" s="8" t="b">
        <f>AND(TrafficData[[#This Row],[pendingAmount]]&lt;=TrafficData[[#This Row],[totalAmount]],TrafficData[[#This Row],[disposedAmount]]&lt;=TrafficData[[#This Row],[totalAmount]])</f>
        <v>1</v>
      </c>
      <c r="P3859" s="8" t="b">
        <f>AND(TrafficData[[#This Row],[pendingCourt]]&lt;=TrafficData[[#This Row],[totalCourt]],TrafficData[[#This Row],[disposedCourt]]&lt;=TrafficData[[#This Row],[totalCourt]])</f>
        <v>1</v>
      </c>
    </row>
    <row r="3860" spans="1:16">
      <c r="A3860" s="1">
        <v>45864</v>
      </c>
      <c r="B3860">
        <v>240702</v>
      </c>
      <c r="C3860">
        <v>56174</v>
      </c>
      <c r="D3860">
        <v>184528</v>
      </c>
      <c r="E3860">
        <v>343074059</v>
      </c>
      <c r="F3860">
        <v>81865805</v>
      </c>
      <c r="G3860">
        <v>424939864</v>
      </c>
      <c r="H3860">
        <v>98649</v>
      </c>
      <c r="I3860">
        <v>4681</v>
      </c>
      <c r="J3860">
        <v>103330</v>
      </c>
      <c r="K3860" t="b">
        <f>TrafficData[[#This Row],[disposedChallan]]+TrafficData[[#This Row],[pendingChallan]]=TrafficData[[#This Row],[totalChallan]]</f>
        <v>1</v>
      </c>
      <c r="L3860" t="b">
        <f>TrafficData[[#This Row],[pendingAmount]]+TrafficData[[#This Row],[disposedAmount]]=TrafficData[[#This Row],[totalAmount]]</f>
        <v>1</v>
      </c>
      <c r="M3860" t="b">
        <f>TrafficData[[#This Row],[pendingCourt]]+TrafficData[[#This Row],[disposedCourt]]=TrafficData[[#This Row],[totalCourt]]</f>
        <v>1</v>
      </c>
      <c r="N3860" s="8" t="b">
        <f>AND(TrafficData[[#This Row],[disposedChallan]]&lt;=TrafficData[[#This Row],[totalChallan]],TrafficData[[#This Row],[pendingChallan]]&lt;=TrafficData[[#This Row],[totalChallan]])</f>
        <v>1</v>
      </c>
      <c r="O3860" s="8" t="b">
        <f>AND(TrafficData[[#This Row],[pendingAmount]]&lt;=TrafficData[[#This Row],[totalAmount]],TrafficData[[#This Row],[disposedAmount]]&lt;=TrafficData[[#This Row],[totalAmount]])</f>
        <v>1</v>
      </c>
      <c r="P3860" s="8" t="b">
        <f>AND(TrafficData[[#This Row],[pendingCourt]]&lt;=TrafficData[[#This Row],[totalCourt]],TrafficData[[#This Row],[disposedCourt]]&lt;=TrafficData[[#This Row],[totalCourt]])</f>
        <v>1</v>
      </c>
    </row>
    <row r="3861" spans="1:16">
      <c r="A3861" s="1">
        <v>45865</v>
      </c>
      <c r="B3861">
        <v>232453</v>
      </c>
      <c r="C3861">
        <v>50741</v>
      </c>
      <c r="D3861">
        <v>181712</v>
      </c>
      <c r="E3861">
        <v>297768756</v>
      </c>
      <c r="F3861">
        <v>65132560</v>
      </c>
      <c r="G3861">
        <v>362901316</v>
      </c>
      <c r="H3861">
        <v>88460</v>
      </c>
      <c r="I3861">
        <v>4571</v>
      </c>
      <c r="J3861">
        <v>93031</v>
      </c>
      <c r="K3861" t="b">
        <f>TrafficData[[#This Row],[disposedChallan]]+TrafficData[[#This Row],[pendingChallan]]=TrafficData[[#This Row],[totalChallan]]</f>
        <v>1</v>
      </c>
      <c r="L3861" t="b">
        <f>TrafficData[[#This Row],[pendingAmount]]+TrafficData[[#This Row],[disposedAmount]]=TrafficData[[#This Row],[totalAmount]]</f>
        <v>1</v>
      </c>
      <c r="M3861" t="b">
        <f>TrafficData[[#This Row],[pendingCourt]]+TrafficData[[#This Row],[disposedCourt]]=TrafficData[[#This Row],[totalCourt]]</f>
        <v>1</v>
      </c>
      <c r="N3861" s="8" t="b">
        <f>AND(TrafficData[[#This Row],[disposedChallan]]&lt;=TrafficData[[#This Row],[totalChallan]],TrafficData[[#This Row],[pendingChallan]]&lt;=TrafficData[[#This Row],[totalChallan]])</f>
        <v>1</v>
      </c>
      <c r="O3861" s="8" t="b">
        <f>AND(TrafficData[[#This Row],[pendingAmount]]&lt;=TrafficData[[#This Row],[totalAmount]],TrafficData[[#This Row],[disposedAmount]]&lt;=TrafficData[[#This Row],[totalAmount]])</f>
        <v>1</v>
      </c>
      <c r="P3861" s="8" t="b">
        <f>AND(TrafficData[[#This Row],[pendingCourt]]&lt;=TrafficData[[#This Row],[totalCourt]],TrafficData[[#This Row],[disposedCourt]]&lt;=TrafficData[[#This Row],[totalCourt]])</f>
        <v>1</v>
      </c>
    </row>
    <row r="3862" spans="1:16">
      <c r="A3862" s="1">
        <v>45866</v>
      </c>
      <c r="B3862">
        <v>256711</v>
      </c>
      <c r="C3862">
        <v>56611</v>
      </c>
      <c r="D3862">
        <v>200100</v>
      </c>
      <c r="E3862">
        <v>386666056</v>
      </c>
      <c r="F3862">
        <v>82723780</v>
      </c>
      <c r="G3862">
        <v>469389836</v>
      </c>
      <c r="H3862">
        <v>108091</v>
      </c>
      <c r="I3862">
        <v>4814</v>
      </c>
      <c r="J3862">
        <v>112905</v>
      </c>
      <c r="K3862" t="b">
        <f>TrafficData[[#This Row],[disposedChallan]]+TrafficData[[#This Row],[pendingChallan]]=TrafficData[[#This Row],[totalChallan]]</f>
        <v>1</v>
      </c>
      <c r="L3862" t="b">
        <f>TrafficData[[#This Row],[pendingAmount]]+TrafficData[[#This Row],[disposedAmount]]=TrafficData[[#This Row],[totalAmount]]</f>
        <v>1</v>
      </c>
      <c r="M3862" t="b">
        <f>TrafficData[[#This Row],[pendingCourt]]+TrafficData[[#This Row],[disposedCourt]]=TrafficData[[#This Row],[totalCourt]]</f>
        <v>1</v>
      </c>
      <c r="N3862" s="8" t="b">
        <f>AND(TrafficData[[#This Row],[disposedChallan]]&lt;=TrafficData[[#This Row],[totalChallan]],TrafficData[[#This Row],[pendingChallan]]&lt;=TrafficData[[#This Row],[totalChallan]])</f>
        <v>1</v>
      </c>
      <c r="O3862" s="8" t="b">
        <f>AND(TrafficData[[#This Row],[pendingAmount]]&lt;=TrafficData[[#This Row],[totalAmount]],TrafficData[[#This Row],[disposedAmount]]&lt;=TrafficData[[#This Row],[totalAmount]])</f>
        <v>1</v>
      </c>
      <c r="P3862" s="8" t="b">
        <f>AND(TrafficData[[#This Row],[pendingCourt]]&lt;=TrafficData[[#This Row],[totalCourt]],TrafficData[[#This Row],[disposedCourt]]&lt;=TrafficData[[#This Row],[totalCourt]])</f>
        <v>1</v>
      </c>
    </row>
    <row r="3863" spans="1:16">
      <c r="A3863" s="1">
        <v>45867</v>
      </c>
      <c r="B3863">
        <v>271233</v>
      </c>
      <c r="C3863">
        <v>61587</v>
      </c>
      <c r="D3863">
        <v>209646</v>
      </c>
      <c r="E3863">
        <v>416178886</v>
      </c>
      <c r="F3863">
        <v>102862542</v>
      </c>
      <c r="G3863">
        <v>519041428</v>
      </c>
      <c r="H3863">
        <v>102375</v>
      </c>
      <c r="I3863">
        <v>4617</v>
      </c>
      <c r="J3863">
        <v>106992</v>
      </c>
      <c r="K3863" t="b">
        <f>TrafficData[[#This Row],[disposedChallan]]+TrafficData[[#This Row],[pendingChallan]]=TrafficData[[#This Row],[totalChallan]]</f>
        <v>1</v>
      </c>
      <c r="L3863" t="b">
        <f>TrafficData[[#This Row],[pendingAmount]]+TrafficData[[#This Row],[disposedAmount]]=TrafficData[[#This Row],[totalAmount]]</f>
        <v>1</v>
      </c>
      <c r="M3863" t="b">
        <f>TrafficData[[#This Row],[pendingCourt]]+TrafficData[[#This Row],[disposedCourt]]=TrafficData[[#This Row],[totalCourt]]</f>
        <v>1</v>
      </c>
      <c r="N3863" s="8" t="b">
        <f>AND(TrafficData[[#This Row],[disposedChallan]]&lt;=TrafficData[[#This Row],[totalChallan]],TrafficData[[#This Row],[pendingChallan]]&lt;=TrafficData[[#This Row],[totalChallan]])</f>
        <v>1</v>
      </c>
      <c r="O3863" s="8" t="b">
        <f>AND(TrafficData[[#This Row],[pendingAmount]]&lt;=TrafficData[[#This Row],[totalAmount]],TrafficData[[#This Row],[disposedAmount]]&lt;=TrafficData[[#This Row],[totalAmount]])</f>
        <v>1</v>
      </c>
      <c r="P3863" s="8" t="b">
        <f>AND(TrafficData[[#This Row],[pendingCourt]]&lt;=TrafficData[[#This Row],[totalCourt]],TrafficData[[#This Row],[disposedCourt]]&lt;=TrafficData[[#This Row],[totalCourt]])</f>
        <v>1</v>
      </c>
    </row>
    <row r="3864" spans="1:16">
      <c r="A3864" s="1">
        <v>45868</v>
      </c>
      <c r="B3864">
        <v>272423</v>
      </c>
      <c r="C3864">
        <v>63189</v>
      </c>
      <c r="D3864">
        <v>209234</v>
      </c>
      <c r="E3864">
        <v>416370783</v>
      </c>
      <c r="F3864">
        <v>101011328</v>
      </c>
      <c r="G3864">
        <v>517382111</v>
      </c>
      <c r="H3864">
        <v>108074</v>
      </c>
      <c r="I3864">
        <v>4808</v>
      </c>
      <c r="J3864">
        <v>112882</v>
      </c>
      <c r="K3864" t="b">
        <f>TrafficData[[#This Row],[disposedChallan]]+TrafficData[[#This Row],[pendingChallan]]=TrafficData[[#This Row],[totalChallan]]</f>
        <v>1</v>
      </c>
      <c r="L3864" t="b">
        <f>TrafficData[[#This Row],[pendingAmount]]+TrafficData[[#This Row],[disposedAmount]]=TrafficData[[#This Row],[totalAmount]]</f>
        <v>1</v>
      </c>
      <c r="M3864" t="b">
        <f>TrafficData[[#This Row],[pendingCourt]]+TrafficData[[#This Row],[disposedCourt]]=TrafficData[[#This Row],[totalCourt]]</f>
        <v>1</v>
      </c>
      <c r="N3864" s="8" t="b">
        <f>AND(TrafficData[[#This Row],[disposedChallan]]&lt;=TrafficData[[#This Row],[totalChallan]],TrafficData[[#This Row],[pendingChallan]]&lt;=TrafficData[[#This Row],[totalChallan]])</f>
        <v>1</v>
      </c>
      <c r="O3864" s="8" t="b">
        <f>AND(TrafficData[[#This Row],[pendingAmount]]&lt;=TrafficData[[#This Row],[totalAmount]],TrafficData[[#This Row],[disposedAmount]]&lt;=TrafficData[[#This Row],[totalAmount]])</f>
        <v>1</v>
      </c>
      <c r="P3864" s="8" t="b">
        <f>AND(TrafficData[[#This Row],[pendingCourt]]&lt;=TrafficData[[#This Row],[totalCourt]],TrafficData[[#This Row],[disposedCourt]]&lt;=TrafficData[[#This Row],[totalCourt]])</f>
        <v>1</v>
      </c>
    </row>
    <row r="3865" spans="1:16">
      <c r="A3865" s="1">
        <v>45869</v>
      </c>
      <c r="B3865">
        <v>254156</v>
      </c>
      <c r="C3865">
        <v>58860</v>
      </c>
      <c r="D3865">
        <v>195296</v>
      </c>
      <c r="E3865">
        <v>387064629</v>
      </c>
      <c r="F3865">
        <v>88701059</v>
      </c>
      <c r="G3865">
        <v>475765688</v>
      </c>
      <c r="H3865">
        <v>96986</v>
      </c>
      <c r="I3865">
        <v>4210</v>
      </c>
      <c r="J3865">
        <v>101196</v>
      </c>
      <c r="K3865" t="b">
        <f>TrafficData[[#This Row],[disposedChallan]]+TrafficData[[#This Row],[pendingChallan]]=TrafficData[[#This Row],[totalChallan]]</f>
        <v>1</v>
      </c>
      <c r="L3865" t="b">
        <f>TrafficData[[#This Row],[pendingAmount]]+TrafficData[[#This Row],[disposedAmount]]=TrafficData[[#This Row],[totalAmount]]</f>
        <v>1</v>
      </c>
      <c r="M3865" t="b">
        <f>TrafficData[[#This Row],[pendingCourt]]+TrafficData[[#This Row],[disposedCourt]]=TrafficData[[#This Row],[totalCourt]]</f>
        <v>1</v>
      </c>
      <c r="N3865" s="8" t="b">
        <f>AND(TrafficData[[#This Row],[disposedChallan]]&lt;=TrafficData[[#This Row],[totalChallan]],TrafficData[[#This Row],[pendingChallan]]&lt;=TrafficData[[#This Row],[totalChallan]])</f>
        <v>1</v>
      </c>
      <c r="O3865" s="8" t="b">
        <f>AND(TrafficData[[#This Row],[pendingAmount]]&lt;=TrafficData[[#This Row],[totalAmount]],TrafficData[[#This Row],[disposedAmount]]&lt;=TrafficData[[#This Row],[totalAmount]])</f>
        <v>1</v>
      </c>
      <c r="P3865" s="8" t="b">
        <f>AND(TrafficData[[#This Row],[pendingCourt]]&lt;=TrafficData[[#This Row],[totalCourt]],TrafficData[[#This Row],[disposedCourt]]&lt;=TrafficData[[#This Row],[totalCourt]])</f>
        <v>1</v>
      </c>
    </row>
    <row r="3866" spans="1:16">
      <c r="A3866" s="1">
        <v>45870</v>
      </c>
      <c r="B3866">
        <v>267709</v>
      </c>
      <c r="C3866">
        <v>62597</v>
      </c>
      <c r="D3866">
        <v>205112</v>
      </c>
      <c r="E3866">
        <v>421029382</v>
      </c>
      <c r="F3866">
        <v>114510364</v>
      </c>
      <c r="G3866">
        <v>535539746</v>
      </c>
      <c r="H3866">
        <v>121126</v>
      </c>
      <c r="I3866">
        <v>4359</v>
      </c>
      <c r="J3866">
        <v>125485</v>
      </c>
      <c r="K3866" t="b">
        <f>TrafficData[[#This Row],[disposedChallan]]+TrafficData[[#This Row],[pendingChallan]]=TrafficData[[#This Row],[totalChallan]]</f>
        <v>1</v>
      </c>
      <c r="L3866" t="b">
        <f>TrafficData[[#This Row],[pendingAmount]]+TrafficData[[#This Row],[disposedAmount]]=TrafficData[[#This Row],[totalAmount]]</f>
        <v>1</v>
      </c>
      <c r="M3866" t="b">
        <f>TrafficData[[#This Row],[pendingCourt]]+TrafficData[[#This Row],[disposedCourt]]=TrafficData[[#This Row],[totalCourt]]</f>
        <v>1</v>
      </c>
      <c r="N3866" s="8" t="b">
        <f>AND(TrafficData[[#This Row],[disposedChallan]]&lt;=TrafficData[[#This Row],[totalChallan]],TrafficData[[#This Row],[pendingChallan]]&lt;=TrafficData[[#This Row],[totalChallan]])</f>
        <v>1</v>
      </c>
      <c r="O3866" s="8" t="b">
        <f>AND(TrafficData[[#This Row],[pendingAmount]]&lt;=TrafficData[[#This Row],[totalAmount]],TrafficData[[#This Row],[disposedAmount]]&lt;=TrafficData[[#This Row],[totalAmount]])</f>
        <v>1</v>
      </c>
      <c r="P3866" s="8" t="b">
        <f>AND(TrafficData[[#This Row],[pendingCourt]]&lt;=TrafficData[[#This Row],[totalCourt]],TrafficData[[#This Row],[disposedCourt]]&lt;=TrafficData[[#This Row],[totalCourt]])</f>
        <v>1</v>
      </c>
    </row>
    <row r="3867" spans="1:16">
      <c r="A3867" s="1">
        <v>45871</v>
      </c>
      <c r="B3867">
        <v>279402</v>
      </c>
      <c r="C3867">
        <v>67916</v>
      </c>
      <c r="D3867">
        <v>211486</v>
      </c>
      <c r="E3867">
        <v>412182209</v>
      </c>
      <c r="F3867">
        <v>111607415</v>
      </c>
      <c r="G3867">
        <v>523789624</v>
      </c>
      <c r="H3867">
        <v>118473</v>
      </c>
      <c r="I3867">
        <v>4785</v>
      </c>
      <c r="J3867">
        <v>123258</v>
      </c>
      <c r="K3867" t="b">
        <f>TrafficData[[#This Row],[disposedChallan]]+TrafficData[[#This Row],[pendingChallan]]=TrafficData[[#This Row],[totalChallan]]</f>
        <v>1</v>
      </c>
      <c r="L3867" t="b">
        <f>TrafficData[[#This Row],[pendingAmount]]+TrafficData[[#This Row],[disposedAmount]]=TrafficData[[#This Row],[totalAmount]]</f>
        <v>1</v>
      </c>
      <c r="M3867" t="b">
        <f>TrafficData[[#This Row],[pendingCourt]]+TrafficData[[#This Row],[disposedCourt]]=TrafficData[[#This Row],[totalCourt]]</f>
        <v>1</v>
      </c>
      <c r="N3867" s="8" t="b">
        <f>AND(TrafficData[[#This Row],[disposedChallan]]&lt;=TrafficData[[#This Row],[totalChallan]],TrafficData[[#This Row],[pendingChallan]]&lt;=TrafficData[[#This Row],[totalChallan]])</f>
        <v>1</v>
      </c>
      <c r="O3867" s="8" t="b">
        <f>AND(TrafficData[[#This Row],[pendingAmount]]&lt;=TrafficData[[#This Row],[totalAmount]],TrafficData[[#This Row],[disposedAmount]]&lt;=TrafficData[[#This Row],[totalAmount]])</f>
        <v>1</v>
      </c>
      <c r="P3867" s="8" t="b">
        <f>AND(TrafficData[[#This Row],[pendingCourt]]&lt;=TrafficData[[#This Row],[totalCourt]],TrafficData[[#This Row],[disposedCourt]]&lt;=TrafficData[[#This Row],[totalCourt]])</f>
        <v>1</v>
      </c>
    </row>
    <row r="3868" spans="1:16">
      <c r="A3868" s="1">
        <v>45872</v>
      </c>
      <c r="B3868">
        <v>241263</v>
      </c>
      <c r="C3868">
        <v>58219</v>
      </c>
      <c r="D3868">
        <v>183044</v>
      </c>
      <c r="E3868">
        <v>333722553</v>
      </c>
      <c r="F3868">
        <v>75981769</v>
      </c>
      <c r="G3868">
        <v>409704322</v>
      </c>
      <c r="H3868">
        <v>99352</v>
      </c>
      <c r="I3868">
        <v>4134</v>
      </c>
      <c r="J3868">
        <v>103486</v>
      </c>
      <c r="K3868" t="b">
        <f>TrafficData[[#This Row],[disposedChallan]]+TrafficData[[#This Row],[pendingChallan]]=TrafficData[[#This Row],[totalChallan]]</f>
        <v>1</v>
      </c>
      <c r="L3868" t="b">
        <f>TrafficData[[#This Row],[pendingAmount]]+TrafficData[[#This Row],[disposedAmount]]=TrafficData[[#This Row],[totalAmount]]</f>
        <v>1</v>
      </c>
      <c r="M3868" t="b">
        <f>TrafficData[[#This Row],[pendingCourt]]+TrafficData[[#This Row],[disposedCourt]]=TrafficData[[#This Row],[totalCourt]]</f>
        <v>1</v>
      </c>
      <c r="N3868" s="8" t="b">
        <f>AND(TrafficData[[#This Row],[disposedChallan]]&lt;=TrafficData[[#This Row],[totalChallan]],TrafficData[[#This Row],[pendingChallan]]&lt;=TrafficData[[#This Row],[totalChallan]])</f>
        <v>1</v>
      </c>
      <c r="O3868" s="8" t="b">
        <f>AND(TrafficData[[#This Row],[pendingAmount]]&lt;=TrafficData[[#This Row],[totalAmount]],TrafficData[[#This Row],[disposedAmount]]&lt;=TrafficData[[#This Row],[totalAmount]])</f>
        <v>1</v>
      </c>
      <c r="P3868" s="8" t="b">
        <f>AND(TrafficData[[#This Row],[pendingCourt]]&lt;=TrafficData[[#This Row],[totalCourt]],TrafficData[[#This Row],[disposedCourt]]&lt;=TrafficData[[#This Row],[totalCourt]])</f>
        <v>1</v>
      </c>
    </row>
    <row r="3869" spans="1:16">
      <c r="A3869" s="1">
        <v>45873</v>
      </c>
      <c r="B3869">
        <v>262298</v>
      </c>
      <c r="C3869">
        <v>62065</v>
      </c>
      <c r="D3869">
        <v>200233</v>
      </c>
      <c r="E3869">
        <v>407765289</v>
      </c>
      <c r="F3869">
        <v>107475265</v>
      </c>
      <c r="G3869">
        <v>515240554</v>
      </c>
      <c r="H3869">
        <v>111618</v>
      </c>
      <c r="I3869">
        <v>4352</v>
      </c>
      <c r="J3869">
        <v>115970</v>
      </c>
      <c r="K3869" t="b">
        <f>TrafficData[[#This Row],[disposedChallan]]+TrafficData[[#This Row],[pendingChallan]]=TrafficData[[#This Row],[totalChallan]]</f>
        <v>1</v>
      </c>
      <c r="L3869" t="b">
        <f>TrafficData[[#This Row],[pendingAmount]]+TrafficData[[#This Row],[disposedAmount]]=TrafficData[[#This Row],[totalAmount]]</f>
        <v>1</v>
      </c>
      <c r="M3869" t="b">
        <f>TrafficData[[#This Row],[pendingCourt]]+TrafficData[[#This Row],[disposedCourt]]=TrafficData[[#This Row],[totalCourt]]</f>
        <v>1</v>
      </c>
      <c r="N3869" s="8" t="b">
        <f>AND(TrafficData[[#This Row],[disposedChallan]]&lt;=TrafficData[[#This Row],[totalChallan]],TrafficData[[#This Row],[pendingChallan]]&lt;=TrafficData[[#This Row],[totalChallan]])</f>
        <v>1</v>
      </c>
      <c r="O3869" s="8" t="b">
        <f>AND(TrafficData[[#This Row],[pendingAmount]]&lt;=TrafficData[[#This Row],[totalAmount]],TrafficData[[#This Row],[disposedAmount]]&lt;=TrafficData[[#This Row],[totalAmount]])</f>
        <v>1</v>
      </c>
      <c r="P3869" s="8" t="b">
        <f>AND(TrafficData[[#This Row],[pendingCourt]]&lt;=TrafficData[[#This Row],[totalCourt]],TrafficData[[#This Row],[disposedCourt]]&lt;=TrafficData[[#This Row],[totalCourt]])</f>
        <v>1</v>
      </c>
    </row>
    <row r="3870" spans="1:16">
      <c r="A3870" s="1">
        <v>45874</v>
      </c>
      <c r="B3870">
        <v>278037</v>
      </c>
      <c r="C3870">
        <v>64421</v>
      </c>
      <c r="D3870">
        <v>213616</v>
      </c>
      <c r="E3870">
        <v>442520330</v>
      </c>
      <c r="F3870">
        <v>116397832</v>
      </c>
      <c r="G3870">
        <v>558918162</v>
      </c>
      <c r="H3870">
        <v>122414</v>
      </c>
      <c r="I3870">
        <v>4521</v>
      </c>
      <c r="J3870">
        <v>126935</v>
      </c>
      <c r="K3870" t="b">
        <f>TrafficData[[#This Row],[disposedChallan]]+TrafficData[[#This Row],[pendingChallan]]=TrafficData[[#This Row],[totalChallan]]</f>
        <v>1</v>
      </c>
      <c r="L3870" t="b">
        <f>TrafficData[[#This Row],[pendingAmount]]+TrafficData[[#This Row],[disposedAmount]]=TrafficData[[#This Row],[totalAmount]]</f>
        <v>1</v>
      </c>
      <c r="M3870" t="b">
        <f>TrafficData[[#This Row],[pendingCourt]]+TrafficData[[#This Row],[disposedCourt]]=TrafficData[[#This Row],[totalCourt]]</f>
        <v>1</v>
      </c>
      <c r="N3870" s="8" t="b">
        <f>AND(TrafficData[[#This Row],[disposedChallan]]&lt;=TrafficData[[#This Row],[totalChallan]],TrafficData[[#This Row],[pendingChallan]]&lt;=TrafficData[[#This Row],[totalChallan]])</f>
        <v>1</v>
      </c>
      <c r="O3870" s="8" t="b">
        <f>AND(TrafficData[[#This Row],[pendingAmount]]&lt;=TrafficData[[#This Row],[totalAmount]],TrafficData[[#This Row],[disposedAmount]]&lt;=TrafficData[[#This Row],[totalAmount]])</f>
        <v>1</v>
      </c>
      <c r="P3870" s="8" t="b">
        <f>AND(TrafficData[[#This Row],[pendingCourt]]&lt;=TrafficData[[#This Row],[totalCourt]],TrafficData[[#This Row],[disposedCourt]]&lt;=TrafficData[[#This Row],[totalCourt]])</f>
        <v>1</v>
      </c>
    </row>
    <row r="3871" spans="1:16">
      <c r="A3871" s="1">
        <v>45875</v>
      </c>
      <c r="B3871">
        <v>292681</v>
      </c>
      <c r="C3871">
        <v>66729</v>
      </c>
      <c r="D3871">
        <v>225952</v>
      </c>
      <c r="E3871">
        <v>470319017</v>
      </c>
      <c r="F3871">
        <v>124364385</v>
      </c>
      <c r="G3871">
        <v>594683402</v>
      </c>
      <c r="H3871">
        <v>119485</v>
      </c>
      <c r="I3871">
        <v>4819</v>
      </c>
      <c r="J3871">
        <v>124304</v>
      </c>
      <c r="K3871" t="b">
        <f>TrafficData[[#This Row],[disposedChallan]]+TrafficData[[#This Row],[pendingChallan]]=TrafficData[[#This Row],[totalChallan]]</f>
        <v>1</v>
      </c>
      <c r="L3871" t="b">
        <f>TrafficData[[#This Row],[pendingAmount]]+TrafficData[[#This Row],[disposedAmount]]=TrafficData[[#This Row],[totalAmount]]</f>
        <v>1</v>
      </c>
      <c r="M3871" t="b">
        <f>TrafficData[[#This Row],[pendingCourt]]+TrafficData[[#This Row],[disposedCourt]]=TrafficData[[#This Row],[totalCourt]]</f>
        <v>1</v>
      </c>
      <c r="N3871" s="8" t="b">
        <f>AND(TrafficData[[#This Row],[disposedChallan]]&lt;=TrafficData[[#This Row],[totalChallan]],TrafficData[[#This Row],[pendingChallan]]&lt;=TrafficData[[#This Row],[totalChallan]])</f>
        <v>1</v>
      </c>
      <c r="O3871" s="8" t="b">
        <f>AND(TrafficData[[#This Row],[pendingAmount]]&lt;=TrafficData[[#This Row],[totalAmount]],TrafficData[[#This Row],[disposedAmount]]&lt;=TrafficData[[#This Row],[totalAmount]])</f>
        <v>1</v>
      </c>
      <c r="P3871" s="8" t="b">
        <f>AND(TrafficData[[#This Row],[pendingCourt]]&lt;=TrafficData[[#This Row],[totalCourt]],TrafficData[[#This Row],[disposedCourt]]&lt;=TrafficData[[#This Row],[totalCourt]])</f>
        <v>1</v>
      </c>
    </row>
    <row r="3872" spans="1:16">
      <c r="A3872" s="1">
        <v>45876</v>
      </c>
      <c r="B3872">
        <v>284075</v>
      </c>
      <c r="C3872">
        <v>66693</v>
      </c>
      <c r="D3872">
        <v>217382</v>
      </c>
      <c r="E3872">
        <v>452732144</v>
      </c>
      <c r="F3872">
        <v>123998423</v>
      </c>
      <c r="G3872">
        <v>576730567</v>
      </c>
      <c r="H3872">
        <v>108391</v>
      </c>
      <c r="I3872">
        <v>4527</v>
      </c>
      <c r="J3872">
        <v>112918</v>
      </c>
      <c r="K3872" t="b">
        <f>TrafficData[[#This Row],[disposedChallan]]+TrafficData[[#This Row],[pendingChallan]]=TrafficData[[#This Row],[totalChallan]]</f>
        <v>1</v>
      </c>
      <c r="L3872" t="b">
        <f>TrafficData[[#This Row],[pendingAmount]]+TrafficData[[#This Row],[disposedAmount]]=TrafficData[[#This Row],[totalAmount]]</f>
        <v>1</v>
      </c>
      <c r="M3872" t="b">
        <f>TrafficData[[#This Row],[pendingCourt]]+TrafficData[[#This Row],[disposedCourt]]=TrafficData[[#This Row],[totalCourt]]</f>
        <v>1</v>
      </c>
      <c r="N3872" s="8" t="b">
        <f>AND(TrafficData[[#This Row],[disposedChallan]]&lt;=TrafficData[[#This Row],[totalChallan]],TrafficData[[#This Row],[pendingChallan]]&lt;=TrafficData[[#This Row],[totalChallan]])</f>
        <v>1</v>
      </c>
      <c r="O3872" s="8" t="b">
        <f>AND(TrafficData[[#This Row],[pendingAmount]]&lt;=TrafficData[[#This Row],[totalAmount]],TrafficData[[#This Row],[disposedAmount]]&lt;=TrafficData[[#This Row],[totalAmount]])</f>
        <v>1</v>
      </c>
      <c r="P3872" s="8" t="b">
        <f>AND(TrafficData[[#This Row],[pendingCourt]]&lt;=TrafficData[[#This Row],[totalCourt]],TrafficData[[#This Row],[disposedCourt]]&lt;=TrafficData[[#This Row],[totalCourt]])</f>
        <v>1</v>
      </c>
    </row>
    <row r="3873" spans="1:16">
      <c r="A3873" s="1">
        <v>45877</v>
      </c>
      <c r="B3873">
        <v>259681</v>
      </c>
      <c r="C3873">
        <v>60832</v>
      </c>
      <c r="D3873">
        <v>198849</v>
      </c>
      <c r="E3873">
        <v>417335871</v>
      </c>
      <c r="F3873">
        <v>103289585</v>
      </c>
      <c r="G3873">
        <v>520625456</v>
      </c>
      <c r="H3873">
        <v>98923</v>
      </c>
      <c r="I3873">
        <v>4473</v>
      </c>
      <c r="J3873">
        <v>103396</v>
      </c>
      <c r="K3873" t="b">
        <f>TrafficData[[#This Row],[disposedChallan]]+TrafficData[[#This Row],[pendingChallan]]=TrafficData[[#This Row],[totalChallan]]</f>
        <v>1</v>
      </c>
      <c r="L3873" t="b">
        <f>TrafficData[[#This Row],[pendingAmount]]+TrafficData[[#This Row],[disposedAmount]]=TrafficData[[#This Row],[totalAmount]]</f>
        <v>1</v>
      </c>
      <c r="M3873" t="b">
        <f>TrafficData[[#This Row],[pendingCourt]]+TrafficData[[#This Row],[disposedCourt]]=TrafficData[[#This Row],[totalCourt]]</f>
        <v>1</v>
      </c>
      <c r="N3873" s="8" t="b">
        <f>AND(TrafficData[[#This Row],[disposedChallan]]&lt;=TrafficData[[#This Row],[totalChallan]],TrafficData[[#This Row],[pendingChallan]]&lt;=TrafficData[[#This Row],[totalChallan]])</f>
        <v>1</v>
      </c>
      <c r="O3873" s="8" t="b">
        <f>AND(TrafficData[[#This Row],[pendingAmount]]&lt;=TrafficData[[#This Row],[totalAmount]],TrafficData[[#This Row],[disposedAmount]]&lt;=TrafficData[[#This Row],[totalAmount]])</f>
        <v>1</v>
      </c>
      <c r="P3873" s="8" t="b">
        <f>AND(TrafficData[[#This Row],[pendingCourt]]&lt;=TrafficData[[#This Row],[totalCourt]],TrafficData[[#This Row],[disposedCourt]]&lt;=TrafficData[[#This Row],[totalCourt]])</f>
        <v>1</v>
      </c>
    </row>
    <row r="3874" spans="1:16">
      <c r="A3874" s="1">
        <v>45878</v>
      </c>
      <c r="B3874">
        <v>190385</v>
      </c>
      <c r="C3874">
        <v>46039</v>
      </c>
      <c r="D3874">
        <v>144346</v>
      </c>
      <c r="E3874">
        <v>246636361</v>
      </c>
      <c r="F3874">
        <v>55299633</v>
      </c>
      <c r="G3874">
        <v>301935994</v>
      </c>
      <c r="H3874">
        <v>62382</v>
      </c>
      <c r="I3874">
        <v>2715</v>
      </c>
      <c r="J3874">
        <v>65097</v>
      </c>
      <c r="K3874" t="b">
        <f>TrafficData[[#This Row],[disposedChallan]]+TrafficData[[#This Row],[pendingChallan]]=TrafficData[[#This Row],[totalChallan]]</f>
        <v>1</v>
      </c>
      <c r="L3874" t="b">
        <f>TrafficData[[#This Row],[pendingAmount]]+TrafficData[[#This Row],[disposedAmount]]=TrafficData[[#This Row],[totalAmount]]</f>
        <v>1</v>
      </c>
      <c r="M3874" t="b">
        <f>TrafficData[[#This Row],[pendingCourt]]+TrafficData[[#This Row],[disposedCourt]]=TrafficData[[#This Row],[totalCourt]]</f>
        <v>1</v>
      </c>
      <c r="N3874" s="8" t="b">
        <f>AND(TrafficData[[#This Row],[disposedChallan]]&lt;=TrafficData[[#This Row],[totalChallan]],TrafficData[[#This Row],[pendingChallan]]&lt;=TrafficData[[#This Row],[totalChallan]])</f>
        <v>1</v>
      </c>
      <c r="O3874" s="8" t="b">
        <f>AND(TrafficData[[#This Row],[pendingAmount]]&lt;=TrafficData[[#This Row],[totalAmount]],TrafficData[[#This Row],[disposedAmount]]&lt;=TrafficData[[#This Row],[totalAmount]])</f>
        <v>1</v>
      </c>
      <c r="P3874" s="8" t="b">
        <f>AND(TrafficData[[#This Row],[pendingCourt]]&lt;=TrafficData[[#This Row],[totalCourt]],TrafficData[[#This Row],[disposedCourt]]&lt;=TrafficData[[#This Row],[totalCourt]])</f>
        <v>1</v>
      </c>
    </row>
    <row r="3875" spans="1:16">
      <c r="A3875" s="1">
        <v>45879</v>
      </c>
      <c r="B3875">
        <v>241337</v>
      </c>
      <c r="C3875">
        <v>54155</v>
      </c>
      <c r="D3875">
        <v>187182</v>
      </c>
      <c r="E3875">
        <v>322029931</v>
      </c>
      <c r="F3875">
        <v>63261185</v>
      </c>
      <c r="G3875">
        <v>385291116</v>
      </c>
      <c r="H3875">
        <v>91918</v>
      </c>
      <c r="I3875">
        <v>4051</v>
      </c>
      <c r="J3875">
        <v>95969</v>
      </c>
      <c r="K3875" t="b">
        <f>TrafficData[[#This Row],[disposedChallan]]+TrafficData[[#This Row],[pendingChallan]]=TrafficData[[#This Row],[totalChallan]]</f>
        <v>1</v>
      </c>
      <c r="L3875" t="b">
        <f>TrafficData[[#This Row],[pendingAmount]]+TrafficData[[#This Row],[disposedAmount]]=TrafficData[[#This Row],[totalAmount]]</f>
        <v>1</v>
      </c>
      <c r="M3875" t="b">
        <f>TrafficData[[#This Row],[pendingCourt]]+TrafficData[[#This Row],[disposedCourt]]=TrafficData[[#This Row],[totalCourt]]</f>
        <v>1</v>
      </c>
      <c r="N3875" s="8" t="b">
        <f>AND(TrafficData[[#This Row],[disposedChallan]]&lt;=TrafficData[[#This Row],[totalChallan]],TrafficData[[#This Row],[pendingChallan]]&lt;=TrafficData[[#This Row],[totalChallan]])</f>
        <v>1</v>
      </c>
      <c r="O3875" s="8" t="b">
        <f>AND(TrafficData[[#This Row],[pendingAmount]]&lt;=TrafficData[[#This Row],[totalAmount]],TrafficData[[#This Row],[disposedAmount]]&lt;=TrafficData[[#This Row],[totalAmount]])</f>
        <v>1</v>
      </c>
      <c r="P3875" s="8" t="b">
        <f>AND(TrafficData[[#This Row],[pendingCourt]]&lt;=TrafficData[[#This Row],[totalCourt]],TrafficData[[#This Row],[disposedCourt]]&lt;=TrafficData[[#This Row],[totalCourt]])</f>
        <v>1</v>
      </c>
    </row>
    <row r="3876" spans="1:16">
      <c r="A3876" s="1">
        <v>45880</v>
      </c>
      <c r="B3876">
        <v>268633</v>
      </c>
      <c r="C3876">
        <v>60141</v>
      </c>
      <c r="D3876">
        <v>208492</v>
      </c>
      <c r="E3876">
        <v>386981706</v>
      </c>
      <c r="F3876">
        <v>98591246</v>
      </c>
      <c r="G3876">
        <v>485572952</v>
      </c>
      <c r="H3876">
        <v>113982</v>
      </c>
      <c r="I3876">
        <v>4046</v>
      </c>
      <c r="J3876">
        <v>118028</v>
      </c>
      <c r="K3876" t="b">
        <f>TrafficData[[#This Row],[disposedChallan]]+TrafficData[[#This Row],[pendingChallan]]=TrafficData[[#This Row],[totalChallan]]</f>
        <v>1</v>
      </c>
      <c r="L3876" t="b">
        <f>TrafficData[[#This Row],[pendingAmount]]+TrafficData[[#This Row],[disposedAmount]]=TrafficData[[#This Row],[totalAmount]]</f>
        <v>1</v>
      </c>
      <c r="M3876" t="b">
        <f>TrafficData[[#This Row],[pendingCourt]]+TrafficData[[#This Row],[disposedCourt]]=TrafficData[[#This Row],[totalCourt]]</f>
        <v>1</v>
      </c>
      <c r="N3876" s="8" t="b">
        <f>AND(TrafficData[[#This Row],[disposedChallan]]&lt;=TrafficData[[#This Row],[totalChallan]],TrafficData[[#This Row],[pendingChallan]]&lt;=TrafficData[[#This Row],[totalChallan]])</f>
        <v>1</v>
      </c>
      <c r="O3876" s="8" t="b">
        <f>AND(TrafficData[[#This Row],[pendingAmount]]&lt;=TrafficData[[#This Row],[totalAmount]],TrafficData[[#This Row],[disposedAmount]]&lt;=TrafficData[[#This Row],[totalAmount]])</f>
        <v>1</v>
      </c>
      <c r="P3876" s="8" t="b">
        <f>AND(TrafficData[[#This Row],[pendingCourt]]&lt;=TrafficData[[#This Row],[totalCourt]],TrafficData[[#This Row],[disposedCourt]]&lt;=TrafficData[[#This Row],[totalCourt]])</f>
        <v>1</v>
      </c>
    </row>
    <row r="3877" spans="1:16">
      <c r="A3877" s="1">
        <v>45881</v>
      </c>
      <c r="B3877">
        <v>278353</v>
      </c>
      <c r="C3877">
        <v>62846</v>
      </c>
      <c r="D3877">
        <v>215507</v>
      </c>
      <c r="E3877">
        <v>429681098</v>
      </c>
      <c r="F3877">
        <v>119696573</v>
      </c>
      <c r="G3877">
        <v>549377671</v>
      </c>
      <c r="H3877">
        <v>115072</v>
      </c>
      <c r="I3877">
        <v>4293</v>
      </c>
      <c r="J3877">
        <v>119365</v>
      </c>
      <c r="K3877" t="b">
        <f>TrafficData[[#This Row],[disposedChallan]]+TrafficData[[#This Row],[pendingChallan]]=TrafficData[[#This Row],[totalChallan]]</f>
        <v>1</v>
      </c>
      <c r="L3877" t="b">
        <f>TrafficData[[#This Row],[pendingAmount]]+TrafficData[[#This Row],[disposedAmount]]=TrafficData[[#This Row],[totalAmount]]</f>
        <v>1</v>
      </c>
      <c r="M3877" t="b">
        <f>TrafficData[[#This Row],[pendingCourt]]+TrafficData[[#This Row],[disposedCourt]]=TrafficData[[#This Row],[totalCourt]]</f>
        <v>1</v>
      </c>
      <c r="N3877" s="8" t="b">
        <f>AND(TrafficData[[#This Row],[disposedChallan]]&lt;=TrafficData[[#This Row],[totalChallan]],TrafficData[[#This Row],[pendingChallan]]&lt;=TrafficData[[#This Row],[totalChallan]])</f>
        <v>1</v>
      </c>
      <c r="O3877" s="8" t="b">
        <f>AND(TrafficData[[#This Row],[pendingAmount]]&lt;=TrafficData[[#This Row],[totalAmount]],TrafficData[[#This Row],[disposedAmount]]&lt;=TrafficData[[#This Row],[totalAmount]])</f>
        <v>1</v>
      </c>
      <c r="P3877" s="8" t="b">
        <f>AND(TrafficData[[#This Row],[pendingCourt]]&lt;=TrafficData[[#This Row],[totalCourt]],TrafficData[[#This Row],[disposedCourt]]&lt;=TrafficData[[#This Row],[totalCourt]])</f>
        <v>1</v>
      </c>
    </row>
    <row r="3878" spans="1:16">
      <c r="A3878" s="1">
        <v>45882</v>
      </c>
      <c r="B3878">
        <v>250333</v>
      </c>
      <c r="C3878">
        <v>56028</v>
      </c>
      <c r="D3878">
        <v>194305</v>
      </c>
      <c r="E3878">
        <v>384223978</v>
      </c>
      <c r="F3878">
        <v>113765349</v>
      </c>
      <c r="G3878">
        <v>497989327</v>
      </c>
      <c r="H3878">
        <v>102034</v>
      </c>
      <c r="I3878">
        <v>3723</v>
      </c>
      <c r="J3878">
        <v>105757</v>
      </c>
      <c r="K3878" t="b">
        <f>TrafficData[[#This Row],[disposedChallan]]+TrafficData[[#This Row],[pendingChallan]]=TrafficData[[#This Row],[totalChallan]]</f>
        <v>1</v>
      </c>
      <c r="L3878" t="b">
        <f>TrafficData[[#This Row],[pendingAmount]]+TrafficData[[#This Row],[disposedAmount]]=TrafficData[[#This Row],[totalAmount]]</f>
        <v>1</v>
      </c>
      <c r="M3878" t="b">
        <f>TrafficData[[#This Row],[pendingCourt]]+TrafficData[[#This Row],[disposedCourt]]=TrafficData[[#This Row],[totalCourt]]</f>
        <v>1</v>
      </c>
      <c r="N3878" s="8" t="b">
        <f>AND(TrafficData[[#This Row],[disposedChallan]]&lt;=TrafficData[[#This Row],[totalChallan]],TrafficData[[#This Row],[pendingChallan]]&lt;=TrafficData[[#This Row],[totalChallan]])</f>
        <v>1</v>
      </c>
      <c r="O3878" s="8" t="b">
        <f>AND(TrafficData[[#This Row],[pendingAmount]]&lt;=TrafficData[[#This Row],[totalAmount]],TrafficData[[#This Row],[disposedAmount]]&lt;=TrafficData[[#This Row],[totalAmount]])</f>
        <v>1</v>
      </c>
      <c r="P3878" s="8" t="b">
        <f>AND(TrafficData[[#This Row],[pendingCourt]]&lt;=TrafficData[[#This Row],[totalCourt]],TrafficData[[#This Row],[disposedCourt]]&lt;=TrafficData[[#This Row],[totalCourt]])</f>
        <v>1</v>
      </c>
    </row>
    <row r="3879" spans="1:16">
      <c r="A3879" s="1">
        <v>45883</v>
      </c>
      <c r="B3879">
        <v>244744</v>
      </c>
      <c r="C3879">
        <v>54983</v>
      </c>
      <c r="D3879">
        <v>189761</v>
      </c>
      <c r="E3879">
        <v>361226956</v>
      </c>
      <c r="F3879">
        <v>102425322</v>
      </c>
      <c r="G3879">
        <v>463652278</v>
      </c>
      <c r="H3879">
        <v>91502</v>
      </c>
      <c r="I3879">
        <v>3430</v>
      </c>
      <c r="J3879">
        <v>94932</v>
      </c>
      <c r="K3879" t="b">
        <f>TrafficData[[#This Row],[disposedChallan]]+TrafficData[[#This Row],[pendingChallan]]=TrafficData[[#This Row],[totalChallan]]</f>
        <v>1</v>
      </c>
      <c r="L3879" t="b">
        <f>TrafficData[[#This Row],[pendingAmount]]+TrafficData[[#This Row],[disposedAmount]]=TrafficData[[#This Row],[totalAmount]]</f>
        <v>1</v>
      </c>
      <c r="M3879" t="b">
        <f>TrafficData[[#This Row],[pendingCourt]]+TrafficData[[#This Row],[disposedCourt]]=TrafficData[[#This Row],[totalCourt]]</f>
        <v>1</v>
      </c>
      <c r="N3879" s="8" t="b">
        <f>AND(TrafficData[[#This Row],[disposedChallan]]&lt;=TrafficData[[#This Row],[totalChallan]],TrafficData[[#This Row],[pendingChallan]]&lt;=TrafficData[[#This Row],[totalChallan]])</f>
        <v>1</v>
      </c>
      <c r="O3879" s="8" t="b">
        <f>AND(TrafficData[[#This Row],[pendingAmount]]&lt;=TrafficData[[#This Row],[totalAmount]],TrafficData[[#This Row],[disposedAmount]]&lt;=TrafficData[[#This Row],[totalAmount]])</f>
        <v>1</v>
      </c>
      <c r="P3879" s="8" t="b">
        <f>AND(TrafficData[[#This Row],[pendingCourt]]&lt;=TrafficData[[#This Row],[totalCourt]],TrafficData[[#This Row],[disposedCourt]]&lt;=TrafficData[[#This Row],[totalCourt]])</f>
        <v>1</v>
      </c>
    </row>
    <row r="3880" spans="1:16">
      <c r="A3880" s="1">
        <v>45884</v>
      </c>
      <c r="B3880">
        <v>175714</v>
      </c>
      <c r="C3880">
        <v>37768</v>
      </c>
      <c r="D3880">
        <v>137946</v>
      </c>
      <c r="E3880">
        <v>252075667</v>
      </c>
      <c r="F3880">
        <v>48317146</v>
      </c>
      <c r="G3880">
        <v>300392813</v>
      </c>
      <c r="H3880">
        <v>60880</v>
      </c>
      <c r="I3880">
        <v>2683</v>
      </c>
      <c r="J3880">
        <v>63563</v>
      </c>
      <c r="K3880" t="b">
        <f>TrafficData[[#This Row],[disposedChallan]]+TrafficData[[#This Row],[pendingChallan]]=TrafficData[[#This Row],[totalChallan]]</f>
        <v>1</v>
      </c>
      <c r="L3880" t="b">
        <f>TrafficData[[#This Row],[pendingAmount]]+TrafficData[[#This Row],[disposedAmount]]=TrafficData[[#This Row],[totalAmount]]</f>
        <v>1</v>
      </c>
      <c r="M3880" t="b">
        <f>TrafficData[[#This Row],[pendingCourt]]+TrafficData[[#This Row],[disposedCourt]]=TrafficData[[#This Row],[totalCourt]]</f>
        <v>1</v>
      </c>
      <c r="N3880" s="8" t="b">
        <f>AND(TrafficData[[#This Row],[disposedChallan]]&lt;=TrafficData[[#This Row],[totalChallan]],TrafficData[[#This Row],[pendingChallan]]&lt;=TrafficData[[#This Row],[totalChallan]])</f>
        <v>1</v>
      </c>
      <c r="O3880" s="8" t="b">
        <f>AND(TrafficData[[#This Row],[pendingAmount]]&lt;=TrafficData[[#This Row],[totalAmount]],TrafficData[[#This Row],[disposedAmount]]&lt;=TrafficData[[#This Row],[totalAmount]])</f>
        <v>1</v>
      </c>
      <c r="P3880" s="8" t="b">
        <f>AND(TrafficData[[#This Row],[pendingCourt]]&lt;=TrafficData[[#This Row],[totalCourt]],TrafficData[[#This Row],[disposedCourt]]&lt;=TrafficData[[#This Row],[totalCourt]])</f>
        <v>1</v>
      </c>
    </row>
    <row r="3881" spans="1:16">
      <c r="A3881" s="1">
        <v>45885</v>
      </c>
      <c r="B3881">
        <v>233623</v>
      </c>
      <c r="C3881">
        <v>52570</v>
      </c>
      <c r="D3881">
        <v>181053</v>
      </c>
      <c r="E3881">
        <v>355751786</v>
      </c>
      <c r="F3881">
        <v>70784539</v>
      </c>
      <c r="G3881">
        <v>426536325</v>
      </c>
      <c r="H3881">
        <v>93463</v>
      </c>
      <c r="I3881">
        <v>3910</v>
      </c>
      <c r="J3881">
        <v>97373</v>
      </c>
      <c r="K3881" t="b">
        <f>TrafficData[[#This Row],[disposedChallan]]+TrafficData[[#This Row],[pendingChallan]]=TrafficData[[#This Row],[totalChallan]]</f>
        <v>1</v>
      </c>
      <c r="L3881" t="b">
        <f>TrafficData[[#This Row],[pendingAmount]]+TrafficData[[#This Row],[disposedAmount]]=TrafficData[[#This Row],[totalAmount]]</f>
        <v>1</v>
      </c>
      <c r="M3881" t="b">
        <f>TrafficData[[#This Row],[pendingCourt]]+TrafficData[[#This Row],[disposedCourt]]=TrafficData[[#This Row],[totalCourt]]</f>
        <v>1</v>
      </c>
      <c r="N3881" s="8" t="b">
        <f>AND(TrafficData[[#This Row],[disposedChallan]]&lt;=TrafficData[[#This Row],[totalChallan]],TrafficData[[#This Row],[pendingChallan]]&lt;=TrafficData[[#This Row],[totalChallan]])</f>
        <v>1</v>
      </c>
      <c r="O3881" s="8" t="b">
        <f>AND(TrafficData[[#This Row],[pendingAmount]]&lt;=TrafficData[[#This Row],[totalAmount]],TrafficData[[#This Row],[disposedAmount]]&lt;=TrafficData[[#This Row],[totalAmount]])</f>
        <v>1</v>
      </c>
      <c r="P3881" s="8" t="b">
        <f>AND(TrafficData[[#This Row],[pendingCourt]]&lt;=TrafficData[[#This Row],[totalCourt]],TrafficData[[#This Row],[disposedCourt]]&lt;=TrafficData[[#This Row],[totalCourt]])</f>
        <v>1</v>
      </c>
    </row>
    <row r="3882" spans="1:16">
      <c r="A3882" s="1">
        <v>45886</v>
      </c>
      <c r="B3882">
        <v>219945</v>
      </c>
      <c r="C3882">
        <v>49695</v>
      </c>
      <c r="D3882">
        <v>170250</v>
      </c>
      <c r="E3882">
        <v>320139097</v>
      </c>
      <c r="F3882">
        <v>66788811</v>
      </c>
      <c r="G3882">
        <v>386927908</v>
      </c>
      <c r="H3882">
        <v>88264</v>
      </c>
      <c r="I3882">
        <v>3617</v>
      </c>
      <c r="J3882">
        <v>91881</v>
      </c>
      <c r="K3882" t="b">
        <f>TrafficData[[#This Row],[disposedChallan]]+TrafficData[[#This Row],[pendingChallan]]=TrafficData[[#This Row],[totalChallan]]</f>
        <v>1</v>
      </c>
      <c r="L3882" t="b">
        <f>TrafficData[[#This Row],[pendingAmount]]+TrafficData[[#This Row],[disposedAmount]]=TrafficData[[#This Row],[totalAmount]]</f>
        <v>1</v>
      </c>
      <c r="M3882" t="b">
        <f>TrafficData[[#This Row],[pendingCourt]]+TrafficData[[#This Row],[disposedCourt]]=TrafficData[[#This Row],[totalCourt]]</f>
        <v>1</v>
      </c>
      <c r="N3882" s="8" t="b">
        <f>AND(TrafficData[[#This Row],[disposedChallan]]&lt;=TrafficData[[#This Row],[totalChallan]],TrafficData[[#This Row],[pendingChallan]]&lt;=TrafficData[[#This Row],[totalChallan]])</f>
        <v>1</v>
      </c>
      <c r="O3882" s="8" t="b">
        <f>AND(TrafficData[[#This Row],[pendingAmount]]&lt;=TrafficData[[#This Row],[totalAmount]],TrafficData[[#This Row],[disposedAmount]]&lt;=TrafficData[[#This Row],[totalAmount]])</f>
        <v>1</v>
      </c>
      <c r="P3882" s="8" t="b">
        <f>AND(TrafficData[[#This Row],[pendingCourt]]&lt;=TrafficData[[#This Row],[totalCourt]],TrafficData[[#This Row],[disposedCourt]]&lt;=TrafficData[[#This Row],[totalCourt]])</f>
        <v>1</v>
      </c>
    </row>
    <row r="3883" spans="1:16">
      <c r="A3883" s="1">
        <v>45887</v>
      </c>
      <c r="B3883">
        <v>236884</v>
      </c>
      <c r="C3883">
        <v>51694</v>
      </c>
      <c r="D3883">
        <v>185190</v>
      </c>
      <c r="E3883">
        <v>388456039</v>
      </c>
      <c r="F3883">
        <v>91106877</v>
      </c>
      <c r="G3883">
        <v>479562916</v>
      </c>
      <c r="H3883">
        <v>95578</v>
      </c>
      <c r="I3883">
        <v>3966</v>
      </c>
      <c r="J3883">
        <v>99544</v>
      </c>
      <c r="K3883" t="b">
        <f>TrafficData[[#This Row],[disposedChallan]]+TrafficData[[#This Row],[pendingChallan]]=TrafficData[[#This Row],[totalChallan]]</f>
        <v>1</v>
      </c>
      <c r="L3883" t="b">
        <f>TrafficData[[#This Row],[pendingAmount]]+TrafficData[[#This Row],[disposedAmount]]=TrafficData[[#This Row],[totalAmount]]</f>
        <v>1</v>
      </c>
      <c r="M3883" t="b">
        <f>TrafficData[[#This Row],[pendingCourt]]+TrafficData[[#This Row],[disposedCourt]]=TrafficData[[#This Row],[totalCourt]]</f>
        <v>1</v>
      </c>
      <c r="N3883" s="8" t="b">
        <f>AND(TrafficData[[#This Row],[disposedChallan]]&lt;=TrafficData[[#This Row],[totalChallan]],TrafficData[[#This Row],[pendingChallan]]&lt;=TrafficData[[#This Row],[totalChallan]])</f>
        <v>1</v>
      </c>
      <c r="O3883" s="8" t="b">
        <f>AND(TrafficData[[#This Row],[pendingAmount]]&lt;=TrafficData[[#This Row],[totalAmount]],TrafficData[[#This Row],[disposedAmount]]&lt;=TrafficData[[#This Row],[totalAmount]])</f>
        <v>1</v>
      </c>
      <c r="P3883" s="8" t="b">
        <f>AND(TrafficData[[#This Row],[pendingCourt]]&lt;=TrafficData[[#This Row],[totalCourt]],TrafficData[[#This Row],[disposedCourt]]&lt;=TrafficData[[#This Row],[totalCourt]])</f>
        <v>1</v>
      </c>
    </row>
    <row r="3884" spans="1:16">
      <c r="A3884" s="1">
        <v>45888</v>
      </c>
      <c r="B3884">
        <v>270092</v>
      </c>
      <c r="C3884">
        <v>61145</v>
      </c>
      <c r="D3884">
        <v>208947</v>
      </c>
      <c r="E3884">
        <v>439451963</v>
      </c>
      <c r="F3884">
        <v>117016560</v>
      </c>
      <c r="G3884">
        <v>556468523</v>
      </c>
      <c r="H3884">
        <v>112566</v>
      </c>
      <c r="I3884">
        <v>4622</v>
      </c>
      <c r="J3884">
        <v>117188</v>
      </c>
      <c r="K3884" t="b">
        <f>TrafficData[[#This Row],[disposedChallan]]+TrafficData[[#This Row],[pendingChallan]]=TrafficData[[#This Row],[totalChallan]]</f>
        <v>1</v>
      </c>
      <c r="L3884" t="b">
        <f>TrafficData[[#This Row],[pendingAmount]]+TrafficData[[#This Row],[disposedAmount]]=TrafficData[[#This Row],[totalAmount]]</f>
        <v>1</v>
      </c>
      <c r="M3884" t="b">
        <f>TrafficData[[#This Row],[pendingCourt]]+TrafficData[[#This Row],[disposedCourt]]=TrafficData[[#This Row],[totalCourt]]</f>
        <v>1</v>
      </c>
      <c r="N3884" s="8" t="b">
        <f>AND(TrafficData[[#This Row],[disposedChallan]]&lt;=TrafficData[[#This Row],[totalChallan]],TrafficData[[#This Row],[pendingChallan]]&lt;=TrafficData[[#This Row],[totalChallan]])</f>
        <v>1</v>
      </c>
      <c r="O3884" s="8" t="b">
        <f>AND(TrafficData[[#This Row],[pendingAmount]]&lt;=TrafficData[[#This Row],[totalAmount]],TrafficData[[#This Row],[disposedAmount]]&lt;=TrafficData[[#This Row],[totalAmount]])</f>
        <v>1</v>
      </c>
      <c r="P3884" s="8" t="b">
        <f>AND(TrafficData[[#This Row],[pendingCourt]]&lt;=TrafficData[[#This Row],[totalCourt]],TrafficData[[#This Row],[disposedCourt]]&lt;=TrafficData[[#This Row],[totalCourt]])</f>
        <v>1</v>
      </c>
    </row>
    <row r="3885" spans="1:16">
      <c r="A3885" s="1">
        <v>45889</v>
      </c>
      <c r="B3885">
        <v>275790</v>
      </c>
      <c r="C3885">
        <v>61261</v>
      </c>
      <c r="D3885">
        <v>214529</v>
      </c>
      <c r="E3885">
        <v>440370902</v>
      </c>
      <c r="F3885">
        <v>114938934</v>
      </c>
      <c r="G3885">
        <v>555309836</v>
      </c>
      <c r="H3885">
        <v>113765</v>
      </c>
      <c r="I3885">
        <v>4755</v>
      </c>
      <c r="J3885">
        <v>118520</v>
      </c>
      <c r="K3885" t="b">
        <f>TrafficData[[#This Row],[disposedChallan]]+TrafficData[[#This Row],[pendingChallan]]=TrafficData[[#This Row],[totalChallan]]</f>
        <v>1</v>
      </c>
      <c r="L3885" t="b">
        <f>TrafficData[[#This Row],[pendingAmount]]+TrafficData[[#This Row],[disposedAmount]]=TrafficData[[#This Row],[totalAmount]]</f>
        <v>1</v>
      </c>
      <c r="M3885" t="b">
        <f>TrafficData[[#This Row],[pendingCourt]]+TrafficData[[#This Row],[disposedCourt]]=TrafficData[[#This Row],[totalCourt]]</f>
        <v>1</v>
      </c>
      <c r="N3885" s="8" t="b">
        <f>AND(TrafficData[[#This Row],[disposedChallan]]&lt;=TrafficData[[#This Row],[totalChallan]],TrafficData[[#This Row],[pendingChallan]]&lt;=TrafficData[[#This Row],[totalChallan]])</f>
        <v>1</v>
      </c>
      <c r="O3885" s="8" t="b">
        <f>AND(TrafficData[[#This Row],[pendingAmount]]&lt;=TrafficData[[#This Row],[totalAmount]],TrafficData[[#This Row],[disposedAmount]]&lt;=TrafficData[[#This Row],[totalAmount]])</f>
        <v>1</v>
      </c>
      <c r="P3885" s="8" t="b">
        <f>AND(TrafficData[[#This Row],[pendingCourt]]&lt;=TrafficData[[#This Row],[totalCourt]],TrafficData[[#This Row],[disposedCourt]]&lt;=TrafficData[[#This Row],[totalCourt]])</f>
        <v>1</v>
      </c>
    </row>
    <row r="3886" spans="1:16">
      <c r="A3886" s="1">
        <v>45890</v>
      </c>
      <c r="B3886">
        <v>268357</v>
      </c>
      <c r="C3886">
        <v>60773</v>
      </c>
      <c r="D3886">
        <v>207584</v>
      </c>
      <c r="E3886">
        <v>434754748</v>
      </c>
      <c r="F3886">
        <v>112013319</v>
      </c>
      <c r="G3886">
        <v>546768067</v>
      </c>
      <c r="H3886">
        <v>110652</v>
      </c>
      <c r="I3886">
        <v>4561</v>
      </c>
      <c r="J3886">
        <v>115213</v>
      </c>
      <c r="K3886" t="b">
        <f>TrafficData[[#This Row],[disposedChallan]]+TrafficData[[#This Row],[pendingChallan]]=TrafficData[[#This Row],[totalChallan]]</f>
        <v>1</v>
      </c>
      <c r="L3886" t="b">
        <f>TrafficData[[#This Row],[pendingAmount]]+TrafficData[[#This Row],[disposedAmount]]=TrafficData[[#This Row],[totalAmount]]</f>
        <v>1</v>
      </c>
      <c r="M3886" t="b">
        <f>TrafficData[[#This Row],[pendingCourt]]+TrafficData[[#This Row],[disposedCourt]]=TrafficData[[#This Row],[totalCourt]]</f>
        <v>1</v>
      </c>
      <c r="N3886" s="8" t="b">
        <f>AND(TrafficData[[#This Row],[disposedChallan]]&lt;=TrafficData[[#This Row],[totalChallan]],TrafficData[[#This Row],[pendingChallan]]&lt;=TrafficData[[#This Row],[totalChallan]])</f>
        <v>1</v>
      </c>
      <c r="O3886" s="8" t="b">
        <f>AND(TrafficData[[#This Row],[pendingAmount]]&lt;=TrafficData[[#This Row],[totalAmount]],TrafficData[[#This Row],[disposedAmount]]&lt;=TrafficData[[#This Row],[totalAmount]])</f>
        <v>1</v>
      </c>
      <c r="P3886" s="8" t="b">
        <f>AND(TrafficData[[#This Row],[pendingCourt]]&lt;=TrafficData[[#This Row],[totalCourt]],TrafficData[[#This Row],[disposedCourt]]&lt;=TrafficData[[#This Row],[totalCourt]])</f>
        <v>1</v>
      </c>
    </row>
    <row r="3887" spans="1:16">
      <c r="A3887" s="1">
        <v>45891</v>
      </c>
      <c r="B3887">
        <v>278109</v>
      </c>
      <c r="C3887">
        <v>61225</v>
      </c>
      <c r="D3887">
        <v>216884</v>
      </c>
      <c r="E3887">
        <v>439861697</v>
      </c>
      <c r="F3887">
        <v>109608169</v>
      </c>
      <c r="G3887">
        <v>549469866</v>
      </c>
      <c r="H3887">
        <v>115734</v>
      </c>
      <c r="I3887">
        <v>5004</v>
      </c>
      <c r="J3887">
        <v>120738</v>
      </c>
      <c r="K3887" t="b">
        <f>TrafficData[[#This Row],[disposedChallan]]+TrafficData[[#This Row],[pendingChallan]]=TrafficData[[#This Row],[totalChallan]]</f>
        <v>1</v>
      </c>
      <c r="L3887" t="b">
        <f>TrafficData[[#This Row],[pendingAmount]]+TrafficData[[#This Row],[disposedAmount]]=TrafficData[[#This Row],[totalAmount]]</f>
        <v>1</v>
      </c>
      <c r="M3887" t="b">
        <f>TrafficData[[#This Row],[pendingCourt]]+TrafficData[[#This Row],[disposedCourt]]=TrafficData[[#This Row],[totalCourt]]</f>
        <v>1</v>
      </c>
      <c r="N3887" s="8" t="b">
        <f>AND(TrafficData[[#This Row],[disposedChallan]]&lt;=TrafficData[[#This Row],[totalChallan]],TrafficData[[#This Row],[pendingChallan]]&lt;=TrafficData[[#This Row],[totalChallan]])</f>
        <v>1</v>
      </c>
      <c r="O3887" s="8" t="b">
        <f>AND(TrafficData[[#This Row],[pendingAmount]]&lt;=TrafficData[[#This Row],[totalAmount]],TrafficData[[#This Row],[disposedAmount]]&lt;=TrafficData[[#This Row],[totalAmount]])</f>
        <v>1</v>
      </c>
      <c r="P3887" s="8" t="b">
        <f>AND(TrafficData[[#This Row],[pendingCourt]]&lt;=TrafficData[[#This Row],[totalCourt]],TrafficData[[#This Row],[disposedCourt]]&lt;=TrafficData[[#This Row],[totalCourt]])</f>
        <v>1</v>
      </c>
    </row>
    <row r="3888" spans="1:16">
      <c r="A3888" s="1">
        <v>45892</v>
      </c>
      <c r="B3888">
        <v>263401</v>
      </c>
      <c r="C3888">
        <v>59489</v>
      </c>
      <c r="D3888">
        <v>203912</v>
      </c>
      <c r="E3888">
        <v>384045990</v>
      </c>
      <c r="F3888">
        <v>95199063</v>
      </c>
      <c r="G3888">
        <v>479245053</v>
      </c>
      <c r="H3888">
        <v>102376</v>
      </c>
      <c r="I3888">
        <v>4597</v>
      </c>
      <c r="J3888">
        <v>106973</v>
      </c>
      <c r="K3888" t="b">
        <f>TrafficData[[#This Row],[disposedChallan]]+TrafficData[[#This Row],[pendingChallan]]=TrafficData[[#This Row],[totalChallan]]</f>
        <v>1</v>
      </c>
      <c r="L3888" t="b">
        <f>TrafficData[[#This Row],[pendingAmount]]+TrafficData[[#This Row],[disposedAmount]]=TrafficData[[#This Row],[totalAmount]]</f>
        <v>1</v>
      </c>
      <c r="M3888" t="b">
        <f>TrafficData[[#This Row],[pendingCourt]]+TrafficData[[#This Row],[disposedCourt]]=TrafficData[[#This Row],[totalCourt]]</f>
        <v>1</v>
      </c>
      <c r="N3888" s="8" t="b">
        <f>AND(TrafficData[[#This Row],[disposedChallan]]&lt;=TrafficData[[#This Row],[totalChallan]],TrafficData[[#This Row],[pendingChallan]]&lt;=TrafficData[[#This Row],[totalChallan]])</f>
        <v>1</v>
      </c>
      <c r="O3888" s="8" t="b">
        <f>AND(TrafficData[[#This Row],[pendingAmount]]&lt;=TrafficData[[#This Row],[totalAmount]],TrafficData[[#This Row],[disposedAmount]]&lt;=TrafficData[[#This Row],[totalAmount]])</f>
        <v>1</v>
      </c>
      <c r="P3888" s="8" t="b">
        <f>AND(TrafficData[[#This Row],[pendingCourt]]&lt;=TrafficData[[#This Row],[totalCourt]],TrafficData[[#This Row],[disposedCourt]]&lt;=TrafficData[[#This Row],[totalCourt]])</f>
        <v>1</v>
      </c>
    </row>
    <row r="3889" spans="1:16">
      <c r="A3889" s="1">
        <v>45893</v>
      </c>
      <c r="B3889">
        <v>231341</v>
      </c>
      <c r="C3889">
        <v>51002</v>
      </c>
      <c r="D3889">
        <v>180339</v>
      </c>
      <c r="E3889">
        <v>310837445</v>
      </c>
      <c r="F3889">
        <v>68436142</v>
      </c>
      <c r="G3889">
        <v>379273587</v>
      </c>
      <c r="H3889">
        <v>89487</v>
      </c>
      <c r="I3889">
        <v>3802</v>
      </c>
      <c r="J3889">
        <v>93289</v>
      </c>
      <c r="K3889" t="b">
        <f>TrafficData[[#This Row],[disposedChallan]]+TrafficData[[#This Row],[pendingChallan]]=TrafficData[[#This Row],[totalChallan]]</f>
        <v>1</v>
      </c>
      <c r="L3889" t="b">
        <f>TrafficData[[#This Row],[pendingAmount]]+TrafficData[[#This Row],[disposedAmount]]=TrafficData[[#This Row],[totalAmount]]</f>
        <v>1</v>
      </c>
      <c r="M3889" t="b">
        <f>TrafficData[[#This Row],[pendingCourt]]+TrafficData[[#This Row],[disposedCourt]]=TrafficData[[#This Row],[totalCourt]]</f>
        <v>1</v>
      </c>
      <c r="N3889" s="8" t="b">
        <f>AND(TrafficData[[#This Row],[disposedChallan]]&lt;=TrafficData[[#This Row],[totalChallan]],TrafficData[[#This Row],[pendingChallan]]&lt;=TrafficData[[#This Row],[totalChallan]])</f>
        <v>1</v>
      </c>
      <c r="O3889" s="8" t="b">
        <f>AND(TrafficData[[#This Row],[pendingAmount]]&lt;=TrafficData[[#This Row],[totalAmount]],TrafficData[[#This Row],[disposedAmount]]&lt;=TrafficData[[#This Row],[totalAmount]])</f>
        <v>1</v>
      </c>
      <c r="P3889" s="8" t="b">
        <f>AND(TrafficData[[#This Row],[pendingCourt]]&lt;=TrafficData[[#This Row],[totalCourt]],TrafficData[[#This Row],[disposedCourt]]&lt;=TrafficData[[#This Row],[totalCourt]])</f>
        <v>1</v>
      </c>
    </row>
    <row r="3890" spans="1:16">
      <c r="A3890" s="1">
        <v>45894</v>
      </c>
      <c r="B3890">
        <v>263953</v>
      </c>
      <c r="C3890">
        <v>56436</v>
      </c>
      <c r="D3890">
        <v>207517</v>
      </c>
      <c r="E3890">
        <v>410493864</v>
      </c>
      <c r="F3890">
        <v>93477212</v>
      </c>
      <c r="G3890">
        <v>503971076</v>
      </c>
      <c r="H3890">
        <v>100554</v>
      </c>
      <c r="I3890">
        <v>4079</v>
      </c>
      <c r="J3890">
        <v>104633</v>
      </c>
      <c r="K3890" t="b">
        <f>TrafficData[[#This Row],[disposedChallan]]+TrafficData[[#This Row],[pendingChallan]]=TrafficData[[#This Row],[totalChallan]]</f>
        <v>1</v>
      </c>
      <c r="L3890" t="b">
        <f>TrafficData[[#This Row],[pendingAmount]]+TrafficData[[#This Row],[disposedAmount]]=TrafficData[[#This Row],[totalAmount]]</f>
        <v>1</v>
      </c>
      <c r="M3890" t="b">
        <f>TrafficData[[#This Row],[pendingCourt]]+TrafficData[[#This Row],[disposedCourt]]=TrafficData[[#This Row],[totalCourt]]</f>
        <v>1</v>
      </c>
      <c r="N3890" s="8" t="b">
        <f>AND(TrafficData[[#This Row],[disposedChallan]]&lt;=TrafficData[[#This Row],[totalChallan]],TrafficData[[#This Row],[pendingChallan]]&lt;=TrafficData[[#This Row],[totalChallan]])</f>
        <v>1</v>
      </c>
      <c r="O3890" s="8" t="b">
        <f>AND(TrafficData[[#This Row],[pendingAmount]]&lt;=TrafficData[[#This Row],[totalAmount]],TrafficData[[#This Row],[disposedAmount]]&lt;=TrafficData[[#This Row],[totalAmount]])</f>
        <v>1</v>
      </c>
      <c r="P3890" s="8" t="b">
        <f>AND(TrafficData[[#This Row],[pendingCourt]]&lt;=TrafficData[[#This Row],[totalCourt]],TrafficData[[#This Row],[disposedCourt]]&lt;=TrafficData[[#This Row],[totalCourt]])</f>
        <v>1</v>
      </c>
    </row>
    <row r="3891" spans="1:16">
      <c r="A3891" s="1">
        <v>45895</v>
      </c>
      <c r="B3891">
        <v>268059</v>
      </c>
      <c r="C3891">
        <v>55537</v>
      </c>
      <c r="D3891">
        <v>212522</v>
      </c>
      <c r="E3891">
        <v>414772172</v>
      </c>
      <c r="F3891">
        <v>99274680</v>
      </c>
      <c r="G3891">
        <v>514046852</v>
      </c>
      <c r="H3891">
        <v>100865</v>
      </c>
      <c r="I3891">
        <v>4027</v>
      </c>
      <c r="J3891">
        <v>104892</v>
      </c>
      <c r="K3891" t="b">
        <f>TrafficData[[#This Row],[disposedChallan]]+TrafficData[[#This Row],[pendingChallan]]=TrafficData[[#This Row],[totalChallan]]</f>
        <v>1</v>
      </c>
      <c r="L3891" t="b">
        <f>TrafficData[[#This Row],[pendingAmount]]+TrafficData[[#This Row],[disposedAmount]]=TrafficData[[#This Row],[totalAmount]]</f>
        <v>1</v>
      </c>
      <c r="M3891" t="b">
        <f>TrafficData[[#This Row],[pendingCourt]]+TrafficData[[#This Row],[disposedCourt]]=TrafficData[[#This Row],[totalCourt]]</f>
        <v>1</v>
      </c>
      <c r="N3891" s="8" t="b">
        <f>AND(TrafficData[[#This Row],[disposedChallan]]&lt;=TrafficData[[#This Row],[totalChallan]],TrafficData[[#This Row],[pendingChallan]]&lt;=TrafficData[[#This Row],[totalChallan]])</f>
        <v>1</v>
      </c>
      <c r="O3891" s="8" t="b">
        <f>AND(TrafficData[[#This Row],[pendingAmount]]&lt;=TrafficData[[#This Row],[totalAmount]],TrafficData[[#This Row],[disposedAmount]]&lt;=TrafficData[[#This Row],[totalAmount]])</f>
        <v>1</v>
      </c>
      <c r="P3891" s="8" t="b">
        <f>AND(TrafficData[[#This Row],[pendingCourt]]&lt;=TrafficData[[#This Row],[totalCourt]],TrafficData[[#This Row],[disposedCourt]]&lt;=TrafficData[[#This Row],[totalCourt]])</f>
        <v>1</v>
      </c>
    </row>
    <row r="3892" spans="1:16">
      <c r="A3892" s="1">
        <v>45896</v>
      </c>
      <c r="B3892">
        <v>247663</v>
      </c>
      <c r="C3892">
        <v>49683</v>
      </c>
      <c r="D3892">
        <v>197980</v>
      </c>
      <c r="E3892">
        <v>388632463</v>
      </c>
      <c r="F3892">
        <v>86580528</v>
      </c>
      <c r="G3892">
        <v>475212991</v>
      </c>
      <c r="H3892">
        <v>72307</v>
      </c>
      <c r="I3892">
        <v>3352</v>
      </c>
      <c r="J3892">
        <v>75659</v>
      </c>
      <c r="K3892" t="b">
        <f>TrafficData[[#This Row],[disposedChallan]]+TrafficData[[#This Row],[pendingChallan]]=TrafficData[[#This Row],[totalChallan]]</f>
        <v>1</v>
      </c>
      <c r="L3892" t="b">
        <f>TrafficData[[#This Row],[pendingAmount]]+TrafficData[[#This Row],[disposedAmount]]=TrafficData[[#This Row],[totalAmount]]</f>
        <v>1</v>
      </c>
      <c r="M3892" t="b">
        <f>TrafficData[[#This Row],[pendingCourt]]+TrafficData[[#This Row],[disposedCourt]]=TrafficData[[#This Row],[totalCourt]]</f>
        <v>1</v>
      </c>
      <c r="N3892" s="8" t="b">
        <f>AND(TrafficData[[#This Row],[disposedChallan]]&lt;=TrafficData[[#This Row],[totalChallan]],TrafficData[[#This Row],[pendingChallan]]&lt;=TrafficData[[#This Row],[totalChallan]])</f>
        <v>1</v>
      </c>
      <c r="O3892" s="8" t="b">
        <f>AND(TrafficData[[#This Row],[pendingAmount]]&lt;=TrafficData[[#This Row],[totalAmount]],TrafficData[[#This Row],[disposedAmount]]&lt;=TrafficData[[#This Row],[totalAmount]])</f>
        <v>1</v>
      </c>
      <c r="P3892" s="8" t="b">
        <f>AND(TrafficData[[#This Row],[pendingCourt]]&lt;=TrafficData[[#This Row],[totalCourt]],TrafficData[[#This Row],[disposedCourt]]&lt;=TrafficData[[#This Row],[totalCourt]])</f>
        <v>1</v>
      </c>
    </row>
    <row r="3893" spans="1:16">
      <c r="A3893" s="1">
        <v>45897</v>
      </c>
      <c r="B3893">
        <v>249726</v>
      </c>
      <c r="C3893">
        <v>53408</v>
      </c>
      <c r="D3893">
        <v>196318</v>
      </c>
      <c r="E3893">
        <v>398245152</v>
      </c>
      <c r="F3893">
        <v>91042472</v>
      </c>
      <c r="G3893">
        <v>489287624</v>
      </c>
      <c r="H3893">
        <v>108013</v>
      </c>
      <c r="I3893">
        <v>3940</v>
      </c>
      <c r="J3893">
        <v>111953</v>
      </c>
      <c r="K3893" t="b">
        <f>TrafficData[[#This Row],[disposedChallan]]+TrafficData[[#This Row],[pendingChallan]]=TrafficData[[#This Row],[totalChallan]]</f>
        <v>1</v>
      </c>
      <c r="L3893" t="b">
        <f>TrafficData[[#This Row],[pendingAmount]]+TrafficData[[#This Row],[disposedAmount]]=TrafficData[[#This Row],[totalAmount]]</f>
        <v>1</v>
      </c>
      <c r="M3893" t="b">
        <f>TrafficData[[#This Row],[pendingCourt]]+TrafficData[[#This Row],[disposedCourt]]=TrafficData[[#This Row],[totalCourt]]</f>
        <v>1</v>
      </c>
      <c r="N3893" s="8" t="b">
        <f>AND(TrafficData[[#This Row],[disposedChallan]]&lt;=TrafficData[[#This Row],[totalChallan]],TrafficData[[#This Row],[pendingChallan]]&lt;=TrafficData[[#This Row],[totalChallan]])</f>
        <v>1</v>
      </c>
      <c r="O3893" s="8" t="b">
        <f>AND(TrafficData[[#This Row],[pendingAmount]]&lt;=TrafficData[[#This Row],[totalAmount]],TrafficData[[#This Row],[disposedAmount]]&lt;=TrafficData[[#This Row],[totalAmount]])</f>
        <v>1</v>
      </c>
      <c r="P3893" s="8" t="b">
        <f>AND(TrafficData[[#This Row],[pendingCourt]]&lt;=TrafficData[[#This Row],[totalCourt]],TrafficData[[#This Row],[disposedCourt]]&lt;=TrafficData[[#This Row],[totalCourt]])</f>
        <v>1</v>
      </c>
    </row>
    <row r="3894" spans="1:16">
      <c r="A3894" s="1">
        <v>45898</v>
      </c>
      <c r="B3894">
        <v>236852</v>
      </c>
      <c r="C3894">
        <v>51728</v>
      </c>
      <c r="D3894">
        <v>185124</v>
      </c>
      <c r="E3894">
        <v>391020440</v>
      </c>
      <c r="F3894">
        <v>87032156</v>
      </c>
      <c r="G3894">
        <v>478052596</v>
      </c>
      <c r="H3894">
        <v>97455</v>
      </c>
      <c r="I3894">
        <v>3731</v>
      </c>
      <c r="J3894">
        <v>101186</v>
      </c>
      <c r="K3894" t="b">
        <f>TrafficData[[#This Row],[disposedChallan]]+TrafficData[[#This Row],[pendingChallan]]=TrafficData[[#This Row],[totalChallan]]</f>
        <v>1</v>
      </c>
      <c r="L3894" t="b">
        <f>TrafficData[[#This Row],[pendingAmount]]+TrafficData[[#This Row],[disposedAmount]]=TrafficData[[#This Row],[totalAmount]]</f>
        <v>1</v>
      </c>
      <c r="M3894" t="b">
        <f>TrafficData[[#This Row],[pendingCourt]]+TrafficData[[#This Row],[disposedCourt]]=TrafficData[[#This Row],[totalCourt]]</f>
        <v>1</v>
      </c>
      <c r="N3894" s="8" t="b">
        <f>AND(TrafficData[[#This Row],[disposedChallan]]&lt;=TrafficData[[#This Row],[totalChallan]],TrafficData[[#This Row],[pendingChallan]]&lt;=TrafficData[[#This Row],[totalChallan]])</f>
        <v>1</v>
      </c>
      <c r="O3894" s="8" t="b">
        <f>AND(TrafficData[[#This Row],[pendingAmount]]&lt;=TrafficData[[#This Row],[totalAmount]],TrafficData[[#This Row],[disposedAmount]]&lt;=TrafficData[[#This Row],[totalAmount]])</f>
        <v>1</v>
      </c>
      <c r="P3894" s="8" t="b">
        <f>AND(TrafficData[[#This Row],[pendingCourt]]&lt;=TrafficData[[#This Row],[totalCourt]],TrafficData[[#This Row],[disposedCourt]]&lt;=TrafficData[[#This Row],[totalCourt]])</f>
        <v>1</v>
      </c>
    </row>
    <row r="3895" spans="1:16">
      <c r="A3895" s="1">
        <v>45899</v>
      </c>
      <c r="B3895">
        <v>253887</v>
      </c>
      <c r="C3895">
        <v>54951</v>
      </c>
      <c r="D3895">
        <v>198936</v>
      </c>
      <c r="E3895">
        <v>409119276</v>
      </c>
      <c r="F3895">
        <v>83529551</v>
      </c>
      <c r="G3895">
        <v>492648827</v>
      </c>
      <c r="H3895">
        <v>103650</v>
      </c>
      <c r="I3895">
        <v>4135</v>
      </c>
      <c r="J3895">
        <v>107785</v>
      </c>
      <c r="K3895" t="b">
        <f>TrafficData[[#This Row],[disposedChallan]]+TrafficData[[#This Row],[pendingChallan]]=TrafficData[[#This Row],[totalChallan]]</f>
        <v>1</v>
      </c>
      <c r="L3895" t="b">
        <f>TrafficData[[#This Row],[pendingAmount]]+TrafficData[[#This Row],[disposedAmount]]=TrafficData[[#This Row],[totalAmount]]</f>
        <v>1</v>
      </c>
      <c r="M3895" t="b">
        <f>TrafficData[[#This Row],[pendingCourt]]+TrafficData[[#This Row],[disposedCourt]]=TrafficData[[#This Row],[totalCourt]]</f>
        <v>1</v>
      </c>
      <c r="N3895" s="8" t="b">
        <f>AND(TrafficData[[#This Row],[disposedChallan]]&lt;=TrafficData[[#This Row],[totalChallan]],TrafficData[[#This Row],[pendingChallan]]&lt;=TrafficData[[#This Row],[totalChallan]])</f>
        <v>1</v>
      </c>
      <c r="O3895" s="8" t="b">
        <f>AND(TrafficData[[#This Row],[pendingAmount]]&lt;=TrafficData[[#This Row],[totalAmount]],TrafficData[[#This Row],[disposedAmount]]&lt;=TrafficData[[#This Row],[totalAmount]])</f>
        <v>1</v>
      </c>
      <c r="P3895" s="8" t="b">
        <f>AND(TrafficData[[#This Row],[pendingCourt]]&lt;=TrafficData[[#This Row],[totalCourt]],TrafficData[[#This Row],[disposedCourt]]&lt;=TrafficData[[#This Row],[totalCourt]])</f>
        <v>1</v>
      </c>
    </row>
    <row r="3896" spans="1:16">
      <c r="A3896" s="1">
        <v>45900</v>
      </c>
      <c r="B3896">
        <v>207685</v>
      </c>
      <c r="C3896">
        <v>45209</v>
      </c>
      <c r="D3896">
        <v>162476</v>
      </c>
      <c r="E3896">
        <v>327356041</v>
      </c>
      <c r="F3896">
        <v>60736579</v>
      </c>
      <c r="G3896">
        <v>388092620</v>
      </c>
      <c r="H3896">
        <v>82521</v>
      </c>
      <c r="I3896">
        <v>3665</v>
      </c>
      <c r="J3896">
        <v>86186</v>
      </c>
      <c r="K3896" t="b">
        <f>TrafficData[[#This Row],[disposedChallan]]+TrafficData[[#This Row],[pendingChallan]]=TrafficData[[#This Row],[totalChallan]]</f>
        <v>1</v>
      </c>
      <c r="L3896" t="b">
        <f>TrafficData[[#This Row],[pendingAmount]]+TrafficData[[#This Row],[disposedAmount]]=TrafficData[[#This Row],[totalAmount]]</f>
        <v>1</v>
      </c>
      <c r="M3896" t="b">
        <f>TrafficData[[#This Row],[pendingCourt]]+TrafficData[[#This Row],[disposedCourt]]=TrafficData[[#This Row],[totalCourt]]</f>
        <v>1</v>
      </c>
      <c r="N3896" s="8" t="b">
        <f>AND(TrafficData[[#This Row],[disposedChallan]]&lt;=TrafficData[[#This Row],[totalChallan]],TrafficData[[#This Row],[pendingChallan]]&lt;=TrafficData[[#This Row],[totalChallan]])</f>
        <v>1</v>
      </c>
      <c r="O3896" s="8" t="b">
        <f>AND(TrafficData[[#This Row],[pendingAmount]]&lt;=TrafficData[[#This Row],[totalAmount]],TrafficData[[#This Row],[disposedAmount]]&lt;=TrafficData[[#This Row],[totalAmount]])</f>
        <v>1</v>
      </c>
      <c r="P3896" s="8" t="b">
        <f>AND(TrafficData[[#This Row],[pendingCourt]]&lt;=TrafficData[[#This Row],[totalCourt]],TrafficData[[#This Row],[disposedCourt]]&lt;=TrafficData[[#This Row],[totalCourt]])</f>
        <v>1</v>
      </c>
    </row>
    <row r="3897" spans="1:16">
      <c r="A3897" s="1">
        <v>45901</v>
      </c>
      <c r="B3897">
        <v>226713</v>
      </c>
      <c r="C3897">
        <v>53129</v>
      </c>
      <c r="D3897">
        <v>173584</v>
      </c>
      <c r="E3897">
        <v>334075435</v>
      </c>
      <c r="F3897">
        <v>90577670</v>
      </c>
      <c r="G3897">
        <v>424653105</v>
      </c>
      <c r="H3897">
        <v>84400</v>
      </c>
      <c r="I3897">
        <v>3413</v>
      </c>
      <c r="J3897">
        <v>87813</v>
      </c>
      <c r="K3897" t="b">
        <f>TrafficData[[#This Row],[disposedChallan]]+TrafficData[[#This Row],[pendingChallan]]=TrafficData[[#This Row],[totalChallan]]</f>
        <v>1</v>
      </c>
      <c r="L3897" t="b">
        <f>TrafficData[[#This Row],[pendingAmount]]+TrafficData[[#This Row],[disposedAmount]]=TrafficData[[#This Row],[totalAmount]]</f>
        <v>1</v>
      </c>
      <c r="M3897" t="b">
        <f>TrafficData[[#This Row],[pendingCourt]]+TrafficData[[#This Row],[disposedCourt]]=TrafficData[[#This Row],[totalCourt]]</f>
        <v>1</v>
      </c>
      <c r="N3897" s="8" t="b">
        <f>AND(TrafficData[[#This Row],[disposedChallan]]&lt;=TrafficData[[#This Row],[totalChallan]],TrafficData[[#This Row],[pendingChallan]]&lt;=TrafficData[[#This Row],[totalChallan]])</f>
        <v>1</v>
      </c>
      <c r="O3897" s="8" t="b">
        <f>AND(TrafficData[[#This Row],[pendingAmount]]&lt;=TrafficData[[#This Row],[totalAmount]],TrafficData[[#This Row],[disposedAmount]]&lt;=TrafficData[[#This Row],[totalAmount]])</f>
        <v>1</v>
      </c>
      <c r="P3897" s="8" t="b">
        <f>AND(TrafficData[[#This Row],[pendingCourt]]&lt;=TrafficData[[#This Row],[totalCourt]],TrafficData[[#This Row],[disposedCourt]]&lt;=TrafficData[[#This Row],[totalCourt]])</f>
        <v>1</v>
      </c>
    </row>
    <row r="3898" spans="1:16">
      <c r="A3898" s="1">
        <v>45902</v>
      </c>
      <c r="B3898">
        <v>236448</v>
      </c>
      <c r="C3898">
        <v>52950</v>
      </c>
      <c r="D3898">
        <v>183498</v>
      </c>
      <c r="E3898">
        <v>371783788</v>
      </c>
      <c r="F3898">
        <v>99385404</v>
      </c>
      <c r="G3898">
        <v>471169192</v>
      </c>
      <c r="H3898">
        <v>93521</v>
      </c>
      <c r="I3898">
        <v>3372</v>
      </c>
      <c r="J3898">
        <v>96893</v>
      </c>
      <c r="K3898" t="b">
        <f>TrafficData[[#This Row],[disposedChallan]]+TrafficData[[#This Row],[pendingChallan]]=TrafficData[[#This Row],[totalChallan]]</f>
        <v>1</v>
      </c>
      <c r="L3898" t="b">
        <f>TrafficData[[#This Row],[pendingAmount]]+TrafficData[[#This Row],[disposedAmount]]=TrafficData[[#This Row],[totalAmount]]</f>
        <v>1</v>
      </c>
      <c r="M3898" t="b">
        <f>TrafficData[[#This Row],[pendingCourt]]+TrafficData[[#This Row],[disposedCourt]]=TrafficData[[#This Row],[totalCourt]]</f>
        <v>1</v>
      </c>
      <c r="N3898" s="8" t="b">
        <f>AND(TrafficData[[#This Row],[disposedChallan]]&lt;=TrafficData[[#This Row],[totalChallan]],TrafficData[[#This Row],[pendingChallan]]&lt;=TrafficData[[#This Row],[totalChallan]])</f>
        <v>1</v>
      </c>
      <c r="O3898" s="8" t="b">
        <f>AND(TrafficData[[#This Row],[pendingAmount]]&lt;=TrafficData[[#This Row],[totalAmount]],TrafficData[[#This Row],[disposedAmount]]&lt;=TrafficData[[#This Row],[totalAmount]])</f>
        <v>1</v>
      </c>
      <c r="P3898" s="8" t="b">
        <f>AND(TrafficData[[#This Row],[pendingCourt]]&lt;=TrafficData[[#This Row],[totalCourt]],TrafficData[[#This Row],[disposedCourt]]&lt;=TrafficData[[#This Row],[totalCourt]])</f>
        <v>1</v>
      </c>
    </row>
    <row r="3899" spans="1:16">
      <c r="A3899" s="1">
        <v>45903</v>
      </c>
      <c r="B3899">
        <v>245262</v>
      </c>
      <c r="C3899">
        <v>54286</v>
      </c>
      <c r="D3899">
        <v>190976</v>
      </c>
      <c r="E3899">
        <v>371228295</v>
      </c>
      <c r="F3899">
        <v>107219441</v>
      </c>
      <c r="G3899">
        <v>478447736</v>
      </c>
      <c r="H3899">
        <v>100523</v>
      </c>
      <c r="I3899">
        <v>3687</v>
      </c>
      <c r="J3899">
        <v>104210</v>
      </c>
      <c r="K3899" t="b">
        <f>TrafficData[[#This Row],[disposedChallan]]+TrafficData[[#This Row],[pendingChallan]]=TrafficData[[#This Row],[totalChallan]]</f>
        <v>1</v>
      </c>
      <c r="L3899" t="b">
        <f>TrafficData[[#This Row],[pendingAmount]]+TrafficData[[#This Row],[disposedAmount]]=TrafficData[[#This Row],[totalAmount]]</f>
        <v>1</v>
      </c>
      <c r="M3899" t="b">
        <f>TrafficData[[#This Row],[pendingCourt]]+TrafficData[[#This Row],[disposedCourt]]=TrafficData[[#This Row],[totalCourt]]</f>
        <v>1</v>
      </c>
      <c r="N3899" s="8" t="b">
        <f>AND(TrafficData[[#This Row],[disposedChallan]]&lt;=TrafficData[[#This Row],[totalChallan]],TrafficData[[#This Row],[pendingChallan]]&lt;=TrafficData[[#This Row],[totalChallan]])</f>
        <v>1</v>
      </c>
      <c r="O3899" s="8" t="b">
        <f>AND(TrafficData[[#This Row],[pendingAmount]]&lt;=TrafficData[[#This Row],[totalAmount]],TrafficData[[#This Row],[disposedAmount]]&lt;=TrafficData[[#This Row],[totalAmount]])</f>
        <v>1</v>
      </c>
      <c r="P3899" s="8" t="b">
        <f>AND(TrafficData[[#This Row],[pendingCourt]]&lt;=TrafficData[[#This Row],[totalCourt]],TrafficData[[#This Row],[disposedCourt]]&lt;=TrafficData[[#This Row],[totalCourt]])</f>
        <v>1</v>
      </c>
    </row>
    <row r="3900" spans="1:16">
      <c r="A3900" s="1">
        <v>45904</v>
      </c>
      <c r="B3900">
        <v>255752</v>
      </c>
      <c r="C3900">
        <v>53909</v>
      </c>
      <c r="D3900">
        <v>201843</v>
      </c>
      <c r="E3900">
        <v>407455502</v>
      </c>
      <c r="F3900">
        <v>105219565</v>
      </c>
      <c r="G3900">
        <v>512675067</v>
      </c>
      <c r="H3900">
        <v>104403</v>
      </c>
      <c r="I3900">
        <v>4127</v>
      </c>
      <c r="J3900">
        <v>108530</v>
      </c>
      <c r="K3900" t="b">
        <f>TrafficData[[#This Row],[disposedChallan]]+TrafficData[[#This Row],[pendingChallan]]=TrafficData[[#This Row],[totalChallan]]</f>
        <v>1</v>
      </c>
      <c r="L3900" t="b">
        <f>TrafficData[[#This Row],[pendingAmount]]+TrafficData[[#This Row],[disposedAmount]]=TrafficData[[#This Row],[totalAmount]]</f>
        <v>1</v>
      </c>
      <c r="M3900" t="b">
        <f>TrafficData[[#This Row],[pendingCourt]]+TrafficData[[#This Row],[disposedCourt]]=TrafficData[[#This Row],[totalCourt]]</f>
        <v>1</v>
      </c>
      <c r="N3900" s="8" t="b">
        <f>AND(TrafficData[[#This Row],[disposedChallan]]&lt;=TrafficData[[#This Row],[totalChallan]],TrafficData[[#This Row],[pendingChallan]]&lt;=TrafficData[[#This Row],[totalChallan]])</f>
        <v>1</v>
      </c>
      <c r="O3900" s="8" t="b">
        <f>AND(TrafficData[[#This Row],[pendingAmount]]&lt;=TrafficData[[#This Row],[totalAmount]],TrafficData[[#This Row],[disposedAmount]]&lt;=TrafficData[[#This Row],[totalAmount]])</f>
        <v>1</v>
      </c>
      <c r="P3900" s="8" t="b">
        <f>AND(TrafficData[[#This Row],[pendingCourt]]&lt;=TrafficData[[#This Row],[totalCourt]],TrafficData[[#This Row],[disposedCourt]]&lt;=TrafficData[[#This Row],[totalCourt]])</f>
        <v>1</v>
      </c>
    </row>
    <row r="3901" spans="1:16">
      <c r="A3901" s="1">
        <v>45905</v>
      </c>
      <c r="B3901">
        <v>232898</v>
      </c>
      <c r="C3901">
        <v>46620</v>
      </c>
      <c r="D3901">
        <v>186278</v>
      </c>
      <c r="E3901">
        <v>380946436</v>
      </c>
      <c r="F3901">
        <v>82054563</v>
      </c>
      <c r="G3901">
        <v>463000999</v>
      </c>
      <c r="H3901">
        <v>91108</v>
      </c>
      <c r="I3901">
        <v>3923</v>
      </c>
      <c r="J3901">
        <v>95031</v>
      </c>
      <c r="K3901" t="b">
        <f>TrafficData[[#This Row],[disposedChallan]]+TrafficData[[#This Row],[pendingChallan]]=TrafficData[[#This Row],[totalChallan]]</f>
        <v>1</v>
      </c>
      <c r="L3901" t="b">
        <f>TrafficData[[#This Row],[pendingAmount]]+TrafficData[[#This Row],[disposedAmount]]=TrafficData[[#This Row],[totalAmount]]</f>
        <v>1</v>
      </c>
      <c r="M3901" t="b">
        <f>TrafficData[[#This Row],[pendingCourt]]+TrafficData[[#This Row],[disposedCourt]]=TrafficData[[#This Row],[totalCourt]]</f>
        <v>1</v>
      </c>
      <c r="N3901" s="8" t="b">
        <f>AND(TrafficData[[#This Row],[disposedChallan]]&lt;=TrafficData[[#This Row],[totalChallan]],TrafficData[[#This Row],[pendingChallan]]&lt;=TrafficData[[#This Row],[totalChallan]])</f>
        <v>1</v>
      </c>
      <c r="O3901" s="8" t="b">
        <f>AND(TrafficData[[#This Row],[pendingAmount]]&lt;=TrafficData[[#This Row],[totalAmount]],TrafficData[[#This Row],[disposedAmount]]&lt;=TrafficData[[#This Row],[totalAmount]])</f>
        <v>1</v>
      </c>
      <c r="P3901" s="8" t="b">
        <f>AND(TrafficData[[#This Row],[pendingCourt]]&lt;=TrafficData[[#This Row],[totalCourt]],TrafficData[[#This Row],[disposedCourt]]&lt;=TrafficData[[#This Row],[totalCourt]])</f>
        <v>1</v>
      </c>
    </row>
    <row r="3902" spans="1:16">
      <c r="A3902" s="1">
        <v>45906</v>
      </c>
      <c r="B3902">
        <v>227726</v>
      </c>
      <c r="C3902">
        <v>45381</v>
      </c>
      <c r="D3902">
        <v>182345</v>
      </c>
      <c r="E3902">
        <v>376409938</v>
      </c>
      <c r="F3902">
        <v>71792595</v>
      </c>
      <c r="G3902">
        <v>448202533</v>
      </c>
      <c r="H3902">
        <v>83305</v>
      </c>
      <c r="I3902">
        <v>4009</v>
      </c>
      <c r="J3902">
        <v>87314</v>
      </c>
      <c r="K3902" t="b">
        <f>TrafficData[[#This Row],[disposedChallan]]+TrafficData[[#This Row],[pendingChallan]]=TrafficData[[#This Row],[totalChallan]]</f>
        <v>1</v>
      </c>
      <c r="L3902" t="b">
        <f>TrafficData[[#This Row],[pendingAmount]]+TrafficData[[#This Row],[disposedAmount]]=TrafficData[[#This Row],[totalAmount]]</f>
        <v>1</v>
      </c>
      <c r="M3902" t="b">
        <f>TrafficData[[#This Row],[pendingCourt]]+TrafficData[[#This Row],[disposedCourt]]=TrafficData[[#This Row],[totalCourt]]</f>
        <v>1</v>
      </c>
      <c r="N3902" s="8" t="b">
        <f>AND(TrafficData[[#This Row],[disposedChallan]]&lt;=TrafficData[[#This Row],[totalChallan]],TrafficData[[#This Row],[pendingChallan]]&lt;=TrafficData[[#This Row],[totalChallan]])</f>
        <v>1</v>
      </c>
      <c r="O3902" s="8" t="b">
        <f>AND(TrafficData[[#This Row],[pendingAmount]]&lt;=TrafficData[[#This Row],[totalAmount]],TrafficData[[#This Row],[disposedAmount]]&lt;=TrafficData[[#This Row],[totalAmount]])</f>
        <v>1</v>
      </c>
      <c r="P3902" s="8" t="b">
        <f>AND(TrafficData[[#This Row],[pendingCourt]]&lt;=TrafficData[[#This Row],[totalCourt]],TrafficData[[#This Row],[disposedCourt]]&lt;=TrafficData[[#This Row],[totalCourt]])</f>
        <v>1</v>
      </c>
    </row>
    <row r="3903" spans="1:16">
      <c r="A3903" s="1">
        <v>45907</v>
      </c>
      <c r="B3903">
        <v>223538</v>
      </c>
      <c r="C3903">
        <v>45970</v>
      </c>
      <c r="D3903">
        <v>177568</v>
      </c>
      <c r="E3903">
        <v>335065470</v>
      </c>
      <c r="F3903">
        <v>63499963</v>
      </c>
      <c r="G3903">
        <v>398565433</v>
      </c>
      <c r="H3903">
        <v>87062</v>
      </c>
      <c r="I3903">
        <v>3965</v>
      </c>
      <c r="J3903">
        <v>91027</v>
      </c>
      <c r="K3903" t="b">
        <f>TrafficData[[#This Row],[disposedChallan]]+TrafficData[[#This Row],[pendingChallan]]=TrafficData[[#This Row],[totalChallan]]</f>
        <v>1</v>
      </c>
      <c r="L3903" t="b">
        <f>TrafficData[[#This Row],[pendingAmount]]+TrafficData[[#This Row],[disposedAmount]]=TrafficData[[#This Row],[totalAmount]]</f>
        <v>1</v>
      </c>
      <c r="M3903" t="b">
        <f>TrafficData[[#This Row],[pendingCourt]]+TrafficData[[#This Row],[disposedCourt]]=TrafficData[[#This Row],[totalCourt]]</f>
        <v>1</v>
      </c>
      <c r="N3903" s="8" t="b">
        <f>AND(TrafficData[[#This Row],[disposedChallan]]&lt;=TrafficData[[#This Row],[totalChallan]],TrafficData[[#This Row],[pendingChallan]]&lt;=TrafficData[[#This Row],[totalChallan]])</f>
        <v>1</v>
      </c>
      <c r="O3903" s="8" t="b">
        <f>AND(TrafficData[[#This Row],[pendingAmount]]&lt;=TrafficData[[#This Row],[totalAmount]],TrafficData[[#This Row],[disposedAmount]]&lt;=TrafficData[[#This Row],[totalAmount]])</f>
        <v>1</v>
      </c>
      <c r="P3903" s="8" t="b">
        <f>AND(TrafficData[[#This Row],[pendingCourt]]&lt;=TrafficData[[#This Row],[totalCourt]],TrafficData[[#This Row],[disposedCourt]]&lt;=TrafficData[[#This Row],[totalCourt]])</f>
        <v>1</v>
      </c>
    </row>
    <row r="3904" spans="1:16">
      <c r="A3904" s="1">
        <v>45908</v>
      </c>
      <c r="B3904">
        <v>284593</v>
      </c>
      <c r="C3904">
        <v>61362</v>
      </c>
      <c r="D3904">
        <v>223231</v>
      </c>
      <c r="E3904">
        <v>438856418</v>
      </c>
      <c r="F3904">
        <v>104852367</v>
      </c>
      <c r="G3904">
        <v>543708785</v>
      </c>
      <c r="H3904">
        <v>110958</v>
      </c>
      <c r="I3904">
        <v>4392</v>
      </c>
      <c r="J3904">
        <v>115350</v>
      </c>
      <c r="K3904" t="b">
        <f>TrafficData[[#This Row],[disposedChallan]]+TrafficData[[#This Row],[pendingChallan]]=TrafficData[[#This Row],[totalChallan]]</f>
        <v>1</v>
      </c>
      <c r="L3904" t="b">
        <f>TrafficData[[#This Row],[pendingAmount]]+TrafficData[[#This Row],[disposedAmount]]=TrafficData[[#This Row],[totalAmount]]</f>
        <v>1</v>
      </c>
      <c r="M3904" t="b">
        <f>TrafficData[[#This Row],[pendingCourt]]+TrafficData[[#This Row],[disposedCourt]]=TrafficData[[#This Row],[totalCourt]]</f>
        <v>1</v>
      </c>
      <c r="N3904" s="8" t="b">
        <f>AND(TrafficData[[#This Row],[disposedChallan]]&lt;=TrafficData[[#This Row],[totalChallan]],TrafficData[[#This Row],[pendingChallan]]&lt;=TrafficData[[#This Row],[totalChallan]])</f>
        <v>1</v>
      </c>
      <c r="O3904" s="8" t="b">
        <f>AND(TrafficData[[#This Row],[pendingAmount]]&lt;=TrafficData[[#This Row],[totalAmount]],TrafficData[[#This Row],[disposedAmount]]&lt;=TrafficData[[#This Row],[totalAmount]])</f>
        <v>1</v>
      </c>
      <c r="P3904" s="8" t="b">
        <f>AND(TrafficData[[#This Row],[pendingCourt]]&lt;=TrafficData[[#This Row],[totalCourt]],TrafficData[[#This Row],[disposedCourt]]&lt;=TrafficData[[#This Row],[totalCourt]])</f>
        <v>1</v>
      </c>
    </row>
    <row r="3905" spans="1:16">
      <c r="A3905" s="1">
        <v>45909</v>
      </c>
      <c r="B3905">
        <v>273822</v>
      </c>
      <c r="C3905">
        <v>59850</v>
      </c>
      <c r="D3905">
        <v>213972</v>
      </c>
      <c r="E3905">
        <v>441464463</v>
      </c>
      <c r="F3905">
        <v>114447852</v>
      </c>
      <c r="G3905">
        <v>555912315</v>
      </c>
      <c r="H3905">
        <v>104110</v>
      </c>
      <c r="I3905">
        <v>4093</v>
      </c>
      <c r="J3905">
        <v>108203</v>
      </c>
      <c r="K3905" t="b">
        <f>TrafficData[[#This Row],[disposedChallan]]+TrafficData[[#This Row],[pendingChallan]]=TrafficData[[#This Row],[totalChallan]]</f>
        <v>1</v>
      </c>
      <c r="L3905" t="b">
        <f>TrafficData[[#This Row],[pendingAmount]]+TrafficData[[#This Row],[disposedAmount]]=TrafficData[[#This Row],[totalAmount]]</f>
        <v>1</v>
      </c>
      <c r="M3905" t="b">
        <f>TrafficData[[#This Row],[pendingCourt]]+TrafficData[[#This Row],[disposedCourt]]=TrafficData[[#This Row],[totalCourt]]</f>
        <v>1</v>
      </c>
      <c r="N3905" s="8" t="b">
        <f>AND(TrafficData[[#This Row],[disposedChallan]]&lt;=TrafficData[[#This Row],[totalChallan]],TrafficData[[#This Row],[pendingChallan]]&lt;=TrafficData[[#This Row],[totalChallan]])</f>
        <v>1</v>
      </c>
      <c r="O3905" s="8" t="b">
        <f>AND(TrafficData[[#This Row],[pendingAmount]]&lt;=TrafficData[[#This Row],[totalAmount]],TrafficData[[#This Row],[disposedAmount]]&lt;=TrafficData[[#This Row],[totalAmount]])</f>
        <v>1</v>
      </c>
      <c r="P3905" s="8" t="b">
        <f>AND(TrafficData[[#This Row],[pendingCourt]]&lt;=TrafficData[[#This Row],[totalCourt]],TrafficData[[#This Row],[disposedCourt]]&lt;=TrafficData[[#This Row],[totalCourt]])</f>
        <v>1</v>
      </c>
    </row>
    <row r="3906" spans="1:16">
      <c r="A3906" s="1">
        <v>45910</v>
      </c>
      <c r="B3906">
        <v>275903</v>
      </c>
      <c r="C3906">
        <v>61518</v>
      </c>
      <c r="D3906">
        <v>214385</v>
      </c>
      <c r="E3906">
        <v>443977661</v>
      </c>
      <c r="F3906">
        <v>119100249</v>
      </c>
      <c r="G3906">
        <v>563077910</v>
      </c>
      <c r="H3906">
        <v>107115</v>
      </c>
      <c r="I3906">
        <v>3788</v>
      </c>
      <c r="J3906">
        <v>110903</v>
      </c>
      <c r="K3906" t="b">
        <f>TrafficData[[#This Row],[disposedChallan]]+TrafficData[[#This Row],[pendingChallan]]=TrafficData[[#This Row],[totalChallan]]</f>
        <v>1</v>
      </c>
      <c r="L3906" t="b">
        <f>TrafficData[[#This Row],[pendingAmount]]+TrafficData[[#This Row],[disposedAmount]]=TrafficData[[#This Row],[totalAmount]]</f>
        <v>1</v>
      </c>
      <c r="M3906" t="b">
        <f>TrafficData[[#This Row],[pendingCourt]]+TrafficData[[#This Row],[disposedCourt]]=TrafficData[[#This Row],[totalCourt]]</f>
        <v>1</v>
      </c>
      <c r="N3906" s="8" t="b">
        <f>AND(TrafficData[[#This Row],[disposedChallan]]&lt;=TrafficData[[#This Row],[totalChallan]],TrafficData[[#This Row],[pendingChallan]]&lt;=TrafficData[[#This Row],[totalChallan]])</f>
        <v>1</v>
      </c>
      <c r="O3906" s="8" t="b">
        <f>AND(TrafficData[[#This Row],[pendingAmount]]&lt;=TrafficData[[#This Row],[totalAmount]],TrafficData[[#This Row],[disposedAmount]]&lt;=TrafficData[[#This Row],[totalAmount]])</f>
        <v>1</v>
      </c>
      <c r="P3906" s="8" t="b">
        <f>AND(TrafficData[[#This Row],[pendingCourt]]&lt;=TrafficData[[#This Row],[totalCourt]],TrafficData[[#This Row],[disposedCourt]]&lt;=TrafficData[[#This Row],[totalCourt]])</f>
        <v>1</v>
      </c>
    </row>
    <row r="3907" spans="1:16">
      <c r="A3907" s="1">
        <v>45911</v>
      </c>
      <c r="B3907">
        <v>278110</v>
      </c>
      <c r="C3907">
        <v>61423</v>
      </c>
      <c r="D3907">
        <v>216687</v>
      </c>
      <c r="E3907">
        <v>454434742</v>
      </c>
      <c r="F3907">
        <v>114296872</v>
      </c>
      <c r="G3907">
        <v>568731614</v>
      </c>
      <c r="H3907">
        <v>108199</v>
      </c>
      <c r="I3907">
        <v>3889</v>
      </c>
      <c r="J3907">
        <v>112088</v>
      </c>
      <c r="K3907" t="b">
        <f>TrafficData[[#This Row],[disposedChallan]]+TrafficData[[#This Row],[pendingChallan]]=TrafficData[[#This Row],[totalChallan]]</f>
        <v>1</v>
      </c>
      <c r="L3907" t="b">
        <f>TrafficData[[#This Row],[pendingAmount]]+TrafficData[[#This Row],[disposedAmount]]=TrafficData[[#This Row],[totalAmount]]</f>
        <v>1</v>
      </c>
      <c r="M3907" t="b">
        <f>TrafficData[[#This Row],[pendingCourt]]+TrafficData[[#This Row],[disposedCourt]]=TrafficData[[#This Row],[totalCourt]]</f>
        <v>1</v>
      </c>
      <c r="N3907" s="8" t="b">
        <f>AND(TrafficData[[#This Row],[disposedChallan]]&lt;=TrafficData[[#This Row],[totalChallan]],TrafficData[[#This Row],[pendingChallan]]&lt;=TrafficData[[#This Row],[totalChallan]])</f>
        <v>1</v>
      </c>
      <c r="O3907" s="8" t="b">
        <f>AND(TrafficData[[#This Row],[pendingAmount]]&lt;=TrafficData[[#This Row],[totalAmount]],TrafficData[[#This Row],[disposedAmount]]&lt;=TrafficData[[#This Row],[totalAmount]])</f>
        <v>1</v>
      </c>
      <c r="P3907" s="8" t="b">
        <f>AND(TrafficData[[#This Row],[pendingCourt]]&lt;=TrafficData[[#This Row],[totalCourt]],TrafficData[[#This Row],[disposedCourt]]&lt;=TrafficData[[#This Row],[totalCourt]])</f>
        <v>1</v>
      </c>
    </row>
    <row r="3908" spans="1:16">
      <c r="A3908" s="1">
        <v>45912</v>
      </c>
      <c r="B3908">
        <v>278156</v>
      </c>
      <c r="C3908">
        <v>61196</v>
      </c>
      <c r="D3908">
        <v>216960</v>
      </c>
      <c r="E3908">
        <v>453046235</v>
      </c>
      <c r="F3908">
        <v>113183511</v>
      </c>
      <c r="G3908">
        <v>566229746</v>
      </c>
      <c r="H3908">
        <v>100722</v>
      </c>
      <c r="I3908">
        <v>3752</v>
      </c>
      <c r="J3908">
        <v>104474</v>
      </c>
      <c r="K3908" t="b">
        <f>TrafficData[[#This Row],[disposedChallan]]+TrafficData[[#This Row],[pendingChallan]]=TrafficData[[#This Row],[totalChallan]]</f>
        <v>1</v>
      </c>
      <c r="L3908" t="b">
        <f>TrafficData[[#This Row],[pendingAmount]]+TrafficData[[#This Row],[disposedAmount]]=TrafficData[[#This Row],[totalAmount]]</f>
        <v>1</v>
      </c>
      <c r="M3908" t="b">
        <f>TrafficData[[#This Row],[pendingCourt]]+TrafficData[[#This Row],[disposedCourt]]=TrafficData[[#This Row],[totalCourt]]</f>
        <v>1</v>
      </c>
      <c r="N3908" s="8" t="b">
        <f>AND(TrafficData[[#This Row],[disposedChallan]]&lt;=TrafficData[[#This Row],[totalChallan]],TrafficData[[#This Row],[pendingChallan]]&lt;=TrafficData[[#This Row],[totalChallan]])</f>
        <v>1</v>
      </c>
      <c r="O3908" s="8" t="b">
        <f>AND(TrafficData[[#This Row],[pendingAmount]]&lt;=TrafficData[[#This Row],[totalAmount]],TrafficData[[#This Row],[disposedAmount]]&lt;=TrafficData[[#This Row],[totalAmount]])</f>
        <v>1</v>
      </c>
      <c r="P3908" s="8" t="b">
        <f>AND(TrafficData[[#This Row],[pendingCourt]]&lt;=TrafficData[[#This Row],[totalCourt]],TrafficData[[#This Row],[disposedCourt]]&lt;=TrafficData[[#This Row],[totalCourt]])</f>
        <v>1</v>
      </c>
    </row>
    <row r="3909" spans="1:16">
      <c r="A3909" s="1">
        <v>45913</v>
      </c>
      <c r="B3909">
        <v>272165</v>
      </c>
      <c r="C3909">
        <v>61615</v>
      </c>
      <c r="D3909">
        <v>210550</v>
      </c>
      <c r="E3909">
        <v>403744696</v>
      </c>
      <c r="F3909">
        <v>90464305</v>
      </c>
      <c r="G3909">
        <v>494209001</v>
      </c>
      <c r="H3909">
        <v>93322</v>
      </c>
      <c r="I3909">
        <v>3481</v>
      </c>
      <c r="J3909">
        <v>96803</v>
      </c>
      <c r="K3909" t="b">
        <f>TrafficData[[#This Row],[disposedChallan]]+TrafficData[[#This Row],[pendingChallan]]=TrafficData[[#This Row],[totalChallan]]</f>
        <v>1</v>
      </c>
      <c r="L3909" t="b">
        <f>TrafficData[[#This Row],[pendingAmount]]+TrafficData[[#This Row],[disposedAmount]]=TrafficData[[#This Row],[totalAmount]]</f>
        <v>1</v>
      </c>
      <c r="M3909" t="b">
        <f>TrafficData[[#This Row],[pendingCourt]]+TrafficData[[#This Row],[disposedCourt]]=TrafficData[[#This Row],[totalCourt]]</f>
        <v>1</v>
      </c>
      <c r="N3909" s="8" t="b">
        <f>AND(TrafficData[[#This Row],[disposedChallan]]&lt;=TrafficData[[#This Row],[totalChallan]],TrafficData[[#This Row],[pendingChallan]]&lt;=TrafficData[[#This Row],[totalChallan]])</f>
        <v>1</v>
      </c>
      <c r="O3909" s="8" t="b">
        <f>AND(TrafficData[[#This Row],[pendingAmount]]&lt;=TrafficData[[#This Row],[totalAmount]],TrafficData[[#This Row],[disposedAmount]]&lt;=TrafficData[[#This Row],[totalAmount]])</f>
        <v>1</v>
      </c>
      <c r="P3909" s="8" t="b">
        <f>AND(TrafficData[[#This Row],[pendingCourt]]&lt;=TrafficData[[#This Row],[totalCourt]],TrafficData[[#This Row],[disposedCourt]]&lt;=TrafficData[[#This Row],[totalCourt]])</f>
        <v>1</v>
      </c>
    </row>
    <row r="3910" spans="1:16">
      <c r="A3910" s="1">
        <v>45914</v>
      </c>
      <c r="B3910">
        <v>252799</v>
      </c>
      <c r="C3910">
        <v>53931</v>
      </c>
      <c r="D3910">
        <v>198868</v>
      </c>
      <c r="E3910">
        <v>366954560</v>
      </c>
      <c r="F3910">
        <v>69504909</v>
      </c>
      <c r="G3910">
        <v>436459469</v>
      </c>
      <c r="H3910">
        <v>93793</v>
      </c>
      <c r="I3910">
        <v>3729</v>
      </c>
      <c r="J3910">
        <v>97522</v>
      </c>
      <c r="K3910" t="b">
        <f>TrafficData[[#This Row],[disposedChallan]]+TrafficData[[#This Row],[pendingChallan]]=TrafficData[[#This Row],[totalChallan]]</f>
        <v>1</v>
      </c>
      <c r="L3910" t="b">
        <f>TrafficData[[#This Row],[pendingAmount]]+TrafficData[[#This Row],[disposedAmount]]=TrafficData[[#This Row],[totalAmount]]</f>
        <v>1</v>
      </c>
      <c r="M3910" t="b">
        <f>TrafficData[[#This Row],[pendingCourt]]+TrafficData[[#This Row],[disposedCourt]]=TrafficData[[#This Row],[totalCourt]]</f>
        <v>1</v>
      </c>
      <c r="N3910" s="8" t="b">
        <f>AND(TrafficData[[#This Row],[disposedChallan]]&lt;=TrafficData[[#This Row],[totalChallan]],TrafficData[[#This Row],[pendingChallan]]&lt;=TrafficData[[#This Row],[totalChallan]])</f>
        <v>1</v>
      </c>
      <c r="O3910" s="8" t="b">
        <f>AND(TrafficData[[#This Row],[pendingAmount]]&lt;=TrafficData[[#This Row],[totalAmount]],TrafficData[[#This Row],[disposedAmount]]&lt;=TrafficData[[#This Row],[totalAmount]])</f>
        <v>1</v>
      </c>
      <c r="P3910" s="8" t="b">
        <f>AND(TrafficData[[#This Row],[pendingCourt]]&lt;=TrafficData[[#This Row],[totalCourt]],TrafficData[[#This Row],[disposedCourt]]&lt;=TrafficData[[#This Row],[totalCourt]])</f>
        <v>1</v>
      </c>
    </row>
    <row r="3911" spans="1:16">
      <c r="A3911" s="1">
        <v>45915</v>
      </c>
      <c r="B3911">
        <v>279051</v>
      </c>
      <c r="C3911">
        <v>59398</v>
      </c>
      <c r="D3911">
        <v>219653</v>
      </c>
      <c r="E3911">
        <v>431099358</v>
      </c>
      <c r="F3911">
        <v>90839837</v>
      </c>
      <c r="G3911">
        <v>521939195</v>
      </c>
      <c r="H3911">
        <v>109471</v>
      </c>
      <c r="I3911">
        <v>4000</v>
      </c>
      <c r="J3911">
        <v>113471</v>
      </c>
      <c r="K3911" t="b">
        <f>TrafficData[[#This Row],[disposedChallan]]+TrafficData[[#This Row],[pendingChallan]]=TrafficData[[#This Row],[totalChallan]]</f>
        <v>1</v>
      </c>
      <c r="L3911" t="b">
        <f>TrafficData[[#This Row],[pendingAmount]]+TrafficData[[#This Row],[disposedAmount]]=TrafficData[[#This Row],[totalAmount]]</f>
        <v>1</v>
      </c>
      <c r="M3911" t="b">
        <f>TrafficData[[#This Row],[pendingCourt]]+TrafficData[[#This Row],[disposedCourt]]=TrafficData[[#This Row],[totalCourt]]</f>
        <v>1</v>
      </c>
      <c r="N3911" s="8" t="b">
        <f>AND(TrafficData[[#This Row],[disposedChallan]]&lt;=TrafficData[[#This Row],[totalChallan]],TrafficData[[#This Row],[pendingChallan]]&lt;=TrafficData[[#This Row],[totalChallan]])</f>
        <v>1</v>
      </c>
      <c r="O3911" s="8" t="b">
        <f>AND(TrafficData[[#This Row],[pendingAmount]]&lt;=TrafficData[[#This Row],[totalAmount]],TrafficData[[#This Row],[disposedAmount]]&lt;=TrafficData[[#This Row],[totalAmount]])</f>
        <v>1</v>
      </c>
      <c r="P3911" s="8" t="b">
        <f>AND(TrafficData[[#This Row],[pendingCourt]]&lt;=TrafficData[[#This Row],[totalCourt]],TrafficData[[#This Row],[disposedCourt]]&lt;=TrafficData[[#This Row],[totalCourt]])</f>
        <v>1</v>
      </c>
    </row>
    <row r="3912" spans="1:16">
      <c r="A3912" s="1">
        <v>45916</v>
      </c>
      <c r="B3912">
        <v>272120</v>
      </c>
      <c r="C3912">
        <v>59243</v>
      </c>
      <c r="D3912">
        <v>212877</v>
      </c>
      <c r="E3912">
        <v>422390737</v>
      </c>
      <c r="F3912">
        <v>100628362</v>
      </c>
      <c r="G3912">
        <v>523019099</v>
      </c>
      <c r="H3912">
        <v>104038</v>
      </c>
      <c r="I3912">
        <v>3766</v>
      </c>
      <c r="J3912">
        <v>107804</v>
      </c>
      <c r="K3912" t="b">
        <f>TrafficData[[#This Row],[disposedChallan]]+TrafficData[[#This Row],[pendingChallan]]=TrafficData[[#This Row],[totalChallan]]</f>
        <v>1</v>
      </c>
      <c r="L3912" t="b">
        <f>TrafficData[[#This Row],[pendingAmount]]+TrafficData[[#This Row],[disposedAmount]]=TrafficData[[#This Row],[totalAmount]]</f>
        <v>1</v>
      </c>
      <c r="M3912" t="b">
        <f>TrafficData[[#This Row],[pendingCourt]]+TrafficData[[#This Row],[disposedCourt]]=TrafficData[[#This Row],[totalCourt]]</f>
        <v>1</v>
      </c>
      <c r="N3912" s="8" t="b">
        <f>AND(TrafficData[[#This Row],[disposedChallan]]&lt;=TrafficData[[#This Row],[totalChallan]],TrafficData[[#This Row],[pendingChallan]]&lt;=TrafficData[[#This Row],[totalChallan]])</f>
        <v>1</v>
      </c>
      <c r="O3912" s="8" t="b">
        <f>AND(TrafficData[[#This Row],[pendingAmount]]&lt;=TrafficData[[#This Row],[totalAmount]],TrafficData[[#This Row],[disposedAmount]]&lt;=TrafficData[[#This Row],[totalAmount]])</f>
        <v>1</v>
      </c>
      <c r="P3912" s="8" t="b">
        <f>AND(TrafficData[[#This Row],[pendingCourt]]&lt;=TrafficData[[#This Row],[totalCourt]],TrafficData[[#This Row],[disposedCourt]]&lt;=TrafficData[[#This Row],[totalCourt]])</f>
        <v>1</v>
      </c>
    </row>
    <row r="3913" spans="1:16">
      <c r="A3913" s="1">
        <v>45917</v>
      </c>
      <c r="B3913">
        <v>258318</v>
      </c>
      <c r="C3913">
        <v>56930</v>
      </c>
      <c r="D3913">
        <v>201388</v>
      </c>
      <c r="E3913">
        <v>393529971</v>
      </c>
      <c r="F3913">
        <v>90670981</v>
      </c>
      <c r="G3913">
        <v>484200952</v>
      </c>
      <c r="H3913">
        <v>105461</v>
      </c>
      <c r="I3913">
        <v>3716</v>
      </c>
      <c r="J3913">
        <v>109177</v>
      </c>
      <c r="K3913" t="b">
        <f>TrafficData[[#This Row],[disposedChallan]]+TrafficData[[#This Row],[pendingChallan]]=TrafficData[[#This Row],[totalChallan]]</f>
        <v>1</v>
      </c>
      <c r="L3913" t="b">
        <f>TrafficData[[#This Row],[pendingAmount]]+TrafficData[[#This Row],[disposedAmount]]=TrafficData[[#This Row],[totalAmount]]</f>
        <v>1</v>
      </c>
      <c r="M3913" t="b">
        <f>TrafficData[[#This Row],[pendingCourt]]+TrafficData[[#This Row],[disposedCourt]]=TrafficData[[#This Row],[totalCourt]]</f>
        <v>1</v>
      </c>
      <c r="N3913" s="8" t="b">
        <f>AND(TrafficData[[#This Row],[disposedChallan]]&lt;=TrafficData[[#This Row],[totalChallan]],TrafficData[[#This Row],[pendingChallan]]&lt;=TrafficData[[#This Row],[totalChallan]])</f>
        <v>1</v>
      </c>
      <c r="O3913" s="8" t="b">
        <f>AND(TrafficData[[#This Row],[pendingAmount]]&lt;=TrafficData[[#This Row],[totalAmount]],TrafficData[[#This Row],[disposedAmount]]&lt;=TrafficData[[#This Row],[totalAmount]])</f>
        <v>1</v>
      </c>
      <c r="P3913" s="8" t="b">
        <f>AND(TrafficData[[#This Row],[pendingCourt]]&lt;=TrafficData[[#This Row],[totalCourt]],TrafficData[[#This Row],[disposedCourt]]&lt;=TrafficData[[#This Row],[totalCourt]])</f>
        <v>1</v>
      </c>
    </row>
    <row r="3914" spans="1:16">
      <c r="A3914" s="1">
        <v>45918</v>
      </c>
      <c r="B3914">
        <v>283059</v>
      </c>
      <c r="C3914">
        <v>60772</v>
      </c>
      <c r="D3914">
        <v>222287</v>
      </c>
      <c r="E3914">
        <v>438562341</v>
      </c>
      <c r="F3914">
        <v>104141820</v>
      </c>
      <c r="G3914">
        <v>542704161</v>
      </c>
      <c r="H3914">
        <v>108041</v>
      </c>
      <c r="I3914">
        <v>3738</v>
      </c>
      <c r="J3914">
        <v>111779</v>
      </c>
      <c r="K3914" t="b">
        <f>TrafficData[[#This Row],[disposedChallan]]+TrafficData[[#This Row],[pendingChallan]]=TrafficData[[#This Row],[totalChallan]]</f>
        <v>1</v>
      </c>
      <c r="L3914" t="b">
        <f>TrafficData[[#This Row],[pendingAmount]]+TrafficData[[#This Row],[disposedAmount]]=TrafficData[[#This Row],[totalAmount]]</f>
        <v>1</v>
      </c>
      <c r="M3914" t="b">
        <f>TrafficData[[#This Row],[pendingCourt]]+TrafficData[[#This Row],[disposedCourt]]=TrafficData[[#This Row],[totalCourt]]</f>
        <v>1</v>
      </c>
      <c r="N3914" s="8" t="b">
        <f>AND(TrafficData[[#This Row],[disposedChallan]]&lt;=TrafficData[[#This Row],[totalChallan]],TrafficData[[#This Row],[pendingChallan]]&lt;=TrafficData[[#This Row],[totalChallan]])</f>
        <v>1</v>
      </c>
      <c r="O3914" s="8" t="b">
        <f>AND(TrafficData[[#This Row],[pendingAmount]]&lt;=TrafficData[[#This Row],[totalAmount]],TrafficData[[#This Row],[disposedAmount]]&lt;=TrafficData[[#This Row],[totalAmount]])</f>
        <v>1</v>
      </c>
      <c r="P3914" s="8" t="b">
        <f>AND(TrafficData[[#This Row],[pendingCourt]]&lt;=TrafficData[[#This Row],[totalCourt]],TrafficData[[#This Row],[disposedCourt]]&lt;=TrafficData[[#This Row],[totalCourt]])</f>
        <v>1</v>
      </c>
    </row>
    <row r="3915" spans="1:16">
      <c r="A3915" s="1">
        <v>45919</v>
      </c>
      <c r="B3915">
        <v>275362</v>
      </c>
      <c r="C3915">
        <v>61299</v>
      </c>
      <c r="D3915">
        <v>214063</v>
      </c>
      <c r="E3915">
        <v>438561378</v>
      </c>
      <c r="F3915">
        <v>105680368</v>
      </c>
      <c r="G3915">
        <v>544241746</v>
      </c>
      <c r="H3915">
        <v>105906</v>
      </c>
      <c r="I3915">
        <v>3575</v>
      </c>
      <c r="J3915">
        <v>109481</v>
      </c>
      <c r="K3915" t="b">
        <f>TrafficData[[#This Row],[disposedChallan]]+TrafficData[[#This Row],[pendingChallan]]=TrafficData[[#This Row],[totalChallan]]</f>
        <v>1</v>
      </c>
      <c r="L3915" t="b">
        <f>TrafficData[[#This Row],[pendingAmount]]+TrafficData[[#This Row],[disposedAmount]]=TrafficData[[#This Row],[totalAmount]]</f>
        <v>1</v>
      </c>
      <c r="M3915" t="b">
        <f>TrafficData[[#This Row],[pendingCourt]]+TrafficData[[#This Row],[disposedCourt]]=TrafficData[[#This Row],[totalCourt]]</f>
        <v>1</v>
      </c>
      <c r="N3915" s="8" t="b">
        <f>AND(TrafficData[[#This Row],[disposedChallan]]&lt;=TrafficData[[#This Row],[totalChallan]],TrafficData[[#This Row],[pendingChallan]]&lt;=TrafficData[[#This Row],[totalChallan]])</f>
        <v>1</v>
      </c>
      <c r="O3915" s="8" t="b">
        <f>AND(TrafficData[[#This Row],[pendingAmount]]&lt;=TrafficData[[#This Row],[totalAmount]],TrafficData[[#This Row],[disposedAmount]]&lt;=TrafficData[[#This Row],[totalAmount]])</f>
        <v>1</v>
      </c>
      <c r="P3915" s="8" t="b">
        <f>AND(TrafficData[[#This Row],[pendingCourt]]&lt;=TrafficData[[#This Row],[totalCourt]],TrafficData[[#This Row],[disposedCourt]]&lt;=TrafficData[[#This Row],[totalCourt]])</f>
        <v>1</v>
      </c>
    </row>
    <row r="3916" spans="1:16">
      <c r="A3916" s="1">
        <v>45920</v>
      </c>
      <c r="B3916">
        <v>271259</v>
      </c>
      <c r="C3916">
        <v>62564</v>
      </c>
      <c r="D3916">
        <v>208695</v>
      </c>
      <c r="E3916">
        <v>424708400</v>
      </c>
      <c r="F3916">
        <v>93877971</v>
      </c>
      <c r="G3916">
        <v>518586371</v>
      </c>
      <c r="H3916">
        <v>103759</v>
      </c>
      <c r="I3916">
        <v>3802</v>
      </c>
      <c r="J3916">
        <v>107561</v>
      </c>
      <c r="K3916" t="b">
        <f>TrafficData[[#This Row],[disposedChallan]]+TrafficData[[#This Row],[pendingChallan]]=TrafficData[[#This Row],[totalChallan]]</f>
        <v>1</v>
      </c>
      <c r="L3916" t="b">
        <f>TrafficData[[#This Row],[pendingAmount]]+TrafficData[[#This Row],[disposedAmount]]=TrafficData[[#This Row],[totalAmount]]</f>
        <v>1</v>
      </c>
      <c r="M3916" t="b">
        <f>TrafficData[[#This Row],[pendingCourt]]+TrafficData[[#This Row],[disposedCourt]]=TrafficData[[#This Row],[totalCourt]]</f>
        <v>1</v>
      </c>
      <c r="N3916" s="8" t="b">
        <f>AND(TrafficData[[#This Row],[disposedChallan]]&lt;=TrafficData[[#This Row],[totalChallan]],TrafficData[[#This Row],[pendingChallan]]&lt;=TrafficData[[#This Row],[totalChallan]])</f>
        <v>1</v>
      </c>
      <c r="O3916" s="8" t="b">
        <f>AND(TrafficData[[#This Row],[pendingAmount]]&lt;=TrafficData[[#This Row],[totalAmount]],TrafficData[[#This Row],[disposedAmount]]&lt;=TrafficData[[#This Row],[totalAmount]])</f>
        <v>1</v>
      </c>
      <c r="P3916" s="8" t="b">
        <f>AND(TrafficData[[#This Row],[pendingCourt]]&lt;=TrafficData[[#This Row],[totalCourt]],TrafficData[[#This Row],[disposedCourt]]&lt;=TrafficData[[#This Row],[totalCourt]])</f>
        <v>1</v>
      </c>
    </row>
    <row r="3917" spans="1:16">
      <c r="A3917" s="1">
        <v>45921</v>
      </c>
      <c r="B3917">
        <v>240182</v>
      </c>
      <c r="C3917">
        <v>55137</v>
      </c>
      <c r="D3917">
        <v>185045</v>
      </c>
      <c r="E3917">
        <v>343299833</v>
      </c>
      <c r="F3917">
        <v>67051201</v>
      </c>
      <c r="G3917">
        <v>410351034</v>
      </c>
      <c r="H3917">
        <v>88162</v>
      </c>
      <c r="I3917">
        <v>3108</v>
      </c>
      <c r="J3917">
        <v>91270</v>
      </c>
      <c r="K3917" t="b">
        <f>TrafficData[[#This Row],[disposedChallan]]+TrafficData[[#This Row],[pendingChallan]]=TrafficData[[#This Row],[totalChallan]]</f>
        <v>1</v>
      </c>
      <c r="L3917" t="b">
        <f>TrafficData[[#This Row],[pendingAmount]]+TrafficData[[#This Row],[disposedAmount]]=TrafficData[[#This Row],[totalAmount]]</f>
        <v>1</v>
      </c>
      <c r="M3917" t="b">
        <f>TrafficData[[#This Row],[pendingCourt]]+TrafficData[[#This Row],[disposedCourt]]=TrafficData[[#This Row],[totalCourt]]</f>
        <v>1</v>
      </c>
      <c r="N3917" s="8" t="b">
        <f>AND(TrafficData[[#This Row],[disposedChallan]]&lt;=TrafficData[[#This Row],[totalChallan]],TrafficData[[#This Row],[pendingChallan]]&lt;=TrafficData[[#This Row],[totalChallan]])</f>
        <v>1</v>
      </c>
      <c r="O3917" s="8" t="b">
        <f>AND(TrafficData[[#This Row],[pendingAmount]]&lt;=TrafficData[[#This Row],[totalAmount]],TrafficData[[#This Row],[disposedAmount]]&lt;=TrafficData[[#This Row],[totalAmount]])</f>
        <v>1</v>
      </c>
      <c r="P3917" s="8" t="b">
        <f>AND(TrafficData[[#This Row],[pendingCourt]]&lt;=TrafficData[[#This Row],[totalCourt]],TrafficData[[#This Row],[disposedCourt]]&lt;=TrafficData[[#This Row],[totalCourt]])</f>
        <v>1</v>
      </c>
    </row>
    <row r="3918" spans="1:16">
      <c r="A3918" s="1">
        <v>45922</v>
      </c>
      <c r="B3918">
        <v>271587</v>
      </c>
      <c r="C3918">
        <v>61438</v>
      </c>
      <c r="D3918">
        <v>210149</v>
      </c>
      <c r="E3918">
        <v>415282713</v>
      </c>
      <c r="F3918">
        <v>85004790</v>
      </c>
      <c r="G3918">
        <v>500287503</v>
      </c>
      <c r="H3918">
        <v>103167</v>
      </c>
      <c r="I3918">
        <v>3668</v>
      </c>
      <c r="J3918">
        <v>106835</v>
      </c>
      <c r="K3918" t="b">
        <f>TrafficData[[#This Row],[disposedChallan]]+TrafficData[[#This Row],[pendingChallan]]=TrafficData[[#This Row],[totalChallan]]</f>
        <v>1</v>
      </c>
      <c r="L3918" t="b">
        <f>TrafficData[[#This Row],[pendingAmount]]+TrafficData[[#This Row],[disposedAmount]]=TrafficData[[#This Row],[totalAmount]]</f>
        <v>1</v>
      </c>
      <c r="M3918" t="b">
        <f>TrafficData[[#This Row],[pendingCourt]]+TrafficData[[#This Row],[disposedCourt]]=TrafficData[[#This Row],[totalCourt]]</f>
        <v>1</v>
      </c>
      <c r="N3918" s="8" t="b">
        <f>AND(TrafficData[[#This Row],[disposedChallan]]&lt;=TrafficData[[#This Row],[totalChallan]],TrafficData[[#This Row],[pendingChallan]]&lt;=TrafficData[[#This Row],[totalChallan]])</f>
        <v>1</v>
      </c>
      <c r="O3918" s="8" t="b">
        <f>AND(TrafficData[[#This Row],[pendingAmount]]&lt;=TrafficData[[#This Row],[totalAmount]],TrafficData[[#This Row],[disposedAmount]]&lt;=TrafficData[[#This Row],[totalAmount]])</f>
        <v>1</v>
      </c>
      <c r="P3918" s="8" t="b">
        <f>AND(TrafficData[[#This Row],[pendingCourt]]&lt;=TrafficData[[#This Row],[totalCourt]],TrafficData[[#This Row],[disposedCourt]]&lt;=TrafficData[[#This Row],[totalCourt]])</f>
        <v>1</v>
      </c>
    </row>
    <row r="3919" spans="1:16">
      <c r="A3919" s="1">
        <v>45923</v>
      </c>
      <c r="B3919">
        <v>255353</v>
      </c>
      <c r="C3919">
        <v>53177</v>
      </c>
      <c r="D3919">
        <v>202176</v>
      </c>
      <c r="E3919">
        <v>416272796</v>
      </c>
      <c r="F3919">
        <v>96925081</v>
      </c>
      <c r="G3919">
        <v>513197877</v>
      </c>
      <c r="H3919">
        <v>99035</v>
      </c>
      <c r="I3919">
        <v>3386</v>
      </c>
      <c r="J3919">
        <v>102421</v>
      </c>
      <c r="K3919" t="b">
        <f>TrafficData[[#This Row],[disposedChallan]]+TrafficData[[#This Row],[pendingChallan]]=TrafficData[[#This Row],[totalChallan]]</f>
        <v>1</v>
      </c>
      <c r="L3919" t="b">
        <f>TrafficData[[#This Row],[pendingAmount]]+TrafficData[[#This Row],[disposedAmount]]=TrafficData[[#This Row],[totalAmount]]</f>
        <v>1</v>
      </c>
      <c r="M3919" t="b">
        <f>TrafficData[[#This Row],[pendingCourt]]+TrafficData[[#This Row],[disposedCourt]]=TrafficData[[#This Row],[totalCourt]]</f>
        <v>1</v>
      </c>
      <c r="N3919" s="8" t="b">
        <f>AND(TrafficData[[#This Row],[disposedChallan]]&lt;=TrafficData[[#This Row],[totalChallan]],TrafficData[[#This Row],[pendingChallan]]&lt;=TrafficData[[#This Row],[totalChallan]])</f>
        <v>1</v>
      </c>
      <c r="O3919" s="8" t="b">
        <f>AND(TrafficData[[#This Row],[pendingAmount]]&lt;=TrafficData[[#This Row],[totalAmount]],TrafficData[[#This Row],[disposedAmount]]&lt;=TrafficData[[#This Row],[totalAmount]])</f>
        <v>1</v>
      </c>
      <c r="P3919" s="8" t="b">
        <f>AND(TrafficData[[#This Row],[pendingCourt]]&lt;=TrafficData[[#This Row],[totalCourt]],TrafficData[[#This Row],[disposedCourt]]&lt;=TrafficData[[#This Row],[totalCourt]])</f>
        <v>1</v>
      </c>
    </row>
    <row r="3920" spans="1:16">
      <c r="A3920" s="1">
        <v>45924</v>
      </c>
      <c r="B3920">
        <v>258041</v>
      </c>
      <c r="C3920">
        <v>53529</v>
      </c>
      <c r="D3920">
        <v>204512</v>
      </c>
      <c r="E3920">
        <v>397886847</v>
      </c>
      <c r="F3920">
        <v>100773420</v>
      </c>
      <c r="G3920">
        <v>498660267</v>
      </c>
      <c r="H3920">
        <v>100264</v>
      </c>
      <c r="I3920">
        <v>3058</v>
      </c>
      <c r="J3920">
        <v>103322</v>
      </c>
      <c r="K3920" t="b">
        <f>TrafficData[[#This Row],[disposedChallan]]+TrafficData[[#This Row],[pendingChallan]]=TrafficData[[#This Row],[totalChallan]]</f>
        <v>1</v>
      </c>
      <c r="L3920" t="b">
        <f>TrafficData[[#This Row],[pendingAmount]]+TrafficData[[#This Row],[disposedAmount]]=TrafficData[[#This Row],[totalAmount]]</f>
        <v>1</v>
      </c>
      <c r="M3920" t="b">
        <f>TrafficData[[#This Row],[pendingCourt]]+TrafficData[[#This Row],[disposedCourt]]=TrafficData[[#This Row],[totalCourt]]</f>
        <v>1</v>
      </c>
      <c r="N3920" s="8" t="b">
        <f>AND(TrafficData[[#This Row],[disposedChallan]]&lt;=TrafficData[[#This Row],[totalChallan]],TrafficData[[#This Row],[pendingChallan]]&lt;=TrafficData[[#This Row],[totalChallan]])</f>
        <v>1</v>
      </c>
      <c r="O3920" s="8" t="b">
        <f>AND(TrafficData[[#This Row],[pendingAmount]]&lt;=TrafficData[[#This Row],[totalAmount]],TrafficData[[#This Row],[disposedAmount]]&lt;=TrafficData[[#This Row],[totalAmount]])</f>
        <v>1</v>
      </c>
      <c r="P3920" s="8" t="b">
        <f>AND(TrafficData[[#This Row],[pendingCourt]]&lt;=TrafficData[[#This Row],[totalCourt]],TrafficData[[#This Row],[disposedCourt]]&lt;=TrafficData[[#This Row],[totalCourt]])</f>
        <v>1</v>
      </c>
    </row>
    <row r="3921" spans="1:16">
      <c r="A3921" s="1">
        <v>45925</v>
      </c>
      <c r="B3921">
        <v>259204</v>
      </c>
      <c r="C3921">
        <v>52372</v>
      </c>
      <c r="D3921">
        <v>206832</v>
      </c>
      <c r="E3921">
        <v>412838521</v>
      </c>
      <c r="F3921">
        <v>96104236</v>
      </c>
      <c r="G3921">
        <v>508942757</v>
      </c>
      <c r="H3921">
        <v>98485</v>
      </c>
      <c r="I3921">
        <v>3376</v>
      </c>
      <c r="J3921">
        <v>101861</v>
      </c>
      <c r="K3921" t="b">
        <f>TrafficData[[#This Row],[disposedChallan]]+TrafficData[[#This Row],[pendingChallan]]=TrafficData[[#This Row],[totalChallan]]</f>
        <v>1</v>
      </c>
      <c r="L3921" t="b">
        <f>TrafficData[[#This Row],[pendingAmount]]+TrafficData[[#This Row],[disposedAmount]]=TrafficData[[#This Row],[totalAmount]]</f>
        <v>1</v>
      </c>
      <c r="M3921" t="b">
        <f>TrafficData[[#This Row],[pendingCourt]]+TrafficData[[#This Row],[disposedCourt]]=TrafficData[[#This Row],[totalCourt]]</f>
        <v>1</v>
      </c>
      <c r="N3921" s="8" t="b">
        <f>AND(TrafficData[[#This Row],[disposedChallan]]&lt;=TrafficData[[#This Row],[totalChallan]],TrafficData[[#This Row],[pendingChallan]]&lt;=TrafficData[[#This Row],[totalChallan]])</f>
        <v>1</v>
      </c>
      <c r="O3921" s="8" t="b">
        <f>AND(TrafficData[[#This Row],[pendingAmount]]&lt;=TrafficData[[#This Row],[totalAmount]],TrafficData[[#This Row],[disposedAmount]]&lt;=TrafficData[[#This Row],[totalAmount]])</f>
        <v>1</v>
      </c>
      <c r="P3921" s="8" t="b">
        <f>AND(TrafficData[[#This Row],[pendingCourt]]&lt;=TrafficData[[#This Row],[totalCourt]],TrafficData[[#This Row],[disposedCourt]]&lt;=TrafficData[[#This Row],[totalCourt]])</f>
        <v>1</v>
      </c>
    </row>
    <row r="3922" spans="1:16">
      <c r="A3922" s="1">
        <v>45926</v>
      </c>
      <c r="B3922">
        <v>256672</v>
      </c>
      <c r="C3922">
        <v>51891</v>
      </c>
      <c r="D3922">
        <v>204781</v>
      </c>
      <c r="E3922">
        <v>404490584</v>
      </c>
      <c r="F3922">
        <v>92859873</v>
      </c>
      <c r="G3922">
        <v>497350457</v>
      </c>
      <c r="H3922">
        <v>96293</v>
      </c>
      <c r="I3922">
        <v>3341</v>
      </c>
      <c r="J3922">
        <v>99634</v>
      </c>
      <c r="K3922" t="b">
        <f>TrafficData[[#This Row],[disposedChallan]]+TrafficData[[#This Row],[pendingChallan]]=TrafficData[[#This Row],[totalChallan]]</f>
        <v>1</v>
      </c>
      <c r="L3922" t="b">
        <f>TrafficData[[#This Row],[pendingAmount]]+TrafficData[[#This Row],[disposedAmount]]=TrafficData[[#This Row],[totalAmount]]</f>
        <v>1</v>
      </c>
      <c r="M3922" t="b">
        <f>TrafficData[[#This Row],[pendingCourt]]+TrafficData[[#This Row],[disposedCourt]]=TrafficData[[#This Row],[totalCourt]]</f>
        <v>1</v>
      </c>
      <c r="N3922" s="8" t="b">
        <f>AND(TrafficData[[#This Row],[disposedChallan]]&lt;=TrafficData[[#This Row],[totalChallan]],TrafficData[[#This Row],[pendingChallan]]&lt;=TrafficData[[#This Row],[totalChallan]])</f>
        <v>1</v>
      </c>
      <c r="O3922" s="8" t="b">
        <f>AND(TrafficData[[#This Row],[pendingAmount]]&lt;=TrafficData[[#This Row],[totalAmount]],TrafficData[[#This Row],[disposedAmount]]&lt;=TrafficData[[#This Row],[totalAmount]])</f>
        <v>1</v>
      </c>
      <c r="P3922" s="8" t="b">
        <f>AND(TrafficData[[#This Row],[pendingCourt]]&lt;=TrafficData[[#This Row],[totalCourt]],TrafficData[[#This Row],[disposedCourt]]&lt;=TrafficData[[#This Row],[totalCourt]])</f>
        <v>1</v>
      </c>
    </row>
    <row r="3923" spans="1:16">
      <c r="A3923" s="1">
        <v>45927</v>
      </c>
      <c r="B3923">
        <v>248784</v>
      </c>
      <c r="C3923">
        <v>51877</v>
      </c>
      <c r="D3923">
        <v>196907</v>
      </c>
      <c r="E3923">
        <v>370922398</v>
      </c>
      <c r="F3923">
        <v>79338942</v>
      </c>
      <c r="G3923">
        <v>450261340</v>
      </c>
      <c r="H3923">
        <v>98158</v>
      </c>
      <c r="I3923">
        <v>3419</v>
      </c>
      <c r="J3923">
        <v>101577</v>
      </c>
      <c r="K3923" t="b">
        <f>TrafficData[[#This Row],[disposedChallan]]+TrafficData[[#This Row],[pendingChallan]]=TrafficData[[#This Row],[totalChallan]]</f>
        <v>1</v>
      </c>
      <c r="L3923" t="b">
        <f>TrafficData[[#This Row],[pendingAmount]]+TrafficData[[#This Row],[disposedAmount]]=TrafficData[[#This Row],[totalAmount]]</f>
        <v>1</v>
      </c>
      <c r="M3923" t="b">
        <f>TrafficData[[#This Row],[pendingCourt]]+TrafficData[[#This Row],[disposedCourt]]=TrafficData[[#This Row],[totalCourt]]</f>
        <v>1</v>
      </c>
      <c r="N3923" s="8" t="b">
        <f>AND(TrafficData[[#This Row],[disposedChallan]]&lt;=TrafficData[[#This Row],[totalChallan]],TrafficData[[#This Row],[pendingChallan]]&lt;=TrafficData[[#This Row],[totalChallan]])</f>
        <v>1</v>
      </c>
      <c r="O3923" s="8" t="b">
        <f>AND(TrafficData[[#This Row],[pendingAmount]]&lt;=TrafficData[[#This Row],[totalAmount]],TrafficData[[#This Row],[disposedAmount]]&lt;=TrafficData[[#This Row],[totalAmount]])</f>
        <v>1</v>
      </c>
      <c r="P3923" s="8" t="b">
        <f>AND(TrafficData[[#This Row],[pendingCourt]]&lt;=TrafficData[[#This Row],[totalCourt]],TrafficData[[#This Row],[disposedCourt]]&lt;=TrafficData[[#This Row],[totalCourt]])</f>
        <v>1</v>
      </c>
    </row>
    <row r="3924" spans="1:16">
      <c r="A3924" s="1">
        <v>45928</v>
      </c>
      <c r="B3924">
        <v>222361</v>
      </c>
      <c r="C3924">
        <v>44939</v>
      </c>
      <c r="D3924">
        <v>177422</v>
      </c>
      <c r="E3924">
        <v>321983505</v>
      </c>
      <c r="F3924">
        <v>59203354</v>
      </c>
      <c r="G3924">
        <v>381186859</v>
      </c>
      <c r="H3924">
        <v>89426</v>
      </c>
      <c r="I3924">
        <v>3212</v>
      </c>
      <c r="J3924">
        <v>92638</v>
      </c>
      <c r="K3924" t="b">
        <f>TrafficData[[#This Row],[disposedChallan]]+TrafficData[[#This Row],[pendingChallan]]=TrafficData[[#This Row],[totalChallan]]</f>
        <v>1</v>
      </c>
      <c r="L3924" t="b">
        <f>TrafficData[[#This Row],[pendingAmount]]+TrafficData[[#This Row],[disposedAmount]]=TrafficData[[#This Row],[totalAmount]]</f>
        <v>1</v>
      </c>
      <c r="M3924" t="b">
        <f>TrafficData[[#This Row],[pendingCourt]]+TrafficData[[#This Row],[disposedCourt]]=TrafficData[[#This Row],[totalCourt]]</f>
        <v>1</v>
      </c>
      <c r="N3924" s="8" t="b">
        <f>AND(TrafficData[[#This Row],[disposedChallan]]&lt;=TrafficData[[#This Row],[totalChallan]],TrafficData[[#This Row],[pendingChallan]]&lt;=TrafficData[[#This Row],[totalChallan]])</f>
        <v>1</v>
      </c>
      <c r="O3924" s="8" t="b">
        <f>AND(TrafficData[[#This Row],[pendingAmount]]&lt;=TrafficData[[#This Row],[totalAmount]],TrafficData[[#This Row],[disposedAmount]]&lt;=TrafficData[[#This Row],[totalAmount]])</f>
        <v>1</v>
      </c>
      <c r="P3924" s="8" t="b">
        <f>AND(TrafficData[[#This Row],[pendingCourt]]&lt;=TrafficData[[#This Row],[totalCourt]],TrafficData[[#This Row],[disposedCourt]]&lt;=TrafficData[[#This Row],[totalCourt]])</f>
        <v>1</v>
      </c>
    </row>
    <row r="3925" spans="1:16">
      <c r="A3925" s="1">
        <v>45929</v>
      </c>
      <c r="B3925">
        <v>248093</v>
      </c>
      <c r="C3925">
        <v>49146</v>
      </c>
      <c r="D3925">
        <v>198947</v>
      </c>
      <c r="E3925">
        <v>376992445</v>
      </c>
      <c r="F3925">
        <v>70652428</v>
      </c>
      <c r="G3925">
        <v>447644873</v>
      </c>
      <c r="H3925">
        <v>101190</v>
      </c>
      <c r="I3925">
        <v>3376</v>
      </c>
      <c r="J3925">
        <v>104566</v>
      </c>
      <c r="K3925" t="b">
        <f>TrafficData[[#This Row],[disposedChallan]]+TrafficData[[#This Row],[pendingChallan]]=TrafficData[[#This Row],[totalChallan]]</f>
        <v>1</v>
      </c>
      <c r="L3925" t="b">
        <f>TrafficData[[#This Row],[pendingAmount]]+TrafficData[[#This Row],[disposedAmount]]=TrafficData[[#This Row],[totalAmount]]</f>
        <v>1</v>
      </c>
      <c r="M3925" t="b">
        <f>TrafficData[[#This Row],[pendingCourt]]+TrafficData[[#This Row],[disposedCourt]]=TrafficData[[#This Row],[totalCourt]]</f>
        <v>1</v>
      </c>
      <c r="N3925" s="8" t="b">
        <f>AND(TrafficData[[#This Row],[disposedChallan]]&lt;=TrafficData[[#This Row],[totalChallan]],TrafficData[[#This Row],[pendingChallan]]&lt;=TrafficData[[#This Row],[totalChallan]])</f>
        <v>1</v>
      </c>
      <c r="O3925" s="8" t="b">
        <f>AND(TrafficData[[#This Row],[pendingAmount]]&lt;=TrafficData[[#This Row],[totalAmount]],TrafficData[[#This Row],[disposedAmount]]&lt;=TrafficData[[#This Row],[totalAmount]])</f>
        <v>1</v>
      </c>
      <c r="P3925" s="8" t="b">
        <f>AND(TrafficData[[#This Row],[pendingCourt]]&lt;=TrafficData[[#This Row],[totalCourt]],TrafficData[[#This Row],[disposedCourt]]&lt;=TrafficData[[#This Row],[totalCourt]])</f>
        <v>1</v>
      </c>
    </row>
    <row r="3926" spans="1:16">
      <c r="A3926" s="1">
        <v>45930</v>
      </c>
      <c r="B3926">
        <v>227579</v>
      </c>
      <c r="C3926">
        <v>45709</v>
      </c>
      <c r="D3926">
        <v>181870</v>
      </c>
      <c r="E3926">
        <v>342687944</v>
      </c>
      <c r="F3926">
        <v>63290147</v>
      </c>
      <c r="G3926">
        <v>405978091</v>
      </c>
      <c r="H3926">
        <v>93172</v>
      </c>
      <c r="I3926">
        <v>2750</v>
      </c>
      <c r="J3926">
        <v>95922</v>
      </c>
      <c r="K3926" t="b">
        <f>TrafficData[[#This Row],[disposedChallan]]+TrafficData[[#This Row],[pendingChallan]]=TrafficData[[#This Row],[totalChallan]]</f>
        <v>1</v>
      </c>
      <c r="L3926" t="b">
        <f>TrafficData[[#This Row],[pendingAmount]]+TrafficData[[#This Row],[disposedAmount]]=TrafficData[[#This Row],[totalAmount]]</f>
        <v>1</v>
      </c>
      <c r="M3926" t="b">
        <f>TrafficData[[#This Row],[pendingCourt]]+TrafficData[[#This Row],[disposedCourt]]=TrafficData[[#This Row],[totalCourt]]</f>
        <v>1</v>
      </c>
      <c r="N3926" s="8" t="b">
        <f>AND(TrafficData[[#This Row],[disposedChallan]]&lt;=TrafficData[[#This Row],[totalChallan]],TrafficData[[#This Row],[pendingChallan]]&lt;=TrafficData[[#This Row],[totalChallan]])</f>
        <v>1</v>
      </c>
      <c r="O3926" s="8" t="b">
        <f>AND(TrafficData[[#This Row],[pendingAmount]]&lt;=TrafficData[[#This Row],[totalAmount]],TrafficData[[#This Row],[disposedAmount]]&lt;=TrafficData[[#This Row],[totalAmount]])</f>
        <v>1</v>
      </c>
      <c r="P3926" s="8" t="b">
        <f>AND(TrafficData[[#This Row],[pendingCourt]]&lt;=TrafficData[[#This Row],[totalCourt]],TrafficData[[#This Row],[disposedCourt]]&lt;=TrafficData[[#This Row],[totalCourt]])</f>
        <v>1</v>
      </c>
    </row>
    <row r="3927" spans="1:16">
      <c r="A3927" s="1">
        <v>45931</v>
      </c>
      <c r="B3927">
        <v>243496</v>
      </c>
      <c r="C3927">
        <v>49473</v>
      </c>
      <c r="D3927">
        <v>194023</v>
      </c>
      <c r="E3927">
        <v>369890971</v>
      </c>
      <c r="F3927">
        <v>76400750</v>
      </c>
      <c r="G3927">
        <v>446291721</v>
      </c>
      <c r="H3927">
        <v>101199</v>
      </c>
      <c r="I3927">
        <v>3179</v>
      </c>
      <c r="J3927">
        <v>104378</v>
      </c>
      <c r="K3927" t="b">
        <f>TrafficData[[#This Row],[disposedChallan]]+TrafficData[[#This Row],[pendingChallan]]=TrafficData[[#This Row],[totalChallan]]</f>
        <v>1</v>
      </c>
      <c r="L3927" t="b">
        <f>TrafficData[[#This Row],[pendingAmount]]+TrafficData[[#This Row],[disposedAmount]]=TrafficData[[#This Row],[totalAmount]]</f>
        <v>1</v>
      </c>
      <c r="M3927" t="b">
        <f>TrafficData[[#This Row],[pendingCourt]]+TrafficData[[#This Row],[disposedCourt]]=TrafficData[[#This Row],[totalCourt]]</f>
        <v>1</v>
      </c>
      <c r="N3927" s="8" t="b">
        <f>AND(TrafficData[[#This Row],[disposedChallan]]&lt;=TrafficData[[#This Row],[totalChallan]],TrafficData[[#This Row],[pendingChallan]]&lt;=TrafficData[[#This Row],[totalChallan]])</f>
        <v>1</v>
      </c>
      <c r="O3927" s="8" t="b">
        <f>AND(TrafficData[[#This Row],[pendingAmount]]&lt;=TrafficData[[#This Row],[totalAmount]],TrafficData[[#This Row],[disposedAmount]]&lt;=TrafficData[[#This Row],[totalAmount]])</f>
        <v>1</v>
      </c>
      <c r="P3927" s="8" t="b">
        <f>AND(TrafficData[[#This Row],[pendingCourt]]&lt;=TrafficData[[#This Row],[totalCourt]],TrafficData[[#This Row],[disposedCourt]]&lt;=TrafficData[[#This Row],[totalCourt]])</f>
        <v>1</v>
      </c>
    </row>
    <row r="3928" spans="1:16">
      <c r="A3928" s="1">
        <v>45932</v>
      </c>
      <c r="B3928">
        <v>207523</v>
      </c>
      <c r="C3928">
        <v>42046</v>
      </c>
      <c r="D3928">
        <v>165477</v>
      </c>
      <c r="E3928">
        <v>306684784</v>
      </c>
      <c r="F3928">
        <v>55192651</v>
      </c>
      <c r="G3928">
        <v>361877435</v>
      </c>
      <c r="H3928">
        <v>83784</v>
      </c>
      <c r="I3928">
        <v>2730</v>
      </c>
      <c r="J3928">
        <v>86514</v>
      </c>
      <c r="K3928" t="b">
        <f>TrafficData[[#This Row],[disposedChallan]]+TrafficData[[#This Row],[pendingChallan]]=TrafficData[[#This Row],[totalChallan]]</f>
        <v>1</v>
      </c>
      <c r="L3928" t="b">
        <f>TrafficData[[#This Row],[pendingAmount]]+TrafficData[[#This Row],[disposedAmount]]=TrafficData[[#This Row],[totalAmount]]</f>
        <v>1</v>
      </c>
      <c r="M3928" t="b">
        <f>TrafficData[[#This Row],[pendingCourt]]+TrafficData[[#This Row],[disposedCourt]]=TrafficData[[#This Row],[totalCourt]]</f>
        <v>1</v>
      </c>
      <c r="N3928" s="8" t="b">
        <f>AND(TrafficData[[#This Row],[disposedChallan]]&lt;=TrafficData[[#This Row],[totalChallan]],TrafficData[[#This Row],[pendingChallan]]&lt;=TrafficData[[#This Row],[totalChallan]])</f>
        <v>1</v>
      </c>
      <c r="O3928" s="8" t="b">
        <f>AND(TrafficData[[#This Row],[pendingAmount]]&lt;=TrafficData[[#This Row],[totalAmount]],TrafficData[[#This Row],[disposedAmount]]&lt;=TrafficData[[#This Row],[totalAmount]])</f>
        <v>1</v>
      </c>
      <c r="P3928" s="8" t="b">
        <f>AND(TrafficData[[#This Row],[pendingCourt]]&lt;=TrafficData[[#This Row],[totalCourt]],TrafficData[[#This Row],[disposedCourt]]&lt;=TrafficData[[#This Row],[totalCourt]])</f>
        <v>1</v>
      </c>
    </row>
    <row r="3929" spans="1:16">
      <c r="A3929" s="1">
        <v>45933</v>
      </c>
      <c r="B3929">
        <v>242990</v>
      </c>
      <c r="C3929">
        <v>49463</v>
      </c>
      <c r="D3929">
        <v>193527</v>
      </c>
      <c r="E3929">
        <v>377483379</v>
      </c>
      <c r="F3929">
        <v>82329959</v>
      </c>
      <c r="G3929">
        <v>459813338</v>
      </c>
      <c r="H3929">
        <v>98472</v>
      </c>
      <c r="I3929">
        <v>3095</v>
      </c>
      <c r="J3929">
        <v>101567</v>
      </c>
      <c r="K3929" t="b">
        <f>TrafficData[[#This Row],[disposedChallan]]+TrafficData[[#This Row],[pendingChallan]]=TrafficData[[#This Row],[totalChallan]]</f>
        <v>1</v>
      </c>
      <c r="L3929" t="b">
        <f>TrafficData[[#This Row],[pendingAmount]]+TrafficData[[#This Row],[disposedAmount]]=TrafficData[[#This Row],[totalAmount]]</f>
        <v>1</v>
      </c>
      <c r="M3929" t="b">
        <f>TrafficData[[#This Row],[pendingCourt]]+TrafficData[[#This Row],[disposedCourt]]=TrafficData[[#This Row],[totalCourt]]</f>
        <v>1</v>
      </c>
      <c r="N3929" s="8" t="b">
        <f>AND(TrafficData[[#This Row],[disposedChallan]]&lt;=TrafficData[[#This Row],[totalChallan]],TrafficData[[#This Row],[pendingChallan]]&lt;=TrafficData[[#This Row],[totalChallan]])</f>
        <v>1</v>
      </c>
      <c r="O3929" s="8" t="b">
        <f>AND(TrafficData[[#This Row],[pendingAmount]]&lt;=TrafficData[[#This Row],[totalAmount]],TrafficData[[#This Row],[disposedAmount]]&lt;=TrafficData[[#This Row],[totalAmount]])</f>
        <v>1</v>
      </c>
      <c r="P3929" s="8" t="b">
        <f>AND(TrafficData[[#This Row],[pendingCourt]]&lt;=TrafficData[[#This Row],[totalCourt]],TrafficData[[#This Row],[disposedCourt]]&lt;=TrafficData[[#This Row],[totalCourt]])</f>
        <v>1</v>
      </c>
    </row>
    <row r="3930" spans="1:16">
      <c r="A3930" s="1">
        <v>45934</v>
      </c>
      <c r="B3930">
        <v>255227</v>
      </c>
      <c r="C3930">
        <v>52545</v>
      </c>
      <c r="D3930">
        <v>202682</v>
      </c>
      <c r="E3930">
        <v>404074762</v>
      </c>
      <c r="F3930">
        <v>93738221</v>
      </c>
      <c r="G3930">
        <v>497812983</v>
      </c>
      <c r="H3930">
        <v>101488</v>
      </c>
      <c r="I3930">
        <v>3308</v>
      </c>
      <c r="J3930">
        <v>104796</v>
      </c>
      <c r="K3930" t="b">
        <f>TrafficData[[#This Row],[disposedChallan]]+TrafficData[[#This Row],[pendingChallan]]=TrafficData[[#This Row],[totalChallan]]</f>
        <v>1</v>
      </c>
      <c r="L3930" t="b">
        <f>TrafficData[[#This Row],[pendingAmount]]+TrafficData[[#This Row],[disposedAmount]]=TrafficData[[#This Row],[totalAmount]]</f>
        <v>1</v>
      </c>
      <c r="M3930" t="b">
        <f>TrafficData[[#This Row],[pendingCourt]]+TrafficData[[#This Row],[disposedCourt]]=TrafficData[[#This Row],[totalCourt]]</f>
        <v>1</v>
      </c>
      <c r="N3930" s="8" t="b">
        <f>AND(TrafficData[[#This Row],[disposedChallan]]&lt;=TrafficData[[#This Row],[totalChallan]],TrafficData[[#This Row],[pendingChallan]]&lt;=TrafficData[[#This Row],[totalChallan]])</f>
        <v>1</v>
      </c>
      <c r="O3930" s="8" t="b">
        <f>AND(TrafficData[[#This Row],[pendingAmount]]&lt;=TrafficData[[#This Row],[totalAmount]],TrafficData[[#This Row],[disposedAmount]]&lt;=TrafficData[[#This Row],[totalAmount]])</f>
        <v>1</v>
      </c>
      <c r="P3930" s="8" t="b">
        <f>AND(TrafficData[[#This Row],[pendingCourt]]&lt;=TrafficData[[#This Row],[totalCourt]],TrafficData[[#This Row],[disposedCourt]]&lt;=TrafficData[[#This Row],[totalCourt]])</f>
        <v>1</v>
      </c>
    </row>
    <row r="3931" spans="1:16">
      <c r="A3931" s="1">
        <v>45935</v>
      </c>
      <c r="B3931">
        <v>246284</v>
      </c>
      <c r="C3931">
        <v>49573</v>
      </c>
      <c r="D3931">
        <v>196711</v>
      </c>
      <c r="E3931">
        <v>366138408</v>
      </c>
      <c r="F3931">
        <v>75184725</v>
      </c>
      <c r="G3931">
        <v>441323133</v>
      </c>
      <c r="H3931">
        <v>98735</v>
      </c>
      <c r="I3931">
        <v>3023</v>
      </c>
      <c r="J3931">
        <v>101758</v>
      </c>
      <c r="K3931" t="b">
        <f>TrafficData[[#This Row],[disposedChallan]]+TrafficData[[#This Row],[pendingChallan]]=TrafficData[[#This Row],[totalChallan]]</f>
        <v>1</v>
      </c>
      <c r="L3931" t="b">
        <f>TrafficData[[#This Row],[pendingAmount]]+TrafficData[[#This Row],[disposedAmount]]=TrafficData[[#This Row],[totalAmount]]</f>
        <v>1</v>
      </c>
      <c r="M3931" t="b">
        <f>TrafficData[[#This Row],[pendingCourt]]+TrafficData[[#This Row],[disposedCourt]]=TrafficData[[#This Row],[totalCourt]]</f>
        <v>1</v>
      </c>
      <c r="N3931" s="8" t="b">
        <f>AND(TrafficData[[#This Row],[disposedChallan]]&lt;=TrafficData[[#This Row],[totalChallan]],TrafficData[[#This Row],[pendingChallan]]&lt;=TrafficData[[#This Row],[totalChallan]])</f>
        <v>1</v>
      </c>
      <c r="O3931" s="8" t="b">
        <f>AND(TrafficData[[#This Row],[pendingAmount]]&lt;=TrafficData[[#This Row],[totalAmount]],TrafficData[[#This Row],[disposedAmount]]&lt;=TrafficData[[#This Row],[totalAmount]])</f>
        <v>1</v>
      </c>
      <c r="P3931" s="8" t="b">
        <f>AND(TrafficData[[#This Row],[pendingCourt]]&lt;=TrafficData[[#This Row],[totalCourt]],TrafficData[[#This Row],[disposedCourt]]&lt;=TrafficData[[#This Row],[totalCourt]])</f>
        <v>1</v>
      </c>
    </row>
    <row r="3932" spans="1:16">
      <c r="A3932" s="1">
        <v>45936</v>
      </c>
      <c r="B3932">
        <v>256980</v>
      </c>
      <c r="C3932">
        <v>52012</v>
      </c>
      <c r="D3932">
        <v>204968</v>
      </c>
      <c r="E3932">
        <v>412355619</v>
      </c>
      <c r="F3932">
        <v>97047782</v>
      </c>
      <c r="G3932">
        <v>509403401</v>
      </c>
      <c r="H3932">
        <v>98801</v>
      </c>
      <c r="I3932">
        <v>3027</v>
      </c>
      <c r="J3932">
        <v>101828</v>
      </c>
      <c r="K3932" t="b">
        <f>TrafficData[[#This Row],[disposedChallan]]+TrafficData[[#This Row],[pendingChallan]]=TrafficData[[#This Row],[totalChallan]]</f>
        <v>1</v>
      </c>
      <c r="L3932" t="b">
        <f>TrafficData[[#This Row],[pendingAmount]]+TrafficData[[#This Row],[disposedAmount]]=TrafficData[[#This Row],[totalAmount]]</f>
        <v>1</v>
      </c>
      <c r="M3932" t="b">
        <f>TrafficData[[#This Row],[pendingCourt]]+TrafficData[[#This Row],[disposedCourt]]=TrafficData[[#This Row],[totalCourt]]</f>
        <v>1</v>
      </c>
      <c r="N3932" s="8" t="b">
        <f>AND(TrafficData[[#This Row],[disposedChallan]]&lt;=TrafficData[[#This Row],[totalChallan]],TrafficData[[#This Row],[pendingChallan]]&lt;=TrafficData[[#This Row],[totalChallan]])</f>
        <v>1</v>
      </c>
      <c r="O3932" s="8" t="b">
        <f>AND(TrafficData[[#This Row],[pendingAmount]]&lt;=TrafficData[[#This Row],[totalAmount]],TrafficData[[#This Row],[disposedAmount]]&lt;=TrafficData[[#This Row],[totalAmount]])</f>
        <v>1</v>
      </c>
      <c r="P3932" s="8" t="b">
        <f>AND(TrafficData[[#This Row],[pendingCourt]]&lt;=TrafficData[[#This Row],[totalCourt]],TrafficData[[#This Row],[disposedCourt]]&lt;=TrafficData[[#This Row],[totalCourt]])</f>
        <v>1</v>
      </c>
    </row>
    <row r="3933" spans="1:16">
      <c r="A3933" s="1">
        <v>45937</v>
      </c>
      <c r="B3933">
        <v>262912</v>
      </c>
      <c r="C3933">
        <v>54212</v>
      </c>
      <c r="D3933">
        <v>208700</v>
      </c>
      <c r="E3933">
        <v>395557053</v>
      </c>
      <c r="F3933">
        <v>105491991</v>
      </c>
      <c r="G3933">
        <v>501049044</v>
      </c>
      <c r="H3933">
        <v>95381</v>
      </c>
      <c r="I3933">
        <v>3030</v>
      </c>
      <c r="J3933">
        <v>98411</v>
      </c>
      <c r="K3933" t="b">
        <f>TrafficData[[#This Row],[disposedChallan]]+TrafficData[[#This Row],[pendingChallan]]=TrafficData[[#This Row],[totalChallan]]</f>
        <v>1</v>
      </c>
      <c r="L3933" t="b">
        <f>TrafficData[[#This Row],[pendingAmount]]+TrafficData[[#This Row],[disposedAmount]]=TrafficData[[#This Row],[totalAmount]]</f>
        <v>1</v>
      </c>
      <c r="M3933" t="b">
        <f>TrafficData[[#This Row],[pendingCourt]]+TrafficData[[#This Row],[disposedCourt]]=TrafficData[[#This Row],[totalCourt]]</f>
        <v>1</v>
      </c>
      <c r="N3933" s="8" t="b">
        <f>AND(TrafficData[[#This Row],[disposedChallan]]&lt;=TrafficData[[#This Row],[totalChallan]],TrafficData[[#This Row],[pendingChallan]]&lt;=TrafficData[[#This Row],[totalChallan]])</f>
        <v>1</v>
      </c>
      <c r="O3933" s="8" t="b">
        <f>AND(TrafficData[[#This Row],[pendingAmount]]&lt;=TrafficData[[#This Row],[totalAmount]],TrafficData[[#This Row],[disposedAmount]]&lt;=TrafficData[[#This Row],[totalAmount]])</f>
        <v>1</v>
      </c>
      <c r="P3933" s="8" t="b">
        <f>AND(TrafficData[[#This Row],[pendingCourt]]&lt;=TrafficData[[#This Row],[totalCourt]],TrafficData[[#This Row],[disposedCourt]]&lt;=TrafficData[[#This Row],[totalCourt]])</f>
        <v>1</v>
      </c>
    </row>
    <row r="3934" spans="1:16">
      <c r="A3934" s="1">
        <v>45938</v>
      </c>
      <c r="B3934">
        <v>283406</v>
      </c>
      <c r="C3934">
        <v>55704</v>
      </c>
      <c r="D3934">
        <v>227702</v>
      </c>
      <c r="E3934">
        <v>449346769</v>
      </c>
      <c r="F3934">
        <v>110302691</v>
      </c>
      <c r="G3934">
        <v>559649460</v>
      </c>
      <c r="H3934">
        <v>105397</v>
      </c>
      <c r="I3934">
        <v>3391</v>
      </c>
      <c r="J3934">
        <v>108788</v>
      </c>
      <c r="K3934" t="b">
        <f>TrafficData[[#This Row],[disposedChallan]]+TrafficData[[#This Row],[pendingChallan]]=TrafficData[[#This Row],[totalChallan]]</f>
        <v>1</v>
      </c>
      <c r="L3934" t="b">
        <f>TrafficData[[#This Row],[pendingAmount]]+TrafficData[[#This Row],[disposedAmount]]=TrafficData[[#This Row],[totalAmount]]</f>
        <v>1</v>
      </c>
      <c r="M3934" t="b">
        <f>TrafficData[[#This Row],[pendingCourt]]+TrafficData[[#This Row],[disposedCourt]]=TrafficData[[#This Row],[totalCourt]]</f>
        <v>1</v>
      </c>
      <c r="N3934" s="8" t="b">
        <f>AND(TrafficData[[#This Row],[disposedChallan]]&lt;=TrafficData[[#This Row],[totalChallan]],TrafficData[[#This Row],[pendingChallan]]&lt;=TrafficData[[#This Row],[totalChallan]])</f>
        <v>1</v>
      </c>
      <c r="O3934" s="8" t="b">
        <f>AND(TrafficData[[#This Row],[pendingAmount]]&lt;=TrafficData[[#This Row],[totalAmount]],TrafficData[[#This Row],[disposedAmount]]&lt;=TrafficData[[#This Row],[totalAmount]])</f>
        <v>1</v>
      </c>
      <c r="P3934" s="8" t="b">
        <f>AND(TrafficData[[#This Row],[pendingCourt]]&lt;=TrafficData[[#This Row],[totalCourt]],TrafficData[[#This Row],[disposedCourt]]&lt;=TrafficData[[#This Row],[totalCourt]])</f>
        <v>1</v>
      </c>
    </row>
    <row r="3935" spans="1:16">
      <c r="A3935" s="1">
        <v>45939</v>
      </c>
      <c r="B3935">
        <v>279034</v>
      </c>
      <c r="C3935">
        <v>56319</v>
      </c>
      <c r="D3935">
        <v>222715</v>
      </c>
      <c r="E3935">
        <v>450654851</v>
      </c>
      <c r="F3935">
        <v>116546830</v>
      </c>
      <c r="G3935">
        <v>567201681</v>
      </c>
      <c r="H3935">
        <v>105467</v>
      </c>
      <c r="I3935">
        <v>3383</v>
      </c>
      <c r="J3935">
        <v>108850</v>
      </c>
      <c r="K3935" t="b">
        <f>TrafficData[[#This Row],[disposedChallan]]+TrafficData[[#This Row],[pendingChallan]]=TrafficData[[#This Row],[totalChallan]]</f>
        <v>1</v>
      </c>
      <c r="L3935" t="b">
        <f>TrafficData[[#This Row],[pendingAmount]]+TrafficData[[#This Row],[disposedAmount]]=TrafficData[[#This Row],[totalAmount]]</f>
        <v>1</v>
      </c>
      <c r="M3935" t="b">
        <f>TrafficData[[#This Row],[pendingCourt]]+TrafficData[[#This Row],[disposedCourt]]=TrafficData[[#This Row],[totalCourt]]</f>
        <v>1</v>
      </c>
      <c r="N3935" s="8" t="b">
        <f>AND(TrafficData[[#This Row],[disposedChallan]]&lt;=TrafficData[[#This Row],[totalChallan]],TrafficData[[#This Row],[pendingChallan]]&lt;=TrafficData[[#This Row],[totalChallan]])</f>
        <v>1</v>
      </c>
      <c r="O3935" s="8" t="b">
        <f>AND(TrafficData[[#This Row],[pendingAmount]]&lt;=TrafficData[[#This Row],[totalAmount]],TrafficData[[#This Row],[disposedAmount]]&lt;=TrafficData[[#This Row],[totalAmount]])</f>
        <v>1</v>
      </c>
      <c r="P3935" s="8" t="b">
        <f>AND(TrafficData[[#This Row],[pendingCourt]]&lt;=TrafficData[[#This Row],[totalCourt]],TrafficData[[#This Row],[disposedCourt]]&lt;=TrafficData[[#This Row],[totalCourt]])</f>
        <v>1</v>
      </c>
    </row>
    <row r="3936" spans="1:16">
      <c r="A3936" s="1">
        <v>45940</v>
      </c>
      <c r="B3936">
        <v>261257</v>
      </c>
      <c r="C3936">
        <v>53072</v>
      </c>
      <c r="D3936">
        <v>208185</v>
      </c>
      <c r="E3936">
        <v>418557325</v>
      </c>
      <c r="F3936">
        <v>102340744</v>
      </c>
      <c r="G3936">
        <v>520898069</v>
      </c>
      <c r="H3936">
        <v>98267</v>
      </c>
      <c r="I3936">
        <v>3109</v>
      </c>
      <c r="J3936">
        <v>101376</v>
      </c>
      <c r="K3936" t="b">
        <f>TrafficData[[#This Row],[disposedChallan]]+TrafficData[[#This Row],[pendingChallan]]=TrafficData[[#This Row],[totalChallan]]</f>
        <v>1</v>
      </c>
      <c r="L3936" t="b">
        <f>TrafficData[[#This Row],[pendingAmount]]+TrafficData[[#This Row],[disposedAmount]]=TrafficData[[#This Row],[totalAmount]]</f>
        <v>1</v>
      </c>
      <c r="M3936" t="b">
        <f>TrafficData[[#This Row],[pendingCourt]]+TrafficData[[#This Row],[disposedCourt]]=TrafficData[[#This Row],[totalCourt]]</f>
        <v>1</v>
      </c>
      <c r="N3936" s="8" t="b">
        <f>AND(TrafficData[[#This Row],[disposedChallan]]&lt;=TrafficData[[#This Row],[totalChallan]],TrafficData[[#This Row],[pendingChallan]]&lt;=TrafficData[[#This Row],[totalChallan]])</f>
        <v>1</v>
      </c>
      <c r="O3936" s="8" t="b">
        <f>AND(TrafficData[[#This Row],[pendingAmount]]&lt;=TrafficData[[#This Row],[totalAmount]],TrafficData[[#This Row],[disposedAmount]]&lt;=TrafficData[[#This Row],[totalAmount]])</f>
        <v>1</v>
      </c>
      <c r="P3936" s="8" t="b">
        <f>AND(TrafficData[[#This Row],[pendingCourt]]&lt;=TrafficData[[#This Row],[totalCourt]],TrafficData[[#This Row],[disposedCourt]]&lt;=TrafficData[[#This Row],[totalCourt]])</f>
        <v>1</v>
      </c>
    </row>
    <row r="3937" spans="1:16">
      <c r="A3937" s="1">
        <v>45941</v>
      </c>
      <c r="B3937">
        <v>275546</v>
      </c>
      <c r="C3937">
        <v>55180</v>
      </c>
      <c r="D3937">
        <v>220366</v>
      </c>
      <c r="E3937">
        <v>423093276</v>
      </c>
      <c r="F3937">
        <v>79595219</v>
      </c>
      <c r="G3937">
        <v>502688495</v>
      </c>
      <c r="H3937">
        <v>98326</v>
      </c>
      <c r="I3937">
        <v>3582</v>
      </c>
      <c r="J3937">
        <v>101908</v>
      </c>
      <c r="K3937" t="b">
        <f>TrafficData[[#This Row],[disposedChallan]]+TrafficData[[#This Row],[pendingChallan]]=TrafficData[[#This Row],[totalChallan]]</f>
        <v>1</v>
      </c>
      <c r="L3937" t="b">
        <f>TrafficData[[#This Row],[pendingAmount]]+TrafficData[[#This Row],[disposedAmount]]=TrafficData[[#This Row],[totalAmount]]</f>
        <v>1</v>
      </c>
      <c r="M3937" t="b">
        <f>TrafficData[[#This Row],[pendingCourt]]+TrafficData[[#This Row],[disposedCourt]]=TrafficData[[#This Row],[totalCourt]]</f>
        <v>1</v>
      </c>
      <c r="N3937" s="8" t="b">
        <f>AND(TrafficData[[#This Row],[disposedChallan]]&lt;=TrafficData[[#This Row],[totalChallan]],TrafficData[[#This Row],[pendingChallan]]&lt;=TrafficData[[#This Row],[totalChallan]])</f>
        <v>1</v>
      </c>
      <c r="O3937" s="8" t="b">
        <f>AND(TrafficData[[#This Row],[pendingAmount]]&lt;=TrafficData[[#This Row],[totalAmount]],TrafficData[[#This Row],[disposedAmount]]&lt;=TrafficData[[#This Row],[totalAmount]])</f>
        <v>1</v>
      </c>
      <c r="P3937" s="8" t="b">
        <f>AND(TrafficData[[#This Row],[pendingCourt]]&lt;=TrafficData[[#This Row],[totalCourt]],TrafficData[[#This Row],[disposedCourt]]&lt;=TrafficData[[#This Row],[totalCourt]])</f>
        <v>1</v>
      </c>
    </row>
    <row r="3938" spans="1:16">
      <c r="A3938" s="1">
        <v>45942</v>
      </c>
      <c r="B3938">
        <v>255377</v>
      </c>
      <c r="C3938">
        <v>50526</v>
      </c>
      <c r="D3938">
        <v>204851</v>
      </c>
      <c r="E3938">
        <v>415392958</v>
      </c>
      <c r="F3938">
        <v>73568191</v>
      </c>
      <c r="G3938">
        <v>488961149</v>
      </c>
      <c r="H3938">
        <v>91126</v>
      </c>
      <c r="I3938">
        <v>3251</v>
      </c>
      <c r="J3938">
        <v>94377</v>
      </c>
      <c r="K3938" t="b">
        <f>TrafficData[[#This Row],[disposedChallan]]+TrafficData[[#This Row],[pendingChallan]]=TrafficData[[#This Row],[totalChallan]]</f>
        <v>1</v>
      </c>
      <c r="L3938" t="b">
        <f>TrafficData[[#This Row],[pendingAmount]]+TrafficData[[#This Row],[disposedAmount]]=TrafficData[[#This Row],[totalAmount]]</f>
        <v>1</v>
      </c>
      <c r="M3938" t="b">
        <f>TrafficData[[#This Row],[pendingCourt]]+TrafficData[[#This Row],[disposedCourt]]=TrafficData[[#This Row],[totalCourt]]</f>
        <v>1</v>
      </c>
      <c r="N3938" s="8" t="b">
        <f>AND(TrafficData[[#This Row],[disposedChallan]]&lt;=TrafficData[[#This Row],[totalChallan]],TrafficData[[#This Row],[pendingChallan]]&lt;=TrafficData[[#This Row],[totalChallan]])</f>
        <v>1</v>
      </c>
      <c r="O3938" s="8" t="b">
        <f>AND(TrafficData[[#This Row],[pendingAmount]]&lt;=TrafficData[[#This Row],[totalAmount]],TrafficData[[#This Row],[disposedAmount]]&lt;=TrafficData[[#This Row],[totalAmount]])</f>
        <v>1</v>
      </c>
      <c r="P3938" s="8" t="b">
        <f>AND(TrafficData[[#This Row],[pendingCourt]]&lt;=TrafficData[[#This Row],[totalCourt]],TrafficData[[#This Row],[disposedCourt]]&lt;=TrafficData[[#This Row],[totalCourt]])</f>
        <v>1</v>
      </c>
    </row>
    <row r="3939" spans="1:16">
      <c r="A3939" s="1">
        <v>45943</v>
      </c>
      <c r="B3939">
        <v>282562</v>
      </c>
      <c r="C3939">
        <v>55053</v>
      </c>
      <c r="D3939">
        <v>227509</v>
      </c>
      <c r="E3939">
        <v>479381281</v>
      </c>
      <c r="F3939">
        <v>103914832</v>
      </c>
      <c r="G3939">
        <v>583296113</v>
      </c>
      <c r="H3939">
        <v>103027</v>
      </c>
      <c r="I3939">
        <v>3502</v>
      </c>
      <c r="J3939">
        <v>106529</v>
      </c>
      <c r="K3939" t="b">
        <f>TrafficData[[#This Row],[disposedChallan]]+TrafficData[[#This Row],[pendingChallan]]=TrafficData[[#This Row],[totalChallan]]</f>
        <v>1</v>
      </c>
      <c r="L3939" t="b">
        <f>TrafficData[[#This Row],[pendingAmount]]+TrafficData[[#This Row],[disposedAmount]]=TrafficData[[#This Row],[totalAmount]]</f>
        <v>1</v>
      </c>
      <c r="M3939" t="b">
        <f>TrafficData[[#This Row],[pendingCourt]]+TrafficData[[#This Row],[disposedCourt]]=TrafficData[[#This Row],[totalCourt]]</f>
        <v>1</v>
      </c>
      <c r="N3939" s="8" t="b">
        <f>AND(TrafficData[[#This Row],[disposedChallan]]&lt;=TrafficData[[#This Row],[totalChallan]],TrafficData[[#This Row],[pendingChallan]]&lt;=TrafficData[[#This Row],[totalChallan]])</f>
        <v>1</v>
      </c>
      <c r="O3939" s="8" t="b">
        <f>AND(TrafficData[[#This Row],[pendingAmount]]&lt;=TrafficData[[#This Row],[totalAmount]],TrafficData[[#This Row],[disposedAmount]]&lt;=TrafficData[[#This Row],[totalAmount]])</f>
        <v>1</v>
      </c>
      <c r="P3939" s="8" t="b">
        <f>AND(TrafficData[[#This Row],[pendingCourt]]&lt;=TrafficData[[#This Row],[totalCourt]],TrafficData[[#This Row],[disposedCourt]]&lt;=TrafficData[[#This Row],[totalCourt]])</f>
        <v>1</v>
      </c>
    </row>
    <row r="3940" spans="1:16">
      <c r="A3940" s="1">
        <v>45944</v>
      </c>
      <c r="B3940">
        <v>292662</v>
      </c>
      <c r="C3940">
        <v>56614</v>
      </c>
      <c r="D3940">
        <v>236048</v>
      </c>
      <c r="E3940">
        <v>490294870</v>
      </c>
      <c r="F3940">
        <v>115115278</v>
      </c>
      <c r="G3940">
        <v>605410148</v>
      </c>
      <c r="H3940">
        <v>105363</v>
      </c>
      <c r="I3940">
        <v>3287</v>
      </c>
      <c r="J3940">
        <v>108650</v>
      </c>
      <c r="K3940" t="b">
        <f>TrafficData[[#This Row],[disposedChallan]]+TrafficData[[#This Row],[pendingChallan]]=TrafficData[[#This Row],[totalChallan]]</f>
        <v>1</v>
      </c>
      <c r="L3940" t="b">
        <f>TrafficData[[#This Row],[pendingAmount]]+TrafficData[[#This Row],[disposedAmount]]=TrafficData[[#This Row],[totalAmount]]</f>
        <v>1</v>
      </c>
      <c r="M3940" t="b">
        <f>TrafficData[[#This Row],[pendingCourt]]+TrafficData[[#This Row],[disposedCourt]]=TrafficData[[#This Row],[totalCourt]]</f>
        <v>1</v>
      </c>
      <c r="N3940" s="8" t="b">
        <f>AND(TrafficData[[#This Row],[disposedChallan]]&lt;=TrafficData[[#This Row],[totalChallan]],TrafficData[[#This Row],[pendingChallan]]&lt;=TrafficData[[#This Row],[totalChallan]])</f>
        <v>1</v>
      </c>
      <c r="O3940" s="8" t="b">
        <f>AND(TrafficData[[#This Row],[pendingAmount]]&lt;=TrafficData[[#This Row],[totalAmount]],TrafficData[[#This Row],[disposedAmount]]&lt;=TrafficData[[#This Row],[totalAmount]])</f>
        <v>1</v>
      </c>
      <c r="P3940" s="8" t="b">
        <f>AND(TrafficData[[#This Row],[pendingCourt]]&lt;=TrafficData[[#This Row],[totalCourt]],TrafficData[[#This Row],[disposedCourt]]&lt;=TrafficData[[#This Row],[totalCourt]])</f>
        <v>1</v>
      </c>
    </row>
    <row r="3941" spans="1:16">
      <c r="A3941" s="1">
        <v>45945</v>
      </c>
      <c r="B3941">
        <v>296452</v>
      </c>
      <c r="C3941">
        <v>55099</v>
      </c>
      <c r="D3941">
        <v>241353</v>
      </c>
      <c r="E3941">
        <v>504032565</v>
      </c>
      <c r="F3941">
        <v>114562032</v>
      </c>
      <c r="G3941">
        <v>618594597</v>
      </c>
      <c r="H3941">
        <v>106063</v>
      </c>
      <c r="I3941">
        <v>3399</v>
      </c>
      <c r="J3941">
        <v>109462</v>
      </c>
      <c r="K3941" t="b">
        <f>TrafficData[[#This Row],[disposedChallan]]+TrafficData[[#This Row],[pendingChallan]]=TrafficData[[#This Row],[totalChallan]]</f>
        <v>1</v>
      </c>
      <c r="L3941" t="b">
        <f>TrafficData[[#This Row],[pendingAmount]]+TrafficData[[#This Row],[disposedAmount]]=TrafficData[[#This Row],[totalAmount]]</f>
        <v>1</v>
      </c>
      <c r="M3941" t="b">
        <f>TrafficData[[#This Row],[pendingCourt]]+TrafficData[[#This Row],[disposedCourt]]=TrafficData[[#This Row],[totalCourt]]</f>
        <v>1</v>
      </c>
      <c r="N3941" s="8" t="b">
        <f>AND(TrafficData[[#This Row],[disposedChallan]]&lt;=TrafficData[[#This Row],[totalChallan]],TrafficData[[#This Row],[pendingChallan]]&lt;=TrafficData[[#This Row],[totalChallan]])</f>
        <v>1</v>
      </c>
      <c r="O3941" s="8" t="b">
        <f>AND(TrafficData[[#This Row],[pendingAmount]]&lt;=TrafficData[[#This Row],[totalAmount]],TrafficData[[#This Row],[disposedAmount]]&lt;=TrafficData[[#This Row],[totalAmount]])</f>
        <v>1</v>
      </c>
      <c r="P3941" s="8" t="b">
        <f>AND(TrafficData[[#This Row],[pendingCourt]]&lt;=TrafficData[[#This Row],[totalCourt]],TrafficData[[#This Row],[disposedCourt]]&lt;=TrafficData[[#This Row],[totalCourt]])</f>
        <v>1</v>
      </c>
    </row>
    <row r="3942" spans="1:16">
      <c r="A3942" s="1">
        <v>45946</v>
      </c>
      <c r="B3942">
        <v>285165</v>
      </c>
      <c r="C3942">
        <v>54692</v>
      </c>
      <c r="D3942">
        <v>230473</v>
      </c>
      <c r="E3942">
        <v>480226700</v>
      </c>
      <c r="F3942">
        <v>105152956</v>
      </c>
      <c r="G3942">
        <v>585379656</v>
      </c>
      <c r="H3942">
        <v>106497</v>
      </c>
      <c r="I3942">
        <v>3326</v>
      </c>
      <c r="J3942">
        <v>109823</v>
      </c>
      <c r="K3942" t="b">
        <f>TrafficData[[#This Row],[disposedChallan]]+TrafficData[[#This Row],[pendingChallan]]=TrafficData[[#This Row],[totalChallan]]</f>
        <v>1</v>
      </c>
      <c r="L3942" t="b">
        <f>TrafficData[[#This Row],[pendingAmount]]+TrafficData[[#This Row],[disposedAmount]]=TrafficData[[#This Row],[totalAmount]]</f>
        <v>1</v>
      </c>
      <c r="M3942" t="b">
        <f>TrafficData[[#This Row],[pendingCourt]]+TrafficData[[#This Row],[disposedCourt]]=TrafficData[[#This Row],[totalCourt]]</f>
        <v>1</v>
      </c>
      <c r="N3942" s="8" t="b">
        <f>AND(TrafficData[[#This Row],[disposedChallan]]&lt;=TrafficData[[#This Row],[totalChallan]],TrafficData[[#This Row],[pendingChallan]]&lt;=TrafficData[[#This Row],[totalChallan]])</f>
        <v>1</v>
      </c>
      <c r="O3942" s="8" t="b">
        <f>AND(TrafficData[[#This Row],[pendingAmount]]&lt;=TrafficData[[#This Row],[totalAmount]],TrafficData[[#This Row],[disposedAmount]]&lt;=TrafficData[[#This Row],[totalAmount]])</f>
        <v>1</v>
      </c>
      <c r="P3942" s="8" t="b">
        <f>AND(TrafficData[[#This Row],[pendingCourt]]&lt;=TrafficData[[#This Row],[totalCourt]],TrafficData[[#This Row],[disposedCourt]]&lt;=TrafficData[[#This Row],[totalCourt]])</f>
        <v>1</v>
      </c>
    </row>
    <row r="3943" spans="1:16">
      <c r="A3943" s="1">
        <v>45947</v>
      </c>
      <c r="B3943">
        <v>276014</v>
      </c>
      <c r="C3943">
        <v>52117</v>
      </c>
      <c r="D3943">
        <v>223897</v>
      </c>
      <c r="E3943">
        <v>462964990</v>
      </c>
      <c r="F3943">
        <v>89944132</v>
      </c>
      <c r="G3943">
        <v>552909122</v>
      </c>
      <c r="H3943">
        <v>99497</v>
      </c>
      <c r="I3943">
        <v>3237</v>
      </c>
      <c r="J3943">
        <v>102734</v>
      </c>
      <c r="K3943" t="b">
        <f>TrafficData[[#This Row],[disposedChallan]]+TrafficData[[#This Row],[pendingChallan]]=TrafficData[[#This Row],[totalChallan]]</f>
        <v>1</v>
      </c>
      <c r="L3943" t="b">
        <f>TrafficData[[#This Row],[pendingAmount]]+TrafficData[[#This Row],[disposedAmount]]=TrafficData[[#This Row],[totalAmount]]</f>
        <v>1</v>
      </c>
      <c r="M3943" t="b">
        <f>TrafficData[[#This Row],[pendingCourt]]+TrafficData[[#This Row],[disposedCourt]]=TrafficData[[#This Row],[totalCourt]]</f>
        <v>1</v>
      </c>
      <c r="N3943" s="8" t="b">
        <f>AND(TrafficData[[#This Row],[disposedChallan]]&lt;=TrafficData[[#This Row],[totalChallan]],TrafficData[[#This Row],[pendingChallan]]&lt;=TrafficData[[#This Row],[totalChallan]])</f>
        <v>1</v>
      </c>
      <c r="O3943" s="8" t="b">
        <f>AND(TrafficData[[#This Row],[pendingAmount]]&lt;=TrafficData[[#This Row],[totalAmount]],TrafficData[[#This Row],[disposedAmount]]&lt;=TrafficData[[#This Row],[totalAmount]])</f>
        <v>1</v>
      </c>
      <c r="P3943" s="8" t="b">
        <f>AND(TrafficData[[#This Row],[pendingCourt]]&lt;=TrafficData[[#This Row],[totalCourt]],TrafficData[[#This Row],[disposedCourt]]&lt;=TrafficData[[#This Row],[totalCourt]])</f>
        <v>1</v>
      </c>
    </row>
    <row r="3944" spans="1:16">
      <c r="A3944" s="1">
        <v>45948</v>
      </c>
      <c r="B3944">
        <v>255922</v>
      </c>
      <c r="C3944">
        <v>47679</v>
      </c>
      <c r="D3944">
        <v>208243</v>
      </c>
      <c r="E3944">
        <v>413903513</v>
      </c>
      <c r="F3944">
        <v>67763165</v>
      </c>
      <c r="G3944">
        <v>481666678</v>
      </c>
      <c r="H3944">
        <v>88576</v>
      </c>
      <c r="I3944">
        <v>2925</v>
      </c>
      <c r="J3944">
        <v>91501</v>
      </c>
      <c r="K3944" t="b">
        <f>TrafficData[[#This Row],[disposedChallan]]+TrafficData[[#This Row],[pendingChallan]]=TrafficData[[#This Row],[totalChallan]]</f>
        <v>1</v>
      </c>
      <c r="L3944" t="b">
        <f>TrafficData[[#This Row],[pendingAmount]]+TrafficData[[#This Row],[disposedAmount]]=TrafficData[[#This Row],[totalAmount]]</f>
        <v>1</v>
      </c>
      <c r="M3944" t="b">
        <f>TrafficData[[#This Row],[pendingCourt]]+TrafficData[[#This Row],[disposedCourt]]=TrafficData[[#This Row],[totalCourt]]</f>
        <v>1</v>
      </c>
      <c r="N3944" s="8" t="b">
        <f>AND(TrafficData[[#This Row],[disposedChallan]]&lt;=TrafficData[[#This Row],[totalChallan]],TrafficData[[#This Row],[pendingChallan]]&lt;=TrafficData[[#This Row],[totalChallan]])</f>
        <v>1</v>
      </c>
      <c r="O3944" s="8" t="b">
        <f>AND(TrafficData[[#This Row],[pendingAmount]]&lt;=TrafficData[[#This Row],[totalAmount]],TrafficData[[#This Row],[disposedAmount]]&lt;=TrafficData[[#This Row],[totalAmount]])</f>
        <v>1</v>
      </c>
      <c r="P3944" s="8" t="b">
        <f>AND(TrafficData[[#This Row],[pendingCourt]]&lt;=TrafficData[[#This Row],[totalCourt]],TrafficData[[#This Row],[disposedCourt]]&lt;=TrafficData[[#This Row],[totalCourt]])</f>
        <v>1</v>
      </c>
    </row>
    <row r="3945" spans="1:16">
      <c r="A3945" s="1">
        <v>45949</v>
      </c>
      <c r="B3945">
        <v>213453</v>
      </c>
      <c r="C3945">
        <v>38820</v>
      </c>
      <c r="D3945">
        <v>174633</v>
      </c>
      <c r="E3945">
        <v>319639407</v>
      </c>
      <c r="F3945">
        <v>45616979</v>
      </c>
      <c r="G3945">
        <v>365256386</v>
      </c>
      <c r="H3945">
        <v>77744</v>
      </c>
      <c r="I3945">
        <v>2349</v>
      </c>
      <c r="J3945">
        <v>80093</v>
      </c>
      <c r="K3945" t="b">
        <f>TrafficData[[#This Row],[disposedChallan]]+TrafficData[[#This Row],[pendingChallan]]=TrafficData[[#This Row],[totalChallan]]</f>
        <v>1</v>
      </c>
      <c r="L3945" t="b">
        <f>TrafficData[[#This Row],[pendingAmount]]+TrafficData[[#This Row],[disposedAmount]]=TrafficData[[#This Row],[totalAmount]]</f>
        <v>1</v>
      </c>
      <c r="M3945" t="b">
        <f>TrafficData[[#This Row],[pendingCourt]]+TrafficData[[#This Row],[disposedCourt]]=TrafficData[[#This Row],[totalCourt]]</f>
        <v>1</v>
      </c>
      <c r="N3945" s="8" t="b">
        <f>AND(TrafficData[[#This Row],[disposedChallan]]&lt;=TrafficData[[#This Row],[totalChallan]],TrafficData[[#This Row],[pendingChallan]]&lt;=TrafficData[[#This Row],[totalChallan]])</f>
        <v>1</v>
      </c>
      <c r="O3945" s="8" t="b">
        <f>AND(TrafficData[[#This Row],[pendingAmount]]&lt;=TrafficData[[#This Row],[totalAmount]],TrafficData[[#This Row],[disposedAmount]]&lt;=TrafficData[[#This Row],[totalAmount]])</f>
        <v>1</v>
      </c>
      <c r="P3945" s="8" t="b">
        <f>AND(TrafficData[[#This Row],[pendingCourt]]&lt;=TrafficData[[#This Row],[totalCourt]],TrafficData[[#This Row],[disposedCourt]]&lt;=TrafficData[[#This Row],[totalCourt]])</f>
        <v>1</v>
      </c>
    </row>
    <row r="3946" spans="1:16">
      <c r="A3946" s="1">
        <v>45950</v>
      </c>
      <c r="B3946">
        <v>157314</v>
      </c>
      <c r="C3946">
        <v>26761</v>
      </c>
      <c r="D3946">
        <v>130553</v>
      </c>
      <c r="E3946">
        <v>219069462</v>
      </c>
      <c r="F3946">
        <v>29718261</v>
      </c>
      <c r="G3946">
        <v>248787723</v>
      </c>
      <c r="H3946">
        <v>58626</v>
      </c>
      <c r="I3946">
        <v>1719</v>
      </c>
      <c r="J3946">
        <v>60345</v>
      </c>
      <c r="K3946" t="b">
        <f>TrafficData[[#This Row],[disposedChallan]]+TrafficData[[#This Row],[pendingChallan]]=TrafficData[[#This Row],[totalChallan]]</f>
        <v>1</v>
      </c>
      <c r="L3946" t="b">
        <f>TrafficData[[#This Row],[pendingAmount]]+TrafficData[[#This Row],[disposedAmount]]=TrafficData[[#This Row],[totalAmount]]</f>
        <v>1</v>
      </c>
      <c r="M3946" t="b">
        <f>TrafficData[[#This Row],[pendingCourt]]+TrafficData[[#This Row],[disposedCourt]]=TrafficData[[#This Row],[totalCourt]]</f>
        <v>1</v>
      </c>
      <c r="N3946" s="8" t="b">
        <f>AND(TrafficData[[#This Row],[disposedChallan]]&lt;=TrafficData[[#This Row],[totalChallan]],TrafficData[[#This Row],[pendingChallan]]&lt;=TrafficData[[#This Row],[totalChallan]])</f>
        <v>1</v>
      </c>
      <c r="O3946" s="8" t="b">
        <f>AND(TrafficData[[#This Row],[pendingAmount]]&lt;=TrafficData[[#This Row],[totalAmount]],TrafficData[[#This Row],[disposedAmount]]&lt;=TrafficData[[#This Row],[totalAmount]])</f>
        <v>1</v>
      </c>
      <c r="P3946" s="8" t="b">
        <f>AND(TrafficData[[#This Row],[pendingCourt]]&lt;=TrafficData[[#This Row],[totalCourt]],TrafficData[[#This Row],[disposedCourt]]&lt;=TrafficData[[#This Row],[totalCourt]])</f>
        <v>1</v>
      </c>
    </row>
    <row r="3947" spans="1:16">
      <c r="A3947" s="1">
        <v>45951</v>
      </c>
      <c r="B3947">
        <v>193124</v>
      </c>
      <c r="C3947">
        <v>33741</v>
      </c>
      <c r="D3947">
        <v>159383</v>
      </c>
      <c r="E3947">
        <v>309236468</v>
      </c>
      <c r="F3947">
        <v>40242891</v>
      </c>
      <c r="G3947">
        <v>349479359</v>
      </c>
      <c r="H3947">
        <v>69916</v>
      </c>
      <c r="I3947">
        <v>2153</v>
      </c>
      <c r="J3947">
        <v>72069</v>
      </c>
      <c r="K3947" t="b">
        <f>TrafficData[[#This Row],[disposedChallan]]+TrafficData[[#This Row],[pendingChallan]]=TrafficData[[#This Row],[totalChallan]]</f>
        <v>1</v>
      </c>
      <c r="L3947" t="b">
        <f>TrafficData[[#This Row],[pendingAmount]]+TrafficData[[#This Row],[disposedAmount]]=TrafficData[[#This Row],[totalAmount]]</f>
        <v>1</v>
      </c>
      <c r="M3947" t="b">
        <f>TrafficData[[#This Row],[pendingCourt]]+TrafficData[[#This Row],[disposedCourt]]=TrafficData[[#This Row],[totalCourt]]</f>
        <v>1</v>
      </c>
      <c r="N3947" s="8" t="b">
        <f>AND(TrafficData[[#This Row],[disposedChallan]]&lt;=TrafficData[[#This Row],[totalChallan]],TrafficData[[#This Row],[pendingChallan]]&lt;=TrafficData[[#This Row],[totalChallan]])</f>
        <v>1</v>
      </c>
      <c r="O3947" s="8" t="b">
        <f>AND(TrafficData[[#This Row],[pendingAmount]]&lt;=TrafficData[[#This Row],[totalAmount]],TrafficData[[#This Row],[disposedAmount]]&lt;=TrafficData[[#This Row],[totalAmount]])</f>
        <v>1</v>
      </c>
      <c r="P3947" s="8" t="b">
        <f>AND(TrafficData[[#This Row],[pendingCourt]]&lt;=TrafficData[[#This Row],[totalCourt]],TrafficData[[#This Row],[disposedCourt]]&lt;=TrafficData[[#This Row],[totalCourt]])</f>
        <v>1</v>
      </c>
    </row>
    <row r="3948" spans="1:16">
      <c r="A3948" s="1">
        <v>45952</v>
      </c>
      <c r="B3948">
        <v>222078</v>
      </c>
      <c r="C3948">
        <v>40002</v>
      </c>
      <c r="D3948">
        <v>182076</v>
      </c>
      <c r="E3948">
        <v>376857644</v>
      </c>
      <c r="F3948">
        <v>52946408</v>
      </c>
      <c r="G3948">
        <v>429804052</v>
      </c>
      <c r="H3948">
        <v>77205</v>
      </c>
      <c r="I3948">
        <v>2384</v>
      </c>
      <c r="J3948">
        <v>79589</v>
      </c>
      <c r="K3948" t="b">
        <f>TrafficData[[#This Row],[disposedChallan]]+TrafficData[[#This Row],[pendingChallan]]=TrafficData[[#This Row],[totalChallan]]</f>
        <v>1</v>
      </c>
      <c r="L3948" t="b">
        <f>TrafficData[[#This Row],[pendingAmount]]+TrafficData[[#This Row],[disposedAmount]]=TrafficData[[#This Row],[totalAmount]]</f>
        <v>1</v>
      </c>
      <c r="M3948" t="b">
        <f>TrafficData[[#This Row],[pendingCourt]]+TrafficData[[#This Row],[disposedCourt]]=TrafficData[[#This Row],[totalCourt]]</f>
        <v>1</v>
      </c>
      <c r="N3948" s="8" t="b">
        <f>AND(TrafficData[[#This Row],[disposedChallan]]&lt;=TrafficData[[#This Row],[totalChallan]],TrafficData[[#This Row],[pendingChallan]]&lt;=TrafficData[[#This Row],[totalChallan]])</f>
        <v>1</v>
      </c>
      <c r="O3948" s="8" t="b">
        <f>AND(TrafficData[[#This Row],[pendingAmount]]&lt;=TrafficData[[#This Row],[totalAmount]],TrafficData[[#This Row],[disposedAmount]]&lt;=TrafficData[[#This Row],[totalAmount]])</f>
        <v>1</v>
      </c>
      <c r="P3948" s="8" t="b">
        <f>AND(TrafficData[[#This Row],[pendingCourt]]&lt;=TrafficData[[#This Row],[totalCourt]],TrafficData[[#This Row],[disposedCourt]]&lt;=TrafficData[[#This Row],[totalCourt]])</f>
        <v>1</v>
      </c>
    </row>
    <row r="3949" spans="1:16">
      <c r="A3949" s="1">
        <v>45953</v>
      </c>
      <c r="B3949">
        <v>235805</v>
      </c>
      <c r="C3949">
        <v>43345</v>
      </c>
      <c r="D3949">
        <v>192460</v>
      </c>
      <c r="E3949">
        <v>396070977</v>
      </c>
      <c r="F3949">
        <v>61572308</v>
      </c>
      <c r="G3949">
        <v>457643285</v>
      </c>
      <c r="H3949">
        <v>79721</v>
      </c>
      <c r="I3949">
        <v>2540</v>
      </c>
      <c r="J3949">
        <v>82261</v>
      </c>
      <c r="K3949" t="b">
        <f>TrafficData[[#This Row],[disposedChallan]]+TrafficData[[#This Row],[pendingChallan]]=TrafficData[[#This Row],[totalChallan]]</f>
        <v>1</v>
      </c>
      <c r="L3949" t="b">
        <f>TrafficData[[#This Row],[pendingAmount]]+TrafficData[[#This Row],[disposedAmount]]=TrafficData[[#This Row],[totalAmount]]</f>
        <v>1</v>
      </c>
      <c r="M3949" t="b">
        <f>TrafficData[[#This Row],[pendingCourt]]+TrafficData[[#This Row],[disposedCourt]]=TrafficData[[#This Row],[totalCourt]]</f>
        <v>1</v>
      </c>
      <c r="N3949" s="8" t="b">
        <f>AND(TrafficData[[#This Row],[disposedChallan]]&lt;=TrafficData[[#This Row],[totalChallan]],TrafficData[[#This Row],[pendingChallan]]&lt;=TrafficData[[#This Row],[totalChallan]])</f>
        <v>1</v>
      </c>
      <c r="O3949" s="8" t="b">
        <f>AND(TrafficData[[#This Row],[pendingAmount]]&lt;=TrafficData[[#This Row],[totalAmount]],TrafficData[[#This Row],[disposedAmount]]&lt;=TrafficData[[#This Row],[totalAmount]])</f>
        <v>1</v>
      </c>
      <c r="P3949" s="8" t="b">
        <f>AND(TrafficData[[#This Row],[pendingCourt]]&lt;=TrafficData[[#This Row],[totalCourt]],TrafficData[[#This Row],[disposedCourt]]&lt;=TrafficData[[#This Row],[totalCourt]])</f>
        <v>1</v>
      </c>
    </row>
    <row r="3950" spans="1:16">
      <c r="A3950" s="1">
        <v>45954</v>
      </c>
      <c r="B3950">
        <v>265205</v>
      </c>
      <c r="C3950">
        <v>50496</v>
      </c>
      <c r="D3950">
        <v>214709</v>
      </c>
      <c r="E3950">
        <v>448426417</v>
      </c>
      <c r="F3950">
        <v>81689007</v>
      </c>
      <c r="G3950">
        <v>530115424</v>
      </c>
      <c r="H3950">
        <v>91783</v>
      </c>
      <c r="I3950">
        <v>2749</v>
      </c>
      <c r="J3950">
        <v>94532</v>
      </c>
      <c r="K3950" t="b">
        <f>TrafficData[[#This Row],[disposedChallan]]+TrafficData[[#This Row],[pendingChallan]]=TrafficData[[#This Row],[totalChallan]]</f>
        <v>1</v>
      </c>
      <c r="L3950" t="b">
        <f>TrafficData[[#This Row],[pendingAmount]]+TrafficData[[#This Row],[disposedAmount]]=TrafficData[[#This Row],[totalAmount]]</f>
        <v>1</v>
      </c>
      <c r="M3950" t="b">
        <f>TrafficData[[#This Row],[pendingCourt]]+TrafficData[[#This Row],[disposedCourt]]=TrafficData[[#This Row],[totalCourt]]</f>
        <v>1</v>
      </c>
      <c r="N3950" s="8" t="b">
        <f>AND(TrafficData[[#This Row],[disposedChallan]]&lt;=TrafficData[[#This Row],[totalChallan]],TrafficData[[#This Row],[pendingChallan]]&lt;=TrafficData[[#This Row],[totalChallan]])</f>
        <v>1</v>
      </c>
      <c r="O3950" s="8" t="b">
        <f>AND(TrafficData[[#This Row],[pendingAmount]]&lt;=TrafficData[[#This Row],[totalAmount]],TrafficData[[#This Row],[disposedAmount]]&lt;=TrafficData[[#This Row],[totalAmount]])</f>
        <v>1</v>
      </c>
      <c r="P3950" s="8" t="b">
        <f>AND(TrafficData[[#This Row],[pendingCourt]]&lt;=TrafficData[[#This Row],[totalCourt]],TrafficData[[#This Row],[disposedCourt]]&lt;=TrafficData[[#This Row],[totalCourt]])</f>
        <v>1</v>
      </c>
    </row>
    <row r="3951" spans="1:16">
      <c r="A3951" s="1">
        <v>45955</v>
      </c>
      <c r="B3951">
        <v>264950</v>
      </c>
      <c r="C3951">
        <v>52475</v>
      </c>
      <c r="D3951">
        <v>212475</v>
      </c>
      <c r="E3951">
        <v>455608045</v>
      </c>
      <c r="F3951">
        <v>88660683</v>
      </c>
      <c r="G3951">
        <v>544268728</v>
      </c>
      <c r="H3951">
        <v>92350</v>
      </c>
      <c r="I3951">
        <v>2832</v>
      </c>
      <c r="J3951">
        <v>95182</v>
      </c>
      <c r="K3951" t="b">
        <f>TrafficData[[#This Row],[disposedChallan]]+TrafficData[[#This Row],[pendingChallan]]=TrafficData[[#This Row],[totalChallan]]</f>
        <v>1</v>
      </c>
      <c r="L3951" t="b">
        <f>TrafficData[[#This Row],[pendingAmount]]+TrafficData[[#This Row],[disposedAmount]]=TrafficData[[#This Row],[totalAmount]]</f>
        <v>1</v>
      </c>
      <c r="M3951" t="b">
        <f>TrafficData[[#This Row],[pendingCourt]]+TrafficData[[#This Row],[disposedCourt]]=TrafficData[[#This Row],[totalCourt]]</f>
        <v>1</v>
      </c>
      <c r="N3951" s="8" t="b">
        <f>AND(TrafficData[[#This Row],[disposedChallan]]&lt;=TrafficData[[#This Row],[totalChallan]],TrafficData[[#This Row],[pendingChallan]]&lt;=TrafficData[[#This Row],[totalChallan]])</f>
        <v>1</v>
      </c>
      <c r="O3951" s="8" t="b">
        <f>AND(TrafficData[[#This Row],[pendingAmount]]&lt;=TrafficData[[#This Row],[totalAmount]],TrafficData[[#This Row],[disposedAmount]]&lt;=TrafficData[[#This Row],[totalAmount]])</f>
        <v>1</v>
      </c>
      <c r="P3951" s="8" t="b">
        <f>AND(TrafficData[[#This Row],[pendingCourt]]&lt;=TrafficData[[#This Row],[totalCourt]],TrafficData[[#This Row],[disposedCourt]]&lt;=TrafficData[[#This Row],[totalCourt]])</f>
        <v>1</v>
      </c>
    </row>
    <row r="3952" spans="1:16">
      <c r="A3952" s="1">
        <v>45956</v>
      </c>
      <c r="B3952">
        <v>234845</v>
      </c>
      <c r="C3952">
        <v>46148</v>
      </c>
      <c r="D3952">
        <v>188697</v>
      </c>
      <c r="E3952">
        <v>376917373</v>
      </c>
      <c r="F3952">
        <v>70028815</v>
      </c>
      <c r="G3952">
        <v>446946188</v>
      </c>
      <c r="H3952">
        <v>82801</v>
      </c>
      <c r="I3952">
        <v>2409</v>
      </c>
      <c r="J3952">
        <v>85210</v>
      </c>
      <c r="K3952" t="b">
        <f>TrafficData[[#This Row],[disposedChallan]]+TrafficData[[#This Row],[pendingChallan]]=TrafficData[[#This Row],[totalChallan]]</f>
        <v>1</v>
      </c>
      <c r="L3952" t="b">
        <f>TrafficData[[#This Row],[pendingAmount]]+TrafficData[[#This Row],[disposedAmount]]=TrafficData[[#This Row],[totalAmount]]</f>
        <v>1</v>
      </c>
      <c r="M3952" t="b">
        <f>TrafficData[[#This Row],[pendingCourt]]+TrafficData[[#This Row],[disposedCourt]]=TrafficData[[#This Row],[totalCourt]]</f>
        <v>1</v>
      </c>
      <c r="N3952" s="8" t="b">
        <f>AND(TrafficData[[#This Row],[disposedChallan]]&lt;=TrafficData[[#This Row],[totalChallan]],TrafficData[[#This Row],[pendingChallan]]&lt;=TrafficData[[#This Row],[totalChallan]])</f>
        <v>1</v>
      </c>
      <c r="O3952" s="8" t="b">
        <f>AND(TrafficData[[#This Row],[pendingAmount]]&lt;=TrafficData[[#This Row],[totalAmount]],TrafficData[[#This Row],[disposedAmount]]&lt;=TrafficData[[#This Row],[totalAmount]])</f>
        <v>1</v>
      </c>
      <c r="P3952" s="8" t="b">
        <f>AND(TrafficData[[#This Row],[pendingCourt]]&lt;=TrafficData[[#This Row],[totalCourt]],TrafficData[[#This Row],[disposedCourt]]&lt;=TrafficData[[#This Row],[totalCourt]])</f>
        <v>1</v>
      </c>
    </row>
    <row r="3953" spans="1:16">
      <c r="A3953" s="1">
        <v>45957</v>
      </c>
      <c r="B3953">
        <v>219112</v>
      </c>
      <c r="C3953">
        <v>40557</v>
      </c>
      <c r="D3953">
        <v>178555</v>
      </c>
      <c r="E3953">
        <v>381477049</v>
      </c>
      <c r="F3953">
        <v>75127882</v>
      </c>
      <c r="G3953">
        <v>456604931</v>
      </c>
      <c r="H3953">
        <v>83193</v>
      </c>
      <c r="I3953">
        <v>2324</v>
      </c>
      <c r="J3953">
        <v>85517</v>
      </c>
      <c r="K3953" t="b">
        <f>TrafficData[[#This Row],[disposedChallan]]+TrafficData[[#This Row],[pendingChallan]]=TrafficData[[#This Row],[totalChallan]]</f>
        <v>1</v>
      </c>
      <c r="L3953" t="b">
        <f>TrafficData[[#This Row],[pendingAmount]]+TrafficData[[#This Row],[disposedAmount]]=TrafficData[[#This Row],[totalAmount]]</f>
        <v>1</v>
      </c>
      <c r="M3953" t="b">
        <f>TrafficData[[#This Row],[pendingCourt]]+TrafficData[[#This Row],[disposedCourt]]=TrafficData[[#This Row],[totalCourt]]</f>
        <v>1</v>
      </c>
      <c r="N3953" s="8" t="b">
        <f>AND(TrafficData[[#This Row],[disposedChallan]]&lt;=TrafficData[[#This Row],[totalChallan]],TrafficData[[#This Row],[pendingChallan]]&lt;=TrafficData[[#This Row],[totalChallan]])</f>
        <v>1</v>
      </c>
      <c r="O3953" s="8" t="b">
        <f>AND(TrafficData[[#This Row],[pendingAmount]]&lt;=TrafficData[[#This Row],[totalAmount]],TrafficData[[#This Row],[disposedAmount]]&lt;=TrafficData[[#This Row],[totalAmount]])</f>
        <v>1</v>
      </c>
      <c r="P3953" s="8" t="b">
        <f>AND(TrafficData[[#This Row],[pendingCourt]]&lt;=TrafficData[[#This Row],[totalCourt]],TrafficData[[#This Row],[disposedCourt]]&lt;=TrafficData[[#This Row],[totalCourt]])</f>
        <v>1</v>
      </c>
    </row>
    <row r="3954" spans="1:16">
      <c r="A3954" s="1">
        <v>45958</v>
      </c>
      <c r="B3954">
        <v>233675</v>
      </c>
      <c r="C3954">
        <v>42929</v>
      </c>
      <c r="D3954">
        <v>190746</v>
      </c>
      <c r="E3954">
        <v>404111397</v>
      </c>
      <c r="F3954">
        <v>84388721</v>
      </c>
      <c r="G3954">
        <v>488500118</v>
      </c>
      <c r="H3954">
        <v>90834</v>
      </c>
      <c r="I3954">
        <v>2426</v>
      </c>
      <c r="J3954">
        <v>93260</v>
      </c>
      <c r="K3954" t="b">
        <f>TrafficData[[#This Row],[disposedChallan]]+TrafficData[[#This Row],[pendingChallan]]=TrafficData[[#This Row],[totalChallan]]</f>
        <v>1</v>
      </c>
      <c r="L3954" t="b">
        <f>TrafficData[[#This Row],[pendingAmount]]+TrafficData[[#This Row],[disposedAmount]]=TrafficData[[#This Row],[totalAmount]]</f>
        <v>1</v>
      </c>
      <c r="M3954" t="b">
        <f>TrafficData[[#This Row],[pendingCourt]]+TrafficData[[#This Row],[disposedCourt]]=TrafficData[[#This Row],[totalCourt]]</f>
        <v>1</v>
      </c>
      <c r="N3954" s="8" t="b">
        <f>AND(TrafficData[[#This Row],[disposedChallan]]&lt;=TrafficData[[#This Row],[totalChallan]],TrafficData[[#This Row],[pendingChallan]]&lt;=TrafficData[[#This Row],[totalChallan]])</f>
        <v>1</v>
      </c>
      <c r="O3954" s="8" t="b">
        <f>AND(TrafficData[[#This Row],[pendingAmount]]&lt;=TrafficData[[#This Row],[totalAmount]],TrafficData[[#This Row],[disposedAmount]]&lt;=TrafficData[[#This Row],[totalAmount]])</f>
        <v>1</v>
      </c>
      <c r="P3954" s="8" t="b">
        <f>AND(TrafficData[[#This Row],[pendingCourt]]&lt;=TrafficData[[#This Row],[totalCourt]],TrafficData[[#This Row],[disposedCourt]]&lt;=TrafficData[[#This Row],[totalCourt]])</f>
        <v>1</v>
      </c>
    </row>
    <row r="3955" spans="1:16">
      <c r="A3955" s="1">
        <v>45959</v>
      </c>
      <c r="B3955">
        <v>248524</v>
      </c>
      <c r="C3955">
        <v>47720</v>
      </c>
      <c r="D3955">
        <v>200804</v>
      </c>
      <c r="E3955">
        <v>411128617</v>
      </c>
      <c r="F3955">
        <v>85917241</v>
      </c>
      <c r="G3955">
        <v>497045858</v>
      </c>
      <c r="H3955">
        <v>95873</v>
      </c>
      <c r="I3955">
        <v>2578</v>
      </c>
      <c r="J3955">
        <v>98451</v>
      </c>
      <c r="K3955" t="b">
        <f>TrafficData[[#This Row],[disposedChallan]]+TrafficData[[#This Row],[pendingChallan]]=TrafficData[[#This Row],[totalChallan]]</f>
        <v>1</v>
      </c>
      <c r="L3955" t="b">
        <f>TrafficData[[#This Row],[pendingAmount]]+TrafficData[[#This Row],[disposedAmount]]=TrafficData[[#This Row],[totalAmount]]</f>
        <v>1</v>
      </c>
      <c r="M3955" t="b">
        <f>TrafficData[[#This Row],[pendingCourt]]+TrafficData[[#This Row],[disposedCourt]]=TrafficData[[#This Row],[totalCourt]]</f>
        <v>1</v>
      </c>
      <c r="N3955" s="8" t="b">
        <f>AND(TrafficData[[#This Row],[disposedChallan]]&lt;=TrafficData[[#This Row],[totalChallan]],TrafficData[[#This Row],[pendingChallan]]&lt;=TrafficData[[#This Row],[totalChallan]])</f>
        <v>1</v>
      </c>
      <c r="O3955" s="8" t="b">
        <f>AND(TrafficData[[#This Row],[pendingAmount]]&lt;=TrafficData[[#This Row],[totalAmount]],TrafficData[[#This Row],[disposedAmount]]&lt;=TrafficData[[#This Row],[totalAmount]])</f>
        <v>1</v>
      </c>
      <c r="P3955" s="8" t="b">
        <f>AND(TrafficData[[#This Row],[pendingCourt]]&lt;=TrafficData[[#This Row],[totalCourt]],TrafficData[[#This Row],[disposedCourt]]&lt;=TrafficData[[#This Row],[totalCourt]])</f>
        <v>1</v>
      </c>
    </row>
    <row r="3956" spans="1:16">
      <c r="A3956" s="1">
        <v>45960</v>
      </c>
      <c r="B3956">
        <v>232109</v>
      </c>
      <c r="C3956">
        <v>46306</v>
      </c>
      <c r="D3956">
        <v>185803</v>
      </c>
      <c r="E3956">
        <v>381731257</v>
      </c>
      <c r="F3956">
        <v>83499935</v>
      </c>
      <c r="G3956">
        <v>465231192</v>
      </c>
      <c r="H3956">
        <v>83066</v>
      </c>
      <c r="I3956">
        <v>2254</v>
      </c>
      <c r="J3956">
        <v>85320</v>
      </c>
      <c r="K3956" t="b">
        <f>TrafficData[[#This Row],[disposedChallan]]+TrafficData[[#This Row],[pendingChallan]]=TrafficData[[#This Row],[totalChallan]]</f>
        <v>1</v>
      </c>
      <c r="L3956" t="b">
        <f>TrafficData[[#This Row],[pendingAmount]]+TrafficData[[#This Row],[disposedAmount]]=TrafficData[[#This Row],[totalAmount]]</f>
        <v>1</v>
      </c>
      <c r="M3956" t="b">
        <f>TrafficData[[#This Row],[pendingCourt]]+TrafficData[[#This Row],[disposedCourt]]=TrafficData[[#This Row],[totalCourt]]</f>
        <v>1</v>
      </c>
      <c r="N3956" s="8" t="b">
        <f>AND(TrafficData[[#This Row],[disposedChallan]]&lt;=TrafficData[[#This Row],[totalChallan]],TrafficData[[#This Row],[pendingChallan]]&lt;=TrafficData[[#This Row],[totalChallan]])</f>
        <v>1</v>
      </c>
      <c r="O3956" s="8" t="b">
        <f>AND(TrafficData[[#This Row],[pendingAmount]]&lt;=TrafficData[[#This Row],[totalAmount]],TrafficData[[#This Row],[disposedAmount]]&lt;=TrafficData[[#This Row],[totalAmount]])</f>
        <v>1</v>
      </c>
      <c r="P3956" s="8" t="b">
        <f>AND(TrafficData[[#This Row],[pendingCourt]]&lt;=TrafficData[[#This Row],[totalCourt]],TrafficData[[#This Row],[disposedCourt]]&lt;=TrafficData[[#This Row],[totalCourt]])</f>
        <v>1</v>
      </c>
    </row>
    <row r="3957" spans="1:16">
      <c r="A3957" s="1">
        <v>45961</v>
      </c>
      <c r="B3957">
        <v>234040</v>
      </c>
      <c r="C3957">
        <v>45282</v>
      </c>
      <c r="D3957">
        <v>188758</v>
      </c>
      <c r="E3957">
        <v>370814461</v>
      </c>
      <c r="F3957">
        <v>76253770</v>
      </c>
      <c r="G3957">
        <v>447068231</v>
      </c>
      <c r="H3957">
        <v>81191</v>
      </c>
      <c r="I3957">
        <v>2031</v>
      </c>
      <c r="J3957">
        <v>83222</v>
      </c>
      <c r="K3957" t="b">
        <f>TrafficData[[#This Row],[disposedChallan]]+TrafficData[[#This Row],[pendingChallan]]=TrafficData[[#This Row],[totalChallan]]</f>
        <v>1</v>
      </c>
      <c r="L3957" t="b">
        <f>TrafficData[[#This Row],[pendingAmount]]+TrafficData[[#This Row],[disposedAmount]]=TrafficData[[#This Row],[totalAmount]]</f>
        <v>1</v>
      </c>
      <c r="M3957" t="b">
        <f>TrafficData[[#This Row],[pendingCourt]]+TrafficData[[#This Row],[disposedCourt]]=TrafficData[[#This Row],[totalCourt]]</f>
        <v>1</v>
      </c>
      <c r="N3957" s="8" t="b">
        <f>AND(TrafficData[[#This Row],[disposedChallan]]&lt;=TrafficData[[#This Row],[totalChallan]],TrafficData[[#This Row],[pendingChallan]]&lt;=TrafficData[[#This Row],[totalChallan]])</f>
        <v>1</v>
      </c>
      <c r="O3957" s="8" t="b">
        <f>AND(TrafficData[[#This Row],[pendingAmount]]&lt;=TrafficData[[#This Row],[totalAmount]],TrafficData[[#This Row],[disposedAmount]]&lt;=TrafficData[[#This Row],[totalAmount]])</f>
        <v>1</v>
      </c>
      <c r="P3957" s="8" t="b">
        <f>AND(TrafficData[[#This Row],[pendingCourt]]&lt;=TrafficData[[#This Row],[totalCourt]],TrafficData[[#This Row],[disposedCourt]]&lt;=TrafficData[[#This Row],[totalCourt]])</f>
        <v>1</v>
      </c>
    </row>
    <row r="3958" spans="1:16">
      <c r="A3958" s="1">
        <v>45962</v>
      </c>
      <c r="B3958">
        <v>257010</v>
      </c>
      <c r="C3958">
        <v>53065</v>
      </c>
      <c r="D3958">
        <v>203945</v>
      </c>
      <c r="E3958">
        <v>384228877</v>
      </c>
      <c r="F3958">
        <v>90069079</v>
      </c>
      <c r="G3958">
        <v>474297956</v>
      </c>
      <c r="H3958">
        <v>90698</v>
      </c>
      <c r="I3958">
        <v>2263</v>
      </c>
      <c r="J3958">
        <v>92961</v>
      </c>
      <c r="K3958" t="b">
        <f>TrafficData[[#This Row],[disposedChallan]]+TrafficData[[#This Row],[pendingChallan]]=TrafficData[[#This Row],[totalChallan]]</f>
        <v>1</v>
      </c>
      <c r="L3958" t="b">
        <f>TrafficData[[#This Row],[pendingAmount]]+TrafficData[[#This Row],[disposedAmount]]=TrafficData[[#This Row],[totalAmount]]</f>
        <v>1</v>
      </c>
      <c r="M3958" t="b">
        <f>TrafficData[[#This Row],[pendingCourt]]+TrafficData[[#This Row],[disposedCourt]]=TrafficData[[#This Row],[totalCourt]]</f>
        <v>1</v>
      </c>
      <c r="N3958" s="8" t="b">
        <f>AND(TrafficData[[#This Row],[disposedChallan]]&lt;=TrafficData[[#This Row],[totalChallan]],TrafficData[[#This Row],[pendingChallan]]&lt;=TrafficData[[#This Row],[totalChallan]])</f>
        <v>1</v>
      </c>
      <c r="O3958" s="8" t="b">
        <f>AND(TrafficData[[#This Row],[pendingAmount]]&lt;=TrafficData[[#This Row],[totalAmount]],TrafficData[[#This Row],[disposedAmount]]&lt;=TrafficData[[#This Row],[totalAmount]])</f>
        <v>1</v>
      </c>
      <c r="P3958" s="8" t="b">
        <f>AND(TrafficData[[#This Row],[pendingCourt]]&lt;=TrafficData[[#This Row],[totalCourt]],TrafficData[[#This Row],[disposedCourt]]&lt;=TrafficData[[#This Row],[totalCourt]])</f>
        <v>1</v>
      </c>
    </row>
    <row r="3959" spans="1:16">
      <c r="A3959" s="1">
        <v>45963</v>
      </c>
      <c r="B3959">
        <v>252590</v>
      </c>
      <c r="C3959">
        <v>49480</v>
      </c>
      <c r="D3959">
        <v>203110</v>
      </c>
      <c r="E3959">
        <v>353203595</v>
      </c>
      <c r="F3959">
        <v>73079543</v>
      </c>
      <c r="G3959">
        <v>426283138</v>
      </c>
      <c r="H3959">
        <v>93383</v>
      </c>
      <c r="I3959">
        <v>1940</v>
      </c>
      <c r="J3959">
        <v>95323</v>
      </c>
      <c r="K3959" t="b">
        <f>TrafficData[[#This Row],[disposedChallan]]+TrafficData[[#This Row],[pendingChallan]]=TrafficData[[#This Row],[totalChallan]]</f>
        <v>1</v>
      </c>
      <c r="L3959" t="b">
        <f>TrafficData[[#This Row],[pendingAmount]]+TrafficData[[#This Row],[disposedAmount]]=TrafficData[[#This Row],[totalAmount]]</f>
        <v>1</v>
      </c>
      <c r="M3959" t="b">
        <f>TrafficData[[#This Row],[pendingCourt]]+TrafficData[[#This Row],[disposedCourt]]=TrafficData[[#This Row],[totalCourt]]</f>
        <v>1</v>
      </c>
      <c r="N3959" s="8" t="b">
        <f>AND(TrafficData[[#This Row],[disposedChallan]]&lt;=TrafficData[[#This Row],[totalChallan]],TrafficData[[#This Row],[pendingChallan]]&lt;=TrafficData[[#This Row],[totalChallan]])</f>
        <v>1</v>
      </c>
      <c r="O3959" s="8" t="b">
        <f>AND(TrafficData[[#This Row],[pendingAmount]]&lt;=TrafficData[[#This Row],[totalAmount]],TrafficData[[#This Row],[disposedAmount]]&lt;=TrafficData[[#This Row],[totalAmount]])</f>
        <v>1</v>
      </c>
      <c r="P3959" s="8" t="b">
        <f>AND(TrafficData[[#This Row],[pendingCourt]]&lt;=TrafficData[[#This Row],[totalCourt]],TrafficData[[#This Row],[disposedCourt]]&lt;=TrafficData[[#This Row],[totalCourt]])</f>
        <v>1</v>
      </c>
    </row>
    <row r="3960" spans="1:16">
      <c r="A3960" s="1">
        <v>45964</v>
      </c>
      <c r="B3960">
        <v>281338</v>
      </c>
      <c r="C3960">
        <v>51734</v>
      </c>
      <c r="D3960">
        <v>229604</v>
      </c>
      <c r="E3960">
        <v>441846535</v>
      </c>
      <c r="F3960">
        <v>94968104</v>
      </c>
      <c r="G3960">
        <v>536814639</v>
      </c>
      <c r="H3960">
        <v>94116</v>
      </c>
      <c r="I3960">
        <v>2352</v>
      </c>
      <c r="J3960">
        <v>96468</v>
      </c>
      <c r="K3960" t="b">
        <f>TrafficData[[#This Row],[disposedChallan]]+TrafficData[[#This Row],[pendingChallan]]=TrafficData[[#This Row],[totalChallan]]</f>
        <v>1</v>
      </c>
      <c r="L3960" t="b">
        <f>TrafficData[[#This Row],[pendingAmount]]+TrafficData[[#This Row],[disposedAmount]]=TrafficData[[#This Row],[totalAmount]]</f>
        <v>1</v>
      </c>
      <c r="M3960" t="b">
        <f>TrafficData[[#This Row],[pendingCourt]]+TrafficData[[#This Row],[disposedCourt]]=TrafficData[[#This Row],[totalCourt]]</f>
        <v>1</v>
      </c>
      <c r="N3960" s="8" t="b">
        <f>AND(TrafficData[[#This Row],[disposedChallan]]&lt;=TrafficData[[#This Row],[totalChallan]],TrafficData[[#This Row],[pendingChallan]]&lt;=TrafficData[[#This Row],[totalChallan]])</f>
        <v>1</v>
      </c>
      <c r="O3960" s="8" t="b">
        <f>AND(TrafficData[[#This Row],[pendingAmount]]&lt;=TrafficData[[#This Row],[totalAmount]],TrafficData[[#This Row],[disposedAmount]]&lt;=TrafficData[[#This Row],[totalAmount]])</f>
        <v>1</v>
      </c>
      <c r="P3960" s="8" t="b">
        <f>AND(TrafficData[[#This Row],[pendingCourt]]&lt;=TrafficData[[#This Row],[totalCourt]],TrafficData[[#This Row],[disposedCourt]]&lt;=TrafficData[[#This Row],[totalCourt]])</f>
        <v>1</v>
      </c>
    </row>
    <row r="3961" spans="1:16">
      <c r="A3961" s="1">
        <v>45965</v>
      </c>
      <c r="B3961">
        <v>283882</v>
      </c>
      <c r="C3961">
        <v>52773</v>
      </c>
      <c r="D3961">
        <v>231109</v>
      </c>
      <c r="E3961">
        <v>449569806</v>
      </c>
      <c r="F3961">
        <v>109057163</v>
      </c>
      <c r="G3961">
        <v>558626969</v>
      </c>
      <c r="H3961">
        <v>91998</v>
      </c>
      <c r="I3961">
        <v>2377</v>
      </c>
      <c r="J3961">
        <v>94375</v>
      </c>
      <c r="K3961" t="b">
        <f>TrafficData[[#This Row],[disposedChallan]]+TrafficData[[#This Row],[pendingChallan]]=TrafficData[[#This Row],[totalChallan]]</f>
        <v>1</v>
      </c>
      <c r="L3961" t="b">
        <f>TrafficData[[#This Row],[pendingAmount]]+TrafficData[[#This Row],[disposedAmount]]=TrafficData[[#This Row],[totalAmount]]</f>
        <v>1</v>
      </c>
      <c r="M3961" t="b">
        <f>TrafficData[[#This Row],[pendingCourt]]+TrafficData[[#This Row],[disposedCourt]]=TrafficData[[#This Row],[totalCourt]]</f>
        <v>1</v>
      </c>
      <c r="N3961" s="8" t="b">
        <f>AND(TrafficData[[#This Row],[disposedChallan]]&lt;=TrafficData[[#This Row],[totalChallan]],TrafficData[[#This Row],[pendingChallan]]&lt;=TrafficData[[#This Row],[totalChallan]])</f>
        <v>1</v>
      </c>
      <c r="O3961" s="8" t="b">
        <f>AND(TrafficData[[#This Row],[pendingAmount]]&lt;=TrafficData[[#This Row],[totalAmount]],TrafficData[[#This Row],[disposedAmount]]&lt;=TrafficData[[#This Row],[totalAmount]])</f>
        <v>1</v>
      </c>
      <c r="P3961" s="8" t="b">
        <f>AND(TrafficData[[#This Row],[pendingCourt]]&lt;=TrafficData[[#This Row],[totalCourt]],TrafficData[[#This Row],[disposedCourt]]&lt;=TrafficData[[#This Row],[totalCourt]])</f>
        <v>1</v>
      </c>
    </row>
    <row r="3962" spans="1:16">
      <c r="A3962" s="1">
        <v>45966</v>
      </c>
      <c r="B3962">
        <v>293871</v>
      </c>
      <c r="C3962">
        <v>53638</v>
      </c>
      <c r="D3962">
        <v>240233</v>
      </c>
      <c r="E3962">
        <v>448671345</v>
      </c>
      <c r="F3962">
        <v>95114026</v>
      </c>
      <c r="G3962">
        <v>543785371</v>
      </c>
      <c r="H3962">
        <v>94968</v>
      </c>
      <c r="I3962">
        <v>2346</v>
      </c>
      <c r="J3962">
        <v>97314</v>
      </c>
      <c r="K3962" t="b">
        <f>TrafficData[[#This Row],[disposedChallan]]+TrafficData[[#This Row],[pendingChallan]]=TrafficData[[#This Row],[totalChallan]]</f>
        <v>1</v>
      </c>
      <c r="L3962" t="b">
        <f>TrafficData[[#This Row],[pendingAmount]]+TrafficData[[#This Row],[disposedAmount]]=TrafficData[[#This Row],[totalAmount]]</f>
        <v>1</v>
      </c>
      <c r="M3962" t="b">
        <f>TrafficData[[#This Row],[pendingCourt]]+TrafficData[[#This Row],[disposedCourt]]=TrafficData[[#This Row],[totalCourt]]</f>
        <v>1</v>
      </c>
      <c r="N3962" s="8" t="b">
        <f>AND(TrafficData[[#This Row],[disposedChallan]]&lt;=TrafficData[[#This Row],[totalChallan]],TrafficData[[#This Row],[pendingChallan]]&lt;=TrafficData[[#This Row],[totalChallan]])</f>
        <v>1</v>
      </c>
      <c r="O3962" s="8" t="b">
        <f>AND(TrafficData[[#This Row],[pendingAmount]]&lt;=TrafficData[[#This Row],[totalAmount]],TrafficData[[#This Row],[disposedAmount]]&lt;=TrafficData[[#This Row],[totalAmount]])</f>
        <v>1</v>
      </c>
      <c r="P3962" s="8" t="b">
        <f>AND(TrafficData[[#This Row],[pendingCourt]]&lt;=TrafficData[[#This Row],[totalCourt]],TrafficData[[#This Row],[disposedCourt]]&lt;=TrafficData[[#This Row],[totalCourt]])</f>
        <v>1</v>
      </c>
    </row>
    <row r="3963" spans="1:16">
      <c r="A3963" s="1">
        <v>45967</v>
      </c>
      <c r="B3963">
        <v>309149</v>
      </c>
      <c r="C3963">
        <v>56299</v>
      </c>
      <c r="D3963">
        <v>252850</v>
      </c>
      <c r="E3963">
        <v>482217448</v>
      </c>
      <c r="F3963">
        <v>103786970</v>
      </c>
      <c r="G3963">
        <v>586004418</v>
      </c>
      <c r="H3963">
        <v>95238</v>
      </c>
      <c r="I3963">
        <v>2424</v>
      </c>
      <c r="J3963">
        <v>97662</v>
      </c>
      <c r="K3963" t="b">
        <f>TrafficData[[#This Row],[disposedChallan]]+TrafficData[[#This Row],[pendingChallan]]=TrafficData[[#This Row],[totalChallan]]</f>
        <v>1</v>
      </c>
      <c r="L3963" t="b">
        <f>TrafficData[[#This Row],[pendingAmount]]+TrafficData[[#This Row],[disposedAmount]]=TrafficData[[#This Row],[totalAmount]]</f>
        <v>1</v>
      </c>
      <c r="M3963" t="b">
        <f>TrafficData[[#This Row],[pendingCourt]]+TrafficData[[#This Row],[disposedCourt]]=TrafficData[[#This Row],[totalCourt]]</f>
        <v>1</v>
      </c>
      <c r="N3963" s="8" t="b">
        <f>AND(TrafficData[[#This Row],[disposedChallan]]&lt;=TrafficData[[#This Row],[totalChallan]],TrafficData[[#This Row],[pendingChallan]]&lt;=TrafficData[[#This Row],[totalChallan]])</f>
        <v>1</v>
      </c>
      <c r="O3963" s="8" t="b">
        <f>AND(TrafficData[[#This Row],[pendingAmount]]&lt;=TrafficData[[#This Row],[totalAmount]],TrafficData[[#This Row],[disposedAmount]]&lt;=TrafficData[[#This Row],[totalAmount]])</f>
        <v>1</v>
      </c>
      <c r="P3963" s="8" t="b">
        <f>AND(TrafficData[[#This Row],[pendingCourt]]&lt;=TrafficData[[#This Row],[totalCourt]],TrafficData[[#This Row],[disposedCourt]]&lt;=TrafficData[[#This Row],[totalCourt]])</f>
        <v>1</v>
      </c>
    </row>
    <row r="3964" spans="1:16">
      <c r="A3964" s="1">
        <v>45968</v>
      </c>
      <c r="B3964">
        <v>297245</v>
      </c>
      <c r="C3964">
        <v>54682</v>
      </c>
      <c r="D3964">
        <v>242563</v>
      </c>
      <c r="E3964">
        <v>469718392</v>
      </c>
      <c r="F3964">
        <v>101103521</v>
      </c>
      <c r="G3964">
        <v>570821913</v>
      </c>
      <c r="H3964">
        <v>86991</v>
      </c>
      <c r="I3964">
        <v>2370</v>
      </c>
      <c r="J3964">
        <v>89361</v>
      </c>
      <c r="K3964" t="b">
        <f>TrafficData[[#This Row],[disposedChallan]]+TrafficData[[#This Row],[pendingChallan]]=TrafficData[[#This Row],[totalChallan]]</f>
        <v>1</v>
      </c>
      <c r="L3964" t="b">
        <f>TrafficData[[#This Row],[pendingAmount]]+TrafficData[[#This Row],[disposedAmount]]=TrafficData[[#This Row],[totalAmount]]</f>
        <v>1</v>
      </c>
      <c r="M3964" t="b">
        <f>TrafficData[[#This Row],[pendingCourt]]+TrafficData[[#This Row],[disposedCourt]]=TrafficData[[#This Row],[totalCourt]]</f>
        <v>1</v>
      </c>
      <c r="N3964" s="8" t="b">
        <f>AND(TrafficData[[#This Row],[disposedChallan]]&lt;=TrafficData[[#This Row],[totalChallan]],TrafficData[[#This Row],[pendingChallan]]&lt;=TrafficData[[#This Row],[totalChallan]])</f>
        <v>1</v>
      </c>
      <c r="O3964" s="8" t="b">
        <f>AND(TrafficData[[#This Row],[pendingAmount]]&lt;=TrafficData[[#This Row],[totalAmount]],TrafficData[[#This Row],[disposedAmount]]&lt;=TrafficData[[#This Row],[totalAmount]])</f>
        <v>1</v>
      </c>
      <c r="P3964" s="8" t="b">
        <f>AND(TrafficData[[#This Row],[pendingCourt]]&lt;=TrafficData[[#This Row],[totalCourt]],TrafficData[[#This Row],[disposedCourt]]&lt;=TrafficData[[#This Row],[totalCourt]])</f>
        <v>1</v>
      </c>
    </row>
    <row r="3965" spans="1:16">
      <c r="A3965" s="1">
        <v>45969</v>
      </c>
      <c r="B3965">
        <v>285152</v>
      </c>
      <c r="C3965">
        <v>54543</v>
      </c>
      <c r="D3965">
        <v>230609</v>
      </c>
      <c r="E3965">
        <v>406635400</v>
      </c>
      <c r="F3965">
        <v>81562467</v>
      </c>
      <c r="G3965">
        <v>488197867</v>
      </c>
      <c r="H3965">
        <v>86458</v>
      </c>
      <c r="I3965">
        <v>2162</v>
      </c>
      <c r="J3965">
        <v>88620</v>
      </c>
      <c r="K3965" t="b">
        <f>TrafficData[[#This Row],[disposedChallan]]+TrafficData[[#This Row],[pendingChallan]]=TrafficData[[#This Row],[totalChallan]]</f>
        <v>1</v>
      </c>
      <c r="L3965" t="b">
        <f>TrafficData[[#This Row],[pendingAmount]]+TrafficData[[#This Row],[disposedAmount]]=TrafficData[[#This Row],[totalAmount]]</f>
        <v>1</v>
      </c>
      <c r="M3965" t="b">
        <f>TrafficData[[#This Row],[pendingCourt]]+TrafficData[[#This Row],[disposedCourt]]=TrafficData[[#This Row],[totalCourt]]</f>
        <v>1</v>
      </c>
      <c r="N3965" s="8" t="b">
        <f>AND(TrafficData[[#This Row],[disposedChallan]]&lt;=TrafficData[[#This Row],[totalChallan]],TrafficData[[#This Row],[pendingChallan]]&lt;=TrafficData[[#This Row],[totalChallan]])</f>
        <v>1</v>
      </c>
      <c r="O3965" s="8" t="b">
        <f>AND(TrafficData[[#This Row],[pendingAmount]]&lt;=TrafficData[[#This Row],[totalAmount]],TrafficData[[#This Row],[disposedAmount]]&lt;=TrafficData[[#This Row],[totalAmount]])</f>
        <v>1</v>
      </c>
      <c r="P3965" s="8" t="b">
        <f>AND(TrafficData[[#This Row],[pendingCourt]]&lt;=TrafficData[[#This Row],[totalCourt]],TrafficData[[#This Row],[disposedCourt]]&lt;=TrafficData[[#This Row],[totalCourt]])</f>
        <v>1</v>
      </c>
    </row>
    <row r="3966" spans="1:16">
      <c r="A3966" s="1">
        <v>45970</v>
      </c>
      <c r="B3966">
        <v>281507</v>
      </c>
      <c r="C3966">
        <v>51148</v>
      </c>
      <c r="D3966">
        <v>230359</v>
      </c>
      <c r="E3966">
        <v>423312111</v>
      </c>
      <c r="F3966">
        <v>72110931</v>
      </c>
      <c r="G3966">
        <v>495423042</v>
      </c>
      <c r="H3966">
        <v>85685</v>
      </c>
      <c r="I3966">
        <v>2112</v>
      </c>
      <c r="J3966">
        <v>87797</v>
      </c>
      <c r="K3966" t="b">
        <f>TrafficData[[#This Row],[disposedChallan]]+TrafficData[[#This Row],[pendingChallan]]=TrafficData[[#This Row],[totalChallan]]</f>
        <v>1</v>
      </c>
      <c r="L3966" t="b">
        <f>TrafficData[[#This Row],[pendingAmount]]+TrafficData[[#This Row],[disposedAmount]]=TrafficData[[#This Row],[totalAmount]]</f>
        <v>1</v>
      </c>
      <c r="M3966" t="b">
        <f>TrafficData[[#This Row],[pendingCourt]]+TrafficData[[#This Row],[disposedCourt]]=TrafficData[[#This Row],[totalCourt]]</f>
        <v>1</v>
      </c>
      <c r="N3966" s="8" t="b">
        <f>AND(TrafficData[[#This Row],[disposedChallan]]&lt;=TrafficData[[#This Row],[totalChallan]],TrafficData[[#This Row],[pendingChallan]]&lt;=TrafficData[[#This Row],[totalChallan]])</f>
        <v>1</v>
      </c>
      <c r="O3966" s="8" t="b">
        <f>AND(TrafficData[[#This Row],[pendingAmount]]&lt;=TrafficData[[#This Row],[totalAmount]],TrafficData[[#This Row],[disposedAmount]]&lt;=TrafficData[[#This Row],[totalAmount]])</f>
        <v>1</v>
      </c>
      <c r="P3966" s="8" t="b">
        <f>AND(TrafficData[[#This Row],[pendingCourt]]&lt;=TrafficData[[#This Row],[totalCourt]],TrafficData[[#This Row],[disposedCourt]]&lt;=TrafficData[[#This Row],[totalCourt]])</f>
        <v>1</v>
      </c>
    </row>
    <row r="3967" spans="1:16">
      <c r="A3967" s="1">
        <v>45971</v>
      </c>
      <c r="B3967">
        <v>312285</v>
      </c>
      <c r="C3967">
        <v>51852</v>
      </c>
      <c r="D3967">
        <v>260433</v>
      </c>
      <c r="E3967">
        <v>499940960</v>
      </c>
      <c r="F3967">
        <v>92959093</v>
      </c>
      <c r="G3967">
        <v>592900053</v>
      </c>
      <c r="H3967">
        <v>96343</v>
      </c>
      <c r="I3967">
        <v>2380</v>
      </c>
      <c r="J3967">
        <v>98723</v>
      </c>
      <c r="K3967" t="b">
        <f>TrafficData[[#This Row],[disposedChallan]]+TrafficData[[#This Row],[pendingChallan]]=TrafficData[[#This Row],[totalChallan]]</f>
        <v>1</v>
      </c>
      <c r="L3967" t="b">
        <f>TrafficData[[#This Row],[pendingAmount]]+TrafficData[[#This Row],[disposedAmount]]=TrafficData[[#This Row],[totalAmount]]</f>
        <v>1</v>
      </c>
      <c r="M3967" t="b">
        <f>TrafficData[[#This Row],[pendingCourt]]+TrafficData[[#This Row],[disposedCourt]]=TrafficData[[#This Row],[totalCourt]]</f>
        <v>1</v>
      </c>
      <c r="N3967" s="8" t="b">
        <f>AND(TrafficData[[#This Row],[disposedChallan]]&lt;=TrafficData[[#This Row],[totalChallan]],TrafficData[[#This Row],[pendingChallan]]&lt;=TrafficData[[#This Row],[totalChallan]])</f>
        <v>1</v>
      </c>
      <c r="O3967" s="8" t="b">
        <f>AND(TrafficData[[#This Row],[pendingAmount]]&lt;=TrafficData[[#This Row],[totalAmount]],TrafficData[[#This Row],[disposedAmount]]&lt;=TrafficData[[#This Row],[totalAmount]])</f>
        <v>1</v>
      </c>
      <c r="P3967" s="8" t="b">
        <f>AND(TrafficData[[#This Row],[pendingCourt]]&lt;=TrafficData[[#This Row],[totalCourt]],TrafficData[[#This Row],[disposedCourt]]&lt;=TrafficData[[#This Row],[totalCourt]])</f>
        <v>1</v>
      </c>
    </row>
    <row r="3968" spans="1:16">
      <c r="A3968" s="1">
        <v>45972</v>
      </c>
      <c r="B3968">
        <v>315623</v>
      </c>
      <c r="C3968">
        <v>54948</v>
      </c>
      <c r="D3968">
        <v>260675</v>
      </c>
      <c r="E3968">
        <v>518563320</v>
      </c>
      <c r="F3968">
        <v>102192451</v>
      </c>
      <c r="G3968">
        <v>620755771</v>
      </c>
      <c r="H3968">
        <v>99547</v>
      </c>
      <c r="I3968">
        <v>2398</v>
      </c>
      <c r="J3968">
        <v>101945</v>
      </c>
      <c r="K3968" t="b">
        <f>TrafficData[[#This Row],[disposedChallan]]+TrafficData[[#This Row],[pendingChallan]]=TrafficData[[#This Row],[totalChallan]]</f>
        <v>1</v>
      </c>
      <c r="L3968" t="b">
        <f>TrafficData[[#This Row],[pendingAmount]]+TrafficData[[#This Row],[disposedAmount]]=TrafficData[[#This Row],[totalAmount]]</f>
        <v>1</v>
      </c>
      <c r="M3968" t="b">
        <f>TrafficData[[#This Row],[pendingCourt]]+TrafficData[[#This Row],[disposedCourt]]=TrafficData[[#This Row],[totalCourt]]</f>
        <v>1</v>
      </c>
      <c r="N3968" s="8" t="b">
        <f>AND(TrafficData[[#This Row],[disposedChallan]]&lt;=TrafficData[[#This Row],[totalChallan]],TrafficData[[#This Row],[pendingChallan]]&lt;=TrafficData[[#This Row],[totalChallan]])</f>
        <v>1</v>
      </c>
      <c r="O3968" s="8" t="b">
        <f>AND(TrafficData[[#This Row],[pendingAmount]]&lt;=TrafficData[[#This Row],[totalAmount]],TrafficData[[#This Row],[disposedAmount]]&lt;=TrafficData[[#This Row],[totalAmount]])</f>
        <v>1</v>
      </c>
      <c r="P3968" s="8" t="b">
        <f>AND(TrafficData[[#This Row],[pendingCourt]]&lt;=TrafficData[[#This Row],[totalCourt]],TrafficData[[#This Row],[disposedCourt]]&lt;=TrafficData[[#This Row],[totalCourt]])</f>
        <v>1</v>
      </c>
    </row>
    <row r="3969" spans="1:16">
      <c r="A3969" s="1">
        <v>45973</v>
      </c>
      <c r="B3969">
        <v>322801</v>
      </c>
      <c r="C3969">
        <v>56248</v>
      </c>
      <c r="D3969">
        <v>266553</v>
      </c>
      <c r="E3969">
        <v>532235298</v>
      </c>
      <c r="F3969">
        <v>105577990</v>
      </c>
      <c r="G3969">
        <v>637813288</v>
      </c>
      <c r="H3969">
        <v>96482</v>
      </c>
      <c r="I3969">
        <v>2214</v>
      </c>
      <c r="J3969">
        <v>98696</v>
      </c>
      <c r="K3969" t="b">
        <f>TrafficData[[#This Row],[disposedChallan]]+TrafficData[[#This Row],[pendingChallan]]=TrafficData[[#This Row],[totalChallan]]</f>
        <v>1</v>
      </c>
      <c r="L3969" t="b">
        <f>TrafficData[[#This Row],[pendingAmount]]+TrafficData[[#This Row],[disposedAmount]]=TrafficData[[#This Row],[totalAmount]]</f>
        <v>1</v>
      </c>
      <c r="M3969" t="b">
        <f>TrafficData[[#This Row],[pendingCourt]]+TrafficData[[#This Row],[disposedCourt]]=TrafficData[[#This Row],[totalCourt]]</f>
        <v>1</v>
      </c>
      <c r="N3969" s="8" t="b">
        <f>AND(TrafficData[[#This Row],[disposedChallan]]&lt;=TrafficData[[#This Row],[totalChallan]],TrafficData[[#This Row],[pendingChallan]]&lt;=TrafficData[[#This Row],[totalChallan]])</f>
        <v>1</v>
      </c>
      <c r="O3969" s="8" t="b">
        <f>AND(TrafficData[[#This Row],[pendingAmount]]&lt;=TrafficData[[#This Row],[totalAmount]],TrafficData[[#This Row],[disposedAmount]]&lt;=TrafficData[[#This Row],[totalAmount]])</f>
        <v>1</v>
      </c>
      <c r="P3969" s="8" t="b">
        <f>AND(TrafficData[[#This Row],[pendingCourt]]&lt;=TrafficData[[#This Row],[totalCourt]],TrafficData[[#This Row],[disposedCourt]]&lt;=TrafficData[[#This Row],[totalCourt]])</f>
        <v>1</v>
      </c>
    </row>
    <row r="3970" spans="1:16">
      <c r="A3970" s="1">
        <v>45974</v>
      </c>
      <c r="B3970">
        <v>330124</v>
      </c>
      <c r="C3970">
        <v>55399</v>
      </c>
      <c r="D3970">
        <v>274725</v>
      </c>
      <c r="E3970">
        <v>536925663</v>
      </c>
      <c r="F3970">
        <v>99809765</v>
      </c>
      <c r="G3970">
        <v>636735428</v>
      </c>
      <c r="H3970">
        <v>95543</v>
      </c>
      <c r="I3970">
        <v>2414</v>
      </c>
      <c r="J3970">
        <v>97957</v>
      </c>
      <c r="K3970" t="b">
        <f>TrafficData[[#This Row],[disposedChallan]]+TrafficData[[#This Row],[pendingChallan]]=TrafficData[[#This Row],[totalChallan]]</f>
        <v>1</v>
      </c>
      <c r="L3970" t="b">
        <f>TrafficData[[#This Row],[pendingAmount]]+TrafficData[[#This Row],[disposedAmount]]=TrafficData[[#This Row],[totalAmount]]</f>
        <v>1</v>
      </c>
      <c r="M3970" t="b">
        <f>TrafficData[[#This Row],[pendingCourt]]+TrafficData[[#This Row],[disposedCourt]]=TrafficData[[#This Row],[totalCourt]]</f>
        <v>1</v>
      </c>
      <c r="N3970" s="8" t="b">
        <f>AND(TrafficData[[#This Row],[disposedChallan]]&lt;=TrafficData[[#This Row],[totalChallan]],TrafficData[[#This Row],[pendingChallan]]&lt;=TrafficData[[#This Row],[totalChallan]])</f>
        <v>1</v>
      </c>
      <c r="O3970" s="8" t="b">
        <f>AND(TrafficData[[#This Row],[pendingAmount]]&lt;=TrafficData[[#This Row],[totalAmount]],TrafficData[[#This Row],[disposedAmount]]&lt;=TrafficData[[#This Row],[totalAmount]])</f>
        <v>1</v>
      </c>
      <c r="P3970" s="8" t="b">
        <f>AND(TrafficData[[#This Row],[pendingCourt]]&lt;=TrafficData[[#This Row],[totalCourt]],TrafficData[[#This Row],[disposedCourt]]&lt;=TrafficData[[#This Row],[totalCourt]])</f>
        <v>1</v>
      </c>
    </row>
    <row r="3971" spans="1:16">
      <c r="A3971" s="1">
        <v>45975</v>
      </c>
      <c r="B3971">
        <v>319788</v>
      </c>
      <c r="C3971">
        <v>53214</v>
      </c>
      <c r="D3971">
        <v>266574</v>
      </c>
      <c r="E3971">
        <v>528062547</v>
      </c>
      <c r="F3971">
        <v>95429464</v>
      </c>
      <c r="G3971">
        <v>623492011</v>
      </c>
      <c r="H3971">
        <v>94661</v>
      </c>
      <c r="I3971">
        <v>2411</v>
      </c>
      <c r="J3971">
        <v>97072</v>
      </c>
      <c r="K3971" t="b">
        <f>TrafficData[[#This Row],[disposedChallan]]+TrafficData[[#This Row],[pendingChallan]]=TrafficData[[#This Row],[totalChallan]]</f>
        <v>1</v>
      </c>
      <c r="L3971" t="b">
        <f>TrafficData[[#This Row],[pendingAmount]]+TrafficData[[#This Row],[disposedAmount]]=TrafficData[[#This Row],[totalAmount]]</f>
        <v>1</v>
      </c>
      <c r="M3971" t="b">
        <f>TrafficData[[#This Row],[pendingCourt]]+TrafficData[[#This Row],[disposedCourt]]=TrafficData[[#This Row],[totalCourt]]</f>
        <v>1</v>
      </c>
      <c r="N3971" s="8" t="b">
        <f>AND(TrafficData[[#This Row],[disposedChallan]]&lt;=TrafficData[[#This Row],[totalChallan]],TrafficData[[#This Row],[pendingChallan]]&lt;=TrafficData[[#This Row],[totalChallan]])</f>
        <v>1</v>
      </c>
      <c r="O3971" s="8" t="b">
        <f>AND(TrafficData[[#This Row],[pendingAmount]]&lt;=TrafficData[[#This Row],[totalAmount]],TrafficData[[#This Row],[disposedAmount]]&lt;=TrafficData[[#This Row],[totalAmount]])</f>
        <v>1</v>
      </c>
      <c r="P3971" s="8" t="b">
        <f>AND(TrafficData[[#This Row],[pendingCourt]]&lt;=TrafficData[[#This Row],[totalCourt]],TrafficData[[#This Row],[disposedCourt]]&lt;=TrafficData[[#This Row],[totalCourt]])</f>
        <v>1</v>
      </c>
    </row>
    <row r="3972" spans="1:16">
      <c r="A3972" s="1">
        <v>45976</v>
      </c>
      <c r="B3972">
        <v>332710</v>
      </c>
      <c r="C3972">
        <v>52122</v>
      </c>
      <c r="D3972">
        <v>280588</v>
      </c>
      <c r="E3972">
        <v>518792922</v>
      </c>
      <c r="F3972">
        <v>81742697</v>
      </c>
      <c r="G3972">
        <v>600535619</v>
      </c>
      <c r="H3972">
        <v>98346</v>
      </c>
      <c r="I3972">
        <v>3203</v>
      </c>
      <c r="J3972">
        <v>101549</v>
      </c>
      <c r="K3972" t="b">
        <f>TrafficData[[#This Row],[disposedChallan]]+TrafficData[[#This Row],[pendingChallan]]=TrafficData[[#This Row],[totalChallan]]</f>
        <v>1</v>
      </c>
      <c r="L3972" t="b">
        <f>TrafficData[[#This Row],[pendingAmount]]+TrafficData[[#This Row],[disposedAmount]]=TrafficData[[#This Row],[totalAmount]]</f>
        <v>1</v>
      </c>
      <c r="M3972" t="b">
        <f>TrafficData[[#This Row],[pendingCourt]]+TrafficData[[#This Row],[disposedCourt]]=TrafficData[[#This Row],[totalCourt]]</f>
        <v>1</v>
      </c>
      <c r="N3972" s="8" t="b">
        <f>AND(TrafficData[[#This Row],[disposedChallan]]&lt;=TrafficData[[#This Row],[totalChallan]],TrafficData[[#This Row],[pendingChallan]]&lt;=TrafficData[[#This Row],[totalChallan]])</f>
        <v>1</v>
      </c>
      <c r="O3972" s="8" t="b">
        <f>AND(TrafficData[[#This Row],[pendingAmount]]&lt;=TrafficData[[#This Row],[totalAmount]],TrafficData[[#This Row],[disposedAmount]]&lt;=TrafficData[[#This Row],[totalAmount]])</f>
        <v>1</v>
      </c>
      <c r="P3972" s="8" t="b">
        <f>AND(TrafficData[[#This Row],[pendingCourt]]&lt;=TrafficData[[#This Row],[totalCourt]],TrafficData[[#This Row],[disposedCourt]]&lt;=TrafficData[[#This Row],[totalCourt]])</f>
        <v>1</v>
      </c>
    </row>
    <row r="3973" spans="1:16">
      <c r="A3973" s="1">
        <v>45977</v>
      </c>
      <c r="B3973">
        <v>300011</v>
      </c>
      <c r="C3973">
        <v>48949</v>
      </c>
      <c r="D3973">
        <v>251062</v>
      </c>
      <c r="E3973">
        <v>436105904</v>
      </c>
      <c r="F3973">
        <v>63982029</v>
      </c>
      <c r="G3973">
        <v>500087933</v>
      </c>
      <c r="H3973">
        <v>52455</v>
      </c>
      <c r="I3973">
        <v>1943</v>
      </c>
      <c r="J3973">
        <v>54398</v>
      </c>
      <c r="K3973" t="b">
        <f>TrafficData[[#This Row],[disposedChallan]]+TrafficData[[#This Row],[pendingChallan]]=TrafficData[[#This Row],[totalChallan]]</f>
        <v>1</v>
      </c>
      <c r="L3973" t="b">
        <f>TrafficData[[#This Row],[pendingAmount]]+TrafficData[[#This Row],[disposedAmount]]=TrafficData[[#This Row],[totalAmount]]</f>
        <v>1</v>
      </c>
      <c r="M3973" t="b">
        <f>TrafficData[[#This Row],[pendingCourt]]+TrafficData[[#This Row],[disposedCourt]]=TrafficData[[#This Row],[totalCourt]]</f>
        <v>1</v>
      </c>
      <c r="N3973" s="8" t="b">
        <f>AND(TrafficData[[#This Row],[disposedChallan]]&lt;=TrafficData[[#This Row],[totalChallan]],TrafficData[[#This Row],[pendingChallan]]&lt;=TrafficData[[#This Row],[totalChallan]])</f>
        <v>1</v>
      </c>
      <c r="O3973" s="8" t="b">
        <f>AND(TrafficData[[#This Row],[pendingAmount]]&lt;=TrafficData[[#This Row],[totalAmount]],TrafficData[[#This Row],[disposedAmount]]&lt;=TrafficData[[#This Row],[totalAmount]])</f>
        <v>1</v>
      </c>
      <c r="P3973" s="8" t="b">
        <f>AND(TrafficData[[#This Row],[pendingCourt]]&lt;=TrafficData[[#This Row],[totalCourt]],TrafficData[[#This Row],[disposedCourt]]&lt;=TrafficData[[#This Row],[totalCourt]])</f>
        <v>1</v>
      </c>
    </row>
    <row r="3974" spans="1:16">
      <c r="A3974" s="1">
        <v>45978</v>
      </c>
      <c r="B3974">
        <v>327914</v>
      </c>
      <c r="C3974">
        <v>52422</v>
      </c>
      <c r="D3974">
        <v>275492</v>
      </c>
      <c r="E3974">
        <v>531605261</v>
      </c>
      <c r="F3974">
        <v>83700983</v>
      </c>
      <c r="G3974">
        <v>615306244</v>
      </c>
      <c r="H3974">
        <v>60809</v>
      </c>
      <c r="I3974">
        <v>2321</v>
      </c>
      <c r="J3974">
        <v>63130</v>
      </c>
      <c r="K3974" t="b">
        <f>TrafficData[[#This Row],[disposedChallan]]+TrafficData[[#This Row],[pendingChallan]]=TrafficData[[#This Row],[totalChallan]]</f>
        <v>1</v>
      </c>
      <c r="L3974" t="b">
        <f>TrafficData[[#This Row],[pendingAmount]]+TrafficData[[#This Row],[disposedAmount]]=TrafficData[[#This Row],[totalAmount]]</f>
        <v>1</v>
      </c>
      <c r="M3974" t="b">
        <f>TrafficData[[#This Row],[pendingCourt]]+TrafficData[[#This Row],[disposedCourt]]=TrafficData[[#This Row],[totalCourt]]</f>
        <v>1</v>
      </c>
      <c r="N3974" s="8" t="b">
        <f>AND(TrafficData[[#This Row],[disposedChallan]]&lt;=TrafficData[[#This Row],[totalChallan]],TrafficData[[#This Row],[pendingChallan]]&lt;=TrafficData[[#This Row],[totalChallan]])</f>
        <v>1</v>
      </c>
      <c r="O3974" s="8" t="b">
        <f>AND(TrafficData[[#This Row],[pendingAmount]]&lt;=TrafficData[[#This Row],[totalAmount]],TrafficData[[#This Row],[disposedAmount]]&lt;=TrafficData[[#This Row],[totalAmount]])</f>
        <v>1</v>
      </c>
      <c r="P3974" s="8" t="b">
        <f>AND(TrafficData[[#This Row],[pendingCourt]]&lt;=TrafficData[[#This Row],[totalCourt]],TrafficData[[#This Row],[disposedCourt]]&lt;=TrafficData[[#This Row],[totalCourt]])</f>
        <v>1</v>
      </c>
    </row>
    <row r="3975" spans="1:16">
      <c r="A3975" s="1">
        <v>45979</v>
      </c>
      <c r="B3975">
        <v>330422</v>
      </c>
      <c r="C3975">
        <v>52614</v>
      </c>
      <c r="D3975">
        <v>277808</v>
      </c>
      <c r="E3975">
        <v>544432703</v>
      </c>
      <c r="F3975">
        <v>95814517</v>
      </c>
      <c r="G3975">
        <v>640247220</v>
      </c>
      <c r="H3975">
        <v>61155</v>
      </c>
      <c r="I3975">
        <v>2224</v>
      </c>
      <c r="J3975">
        <v>63379</v>
      </c>
      <c r="K3975" t="b">
        <f>TrafficData[[#This Row],[disposedChallan]]+TrafficData[[#This Row],[pendingChallan]]=TrafficData[[#This Row],[totalChallan]]</f>
        <v>1</v>
      </c>
      <c r="L3975" t="b">
        <f>TrafficData[[#This Row],[pendingAmount]]+TrafficData[[#This Row],[disposedAmount]]=TrafficData[[#This Row],[totalAmount]]</f>
        <v>1</v>
      </c>
      <c r="M3975" t="b">
        <f>TrafficData[[#This Row],[pendingCourt]]+TrafficData[[#This Row],[disposedCourt]]=TrafficData[[#This Row],[totalCourt]]</f>
        <v>1</v>
      </c>
      <c r="N3975" s="8" t="b">
        <f>AND(TrafficData[[#This Row],[disposedChallan]]&lt;=TrafficData[[#This Row],[totalChallan]],TrafficData[[#This Row],[pendingChallan]]&lt;=TrafficData[[#This Row],[totalChallan]])</f>
        <v>1</v>
      </c>
      <c r="O3975" s="8" t="b">
        <f>AND(TrafficData[[#This Row],[pendingAmount]]&lt;=TrafficData[[#This Row],[totalAmount]],TrafficData[[#This Row],[disposedAmount]]&lt;=TrafficData[[#This Row],[totalAmount]])</f>
        <v>1</v>
      </c>
      <c r="P3975" s="8" t="b">
        <f>AND(TrafficData[[#This Row],[pendingCourt]]&lt;=TrafficData[[#This Row],[totalCourt]],TrafficData[[#This Row],[disposedCourt]]&lt;=TrafficData[[#This Row],[totalCourt]])</f>
        <v>1</v>
      </c>
    </row>
    <row r="3976" spans="1:16">
      <c r="A3976" s="1">
        <v>45980</v>
      </c>
      <c r="B3976">
        <v>332423</v>
      </c>
      <c r="C3976">
        <v>52281</v>
      </c>
      <c r="D3976">
        <v>280142</v>
      </c>
      <c r="E3976">
        <v>556865657</v>
      </c>
      <c r="F3976">
        <v>99373534</v>
      </c>
      <c r="G3976">
        <v>656239191</v>
      </c>
      <c r="H3976">
        <v>60366</v>
      </c>
      <c r="I3976">
        <v>2198</v>
      </c>
      <c r="J3976">
        <v>62564</v>
      </c>
      <c r="K3976" t="b">
        <f>TrafficData[[#This Row],[disposedChallan]]+TrafficData[[#This Row],[pendingChallan]]=TrafficData[[#This Row],[totalChallan]]</f>
        <v>1</v>
      </c>
      <c r="L3976" t="b">
        <f>TrafficData[[#This Row],[pendingAmount]]+TrafficData[[#This Row],[disposedAmount]]=TrafficData[[#This Row],[totalAmount]]</f>
        <v>1</v>
      </c>
      <c r="M3976" t="b">
        <f>TrafficData[[#This Row],[pendingCourt]]+TrafficData[[#This Row],[disposedCourt]]=TrafficData[[#This Row],[totalCourt]]</f>
        <v>1</v>
      </c>
      <c r="N3976" s="8" t="b">
        <f>AND(TrafficData[[#This Row],[disposedChallan]]&lt;=TrafficData[[#This Row],[totalChallan]],TrafficData[[#This Row],[pendingChallan]]&lt;=TrafficData[[#This Row],[totalChallan]])</f>
        <v>1</v>
      </c>
      <c r="O3976" s="8" t="b">
        <f>AND(TrafficData[[#This Row],[pendingAmount]]&lt;=TrafficData[[#This Row],[totalAmount]],TrafficData[[#This Row],[disposedAmount]]&lt;=TrafficData[[#This Row],[totalAmount]])</f>
        <v>1</v>
      </c>
      <c r="P3976" s="8" t="b">
        <f>AND(TrafficData[[#This Row],[pendingCourt]]&lt;=TrafficData[[#This Row],[totalCourt]],TrafficData[[#This Row],[disposedCourt]]&lt;=TrafficData[[#This Row],[totalCourt]])</f>
        <v>1</v>
      </c>
    </row>
    <row r="3977" spans="1:16">
      <c r="A3977" s="1">
        <v>45981</v>
      </c>
      <c r="B3977">
        <v>331999</v>
      </c>
      <c r="C3977">
        <v>52313</v>
      </c>
      <c r="D3977">
        <v>279686</v>
      </c>
      <c r="E3977">
        <v>543667379</v>
      </c>
      <c r="F3977">
        <v>89981341</v>
      </c>
      <c r="G3977">
        <v>633648720</v>
      </c>
      <c r="H3977">
        <v>60365</v>
      </c>
      <c r="I3977">
        <v>2222</v>
      </c>
      <c r="J3977">
        <v>62587</v>
      </c>
      <c r="K3977" t="b">
        <f>TrafficData[[#This Row],[disposedChallan]]+TrafficData[[#This Row],[pendingChallan]]=TrafficData[[#This Row],[totalChallan]]</f>
        <v>1</v>
      </c>
      <c r="L3977" t="b">
        <f>TrafficData[[#This Row],[pendingAmount]]+TrafficData[[#This Row],[disposedAmount]]=TrafficData[[#This Row],[totalAmount]]</f>
        <v>1</v>
      </c>
      <c r="M3977" t="b">
        <f>TrafficData[[#This Row],[pendingCourt]]+TrafficData[[#This Row],[disposedCourt]]=TrafficData[[#This Row],[totalCourt]]</f>
        <v>1</v>
      </c>
      <c r="N3977" s="8" t="b">
        <f>AND(TrafficData[[#This Row],[disposedChallan]]&lt;=TrafficData[[#This Row],[totalChallan]],TrafficData[[#This Row],[pendingChallan]]&lt;=TrafficData[[#This Row],[totalChallan]])</f>
        <v>1</v>
      </c>
      <c r="O3977" s="8" t="b">
        <f>AND(TrafficData[[#This Row],[pendingAmount]]&lt;=TrafficData[[#This Row],[totalAmount]],TrafficData[[#This Row],[disposedAmount]]&lt;=TrafficData[[#This Row],[totalAmount]])</f>
        <v>1</v>
      </c>
      <c r="P3977" s="8" t="b">
        <f>AND(TrafficData[[#This Row],[pendingCourt]]&lt;=TrafficData[[#This Row],[totalCourt]],TrafficData[[#This Row],[disposedCourt]]&lt;=TrafficData[[#This Row],[totalCourt]])</f>
        <v>1</v>
      </c>
    </row>
    <row r="3978" spans="1:16">
      <c r="A3978" s="1">
        <v>45982</v>
      </c>
      <c r="B3978">
        <v>329886</v>
      </c>
      <c r="C3978">
        <v>51392</v>
      </c>
      <c r="D3978">
        <v>278494</v>
      </c>
      <c r="E3978">
        <v>534412890</v>
      </c>
      <c r="F3978">
        <v>84167178</v>
      </c>
      <c r="G3978">
        <v>618580068</v>
      </c>
      <c r="H3978">
        <v>59564</v>
      </c>
      <c r="I3978">
        <v>2353</v>
      </c>
      <c r="J3978">
        <v>61917</v>
      </c>
      <c r="K3978" t="b">
        <f>TrafficData[[#This Row],[disposedChallan]]+TrafficData[[#This Row],[pendingChallan]]=TrafficData[[#This Row],[totalChallan]]</f>
        <v>1</v>
      </c>
      <c r="L3978" t="b">
        <f>TrafficData[[#This Row],[pendingAmount]]+TrafficData[[#This Row],[disposedAmount]]=TrafficData[[#This Row],[totalAmount]]</f>
        <v>1</v>
      </c>
      <c r="M3978" t="b">
        <f>TrafficData[[#This Row],[pendingCourt]]+TrafficData[[#This Row],[disposedCourt]]=TrafficData[[#This Row],[totalCourt]]</f>
        <v>1</v>
      </c>
      <c r="N3978" s="8" t="b">
        <f>AND(TrafficData[[#This Row],[disposedChallan]]&lt;=TrafficData[[#This Row],[totalChallan]],TrafficData[[#This Row],[pendingChallan]]&lt;=TrafficData[[#This Row],[totalChallan]])</f>
        <v>1</v>
      </c>
      <c r="O3978" s="8" t="b">
        <f>AND(TrafficData[[#This Row],[pendingAmount]]&lt;=TrafficData[[#This Row],[totalAmount]],TrafficData[[#This Row],[disposedAmount]]&lt;=TrafficData[[#This Row],[totalAmount]])</f>
        <v>1</v>
      </c>
      <c r="P3978" s="8" t="b">
        <f>AND(TrafficData[[#This Row],[pendingCourt]]&lt;=TrafficData[[#This Row],[totalCourt]],TrafficData[[#This Row],[disposedCourt]]&lt;=TrafficData[[#This Row],[totalCourt]])</f>
        <v>1</v>
      </c>
    </row>
    <row r="3979" spans="1:16">
      <c r="A3979" s="1">
        <v>45983</v>
      </c>
      <c r="B3979">
        <v>318408</v>
      </c>
      <c r="C3979">
        <v>51399</v>
      </c>
      <c r="D3979">
        <v>267009</v>
      </c>
      <c r="E3979">
        <v>512742229</v>
      </c>
      <c r="F3979">
        <v>74436823</v>
      </c>
      <c r="G3979">
        <v>587179052</v>
      </c>
      <c r="H3979">
        <v>53852</v>
      </c>
      <c r="I3979">
        <v>2204</v>
      </c>
      <c r="J3979">
        <v>56056</v>
      </c>
      <c r="K3979" t="b">
        <f>TrafficData[[#This Row],[disposedChallan]]+TrafficData[[#This Row],[pendingChallan]]=TrafficData[[#This Row],[totalChallan]]</f>
        <v>1</v>
      </c>
      <c r="L3979" t="b">
        <f>TrafficData[[#This Row],[pendingAmount]]+TrafficData[[#This Row],[disposedAmount]]=TrafficData[[#This Row],[totalAmount]]</f>
        <v>1</v>
      </c>
      <c r="M3979" t="b">
        <f>TrafficData[[#This Row],[pendingCourt]]+TrafficData[[#This Row],[disposedCourt]]=TrafficData[[#This Row],[totalCourt]]</f>
        <v>1</v>
      </c>
      <c r="N3979" s="8" t="b">
        <f>AND(TrafficData[[#This Row],[disposedChallan]]&lt;=TrafficData[[#This Row],[totalChallan]],TrafficData[[#This Row],[pendingChallan]]&lt;=TrafficData[[#This Row],[totalChallan]])</f>
        <v>1</v>
      </c>
      <c r="O3979" s="8" t="b">
        <f>AND(TrafficData[[#This Row],[pendingAmount]]&lt;=TrafficData[[#This Row],[totalAmount]],TrafficData[[#This Row],[disposedAmount]]&lt;=TrafficData[[#This Row],[totalAmount]])</f>
        <v>1</v>
      </c>
      <c r="P3979" s="8" t="b">
        <f>AND(TrafficData[[#This Row],[pendingCourt]]&lt;=TrafficData[[#This Row],[totalCourt]],TrafficData[[#This Row],[disposedCourt]]&lt;=TrafficData[[#This Row],[totalCourt]])</f>
        <v>1</v>
      </c>
    </row>
    <row r="3980" spans="1:16">
      <c r="A3980" s="1">
        <v>45984</v>
      </c>
      <c r="B3980">
        <v>284393</v>
      </c>
      <c r="C3980">
        <v>44513</v>
      </c>
      <c r="D3980">
        <v>239880</v>
      </c>
      <c r="E3980">
        <v>455902315</v>
      </c>
      <c r="F3980">
        <v>57578946</v>
      </c>
      <c r="G3980">
        <v>513481261</v>
      </c>
      <c r="H3980">
        <v>44363</v>
      </c>
      <c r="I3980">
        <v>1839</v>
      </c>
      <c r="J3980">
        <v>46202</v>
      </c>
      <c r="K3980" t="b">
        <f>TrafficData[[#This Row],[disposedChallan]]+TrafficData[[#This Row],[pendingChallan]]=TrafficData[[#This Row],[totalChallan]]</f>
        <v>1</v>
      </c>
      <c r="L3980" t="b">
        <f>TrafficData[[#This Row],[pendingAmount]]+TrafficData[[#This Row],[disposedAmount]]=TrafficData[[#This Row],[totalAmount]]</f>
        <v>1</v>
      </c>
      <c r="M3980" t="b">
        <f>TrafficData[[#This Row],[pendingCourt]]+TrafficData[[#This Row],[disposedCourt]]=TrafficData[[#This Row],[totalCourt]]</f>
        <v>1</v>
      </c>
      <c r="N3980" s="8" t="b">
        <f>AND(TrafficData[[#This Row],[disposedChallan]]&lt;=TrafficData[[#This Row],[totalChallan]],TrafficData[[#This Row],[pendingChallan]]&lt;=TrafficData[[#This Row],[totalChallan]])</f>
        <v>1</v>
      </c>
      <c r="O3980" s="8" t="b">
        <f>AND(TrafficData[[#This Row],[pendingAmount]]&lt;=TrafficData[[#This Row],[totalAmount]],TrafficData[[#This Row],[disposedAmount]]&lt;=TrafficData[[#This Row],[totalAmount]])</f>
        <v>1</v>
      </c>
      <c r="P3980" s="8" t="b">
        <f>AND(TrafficData[[#This Row],[pendingCourt]]&lt;=TrafficData[[#This Row],[totalCourt]],TrafficData[[#This Row],[disposedCourt]]&lt;=TrafficData[[#This Row],[totalCourt]])</f>
        <v>1</v>
      </c>
    </row>
    <row r="3981" spans="1:16">
      <c r="A3981" s="1">
        <v>45985</v>
      </c>
      <c r="B3981">
        <v>295356</v>
      </c>
      <c r="C3981">
        <v>44868</v>
      </c>
      <c r="D3981">
        <v>250488</v>
      </c>
      <c r="E3981">
        <v>491468844</v>
      </c>
      <c r="F3981">
        <v>72773323</v>
      </c>
      <c r="G3981">
        <v>564242167</v>
      </c>
      <c r="H3981">
        <v>49541</v>
      </c>
      <c r="I3981">
        <v>1910</v>
      </c>
      <c r="J3981">
        <v>51451</v>
      </c>
      <c r="K3981" t="b">
        <f>TrafficData[[#This Row],[disposedChallan]]+TrafficData[[#This Row],[pendingChallan]]=TrafficData[[#This Row],[totalChallan]]</f>
        <v>1</v>
      </c>
      <c r="L3981" t="b">
        <f>TrafficData[[#This Row],[pendingAmount]]+TrafficData[[#This Row],[disposedAmount]]=TrafficData[[#This Row],[totalAmount]]</f>
        <v>1</v>
      </c>
      <c r="M3981" t="b">
        <f>TrafficData[[#This Row],[pendingCourt]]+TrafficData[[#This Row],[disposedCourt]]=TrafficData[[#This Row],[totalCourt]]</f>
        <v>1</v>
      </c>
      <c r="N3981" s="8" t="b">
        <f>AND(TrafficData[[#This Row],[disposedChallan]]&lt;=TrafficData[[#This Row],[totalChallan]],TrafficData[[#This Row],[pendingChallan]]&lt;=TrafficData[[#This Row],[totalChallan]])</f>
        <v>1</v>
      </c>
      <c r="O3981" s="8" t="b">
        <f>AND(TrafficData[[#This Row],[pendingAmount]]&lt;=TrafficData[[#This Row],[totalAmount]],TrafficData[[#This Row],[disposedAmount]]&lt;=TrafficData[[#This Row],[totalAmount]])</f>
        <v>1</v>
      </c>
      <c r="P3981" s="8" t="b">
        <f>AND(TrafficData[[#This Row],[pendingCourt]]&lt;=TrafficData[[#This Row],[totalCourt]],TrafficData[[#This Row],[disposedCourt]]&lt;=TrafficData[[#This Row],[totalCourt]])</f>
        <v>1</v>
      </c>
    </row>
    <row r="3982" spans="1:16">
      <c r="A3982" s="1">
        <v>45986</v>
      </c>
      <c r="B3982">
        <v>316243</v>
      </c>
      <c r="C3982">
        <v>47165</v>
      </c>
      <c r="D3982">
        <v>269078</v>
      </c>
      <c r="E3982">
        <v>503162213</v>
      </c>
      <c r="F3982">
        <v>75974785</v>
      </c>
      <c r="G3982">
        <v>579136998</v>
      </c>
      <c r="H3982">
        <v>51388</v>
      </c>
      <c r="I3982">
        <v>1930</v>
      </c>
      <c r="J3982">
        <v>53318</v>
      </c>
      <c r="K3982" t="b">
        <f>TrafficData[[#This Row],[disposedChallan]]+TrafficData[[#This Row],[pendingChallan]]=TrafficData[[#This Row],[totalChallan]]</f>
        <v>1</v>
      </c>
      <c r="L3982" t="b">
        <f>TrafficData[[#This Row],[pendingAmount]]+TrafficData[[#This Row],[disposedAmount]]=TrafficData[[#This Row],[totalAmount]]</f>
        <v>1</v>
      </c>
      <c r="M3982" t="b">
        <f>TrafficData[[#This Row],[pendingCourt]]+TrafficData[[#This Row],[disposedCourt]]=TrafficData[[#This Row],[totalCourt]]</f>
        <v>1</v>
      </c>
      <c r="N3982" s="8" t="b">
        <f>AND(TrafficData[[#This Row],[disposedChallan]]&lt;=TrafficData[[#This Row],[totalChallan]],TrafficData[[#This Row],[pendingChallan]]&lt;=TrafficData[[#This Row],[totalChallan]])</f>
        <v>1</v>
      </c>
      <c r="O3982" s="8" t="b">
        <f>AND(TrafficData[[#This Row],[pendingAmount]]&lt;=TrafficData[[#This Row],[totalAmount]],TrafficData[[#This Row],[disposedAmount]]&lt;=TrafficData[[#This Row],[totalAmount]])</f>
        <v>1</v>
      </c>
      <c r="P3982" s="8" t="b">
        <f>AND(TrafficData[[#This Row],[pendingCourt]]&lt;=TrafficData[[#This Row],[totalCourt]],TrafficData[[#This Row],[disposedCourt]]&lt;=TrafficData[[#This Row],[totalCourt]])</f>
        <v>1</v>
      </c>
    </row>
    <row r="3983" spans="1:16">
      <c r="A3983" s="1">
        <v>45987</v>
      </c>
      <c r="B3983">
        <v>319978</v>
      </c>
      <c r="C3983">
        <v>48118</v>
      </c>
      <c r="D3983">
        <v>271860</v>
      </c>
      <c r="E3983">
        <v>532614259</v>
      </c>
      <c r="F3983">
        <v>85627790</v>
      </c>
      <c r="G3983">
        <v>618242049</v>
      </c>
      <c r="H3983">
        <v>50722</v>
      </c>
      <c r="I3983">
        <v>1986</v>
      </c>
      <c r="J3983">
        <v>52708</v>
      </c>
      <c r="K3983" t="b">
        <f>TrafficData[[#This Row],[disposedChallan]]+TrafficData[[#This Row],[pendingChallan]]=TrafficData[[#This Row],[totalChallan]]</f>
        <v>1</v>
      </c>
      <c r="L3983" t="b">
        <f>TrafficData[[#This Row],[pendingAmount]]+TrafficData[[#This Row],[disposedAmount]]=TrafficData[[#This Row],[totalAmount]]</f>
        <v>1</v>
      </c>
      <c r="M3983" t="b">
        <f>TrafficData[[#This Row],[pendingCourt]]+TrafficData[[#This Row],[disposedCourt]]=TrafficData[[#This Row],[totalCourt]]</f>
        <v>1</v>
      </c>
      <c r="N3983" s="8" t="b">
        <f>AND(TrafficData[[#This Row],[disposedChallan]]&lt;=TrafficData[[#This Row],[totalChallan]],TrafficData[[#This Row],[pendingChallan]]&lt;=TrafficData[[#This Row],[totalChallan]])</f>
        <v>1</v>
      </c>
      <c r="O3983" s="8" t="b">
        <f>AND(TrafficData[[#This Row],[pendingAmount]]&lt;=TrafficData[[#This Row],[totalAmount]],TrafficData[[#This Row],[disposedAmount]]&lt;=TrafficData[[#This Row],[totalAmount]])</f>
        <v>1</v>
      </c>
      <c r="P3983" s="8" t="b">
        <f>AND(TrafficData[[#This Row],[pendingCourt]]&lt;=TrafficData[[#This Row],[totalCourt]],TrafficData[[#This Row],[disposedCourt]]&lt;=TrafficData[[#This Row],[totalCourt]])</f>
        <v>1</v>
      </c>
    </row>
    <row r="3984" spans="1:16">
      <c r="A3984" s="1">
        <v>45988</v>
      </c>
      <c r="B3984">
        <v>323364</v>
      </c>
      <c r="C3984">
        <v>50949</v>
      </c>
      <c r="D3984">
        <v>272415</v>
      </c>
      <c r="E3984">
        <v>519976717</v>
      </c>
      <c r="F3984">
        <v>88710663</v>
      </c>
      <c r="G3984">
        <v>608687380</v>
      </c>
      <c r="H3984">
        <v>54297</v>
      </c>
      <c r="I3984">
        <v>1915</v>
      </c>
      <c r="J3984">
        <v>56212</v>
      </c>
      <c r="K3984" t="b">
        <f>TrafficData[[#This Row],[disposedChallan]]+TrafficData[[#This Row],[pendingChallan]]=TrafficData[[#This Row],[totalChallan]]</f>
        <v>1</v>
      </c>
      <c r="L3984" t="b">
        <f>TrafficData[[#This Row],[pendingAmount]]+TrafficData[[#This Row],[disposedAmount]]=TrafficData[[#This Row],[totalAmount]]</f>
        <v>1</v>
      </c>
      <c r="M3984" t="b">
        <f>TrafficData[[#This Row],[pendingCourt]]+TrafficData[[#This Row],[disposedCourt]]=TrafficData[[#This Row],[totalCourt]]</f>
        <v>1</v>
      </c>
      <c r="N3984" s="8" t="b">
        <f>AND(TrafficData[[#This Row],[disposedChallan]]&lt;=TrafficData[[#This Row],[totalChallan]],TrafficData[[#This Row],[pendingChallan]]&lt;=TrafficData[[#This Row],[totalChallan]])</f>
        <v>1</v>
      </c>
      <c r="O3984" s="8" t="b">
        <f>AND(TrafficData[[#This Row],[pendingAmount]]&lt;=TrafficData[[#This Row],[totalAmount]],TrafficData[[#This Row],[disposedAmount]]&lt;=TrafficData[[#This Row],[totalAmount]])</f>
        <v>1</v>
      </c>
      <c r="P3984" s="8" t="b">
        <f>AND(TrafficData[[#This Row],[pendingCourt]]&lt;=TrafficData[[#This Row],[totalCourt]],TrafficData[[#This Row],[disposedCourt]]&lt;=TrafficData[[#This Row],[totalCourt]])</f>
        <v>1</v>
      </c>
    </row>
    <row r="3985" spans="1:16">
      <c r="A3985" s="1">
        <v>45989</v>
      </c>
      <c r="B3985">
        <v>318198</v>
      </c>
      <c r="C3985">
        <v>49263</v>
      </c>
      <c r="D3985">
        <v>268935</v>
      </c>
      <c r="E3985">
        <v>496573241</v>
      </c>
      <c r="F3985">
        <v>82228611</v>
      </c>
      <c r="G3985">
        <v>578801852</v>
      </c>
      <c r="H3985">
        <v>50396</v>
      </c>
      <c r="I3985">
        <v>1941</v>
      </c>
      <c r="J3985">
        <v>52337</v>
      </c>
      <c r="K3985" t="b">
        <f>TrafficData[[#This Row],[disposedChallan]]+TrafficData[[#This Row],[pendingChallan]]=TrafficData[[#This Row],[totalChallan]]</f>
        <v>1</v>
      </c>
      <c r="L3985" t="b">
        <f>TrafficData[[#This Row],[pendingAmount]]+TrafficData[[#This Row],[disposedAmount]]=TrafficData[[#This Row],[totalAmount]]</f>
        <v>1</v>
      </c>
      <c r="M3985" t="b">
        <f>TrafficData[[#This Row],[pendingCourt]]+TrafficData[[#This Row],[disposedCourt]]=TrafficData[[#This Row],[totalCourt]]</f>
        <v>1</v>
      </c>
      <c r="N3985" s="8" t="b">
        <f>AND(TrafficData[[#This Row],[disposedChallan]]&lt;=TrafficData[[#This Row],[totalChallan]],TrafficData[[#This Row],[pendingChallan]]&lt;=TrafficData[[#This Row],[totalChallan]])</f>
        <v>1</v>
      </c>
      <c r="O3985" s="8" t="b">
        <f>AND(TrafficData[[#This Row],[pendingAmount]]&lt;=TrafficData[[#This Row],[totalAmount]],TrafficData[[#This Row],[disposedAmount]]&lt;=TrafficData[[#This Row],[totalAmount]])</f>
        <v>1</v>
      </c>
      <c r="P3985" s="8" t="b">
        <f>AND(TrafficData[[#This Row],[pendingCourt]]&lt;=TrafficData[[#This Row],[totalCourt]],TrafficData[[#This Row],[disposedCourt]]&lt;=TrafficData[[#This Row],[totalCourt]])</f>
        <v>1</v>
      </c>
    </row>
    <row r="3986" spans="1:16">
      <c r="A3986" s="1">
        <v>45990</v>
      </c>
      <c r="B3986">
        <v>315080</v>
      </c>
      <c r="C3986">
        <v>49841</v>
      </c>
      <c r="D3986">
        <v>265239</v>
      </c>
      <c r="E3986">
        <v>499885265</v>
      </c>
      <c r="F3986">
        <v>73393210</v>
      </c>
      <c r="G3986">
        <v>573278475</v>
      </c>
      <c r="H3986">
        <v>47096</v>
      </c>
      <c r="I3986">
        <v>1950</v>
      </c>
      <c r="J3986">
        <v>49046</v>
      </c>
      <c r="K3986" t="b">
        <f>TrafficData[[#This Row],[disposedChallan]]+TrafficData[[#This Row],[pendingChallan]]=TrafficData[[#This Row],[totalChallan]]</f>
        <v>1</v>
      </c>
      <c r="L3986" t="b">
        <f>TrafficData[[#This Row],[pendingAmount]]+TrafficData[[#This Row],[disposedAmount]]=TrafficData[[#This Row],[totalAmount]]</f>
        <v>1</v>
      </c>
      <c r="M3986" t="b">
        <f>TrafficData[[#This Row],[pendingCourt]]+TrafficData[[#This Row],[disposedCourt]]=TrafficData[[#This Row],[totalCourt]]</f>
        <v>1</v>
      </c>
      <c r="N3986" s="8" t="b">
        <f>AND(TrafficData[[#This Row],[disposedChallan]]&lt;=TrafficData[[#This Row],[totalChallan]],TrafficData[[#This Row],[pendingChallan]]&lt;=TrafficData[[#This Row],[totalChallan]])</f>
        <v>1</v>
      </c>
      <c r="O3986" s="8" t="b">
        <f>AND(TrafficData[[#This Row],[pendingAmount]]&lt;=TrafficData[[#This Row],[totalAmount]],TrafficData[[#This Row],[disposedAmount]]&lt;=TrafficData[[#This Row],[totalAmount]])</f>
        <v>1</v>
      </c>
      <c r="P3986" s="8" t="b">
        <f>AND(TrafficData[[#This Row],[pendingCourt]]&lt;=TrafficData[[#This Row],[totalCourt]],TrafficData[[#This Row],[disposedCourt]]&lt;=TrafficData[[#This Row],[totalCourt]])</f>
        <v>1</v>
      </c>
    </row>
    <row r="3987" spans="1:16">
      <c r="A3987" s="1">
        <v>45991</v>
      </c>
      <c r="B3987">
        <v>275395</v>
      </c>
      <c r="C3987">
        <v>41530</v>
      </c>
      <c r="D3987">
        <v>233865</v>
      </c>
      <c r="E3987">
        <v>404146463</v>
      </c>
      <c r="F3987">
        <v>52658349</v>
      </c>
      <c r="G3987">
        <v>456804812</v>
      </c>
      <c r="H3987">
        <v>38868</v>
      </c>
      <c r="I3987">
        <v>1561</v>
      </c>
      <c r="J3987">
        <v>40429</v>
      </c>
      <c r="K3987" t="b">
        <f>TrafficData[[#This Row],[disposedChallan]]+TrafficData[[#This Row],[pendingChallan]]=TrafficData[[#This Row],[totalChallan]]</f>
        <v>1</v>
      </c>
      <c r="L3987" t="b">
        <f>TrafficData[[#This Row],[pendingAmount]]+TrafficData[[#This Row],[disposedAmount]]=TrafficData[[#This Row],[totalAmount]]</f>
        <v>1</v>
      </c>
      <c r="M3987" t="b">
        <f>TrafficData[[#This Row],[pendingCourt]]+TrafficData[[#This Row],[disposedCourt]]=TrafficData[[#This Row],[totalCourt]]</f>
        <v>1</v>
      </c>
      <c r="N3987" s="8" t="b">
        <f>AND(TrafficData[[#This Row],[disposedChallan]]&lt;=TrafficData[[#This Row],[totalChallan]],TrafficData[[#This Row],[pendingChallan]]&lt;=TrafficData[[#This Row],[totalChallan]])</f>
        <v>1</v>
      </c>
      <c r="O3987" s="8" t="b">
        <f>AND(TrafficData[[#This Row],[pendingAmount]]&lt;=TrafficData[[#This Row],[totalAmount]],TrafficData[[#This Row],[disposedAmount]]&lt;=TrafficData[[#This Row],[totalAmount]])</f>
        <v>1</v>
      </c>
      <c r="P3987" s="8" t="b">
        <f>AND(TrafficData[[#This Row],[pendingCourt]]&lt;=TrafficData[[#This Row],[totalCourt]],TrafficData[[#This Row],[disposedCourt]]&lt;=TrafficData[[#This Row],[totalCourt]])</f>
        <v>1</v>
      </c>
    </row>
    <row r="3988" spans="1:16">
      <c r="A3988" s="1">
        <v>45992</v>
      </c>
      <c r="B3988">
        <v>284080</v>
      </c>
      <c r="C3988">
        <v>49674</v>
      </c>
      <c r="D3988">
        <v>234406</v>
      </c>
      <c r="E3988">
        <v>457698035</v>
      </c>
      <c r="F3988">
        <v>88841010</v>
      </c>
      <c r="G3988">
        <v>546539045</v>
      </c>
      <c r="H3988">
        <v>47282</v>
      </c>
      <c r="I3988">
        <v>1646</v>
      </c>
      <c r="J3988">
        <v>48928</v>
      </c>
      <c r="K3988" t="b">
        <f>TrafficData[[#This Row],[disposedChallan]]+TrafficData[[#This Row],[pendingChallan]]=TrafficData[[#This Row],[totalChallan]]</f>
        <v>1</v>
      </c>
      <c r="L3988" t="b">
        <f>TrafficData[[#This Row],[pendingAmount]]+TrafficData[[#This Row],[disposedAmount]]=TrafficData[[#This Row],[totalAmount]]</f>
        <v>1</v>
      </c>
      <c r="M3988" t="b">
        <f>TrafficData[[#This Row],[pendingCourt]]+TrafficData[[#This Row],[disposedCourt]]=TrafficData[[#This Row],[totalCourt]]</f>
        <v>1</v>
      </c>
      <c r="N3988" s="8" t="b">
        <f>AND(TrafficData[[#This Row],[disposedChallan]]&lt;=TrafficData[[#This Row],[totalChallan]],TrafficData[[#This Row],[pendingChallan]]&lt;=TrafficData[[#This Row],[totalChallan]])</f>
        <v>1</v>
      </c>
      <c r="O3988" s="8" t="b">
        <f>AND(TrafficData[[#This Row],[pendingAmount]]&lt;=TrafficData[[#This Row],[totalAmount]],TrafficData[[#This Row],[disposedAmount]]&lt;=TrafficData[[#This Row],[totalAmount]])</f>
        <v>1</v>
      </c>
      <c r="P3988" s="8" t="b">
        <f>AND(TrafficData[[#This Row],[pendingCourt]]&lt;=TrafficData[[#This Row],[totalCourt]],TrafficData[[#This Row],[disposedCourt]]&lt;=TrafficData[[#This Row],[totalCourt]])</f>
        <v>1</v>
      </c>
    </row>
    <row r="3989" spans="1:16">
      <c r="A3989" s="1">
        <v>45993</v>
      </c>
      <c r="B3989">
        <v>280307</v>
      </c>
      <c r="C3989">
        <v>50911</v>
      </c>
      <c r="D3989">
        <v>229396</v>
      </c>
      <c r="E3989">
        <v>472826768</v>
      </c>
      <c r="F3989">
        <v>96955769</v>
      </c>
      <c r="G3989">
        <v>569782537</v>
      </c>
      <c r="H3989">
        <v>39334</v>
      </c>
      <c r="I3989">
        <v>1603</v>
      </c>
      <c r="J3989">
        <v>40937</v>
      </c>
      <c r="K3989" t="b">
        <f>TrafficData[[#This Row],[disposedChallan]]+TrafficData[[#This Row],[pendingChallan]]=TrafficData[[#This Row],[totalChallan]]</f>
        <v>1</v>
      </c>
      <c r="L3989" t="b">
        <f>TrafficData[[#This Row],[pendingAmount]]+TrafficData[[#This Row],[disposedAmount]]=TrafficData[[#This Row],[totalAmount]]</f>
        <v>1</v>
      </c>
      <c r="M3989" t="b">
        <f>TrafficData[[#This Row],[pendingCourt]]+TrafficData[[#This Row],[disposedCourt]]=TrafficData[[#This Row],[totalCourt]]</f>
        <v>1</v>
      </c>
      <c r="N3989" s="8" t="b">
        <f>AND(TrafficData[[#This Row],[disposedChallan]]&lt;=TrafficData[[#This Row],[totalChallan]],TrafficData[[#This Row],[pendingChallan]]&lt;=TrafficData[[#This Row],[totalChallan]])</f>
        <v>1</v>
      </c>
      <c r="O3989" s="8" t="b">
        <f>AND(TrafficData[[#This Row],[pendingAmount]]&lt;=TrafficData[[#This Row],[totalAmount]],TrafficData[[#This Row],[disposedAmount]]&lt;=TrafficData[[#This Row],[totalAmount]])</f>
        <v>1</v>
      </c>
      <c r="P3989" s="8" t="b">
        <f>AND(TrafficData[[#This Row],[pendingCourt]]&lt;=TrafficData[[#This Row],[totalCourt]],TrafficData[[#This Row],[disposedCourt]]&lt;=TrafficData[[#This Row],[totalCourt]])</f>
        <v>1</v>
      </c>
    </row>
    <row r="3990" spans="1:16">
      <c r="A3990" s="1">
        <v>45994</v>
      </c>
      <c r="B3990">
        <v>284547</v>
      </c>
      <c r="C3990">
        <v>51510</v>
      </c>
      <c r="D3990">
        <v>233037</v>
      </c>
      <c r="E3990">
        <v>474198091</v>
      </c>
      <c r="F3990">
        <v>102505283</v>
      </c>
      <c r="G3990">
        <v>576703374</v>
      </c>
      <c r="H3990">
        <v>41012</v>
      </c>
      <c r="I3990">
        <v>1753</v>
      </c>
      <c r="J3990">
        <v>42765</v>
      </c>
      <c r="K3990" t="b">
        <f>TrafficData[[#This Row],[disposedChallan]]+TrafficData[[#This Row],[pendingChallan]]=TrafficData[[#This Row],[totalChallan]]</f>
        <v>1</v>
      </c>
      <c r="L3990" t="b">
        <f>TrafficData[[#This Row],[pendingAmount]]+TrafficData[[#This Row],[disposedAmount]]=TrafficData[[#This Row],[totalAmount]]</f>
        <v>1</v>
      </c>
      <c r="M3990" t="b">
        <f>TrafficData[[#This Row],[pendingCourt]]+TrafficData[[#This Row],[disposedCourt]]=TrafficData[[#This Row],[totalCourt]]</f>
        <v>1</v>
      </c>
      <c r="N3990" s="8" t="b">
        <f>AND(TrafficData[[#This Row],[disposedChallan]]&lt;=TrafficData[[#This Row],[totalChallan]],TrafficData[[#This Row],[pendingChallan]]&lt;=TrafficData[[#This Row],[totalChallan]])</f>
        <v>1</v>
      </c>
      <c r="O3990" s="8" t="b">
        <f>AND(TrafficData[[#This Row],[pendingAmount]]&lt;=TrafficData[[#This Row],[totalAmount]],TrafficData[[#This Row],[disposedAmount]]&lt;=TrafficData[[#This Row],[totalAmount]])</f>
        <v>1</v>
      </c>
      <c r="P3990" s="8" t="b">
        <f>AND(TrafficData[[#This Row],[pendingCourt]]&lt;=TrafficData[[#This Row],[totalCourt]],TrafficData[[#This Row],[disposedCourt]]&lt;=TrafficData[[#This Row],[totalCourt]])</f>
        <v>1</v>
      </c>
    </row>
    <row r="3991" spans="1:16">
      <c r="A3991" s="1">
        <v>45995</v>
      </c>
      <c r="B3991">
        <v>273381</v>
      </c>
      <c r="C3991">
        <v>49283</v>
      </c>
      <c r="D3991">
        <v>224098</v>
      </c>
      <c r="E3991">
        <v>473755728</v>
      </c>
      <c r="F3991">
        <v>99451035</v>
      </c>
      <c r="G3991">
        <v>573206763</v>
      </c>
      <c r="H3991">
        <v>38732</v>
      </c>
      <c r="I3991">
        <v>1604</v>
      </c>
      <c r="J3991">
        <v>40336</v>
      </c>
      <c r="K3991" t="b">
        <f>TrafficData[[#This Row],[disposedChallan]]+TrafficData[[#This Row],[pendingChallan]]=TrafficData[[#This Row],[totalChallan]]</f>
        <v>1</v>
      </c>
      <c r="L3991" t="b">
        <f>TrafficData[[#This Row],[pendingAmount]]+TrafficData[[#This Row],[disposedAmount]]=TrafficData[[#This Row],[totalAmount]]</f>
        <v>1</v>
      </c>
      <c r="M3991" t="b">
        <f>TrafficData[[#This Row],[pendingCourt]]+TrafficData[[#This Row],[disposedCourt]]=TrafficData[[#This Row],[totalCourt]]</f>
        <v>1</v>
      </c>
      <c r="N3991" s="8" t="b">
        <f>AND(TrafficData[[#This Row],[disposedChallan]]&lt;=TrafficData[[#This Row],[totalChallan]],TrafficData[[#This Row],[pendingChallan]]&lt;=TrafficData[[#This Row],[totalChallan]])</f>
        <v>1</v>
      </c>
      <c r="O3991" s="8" t="b">
        <f>AND(TrafficData[[#This Row],[pendingAmount]]&lt;=TrafficData[[#This Row],[totalAmount]],TrafficData[[#This Row],[disposedAmount]]&lt;=TrafficData[[#This Row],[totalAmount]])</f>
        <v>1</v>
      </c>
      <c r="P3991" s="8" t="b">
        <f>AND(TrafficData[[#This Row],[pendingCourt]]&lt;=TrafficData[[#This Row],[totalCourt]],TrafficData[[#This Row],[disposedCourt]]&lt;=TrafficData[[#This Row],[totalCourt]])</f>
        <v>1</v>
      </c>
    </row>
    <row r="3992" spans="1:16">
      <c r="A3992" s="1">
        <v>45996</v>
      </c>
      <c r="B3992">
        <v>265402</v>
      </c>
      <c r="C3992">
        <v>46985</v>
      </c>
      <c r="D3992">
        <v>218417</v>
      </c>
      <c r="E3992">
        <v>453320362</v>
      </c>
      <c r="F3992">
        <v>92972736</v>
      </c>
      <c r="G3992">
        <v>546293098</v>
      </c>
      <c r="H3992">
        <v>37697</v>
      </c>
      <c r="I3992">
        <v>1441</v>
      </c>
      <c r="J3992">
        <v>39138</v>
      </c>
      <c r="K3992" t="b">
        <f>TrafficData[[#This Row],[disposedChallan]]+TrafficData[[#This Row],[pendingChallan]]=TrafficData[[#This Row],[totalChallan]]</f>
        <v>1</v>
      </c>
      <c r="L3992" t="b">
        <f>TrafficData[[#This Row],[pendingAmount]]+TrafficData[[#This Row],[disposedAmount]]=TrafficData[[#This Row],[totalAmount]]</f>
        <v>1</v>
      </c>
      <c r="M3992" t="b">
        <f>TrafficData[[#This Row],[pendingCourt]]+TrafficData[[#This Row],[disposedCourt]]=TrafficData[[#This Row],[totalCourt]]</f>
        <v>1</v>
      </c>
      <c r="N3992" s="8" t="b">
        <f>AND(TrafficData[[#This Row],[disposedChallan]]&lt;=TrafficData[[#This Row],[totalChallan]],TrafficData[[#This Row],[pendingChallan]]&lt;=TrafficData[[#This Row],[totalChallan]])</f>
        <v>1</v>
      </c>
      <c r="O3992" s="8" t="b">
        <f>AND(TrafficData[[#This Row],[pendingAmount]]&lt;=TrafficData[[#This Row],[totalAmount]],TrafficData[[#This Row],[disposedAmount]]&lt;=TrafficData[[#This Row],[totalAmount]])</f>
        <v>1</v>
      </c>
      <c r="P3992" s="8" t="b">
        <f>AND(TrafficData[[#This Row],[pendingCourt]]&lt;=TrafficData[[#This Row],[totalCourt]],TrafficData[[#This Row],[disposedCourt]]&lt;=TrafficData[[#This Row],[totalCourt]])</f>
        <v>1</v>
      </c>
    </row>
    <row r="3993" spans="1:16">
      <c r="A3993" s="1">
        <v>45997</v>
      </c>
      <c r="B3993">
        <v>269462</v>
      </c>
      <c r="C3993">
        <v>46951</v>
      </c>
      <c r="D3993">
        <v>222511</v>
      </c>
      <c r="E3993">
        <v>447472767</v>
      </c>
      <c r="F3993">
        <v>81701319</v>
      </c>
      <c r="G3993">
        <v>529174086</v>
      </c>
      <c r="H3993">
        <v>39063</v>
      </c>
      <c r="I3993">
        <v>1703</v>
      </c>
      <c r="J3993">
        <v>40766</v>
      </c>
      <c r="K3993" t="b">
        <f>TrafficData[[#This Row],[disposedChallan]]+TrafficData[[#This Row],[pendingChallan]]=TrafficData[[#This Row],[totalChallan]]</f>
        <v>1</v>
      </c>
      <c r="L3993" t="b">
        <f>TrafficData[[#This Row],[pendingAmount]]+TrafficData[[#This Row],[disposedAmount]]=TrafficData[[#This Row],[totalAmount]]</f>
        <v>1</v>
      </c>
      <c r="M3993" t="b">
        <f>TrafficData[[#This Row],[pendingCourt]]+TrafficData[[#This Row],[disposedCourt]]=TrafficData[[#This Row],[totalCourt]]</f>
        <v>1</v>
      </c>
      <c r="N3993" s="8" t="b">
        <f>AND(TrafficData[[#This Row],[disposedChallan]]&lt;=TrafficData[[#This Row],[totalChallan]],TrafficData[[#This Row],[pendingChallan]]&lt;=TrafficData[[#This Row],[totalChallan]])</f>
        <v>1</v>
      </c>
      <c r="O3993" s="8" t="b">
        <f>AND(TrafficData[[#This Row],[pendingAmount]]&lt;=TrafficData[[#This Row],[totalAmount]],TrafficData[[#This Row],[disposedAmount]]&lt;=TrafficData[[#This Row],[totalAmount]])</f>
        <v>1</v>
      </c>
      <c r="P3993" s="8" t="b">
        <f>AND(TrafficData[[#This Row],[pendingCourt]]&lt;=TrafficData[[#This Row],[totalCourt]],TrafficData[[#This Row],[disposedCourt]]&lt;=TrafficData[[#This Row],[totalCourt]])</f>
        <v>1</v>
      </c>
    </row>
    <row r="3994" spans="1:16">
      <c r="A3994" s="1">
        <v>45998</v>
      </c>
      <c r="B3994">
        <v>267820</v>
      </c>
      <c r="C3994">
        <v>45249</v>
      </c>
      <c r="D3994">
        <v>222571</v>
      </c>
      <c r="E3994">
        <v>422277471</v>
      </c>
      <c r="F3994">
        <v>62222685</v>
      </c>
      <c r="G3994">
        <v>484500156</v>
      </c>
      <c r="H3994">
        <v>34803</v>
      </c>
      <c r="I3994">
        <v>1517</v>
      </c>
      <c r="J3994">
        <v>36320</v>
      </c>
      <c r="K3994" t="b">
        <f>TrafficData[[#This Row],[disposedChallan]]+TrafficData[[#This Row],[pendingChallan]]=TrafficData[[#This Row],[totalChallan]]</f>
        <v>1</v>
      </c>
      <c r="L3994" t="b">
        <f>TrafficData[[#This Row],[pendingAmount]]+TrafficData[[#This Row],[disposedAmount]]=TrafficData[[#This Row],[totalAmount]]</f>
        <v>1</v>
      </c>
      <c r="M3994" t="b">
        <f>TrafficData[[#This Row],[pendingCourt]]+TrafficData[[#This Row],[disposedCourt]]=TrafficData[[#This Row],[totalCourt]]</f>
        <v>1</v>
      </c>
      <c r="N3994" s="8" t="b">
        <f>AND(TrafficData[[#This Row],[disposedChallan]]&lt;=TrafficData[[#This Row],[totalChallan]],TrafficData[[#This Row],[pendingChallan]]&lt;=TrafficData[[#This Row],[totalChallan]])</f>
        <v>1</v>
      </c>
      <c r="O3994" s="8" t="b">
        <f>AND(TrafficData[[#This Row],[pendingAmount]]&lt;=TrafficData[[#This Row],[totalAmount]],TrafficData[[#This Row],[disposedAmount]]&lt;=TrafficData[[#This Row],[totalAmount]])</f>
        <v>1</v>
      </c>
      <c r="P3994" s="8" t="b">
        <f>AND(TrafficData[[#This Row],[pendingCourt]]&lt;=TrafficData[[#This Row],[totalCourt]],TrafficData[[#This Row],[disposedCourt]]&lt;=TrafficData[[#This Row],[totalCourt]])</f>
        <v>1</v>
      </c>
    </row>
    <row r="3995" spans="1:16">
      <c r="A3995" s="1">
        <v>45999</v>
      </c>
      <c r="B3995">
        <v>285634</v>
      </c>
      <c r="C3995">
        <v>47923</v>
      </c>
      <c r="D3995">
        <v>237711</v>
      </c>
      <c r="E3995">
        <v>497169517</v>
      </c>
      <c r="F3995">
        <v>90666272</v>
      </c>
      <c r="G3995">
        <v>587835789</v>
      </c>
      <c r="H3995">
        <v>40375</v>
      </c>
      <c r="I3995">
        <v>1509</v>
      </c>
      <c r="J3995">
        <v>41884</v>
      </c>
      <c r="K3995" t="b">
        <f>TrafficData[[#This Row],[disposedChallan]]+TrafficData[[#This Row],[pendingChallan]]=TrafficData[[#This Row],[totalChallan]]</f>
        <v>1</v>
      </c>
      <c r="L3995" t="b">
        <f>TrafficData[[#This Row],[pendingAmount]]+TrafficData[[#This Row],[disposedAmount]]=TrafficData[[#This Row],[totalAmount]]</f>
        <v>1</v>
      </c>
      <c r="M3995" t="b">
        <f>TrafficData[[#This Row],[pendingCourt]]+TrafficData[[#This Row],[disposedCourt]]=TrafficData[[#This Row],[totalCourt]]</f>
        <v>1</v>
      </c>
      <c r="N3995" s="8" t="b">
        <f>AND(TrafficData[[#This Row],[disposedChallan]]&lt;=TrafficData[[#This Row],[totalChallan]],TrafficData[[#This Row],[pendingChallan]]&lt;=TrafficData[[#This Row],[totalChallan]])</f>
        <v>1</v>
      </c>
      <c r="O3995" s="8" t="b">
        <f>AND(TrafficData[[#This Row],[pendingAmount]]&lt;=TrafficData[[#This Row],[totalAmount]],TrafficData[[#This Row],[disposedAmount]]&lt;=TrafficData[[#This Row],[totalAmount]])</f>
        <v>1</v>
      </c>
      <c r="P3995" s="8" t="b">
        <f>AND(TrafficData[[#This Row],[pendingCourt]]&lt;=TrafficData[[#This Row],[totalCourt]],TrafficData[[#This Row],[disposedCourt]]&lt;=TrafficData[[#This Row],[totalCourt]])</f>
        <v>1</v>
      </c>
    </row>
    <row r="3996" spans="1:16">
      <c r="A3996" s="1">
        <v>46000</v>
      </c>
      <c r="B3996">
        <v>289285</v>
      </c>
      <c r="C3996">
        <v>47513</v>
      </c>
      <c r="D3996">
        <v>241772</v>
      </c>
      <c r="E3996">
        <v>497524744</v>
      </c>
      <c r="F3996">
        <v>98423698</v>
      </c>
      <c r="G3996">
        <v>595948442</v>
      </c>
      <c r="H3996">
        <v>39760</v>
      </c>
      <c r="I3996">
        <v>1501</v>
      </c>
      <c r="J3996">
        <v>41261</v>
      </c>
      <c r="K3996" t="b">
        <f>TrafficData[[#This Row],[disposedChallan]]+TrafficData[[#This Row],[pendingChallan]]=TrafficData[[#This Row],[totalChallan]]</f>
        <v>1</v>
      </c>
      <c r="L3996" t="b">
        <f>TrafficData[[#This Row],[pendingAmount]]+TrafficData[[#This Row],[disposedAmount]]=TrafficData[[#This Row],[totalAmount]]</f>
        <v>1</v>
      </c>
      <c r="M3996" t="b">
        <f>TrafficData[[#This Row],[pendingCourt]]+TrafficData[[#This Row],[disposedCourt]]=TrafficData[[#This Row],[totalCourt]]</f>
        <v>1</v>
      </c>
      <c r="N3996" s="8" t="b">
        <f>AND(TrafficData[[#This Row],[disposedChallan]]&lt;=TrafficData[[#This Row],[totalChallan]],TrafficData[[#This Row],[pendingChallan]]&lt;=TrafficData[[#This Row],[totalChallan]])</f>
        <v>1</v>
      </c>
      <c r="O3996" s="8" t="b">
        <f>AND(TrafficData[[#This Row],[pendingAmount]]&lt;=TrafficData[[#This Row],[totalAmount]],TrafficData[[#This Row],[disposedAmount]]&lt;=TrafficData[[#This Row],[totalAmount]])</f>
        <v>1</v>
      </c>
      <c r="P3996" s="8" t="b">
        <f>AND(TrafficData[[#This Row],[pendingCourt]]&lt;=TrafficData[[#This Row],[totalCourt]],TrafficData[[#This Row],[disposedCourt]]&lt;=TrafficData[[#This Row],[totalCourt]])</f>
        <v>1</v>
      </c>
    </row>
    <row r="3997" spans="1:16">
      <c r="A3997" s="1">
        <v>46001</v>
      </c>
      <c r="B3997">
        <v>288495</v>
      </c>
      <c r="C3997">
        <v>48279</v>
      </c>
      <c r="D3997">
        <v>240216</v>
      </c>
      <c r="E3997">
        <v>494344923</v>
      </c>
      <c r="F3997">
        <v>101313562</v>
      </c>
      <c r="G3997">
        <v>595658485</v>
      </c>
      <c r="H3997">
        <v>41538</v>
      </c>
      <c r="I3997">
        <v>1702</v>
      </c>
      <c r="J3997">
        <v>43240</v>
      </c>
      <c r="K3997" t="b">
        <f>TrafficData[[#This Row],[disposedChallan]]+TrafficData[[#This Row],[pendingChallan]]=TrafficData[[#This Row],[totalChallan]]</f>
        <v>1</v>
      </c>
      <c r="L3997" t="b">
        <f>TrafficData[[#This Row],[pendingAmount]]+TrafficData[[#This Row],[disposedAmount]]=TrafficData[[#This Row],[totalAmount]]</f>
        <v>1</v>
      </c>
      <c r="M3997" t="b">
        <f>TrafficData[[#This Row],[pendingCourt]]+TrafficData[[#This Row],[disposedCourt]]=TrafficData[[#This Row],[totalCourt]]</f>
        <v>1</v>
      </c>
      <c r="N3997" s="8" t="b">
        <f>AND(TrafficData[[#This Row],[disposedChallan]]&lt;=TrafficData[[#This Row],[totalChallan]],TrafficData[[#This Row],[pendingChallan]]&lt;=TrafficData[[#This Row],[totalChallan]])</f>
        <v>1</v>
      </c>
      <c r="O3997" s="8" t="b">
        <f>AND(TrafficData[[#This Row],[pendingAmount]]&lt;=TrafficData[[#This Row],[totalAmount]],TrafficData[[#This Row],[disposedAmount]]&lt;=TrafficData[[#This Row],[totalAmount]])</f>
        <v>1</v>
      </c>
      <c r="P3997" s="8" t="b">
        <f>AND(TrafficData[[#This Row],[pendingCourt]]&lt;=TrafficData[[#This Row],[totalCourt]],TrafficData[[#This Row],[disposedCourt]]&lt;=TrafficData[[#This Row],[totalCourt]])</f>
        <v>1</v>
      </c>
    </row>
    <row r="3998" spans="1:16">
      <c r="A3998" s="1">
        <v>46002</v>
      </c>
      <c r="B3998">
        <v>287572</v>
      </c>
      <c r="C3998">
        <v>45288</v>
      </c>
      <c r="D3998">
        <v>242284</v>
      </c>
      <c r="E3998">
        <v>499991590</v>
      </c>
      <c r="F3998">
        <v>92621387</v>
      </c>
      <c r="G3998">
        <v>592612977</v>
      </c>
      <c r="H3998">
        <v>41225</v>
      </c>
      <c r="I3998">
        <v>1396</v>
      </c>
      <c r="J3998">
        <v>42621</v>
      </c>
      <c r="K3998" t="b">
        <f>TrafficData[[#This Row],[disposedChallan]]+TrafficData[[#This Row],[pendingChallan]]=TrafficData[[#This Row],[totalChallan]]</f>
        <v>1</v>
      </c>
      <c r="L3998" t="b">
        <f>TrafficData[[#This Row],[pendingAmount]]+TrafficData[[#This Row],[disposedAmount]]=TrafficData[[#This Row],[totalAmount]]</f>
        <v>1</v>
      </c>
      <c r="M3998" t="b">
        <f>TrafficData[[#This Row],[pendingCourt]]+TrafficData[[#This Row],[disposedCourt]]=TrafficData[[#This Row],[totalCourt]]</f>
        <v>1</v>
      </c>
      <c r="N3998" s="8" t="b">
        <f>AND(TrafficData[[#This Row],[disposedChallan]]&lt;=TrafficData[[#This Row],[totalChallan]],TrafficData[[#This Row],[pendingChallan]]&lt;=TrafficData[[#This Row],[totalChallan]])</f>
        <v>1</v>
      </c>
      <c r="O3998" s="8" t="b">
        <f>AND(TrafficData[[#This Row],[pendingAmount]]&lt;=TrafficData[[#This Row],[totalAmount]],TrafficData[[#This Row],[disposedAmount]]&lt;=TrafficData[[#This Row],[totalAmount]])</f>
        <v>1</v>
      </c>
      <c r="P3998" s="8" t="b">
        <f>AND(TrafficData[[#This Row],[pendingCourt]]&lt;=TrafficData[[#This Row],[totalCourt]],TrafficData[[#This Row],[disposedCourt]]&lt;=TrafficData[[#This Row],[totalCourt]])</f>
        <v>1</v>
      </c>
    </row>
    <row r="3999" spans="1:16">
      <c r="A3999" s="1">
        <v>46003</v>
      </c>
      <c r="B3999">
        <v>292997</v>
      </c>
      <c r="C3999">
        <v>45608</v>
      </c>
      <c r="D3999">
        <v>247389</v>
      </c>
      <c r="E3999">
        <v>493839800</v>
      </c>
      <c r="F3999">
        <v>92091834</v>
      </c>
      <c r="G3999">
        <v>585931634</v>
      </c>
      <c r="H3999">
        <v>42863</v>
      </c>
      <c r="I3999">
        <v>1436</v>
      </c>
      <c r="J3999">
        <v>44299</v>
      </c>
      <c r="K3999" t="b">
        <f>TrafficData[[#This Row],[disposedChallan]]+TrafficData[[#This Row],[pendingChallan]]=TrafficData[[#This Row],[totalChallan]]</f>
        <v>1</v>
      </c>
      <c r="L3999" t="b">
        <f>TrafficData[[#This Row],[pendingAmount]]+TrafficData[[#This Row],[disposedAmount]]=TrafficData[[#This Row],[totalAmount]]</f>
        <v>1</v>
      </c>
      <c r="M3999" t="b">
        <f>TrafficData[[#This Row],[pendingCourt]]+TrafficData[[#This Row],[disposedCourt]]=TrafficData[[#This Row],[totalCourt]]</f>
        <v>1</v>
      </c>
      <c r="N3999" s="8" t="b">
        <f>AND(TrafficData[[#This Row],[disposedChallan]]&lt;=TrafficData[[#This Row],[totalChallan]],TrafficData[[#This Row],[pendingChallan]]&lt;=TrafficData[[#This Row],[totalChallan]])</f>
        <v>1</v>
      </c>
      <c r="O3999" s="8" t="b">
        <f>AND(TrafficData[[#This Row],[pendingAmount]]&lt;=TrafficData[[#This Row],[totalAmount]],TrafficData[[#This Row],[disposedAmount]]&lt;=TrafficData[[#This Row],[totalAmount]])</f>
        <v>1</v>
      </c>
      <c r="P3999" s="8" t="b">
        <f>AND(TrafficData[[#This Row],[pendingCourt]]&lt;=TrafficData[[#This Row],[totalCourt]],TrafficData[[#This Row],[disposedCourt]]&lt;=TrafficData[[#This Row],[totalCourt]])</f>
        <v>1</v>
      </c>
    </row>
    <row r="4000" spans="1:16">
      <c r="A4000" s="1">
        <v>46004</v>
      </c>
      <c r="B4000">
        <v>285511</v>
      </c>
      <c r="C4000">
        <v>42145</v>
      </c>
      <c r="D4000">
        <v>243366</v>
      </c>
      <c r="E4000">
        <v>481413048</v>
      </c>
      <c r="F4000">
        <v>66181140</v>
      </c>
      <c r="G4000">
        <v>547594188</v>
      </c>
      <c r="H4000">
        <v>40867</v>
      </c>
      <c r="I4000">
        <v>1444</v>
      </c>
      <c r="J4000">
        <v>42311</v>
      </c>
      <c r="K4000" t="b">
        <f>TrafficData[[#This Row],[disposedChallan]]+TrafficData[[#This Row],[pendingChallan]]=TrafficData[[#This Row],[totalChallan]]</f>
        <v>1</v>
      </c>
      <c r="L4000" t="b">
        <f>TrafficData[[#This Row],[pendingAmount]]+TrafficData[[#This Row],[disposedAmount]]=TrafficData[[#This Row],[totalAmount]]</f>
        <v>1</v>
      </c>
      <c r="M4000" t="b">
        <f>TrafficData[[#This Row],[pendingCourt]]+TrafficData[[#This Row],[disposedCourt]]=TrafficData[[#This Row],[totalCourt]]</f>
        <v>1</v>
      </c>
      <c r="N4000" s="8" t="b">
        <f>AND(TrafficData[[#This Row],[disposedChallan]]&lt;=TrafficData[[#This Row],[totalChallan]],TrafficData[[#This Row],[pendingChallan]]&lt;=TrafficData[[#This Row],[totalChallan]])</f>
        <v>1</v>
      </c>
      <c r="O4000" s="8" t="b">
        <f>AND(TrafficData[[#This Row],[pendingAmount]]&lt;=TrafficData[[#This Row],[totalAmount]],TrafficData[[#This Row],[disposedAmount]]&lt;=TrafficData[[#This Row],[totalAmount]])</f>
        <v>1</v>
      </c>
      <c r="P4000" s="8" t="b">
        <f>AND(TrafficData[[#This Row],[pendingCourt]]&lt;=TrafficData[[#This Row],[totalCourt]],TrafficData[[#This Row],[disposedCourt]]&lt;=TrafficData[[#This Row],[totalCourt]])</f>
        <v>1</v>
      </c>
    </row>
    <row r="4001" spans="1:16">
      <c r="A4001" s="1">
        <v>46005</v>
      </c>
      <c r="B4001">
        <v>269233</v>
      </c>
      <c r="C4001">
        <v>40280</v>
      </c>
      <c r="D4001">
        <v>228953</v>
      </c>
      <c r="E4001">
        <v>433221466</v>
      </c>
      <c r="F4001">
        <v>57190556</v>
      </c>
      <c r="G4001">
        <v>490412022</v>
      </c>
      <c r="H4001">
        <v>37971</v>
      </c>
      <c r="I4001">
        <v>1292</v>
      </c>
      <c r="J4001">
        <v>39263</v>
      </c>
      <c r="K4001" t="b">
        <f>TrafficData[[#This Row],[disposedChallan]]+TrafficData[[#This Row],[pendingChallan]]=TrafficData[[#This Row],[totalChallan]]</f>
        <v>1</v>
      </c>
      <c r="L4001" t="b">
        <f>TrafficData[[#This Row],[pendingAmount]]+TrafficData[[#This Row],[disposedAmount]]=TrafficData[[#This Row],[totalAmount]]</f>
        <v>1</v>
      </c>
      <c r="M4001" t="b">
        <f>TrafficData[[#This Row],[pendingCourt]]+TrafficData[[#This Row],[disposedCourt]]=TrafficData[[#This Row],[totalCourt]]</f>
        <v>1</v>
      </c>
      <c r="N4001" s="8" t="b">
        <f>AND(TrafficData[[#This Row],[disposedChallan]]&lt;=TrafficData[[#This Row],[totalChallan]],TrafficData[[#This Row],[pendingChallan]]&lt;=TrafficData[[#This Row],[totalChallan]])</f>
        <v>1</v>
      </c>
      <c r="O4001" s="8" t="b">
        <f>AND(TrafficData[[#This Row],[pendingAmount]]&lt;=TrafficData[[#This Row],[totalAmount]],TrafficData[[#This Row],[disposedAmount]]&lt;=TrafficData[[#This Row],[totalAmount]])</f>
        <v>1</v>
      </c>
      <c r="P4001" s="8" t="b">
        <f>AND(TrafficData[[#This Row],[pendingCourt]]&lt;=TrafficData[[#This Row],[totalCourt]],TrafficData[[#This Row],[disposedCourt]]&lt;=TrafficData[[#This Row],[totalCourt]])</f>
        <v>1</v>
      </c>
    </row>
    <row r="4002" spans="1:16">
      <c r="A4002" s="1">
        <v>46006</v>
      </c>
      <c r="B4002">
        <v>297330</v>
      </c>
      <c r="C4002">
        <v>45023</v>
      </c>
      <c r="D4002">
        <v>252307</v>
      </c>
      <c r="E4002">
        <v>511517590</v>
      </c>
      <c r="F4002">
        <v>78016187</v>
      </c>
      <c r="G4002">
        <v>589533777</v>
      </c>
      <c r="H4002">
        <v>42704</v>
      </c>
      <c r="I4002">
        <v>1234</v>
      </c>
      <c r="J4002">
        <v>43938</v>
      </c>
      <c r="K4002" t="b">
        <f>TrafficData[[#This Row],[disposedChallan]]+TrafficData[[#This Row],[pendingChallan]]=TrafficData[[#This Row],[totalChallan]]</f>
        <v>1</v>
      </c>
      <c r="L4002" t="b">
        <f>TrafficData[[#This Row],[pendingAmount]]+TrafficData[[#This Row],[disposedAmount]]=TrafficData[[#This Row],[totalAmount]]</f>
        <v>1</v>
      </c>
      <c r="M4002" t="b">
        <f>TrafficData[[#This Row],[pendingCourt]]+TrafficData[[#This Row],[disposedCourt]]=TrafficData[[#This Row],[totalCourt]]</f>
        <v>1</v>
      </c>
      <c r="N4002" s="8" t="b">
        <f>AND(TrafficData[[#This Row],[disposedChallan]]&lt;=TrafficData[[#This Row],[totalChallan]],TrafficData[[#This Row],[pendingChallan]]&lt;=TrafficData[[#This Row],[totalChallan]])</f>
        <v>1</v>
      </c>
      <c r="O4002" s="8" t="b">
        <f>AND(TrafficData[[#This Row],[pendingAmount]]&lt;=TrafficData[[#This Row],[totalAmount]],TrafficData[[#This Row],[disposedAmount]]&lt;=TrafficData[[#This Row],[totalAmount]])</f>
        <v>1</v>
      </c>
      <c r="P4002" s="8" t="b">
        <f>AND(TrafficData[[#This Row],[pendingCourt]]&lt;=TrafficData[[#This Row],[totalCourt]],TrafficData[[#This Row],[disposedCourt]]&lt;=TrafficData[[#This Row],[totalCourt]])</f>
        <v>1</v>
      </c>
    </row>
    <row r="4003" spans="1:16">
      <c r="A4003" s="1">
        <v>46007</v>
      </c>
      <c r="B4003">
        <v>293319</v>
      </c>
      <c r="C4003">
        <v>44344</v>
      </c>
      <c r="D4003">
        <v>248975</v>
      </c>
      <c r="E4003">
        <v>494680576</v>
      </c>
      <c r="F4003">
        <v>92525084</v>
      </c>
      <c r="G4003">
        <v>587205660</v>
      </c>
      <c r="H4003">
        <v>40378</v>
      </c>
      <c r="I4003">
        <v>1209</v>
      </c>
      <c r="J4003">
        <v>41587</v>
      </c>
      <c r="K4003" t="b">
        <f>TrafficData[[#This Row],[disposedChallan]]+TrafficData[[#This Row],[pendingChallan]]=TrafficData[[#This Row],[totalChallan]]</f>
        <v>1</v>
      </c>
      <c r="L4003" t="b">
        <f>TrafficData[[#This Row],[pendingAmount]]+TrafficData[[#This Row],[disposedAmount]]=TrafficData[[#This Row],[totalAmount]]</f>
        <v>1</v>
      </c>
      <c r="M4003" t="b">
        <f>TrafficData[[#This Row],[pendingCourt]]+TrafficData[[#This Row],[disposedCourt]]=TrafficData[[#This Row],[totalCourt]]</f>
        <v>1</v>
      </c>
      <c r="N4003" s="8" t="b">
        <f>AND(TrafficData[[#This Row],[disposedChallan]]&lt;=TrafficData[[#This Row],[totalChallan]],TrafficData[[#This Row],[pendingChallan]]&lt;=TrafficData[[#This Row],[totalChallan]])</f>
        <v>1</v>
      </c>
      <c r="O4003" s="8" t="b">
        <f>AND(TrafficData[[#This Row],[pendingAmount]]&lt;=TrafficData[[#This Row],[totalAmount]],TrafficData[[#This Row],[disposedAmount]]&lt;=TrafficData[[#This Row],[totalAmount]])</f>
        <v>1</v>
      </c>
      <c r="P4003" s="8" t="b">
        <f>AND(TrafficData[[#This Row],[pendingCourt]]&lt;=TrafficData[[#This Row],[totalCourt]],TrafficData[[#This Row],[disposedCourt]]&lt;=TrafficData[[#This Row],[totalCourt]])</f>
        <v>1</v>
      </c>
    </row>
    <row r="4004" spans="1:16">
      <c r="A4004" s="1">
        <v>46008</v>
      </c>
      <c r="B4004">
        <v>293594</v>
      </c>
      <c r="C4004">
        <v>45943</v>
      </c>
      <c r="D4004">
        <v>247651</v>
      </c>
      <c r="E4004">
        <v>544545088</v>
      </c>
      <c r="F4004">
        <v>92535332</v>
      </c>
      <c r="G4004">
        <v>637080420</v>
      </c>
      <c r="H4004">
        <v>41262</v>
      </c>
      <c r="I4004">
        <v>1187</v>
      </c>
      <c r="J4004">
        <v>42449</v>
      </c>
      <c r="K4004" t="b">
        <f>TrafficData[[#This Row],[disposedChallan]]+TrafficData[[#This Row],[pendingChallan]]=TrafficData[[#This Row],[totalChallan]]</f>
        <v>1</v>
      </c>
      <c r="L4004" t="b">
        <f>TrafficData[[#This Row],[pendingAmount]]+TrafficData[[#This Row],[disposedAmount]]=TrafficData[[#This Row],[totalAmount]]</f>
        <v>1</v>
      </c>
      <c r="M4004" t="b">
        <f>TrafficData[[#This Row],[pendingCourt]]+TrafficData[[#This Row],[disposedCourt]]=TrafficData[[#This Row],[totalCourt]]</f>
        <v>1</v>
      </c>
      <c r="N4004" s="8" t="b">
        <f>AND(TrafficData[[#This Row],[disposedChallan]]&lt;=TrafficData[[#This Row],[totalChallan]],TrafficData[[#This Row],[pendingChallan]]&lt;=TrafficData[[#This Row],[totalChallan]])</f>
        <v>1</v>
      </c>
      <c r="O4004" s="8" t="b">
        <f>AND(TrafficData[[#This Row],[pendingAmount]]&lt;=TrafficData[[#This Row],[totalAmount]],TrafficData[[#This Row],[disposedAmount]]&lt;=TrafficData[[#This Row],[totalAmount]])</f>
        <v>1</v>
      </c>
      <c r="P4004" s="8" t="b">
        <f>AND(TrafficData[[#This Row],[pendingCourt]]&lt;=TrafficData[[#This Row],[totalCourt]],TrafficData[[#This Row],[disposedCourt]]&lt;=TrafficData[[#This Row],[totalCourt]])</f>
        <v>1</v>
      </c>
    </row>
    <row r="4005" spans="1:16">
      <c r="A4005" s="1">
        <v>46009</v>
      </c>
      <c r="B4005">
        <v>297905</v>
      </c>
      <c r="C4005">
        <v>45725</v>
      </c>
      <c r="D4005">
        <v>252180</v>
      </c>
      <c r="E4005">
        <v>555481448</v>
      </c>
      <c r="F4005">
        <v>85986419</v>
      </c>
      <c r="G4005">
        <v>641467867</v>
      </c>
      <c r="H4005">
        <v>43803</v>
      </c>
      <c r="I4005">
        <v>1198</v>
      </c>
      <c r="J4005">
        <v>45001</v>
      </c>
      <c r="K4005" t="b">
        <f>TrafficData[[#This Row],[disposedChallan]]+TrafficData[[#This Row],[pendingChallan]]=TrafficData[[#This Row],[totalChallan]]</f>
        <v>1</v>
      </c>
      <c r="L4005" t="b">
        <f>TrafficData[[#This Row],[pendingAmount]]+TrafficData[[#This Row],[disposedAmount]]=TrafficData[[#This Row],[totalAmount]]</f>
        <v>1</v>
      </c>
      <c r="M4005" t="b">
        <f>TrafficData[[#This Row],[pendingCourt]]+TrafficData[[#This Row],[disposedCourt]]=TrafficData[[#This Row],[totalCourt]]</f>
        <v>1</v>
      </c>
      <c r="N4005" s="8" t="b">
        <f>AND(TrafficData[[#This Row],[disposedChallan]]&lt;=TrafficData[[#This Row],[totalChallan]],TrafficData[[#This Row],[pendingChallan]]&lt;=TrafficData[[#This Row],[totalChallan]])</f>
        <v>1</v>
      </c>
      <c r="O4005" s="8" t="b">
        <f>AND(TrafficData[[#This Row],[pendingAmount]]&lt;=TrafficData[[#This Row],[totalAmount]],TrafficData[[#This Row],[disposedAmount]]&lt;=TrafficData[[#This Row],[totalAmount]])</f>
        <v>1</v>
      </c>
      <c r="P4005" s="8" t="b">
        <f>AND(TrafficData[[#This Row],[pendingCourt]]&lt;=TrafficData[[#This Row],[totalCourt]],TrafficData[[#This Row],[disposedCourt]]&lt;=TrafficData[[#This Row],[totalCourt]])</f>
        <v>1</v>
      </c>
    </row>
    <row r="4006" spans="1:16">
      <c r="A4006" s="1">
        <v>46010</v>
      </c>
      <c r="B4006">
        <v>294971</v>
      </c>
      <c r="C4006">
        <v>45944</v>
      </c>
      <c r="D4006">
        <v>249027</v>
      </c>
      <c r="E4006">
        <v>534912879</v>
      </c>
      <c r="F4006">
        <v>85649663</v>
      </c>
      <c r="G4006">
        <v>620562542</v>
      </c>
      <c r="H4006">
        <v>40767</v>
      </c>
      <c r="I4006">
        <v>1184</v>
      </c>
      <c r="J4006">
        <v>41951</v>
      </c>
      <c r="K4006" t="b">
        <f>TrafficData[[#This Row],[disposedChallan]]+TrafficData[[#This Row],[pendingChallan]]=TrafficData[[#This Row],[totalChallan]]</f>
        <v>1</v>
      </c>
      <c r="L4006" t="b">
        <f>TrafficData[[#This Row],[pendingAmount]]+TrafficData[[#This Row],[disposedAmount]]=TrafficData[[#This Row],[totalAmount]]</f>
        <v>1</v>
      </c>
      <c r="M4006" t="b">
        <f>TrafficData[[#This Row],[pendingCourt]]+TrafficData[[#This Row],[disposedCourt]]=TrafficData[[#This Row],[totalCourt]]</f>
        <v>1</v>
      </c>
      <c r="N4006" s="8" t="b">
        <f>AND(TrafficData[[#This Row],[disposedChallan]]&lt;=TrafficData[[#This Row],[totalChallan]],TrafficData[[#This Row],[pendingChallan]]&lt;=TrafficData[[#This Row],[totalChallan]])</f>
        <v>1</v>
      </c>
      <c r="O4006" s="8" t="b">
        <f>AND(TrafficData[[#This Row],[pendingAmount]]&lt;=TrafficData[[#This Row],[totalAmount]],TrafficData[[#This Row],[disposedAmount]]&lt;=TrafficData[[#This Row],[totalAmount]])</f>
        <v>1</v>
      </c>
      <c r="P4006" s="8" t="b">
        <f>AND(TrafficData[[#This Row],[pendingCourt]]&lt;=TrafficData[[#This Row],[totalCourt]],TrafficData[[#This Row],[disposedCourt]]&lt;=TrafficData[[#This Row],[totalCourt]])</f>
        <v>1</v>
      </c>
    </row>
    <row r="4007" spans="1:16">
      <c r="A4007" s="1">
        <v>46011</v>
      </c>
      <c r="B4007">
        <v>281650</v>
      </c>
      <c r="C4007">
        <v>44052</v>
      </c>
      <c r="D4007">
        <v>237598</v>
      </c>
      <c r="E4007">
        <v>516649263</v>
      </c>
      <c r="F4007">
        <v>72618265</v>
      </c>
      <c r="G4007">
        <v>589267528</v>
      </c>
      <c r="H4007">
        <v>39038</v>
      </c>
      <c r="I4007">
        <v>1238</v>
      </c>
      <c r="J4007">
        <v>40276</v>
      </c>
      <c r="K4007" t="b">
        <f>TrafficData[[#This Row],[disposedChallan]]+TrafficData[[#This Row],[pendingChallan]]=TrafficData[[#This Row],[totalChallan]]</f>
        <v>1</v>
      </c>
      <c r="L4007" t="b">
        <f>TrafficData[[#This Row],[pendingAmount]]+TrafficData[[#This Row],[disposedAmount]]=TrafficData[[#This Row],[totalAmount]]</f>
        <v>1</v>
      </c>
      <c r="M4007" t="b">
        <f>TrafficData[[#This Row],[pendingCourt]]+TrafficData[[#This Row],[disposedCourt]]=TrafficData[[#This Row],[totalCourt]]</f>
        <v>1</v>
      </c>
      <c r="N4007" s="8" t="b">
        <f>AND(TrafficData[[#This Row],[disposedChallan]]&lt;=TrafficData[[#This Row],[totalChallan]],TrafficData[[#This Row],[pendingChallan]]&lt;=TrafficData[[#This Row],[totalChallan]])</f>
        <v>1</v>
      </c>
      <c r="O4007" s="8" t="b">
        <f>AND(TrafficData[[#This Row],[pendingAmount]]&lt;=TrafficData[[#This Row],[totalAmount]],TrafficData[[#This Row],[disposedAmount]]&lt;=TrafficData[[#This Row],[totalAmount]])</f>
        <v>1</v>
      </c>
      <c r="P4007" s="8" t="b">
        <f>AND(TrafficData[[#This Row],[pendingCourt]]&lt;=TrafficData[[#This Row],[totalCourt]],TrafficData[[#This Row],[disposedCourt]]&lt;=TrafficData[[#This Row],[totalCourt]])</f>
        <v>1</v>
      </c>
    </row>
    <row r="4008" spans="1:16">
      <c r="A4008" s="1">
        <v>46012</v>
      </c>
      <c r="B4008">
        <v>267488</v>
      </c>
      <c r="C4008">
        <v>39370</v>
      </c>
      <c r="D4008">
        <v>228118</v>
      </c>
      <c r="E4008">
        <v>475247417</v>
      </c>
      <c r="F4008">
        <v>54905718</v>
      </c>
      <c r="G4008">
        <v>530153135</v>
      </c>
      <c r="H4008">
        <v>37512</v>
      </c>
      <c r="I4008">
        <v>1007</v>
      </c>
      <c r="J4008">
        <v>38519</v>
      </c>
      <c r="K4008" t="b">
        <f>TrafficData[[#This Row],[disposedChallan]]+TrafficData[[#This Row],[pendingChallan]]=TrafficData[[#This Row],[totalChallan]]</f>
        <v>1</v>
      </c>
      <c r="L4008" t="b">
        <f>TrafficData[[#This Row],[pendingAmount]]+TrafficData[[#This Row],[disposedAmount]]=TrafficData[[#This Row],[totalAmount]]</f>
        <v>1</v>
      </c>
      <c r="M4008" t="b">
        <f>TrafficData[[#This Row],[pendingCourt]]+TrafficData[[#This Row],[disposedCourt]]=TrafficData[[#This Row],[totalCourt]]</f>
        <v>1</v>
      </c>
      <c r="N4008" s="8" t="b">
        <f>AND(TrafficData[[#This Row],[disposedChallan]]&lt;=TrafficData[[#This Row],[totalChallan]],TrafficData[[#This Row],[pendingChallan]]&lt;=TrafficData[[#This Row],[totalChallan]])</f>
        <v>1</v>
      </c>
      <c r="O4008" s="8" t="b">
        <f>AND(TrafficData[[#This Row],[pendingAmount]]&lt;=TrafficData[[#This Row],[totalAmount]],TrafficData[[#This Row],[disposedAmount]]&lt;=TrafficData[[#This Row],[totalAmount]])</f>
        <v>1</v>
      </c>
      <c r="P4008" s="8" t="b">
        <f>AND(TrafficData[[#This Row],[pendingCourt]]&lt;=TrafficData[[#This Row],[totalCourt]],TrafficData[[#This Row],[disposedCourt]]&lt;=TrafficData[[#This Row],[totalCourt]])</f>
        <v>1</v>
      </c>
    </row>
    <row r="4009" spans="1:16">
      <c r="A4009" s="1">
        <v>46013</v>
      </c>
      <c r="B4009">
        <v>303202</v>
      </c>
      <c r="C4009">
        <v>44126</v>
      </c>
      <c r="D4009">
        <v>259076</v>
      </c>
      <c r="E4009">
        <v>543022969</v>
      </c>
      <c r="F4009">
        <v>81699743</v>
      </c>
      <c r="G4009">
        <v>624722712</v>
      </c>
      <c r="H4009">
        <v>43364</v>
      </c>
      <c r="I4009">
        <v>1167</v>
      </c>
      <c r="J4009">
        <v>44531</v>
      </c>
      <c r="K4009" t="b">
        <f>TrafficData[[#This Row],[disposedChallan]]+TrafficData[[#This Row],[pendingChallan]]=TrafficData[[#This Row],[totalChallan]]</f>
        <v>1</v>
      </c>
      <c r="L4009" t="b">
        <f>TrafficData[[#This Row],[pendingAmount]]+TrafficData[[#This Row],[disposedAmount]]=TrafficData[[#This Row],[totalAmount]]</f>
        <v>1</v>
      </c>
      <c r="M4009" t="b">
        <f>TrafficData[[#This Row],[pendingCourt]]+TrafficData[[#This Row],[disposedCourt]]=TrafficData[[#This Row],[totalCourt]]</f>
        <v>1</v>
      </c>
      <c r="N4009" s="8" t="b">
        <f>AND(TrafficData[[#This Row],[disposedChallan]]&lt;=TrafficData[[#This Row],[totalChallan]],TrafficData[[#This Row],[pendingChallan]]&lt;=TrafficData[[#This Row],[totalChallan]])</f>
        <v>1</v>
      </c>
      <c r="O4009" s="8" t="b">
        <f>AND(TrafficData[[#This Row],[pendingAmount]]&lt;=TrafficData[[#This Row],[totalAmount]],TrafficData[[#This Row],[disposedAmount]]&lt;=TrafficData[[#This Row],[totalAmount]])</f>
        <v>1</v>
      </c>
      <c r="P4009" s="8" t="b">
        <f>AND(TrafficData[[#This Row],[pendingCourt]]&lt;=TrafficData[[#This Row],[totalCourt]],TrafficData[[#This Row],[disposedCourt]]&lt;=TrafficData[[#This Row],[totalCourt]])</f>
        <v>1</v>
      </c>
    </row>
    <row r="4010" spans="1:16">
      <c r="A4010" s="1">
        <v>46014</v>
      </c>
      <c r="B4010">
        <v>295607</v>
      </c>
      <c r="C4010">
        <v>43387</v>
      </c>
      <c r="D4010">
        <v>252220</v>
      </c>
      <c r="E4010">
        <v>537106063</v>
      </c>
      <c r="F4010">
        <v>86415551</v>
      </c>
      <c r="G4010">
        <v>623521614</v>
      </c>
      <c r="H4010">
        <v>43112</v>
      </c>
      <c r="I4010">
        <v>1069</v>
      </c>
      <c r="J4010">
        <v>44181</v>
      </c>
      <c r="K4010" t="b">
        <f>TrafficData[[#This Row],[disposedChallan]]+TrafficData[[#This Row],[pendingChallan]]=TrafficData[[#This Row],[totalChallan]]</f>
        <v>1</v>
      </c>
      <c r="L4010" t="b">
        <f>TrafficData[[#This Row],[pendingAmount]]+TrafficData[[#This Row],[disposedAmount]]=TrafficData[[#This Row],[totalAmount]]</f>
        <v>1</v>
      </c>
      <c r="M4010" t="b">
        <f>TrafficData[[#This Row],[pendingCourt]]+TrafficData[[#This Row],[disposedCourt]]=TrafficData[[#This Row],[totalCourt]]</f>
        <v>1</v>
      </c>
      <c r="N4010" s="8" t="b">
        <f>AND(TrafficData[[#This Row],[disposedChallan]]&lt;=TrafficData[[#This Row],[totalChallan]],TrafficData[[#This Row],[pendingChallan]]&lt;=TrafficData[[#This Row],[totalChallan]])</f>
        <v>1</v>
      </c>
      <c r="O4010" s="8" t="b">
        <f>AND(TrafficData[[#This Row],[pendingAmount]]&lt;=TrafficData[[#This Row],[totalAmount]],TrafficData[[#This Row],[disposedAmount]]&lt;=TrafficData[[#This Row],[totalAmount]])</f>
        <v>1</v>
      </c>
      <c r="P4010" s="8" t="b">
        <f>AND(TrafficData[[#This Row],[pendingCourt]]&lt;=TrafficData[[#This Row],[totalCourt]],TrafficData[[#This Row],[disposedCourt]]&lt;=TrafficData[[#This Row],[totalCourt]])</f>
        <v>1</v>
      </c>
    </row>
    <row r="4011" spans="1:16">
      <c r="A4011" s="1">
        <v>46015</v>
      </c>
      <c r="B4011">
        <v>287532</v>
      </c>
      <c r="C4011">
        <v>43004</v>
      </c>
      <c r="D4011">
        <v>244528</v>
      </c>
      <c r="E4011">
        <v>518555791</v>
      </c>
      <c r="F4011">
        <v>86367971</v>
      </c>
      <c r="G4011">
        <v>604923762</v>
      </c>
      <c r="H4011">
        <v>41259</v>
      </c>
      <c r="I4011">
        <v>1064</v>
      </c>
      <c r="J4011">
        <v>42323</v>
      </c>
      <c r="K4011" t="b">
        <f>TrafficData[[#This Row],[disposedChallan]]+TrafficData[[#This Row],[pendingChallan]]=TrafficData[[#This Row],[totalChallan]]</f>
        <v>1</v>
      </c>
      <c r="L4011" t="b">
        <f>TrafficData[[#This Row],[pendingAmount]]+TrafficData[[#This Row],[disposedAmount]]=TrafficData[[#This Row],[totalAmount]]</f>
        <v>1</v>
      </c>
      <c r="M4011" t="b">
        <f>TrafficData[[#This Row],[pendingCourt]]+TrafficData[[#This Row],[disposedCourt]]=TrafficData[[#This Row],[totalCourt]]</f>
        <v>1</v>
      </c>
      <c r="N4011" s="8" t="b">
        <f>AND(TrafficData[[#This Row],[disposedChallan]]&lt;=TrafficData[[#This Row],[totalChallan]],TrafficData[[#This Row],[pendingChallan]]&lt;=TrafficData[[#This Row],[totalChallan]])</f>
        <v>1</v>
      </c>
      <c r="O4011" s="8" t="b">
        <f>AND(TrafficData[[#This Row],[pendingAmount]]&lt;=TrafficData[[#This Row],[totalAmount]],TrafficData[[#This Row],[disposedAmount]]&lt;=TrafficData[[#This Row],[totalAmount]])</f>
        <v>1</v>
      </c>
      <c r="P4011" s="8" t="b">
        <f>AND(TrafficData[[#This Row],[pendingCourt]]&lt;=TrafficData[[#This Row],[totalCourt]],TrafficData[[#This Row],[disposedCourt]]&lt;=TrafficData[[#This Row],[totalCourt]])</f>
        <v>1</v>
      </c>
    </row>
    <row r="4012" spans="1:16">
      <c r="A4012" s="1">
        <v>46016</v>
      </c>
      <c r="B4012">
        <v>263161</v>
      </c>
      <c r="C4012">
        <v>37076</v>
      </c>
      <c r="D4012">
        <v>226085</v>
      </c>
      <c r="E4012">
        <v>384715920</v>
      </c>
      <c r="F4012">
        <v>59339434</v>
      </c>
      <c r="G4012">
        <v>444055354</v>
      </c>
      <c r="H4012">
        <v>38888</v>
      </c>
      <c r="I4012">
        <v>949</v>
      </c>
      <c r="J4012">
        <v>39837</v>
      </c>
      <c r="K4012" t="b">
        <f>TrafficData[[#This Row],[disposedChallan]]+TrafficData[[#This Row],[pendingChallan]]=TrafficData[[#This Row],[totalChallan]]</f>
        <v>1</v>
      </c>
      <c r="L4012" t="b">
        <f>TrafficData[[#This Row],[pendingAmount]]+TrafficData[[#This Row],[disposedAmount]]=TrafficData[[#This Row],[totalAmount]]</f>
        <v>1</v>
      </c>
      <c r="M4012" t="b">
        <f>TrafficData[[#This Row],[pendingCourt]]+TrafficData[[#This Row],[disposedCourt]]=TrafficData[[#This Row],[totalCourt]]</f>
        <v>1</v>
      </c>
      <c r="N4012" s="8" t="b">
        <f>AND(TrafficData[[#This Row],[disposedChallan]]&lt;=TrafficData[[#This Row],[totalChallan]],TrafficData[[#This Row],[pendingChallan]]&lt;=TrafficData[[#This Row],[totalChallan]])</f>
        <v>1</v>
      </c>
      <c r="O4012" s="8" t="b">
        <f>AND(TrafficData[[#This Row],[pendingAmount]]&lt;=TrafficData[[#This Row],[totalAmount]],TrafficData[[#This Row],[disposedAmount]]&lt;=TrafficData[[#This Row],[totalAmount]])</f>
        <v>1</v>
      </c>
      <c r="P4012" s="8" t="b">
        <f>AND(TrafficData[[#This Row],[pendingCourt]]&lt;=TrafficData[[#This Row],[totalCourt]],TrafficData[[#This Row],[disposedCourt]]&lt;=TrafficData[[#This Row],[totalCourt]])</f>
        <v>1</v>
      </c>
    </row>
    <row r="4013" spans="1:16">
      <c r="A4013" s="1">
        <v>46017</v>
      </c>
      <c r="B4013">
        <v>272025</v>
      </c>
      <c r="C4013">
        <v>40918</v>
      </c>
      <c r="D4013">
        <v>231107</v>
      </c>
      <c r="E4013">
        <v>411699423</v>
      </c>
      <c r="F4013">
        <v>73347968</v>
      </c>
      <c r="G4013">
        <v>485047391</v>
      </c>
      <c r="H4013">
        <v>36927</v>
      </c>
      <c r="I4013">
        <v>1051</v>
      </c>
      <c r="J4013">
        <v>37978</v>
      </c>
      <c r="K4013" t="b">
        <f>TrafficData[[#This Row],[disposedChallan]]+TrafficData[[#This Row],[pendingChallan]]=TrafficData[[#This Row],[totalChallan]]</f>
        <v>1</v>
      </c>
      <c r="L4013" t="b">
        <f>TrafficData[[#This Row],[pendingAmount]]+TrafficData[[#This Row],[disposedAmount]]=TrafficData[[#This Row],[totalAmount]]</f>
        <v>1</v>
      </c>
      <c r="M4013" t="b">
        <f>TrafficData[[#This Row],[pendingCourt]]+TrafficData[[#This Row],[disposedCourt]]=TrafficData[[#This Row],[totalCourt]]</f>
        <v>1</v>
      </c>
      <c r="N4013" s="8" t="b">
        <f>AND(TrafficData[[#This Row],[disposedChallan]]&lt;=TrafficData[[#This Row],[totalChallan]],TrafficData[[#This Row],[pendingChallan]]&lt;=TrafficData[[#This Row],[totalChallan]])</f>
        <v>1</v>
      </c>
      <c r="O4013" s="8" t="b">
        <f>AND(TrafficData[[#This Row],[pendingAmount]]&lt;=TrafficData[[#This Row],[totalAmount]],TrafficData[[#This Row],[disposedAmount]]&lt;=TrafficData[[#This Row],[totalAmount]])</f>
        <v>1</v>
      </c>
      <c r="P4013" s="8" t="b">
        <f>AND(TrafficData[[#This Row],[pendingCourt]]&lt;=TrafficData[[#This Row],[totalCourt]],TrafficData[[#This Row],[disposedCourt]]&lt;=TrafficData[[#This Row],[totalCourt]])</f>
        <v>1</v>
      </c>
    </row>
    <row r="4014" spans="1:16">
      <c r="A4014" s="1">
        <v>46018</v>
      </c>
      <c r="B4014">
        <v>274970</v>
      </c>
      <c r="C4014">
        <v>41576</v>
      </c>
      <c r="D4014">
        <v>233394</v>
      </c>
      <c r="E4014">
        <v>452577586</v>
      </c>
      <c r="F4014">
        <v>65026112</v>
      </c>
      <c r="G4014">
        <v>517603698</v>
      </c>
      <c r="H4014">
        <v>36401</v>
      </c>
      <c r="I4014">
        <v>1073</v>
      </c>
      <c r="J4014">
        <v>37474</v>
      </c>
      <c r="K4014" t="b">
        <f>TrafficData[[#This Row],[disposedChallan]]+TrafficData[[#This Row],[pendingChallan]]=TrafficData[[#This Row],[totalChallan]]</f>
        <v>1</v>
      </c>
      <c r="L4014" t="b">
        <f>TrafficData[[#This Row],[pendingAmount]]+TrafficData[[#This Row],[disposedAmount]]=TrafficData[[#This Row],[totalAmount]]</f>
        <v>1</v>
      </c>
      <c r="M4014" t="b">
        <f>TrafficData[[#This Row],[pendingCourt]]+TrafficData[[#This Row],[disposedCourt]]=TrafficData[[#This Row],[totalCourt]]</f>
        <v>1</v>
      </c>
      <c r="N4014" s="8" t="b">
        <f>AND(TrafficData[[#This Row],[disposedChallan]]&lt;=TrafficData[[#This Row],[totalChallan]],TrafficData[[#This Row],[pendingChallan]]&lt;=TrafficData[[#This Row],[totalChallan]])</f>
        <v>1</v>
      </c>
      <c r="O4014" s="8" t="b">
        <f>AND(TrafficData[[#This Row],[pendingAmount]]&lt;=TrafficData[[#This Row],[totalAmount]],TrafficData[[#This Row],[disposedAmount]]&lt;=TrafficData[[#This Row],[totalAmount]])</f>
        <v>1</v>
      </c>
      <c r="P4014" s="8" t="b">
        <f>AND(TrafficData[[#This Row],[pendingCourt]]&lt;=TrafficData[[#This Row],[totalCourt]],TrafficData[[#This Row],[disposedCourt]]&lt;=TrafficData[[#This Row],[totalCourt]])</f>
        <v>1</v>
      </c>
    </row>
    <row r="4015" spans="1:16">
      <c r="A4015" s="1">
        <v>46019</v>
      </c>
      <c r="B4015">
        <v>251313</v>
      </c>
      <c r="C4015">
        <v>36803</v>
      </c>
      <c r="D4015">
        <v>214510</v>
      </c>
      <c r="E4015">
        <v>354391245</v>
      </c>
      <c r="F4015">
        <v>48164276</v>
      </c>
      <c r="G4015">
        <v>402555521</v>
      </c>
      <c r="H4015">
        <v>34488</v>
      </c>
      <c r="I4015">
        <v>905</v>
      </c>
      <c r="J4015">
        <v>35393</v>
      </c>
      <c r="K4015" t="b">
        <f>TrafficData[[#This Row],[disposedChallan]]+TrafficData[[#This Row],[pendingChallan]]=TrafficData[[#This Row],[totalChallan]]</f>
        <v>1</v>
      </c>
      <c r="L4015" t="b">
        <f>TrafficData[[#This Row],[pendingAmount]]+TrafficData[[#This Row],[disposedAmount]]=TrafficData[[#This Row],[totalAmount]]</f>
        <v>1</v>
      </c>
      <c r="M4015" t="b">
        <f>TrafficData[[#This Row],[pendingCourt]]+TrafficData[[#This Row],[disposedCourt]]=TrafficData[[#This Row],[totalCourt]]</f>
        <v>1</v>
      </c>
      <c r="N4015" s="8" t="b">
        <f>AND(TrafficData[[#This Row],[disposedChallan]]&lt;=TrafficData[[#This Row],[totalChallan]],TrafficData[[#This Row],[pendingChallan]]&lt;=TrafficData[[#This Row],[totalChallan]])</f>
        <v>1</v>
      </c>
      <c r="O4015" s="8" t="b">
        <f>AND(TrafficData[[#This Row],[pendingAmount]]&lt;=TrafficData[[#This Row],[totalAmount]],TrafficData[[#This Row],[disposedAmount]]&lt;=TrafficData[[#This Row],[totalAmount]])</f>
        <v>1</v>
      </c>
      <c r="P4015" s="8" t="b">
        <f>AND(TrafficData[[#This Row],[pendingCourt]]&lt;=TrafficData[[#This Row],[totalCourt]],TrafficData[[#This Row],[disposedCourt]]&lt;=TrafficData[[#This Row],[totalCourt]])</f>
        <v>1</v>
      </c>
    </row>
    <row r="4016" spans="1:16">
      <c r="A4016" s="1">
        <v>46020</v>
      </c>
      <c r="B4016">
        <v>275093</v>
      </c>
      <c r="C4016">
        <v>40832</v>
      </c>
      <c r="D4016">
        <v>234261</v>
      </c>
      <c r="E4016">
        <v>449130843</v>
      </c>
      <c r="F4016">
        <v>62896921</v>
      </c>
      <c r="G4016">
        <v>512027764</v>
      </c>
      <c r="H4016">
        <v>39807</v>
      </c>
      <c r="I4016">
        <v>1000</v>
      </c>
      <c r="J4016">
        <v>40807</v>
      </c>
      <c r="K4016" t="b">
        <f>TrafficData[[#This Row],[disposedChallan]]+TrafficData[[#This Row],[pendingChallan]]=TrafficData[[#This Row],[totalChallan]]</f>
        <v>1</v>
      </c>
      <c r="L4016" t="b">
        <f>TrafficData[[#This Row],[pendingAmount]]+TrafficData[[#This Row],[disposedAmount]]=TrafficData[[#This Row],[totalAmount]]</f>
        <v>1</v>
      </c>
      <c r="M4016" t="b">
        <f>TrafficData[[#This Row],[pendingCourt]]+TrafficData[[#This Row],[disposedCourt]]=TrafficData[[#This Row],[totalCourt]]</f>
        <v>1</v>
      </c>
      <c r="N4016" s="8" t="b">
        <f>AND(TrafficData[[#This Row],[disposedChallan]]&lt;=TrafficData[[#This Row],[totalChallan]],TrafficData[[#This Row],[pendingChallan]]&lt;=TrafficData[[#This Row],[totalChallan]])</f>
        <v>1</v>
      </c>
      <c r="O4016" s="8" t="b">
        <f>AND(TrafficData[[#This Row],[pendingAmount]]&lt;=TrafficData[[#This Row],[totalAmount]],TrafficData[[#This Row],[disposedAmount]]&lt;=TrafficData[[#This Row],[totalAmount]])</f>
        <v>1</v>
      </c>
      <c r="P4016" s="8" t="b">
        <f>AND(TrafficData[[#This Row],[pendingCourt]]&lt;=TrafficData[[#This Row],[totalCourt]],TrafficData[[#This Row],[disposedCourt]]&lt;=TrafficData[[#This Row],[totalCourt]])</f>
        <v>1</v>
      </c>
    </row>
    <row r="4017" spans="1:16">
      <c r="A4017" s="1">
        <v>46021</v>
      </c>
      <c r="B4017">
        <v>287402</v>
      </c>
      <c r="C4017">
        <v>41415</v>
      </c>
      <c r="D4017">
        <v>245987</v>
      </c>
      <c r="E4017">
        <v>498750894</v>
      </c>
      <c r="F4017">
        <v>71748621</v>
      </c>
      <c r="G4017">
        <v>570499515</v>
      </c>
      <c r="H4017">
        <v>37855</v>
      </c>
      <c r="I4017">
        <v>1032</v>
      </c>
      <c r="J4017">
        <v>38887</v>
      </c>
      <c r="K4017" t="b">
        <f>TrafficData[[#This Row],[disposedChallan]]+TrafficData[[#This Row],[pendingChallan]]=TrafficData[[#This Row],[totalChallan]]</f>
        <v>1</v>
      </c>
      <c r="L4017" t="b">
        <f>TrafficData[[#This Row],[pendingAmount]]+TrafficData[[#This Row],[disposedAmount]]=TrafficData[[#This Row],[totalAmount]]</f>
        <v>1</v>
      </c>
      <c r="M4017" t="b">
        <f>TrafficData[[#This Row],[pendingCourt]]+TrafficData[[#This Row],[disposedCourt]]=TrafficData[[#This Row],[totalCourt]]</f>
        <v>1</v>
      </c>
      <c r="N4017" s="8" t="b">
        <f>AND(TrafficData[[#This Row],[disposedChallan]]&lt;=TrafficData[[#This Row],[totalChallan]],TrafficData[[#This Row],[pendingChallan]]&lt;=TrafficData[[#This Row],[totalChallan]])</f>
        <v>1</v>
      </c>
      <c r="O4017" s="8" t="b">
        <f>AND(TrafficData[[#This Row],[pendingAmount]]&lt;=TrafficData[[#This Row],[totalAmount]],TrafficData[[#This Row],[disposedAmount]]&lt;=TrafficData[[#This Row],[totalAmount]])</f>
        <v>1</v>
      </c>
      <c r="P4017" s="8" t="b">
        <f>AND(TrafficData[[#This Row],[pendingCourt]]&lt;=TrafficData[[#This Row],[totalCourt]],TrafficData[[#This Row],[disposedCourt]]&lt;=TrafficData[[#This Row],[totalCourt]])</f>
        <v>1</v>
      </c>
    </row>
    <row r="4018" spans="1:16">
      <c r="A4018" s="1">
        <v>46022</v>
      </c>
      <c r="B4018">
        <v>277330</v>
      </c>
      <c r="C4018">
        <v>37757</v>
      </c>
      <c r="D4018">
        <v>239573</v>
      </c>
      <c r="E4018">
        <v>487144164</v>
      </c>
      <c r="F4018">
        <v>62457197</v>
      </c>
      <c r="G4018">
        <v>549601361</v>
      </c>
      <c r="H4018">
        <v>39809</v>
      </c>
      <c r="I4018">
        <v>1099</v>
      </c>
      <c r="J4018">
        <v>40908</v>
      </c>
      <c r="K4018" t="b">
        <f>TrafficData[[#This Row],[disposedChallan]]+TrafficData[[#This Row],[pendingChallan]]=TrafficData[[#This Row],[totalChallan]]</f>
        <v>1</v>
      </c>
      <c r="L4018" t="b">
        <f>TrafficData[[#This Row],[pendingAmount]]+TrafficData[[#This Row],[disposedAmount]]=TrafficData[[#This Row],[totalAmount]]</f>
        <v>1</v>
      </c>
      <c r="M4018" t="b">
        <f>TrafficData[[#This Row],[pendingCourt]]+TrafficData[[#This Row],[disposedCourt]]=TrafficData[[#This Row],[totalCourt]]</f>
        <v>1</v>
      </c>
      <c r="N4018" s="8" t="b">
        <f>AND(TrafficData[[#This Row],[disposedChallan]]&lt;=TrafficData[[#This Row],[totalChallan]],TrafficData[[#This Row],[pendingChallan]]&lt;=TrafficData[[#This Row],[totalChallan]])</f>
        <v>1</v>
      </c>
      <c r="O4018" s="8" t="b">
        <f>AND(TrafficData[[#This Row],[pendingAmount]]&lt;=TrafficData[[#This Row],[totalAmount]],TrafficData[[#This Row],[disposedAmount]]&lt;=TrafficData[[#This Row],[totalAmount]])</f>
        <v>1</v>
      </c>
      <c r="P4018" s="8" t="b">
        <f>AND(TrafficData[[#This Row],[pendingCourt]]&lt;=TrafficData[[#This Row],[totalCourt]],TrafficData[[#This Row],[disposedCourt]]&lt;=TrafficData[[#This Row],[totalCourt]])</f>
        <v>1</v>
      </c>
    </row>
    <row r="4019" spans="1:16">
      <c r="A4019" s="1">
        <v>46023</v>
      </c>
      <c r="B4019">
        <v>237939</v>
      </c>
      <c r="C4019">
        <v>31780</v>
      </c>
      <c r="D4019">
        <v>206159</v>
      </c>
      <c r="E4019">
        <v>391863523</v>
      </c>
      <c r="F4019">
        <v>49982392</v>
      </c>
      <c r="G4019">
        <v>441845915</v>
      </c>
      <c r="H4019">
        <v>30234</v>
      </c>
      <c r="I4019">
        <v>789</v>
      </c>
      <c r="J4019">
        <v>31023</v>
      </c>
      <c r="K4019" t="b">
        <f>TrafficData[[#This Row],[disposedChallan]]+TrafficData[[#This Row],[pendingChallan]]=TrafficData[[#This Row],[totalChallan]]</f>
        <v>1</v>
      </c>
      <c r="L4019" t="b">
        <f>TrafficData[[#This Row],[pendingAmount]]+TrafficData[[#This Row],[disposedAmount]]=TrafficData[[#This Row],[totalAmount]]</f>
        <v>1</v>
      </c>
      <c r="M4019" t="b">
        <f>TrafficData[[#This Row],[pendingCourt]]+TrafficData[[#This Row],[disposedCourt]]=TrafficData[[#This Row],[totalCourt]]</f>
        <v>1</v>
      </c>
      <c r="N4019" s="8" t="b">
        <f>AND(TrafficData[[#This Row],[disposedChallan]]&lt;=TrafficData[[#This Row],[totalChallan]],TrafficData[[#This Row],[pendingChallan]]&lt;=TrafficData[[#This Row],[totalChallan]])</f>
        <v>1</v>
      </c>
      <c r="O4019" s="8" t="b">
        <f>AND(TrafficData[[#This Row],[pendingAmount]]&lt;=TrafficData[[#This Row],[totalAmount]],TrafficData[[#This Row],[disposedAmount]]&lt;=TrafficData[[#This Row],[totalAmount]])</f>
        <v>1</v>
      </c>
      <c r="P4019" s="8" t="b">
        <f>AND(TrafficData[[#This Row],[pendingCourt]]&lt;=TrafficData[[#This Row],[totalCourt]],TrafficData[[#This Row],[disposedCourt]]&lt;=TrafficData[[#This Row],[totalCourt]])</f>
        <v>1</v>
      </c>
    </row>
    <row r="4020" spans="1:16">
      <c r="A4020" s="1">
        <v>46024</v>
      </c>
      <c r="B4020">
        <v>297429</v>
      </c>
      <c r="C4020">
        <v>45603</v>
      </c>
      <c r="D4020">
        <v>251826</v>
      </c>
      <c r="E4020">
        <v>470858078</v>
      </c>
      <c r="F4020">
        <v>75942950</v>
      </c>
      <c r="G4020">
        <v>546801028</v>
      </c>
      <c r="H4020">
        <v>36558</v>
      </c>
      <c r="I4020">
        <v>839</v>
      </c>
      <c r="J4020">
        <v>37397</v>
      </c>
      <c r="K4020" t="b">
        <f>TrafficData[[#This Row],[disposedChallan]]+TrafficData[[#This Row],[pendingChallan]]=TrafficData[[#This Row],[totalChallan]]</f>
        <v>1</v>
      </c>
      <c r="L4020" t="b">
        <f>TrafficData[[#This Row],[pendingAmount]]+TrafficData[[#This Row],[disposedAmount]]=TrafficData[[#This Row],[totalAmount]]</f>
        <v>1</v>
      </c>
      <c r="M4020" t="b">
        <f>TrafficData[[#This Row],[pendingCourt]]+TrafficData[[#This Row],[disposedCourt]]=TrafficData[[#This Row],[totalCourt]]</f>
        <v>1</v>
      </c>
      <c r="N4020" s="8" t="b">
        <f>AND(TrafficData[[#This Row],[disposedChallan]]&lt;=TrafficData[[#This Row],[totalChallan]],TrafficData[[#This Row],[pendingChallan]]&lt;=TrafficData[[#This Row],[totalChallan]])</f>
        <v>1</v>
      </c>
      <c r="O4020" s="8" t="b">
        <f>AND(TrafficData[[#This Row],[pendingAmount]]&lt;=TrafficData[[#This Row],[totalAmount]],TrafficData[[#This Row],[disposedAmount]]&lt;=TrafficData[[#This Row],[totalAmount]])</f>
        <v>1</v>
      </c>
      <c r="P4020" s="8" t="b">
        <f>AND(TrafficData[[#This Row],[pendingCourt]]&lt;=TrafficData[[#This Row],[totalCourt]],TrafficData[[#This Row],[disposedCourt]]&lt;=TrafficData[[#This Row],[totalCourt]])</f>
        <v>1</v>
      </c>
    </row>
    <row r="4021" spans="1:16">
      <c r="A4021" s="1">
        <v>46025</v>
      </c>
      <c r="B4021">
        <v>292558</v>
      </c>
      <c r="C4021">
        <v>44789</v>
      </c>
      <c r="D4021">
        <v>247769</v>
      </c>
      <c r="E4021">
        <v>470708388</v>
      </c>
      <c r="F4021">
        <v>69488178</v>
      </c>
      <c r="G4021">
        <v>540196566</v>
      </c>
      <c r="H4021">
        <v>33729</v>
      </c>
      <c r="I4021">
        <v>973</v>
      </c>
      <c r="J4021">
        <v>34702</v>
      </c>
      <c r="K4021" t="b">
        <f>TrafficData[[#This Row],[disposedChallan]]+TrafficData[[#This Row],[pendingChallan]]=TrafficData[[#This Row],[totalChallan]]</f>
        <v>1</v>
      </c>
      <c r="L4021" t="b">
        <f>TrafficData[[#This Row],[pendingAmount]]+TrafficData[[#This Row],[disposedAmount]]=TrafficData[[#This Row],[totalAmount]]</f>
        <v>1</v>
      </c>
      <c r="M4021" t="b">
        <f>TrafficData[[#This Row],[pendingCourt]]+TrafficData[[#This Row],[disposedCourt]]=TrafficData[[#This Row],[totalCourt]]</f>
        <v>1</v>
      </c>
      <c r="N4021" s="8" t="b">
        <f>AND(TrafficData[[#This Row],[disposedChallan]]&lt;=TrafficData[[#This Row],[totalChallan]],TrafficData[[#This Row],[pendingChallan]]&lt;=TrafficData[[#This Row],[totalChallan]])</f>
        <v>1</v>
      </c>
      <c r="O4021" s="8" t="b">
        <f>AND(TrafficData[[#This Row],[pendingAmount]]&lt;=TrafficData[[#This Row],[totalAmount]],TrafficData[[#This Row],[disposedAmount]]&lt;=TrafficData[[#This Row],[totalAmount]])</f>
        <v>1</v>
      </c>
      <c r="P4021" s="8" t="b">
        <f>AND(TrafficData[[#This Row],[pendingCourt]]&lt;=TrafficData[[#This Row],[totalCourt]],TrafficData[[#This Row],[disposedCourt]]&lt;=TrafficData[[#This Row],[totalCourt]])</f>
        <v>1</v>
      </c>
    </row>
    <row r="4022" spans="1:16">
      <c r="A4022" s="1">
        <v>46026</v>
      </c>
      <c r="B4022">
        <v>284379</v>
      </c>
      <c r="C4022">
        <v>41367</v>
      </c>
      <c r="D4022">
        <v>243012</v>
      </c>
      <c r="E4022">
        <v>454295176</v>
      </c>
      <c r="F4022">
        <v>59016389</v>
      </c>
      <c r="G4022">
        <v>513311565</v>
      </c>
      <c r="H4022">
        <v>37820</v>
      </c>
      <c r="I4022">
        <v>997</v>
      </c>
      <c r="J4022">
        <v>38817</v>
      </c>
      <c r="K4022" t="b">
        <f>TrafficData[[#This Row],[disposedChallan]]+TrafficData[[#This Row],[pendingChallan]]=TrafficData[[#This Row],[totalChallan]]</f>
        <v>1</v>
      </c>
      <c r="L4022" t="b">
        <f>TrafficData[[#This Row],[pendingAmount]]+TrafficData[[#This Row],[disposedAmount]]=TrafficData[[#This Row],[totalAmount]]</f>
        <v>1</v>
      </c>
      <c r="M4022" t="b">
        <f>TrafficData[[#This Row],[pendingCourt]]+TrafficData[[#This Row],[disposedCourt]]=TrafficData[[#This Row],[totalCourt]]</f>
        <v>1</v>
      </c>
      <c r="N4022" s="8" t="b">
        <f>AND(TrafficData[[#This Row],[disposedChallan]]&lt;=TrafficData[[#This Row],[totalChallan]],TrafficData[[#This Row],[pendingChallan]]&lt;=TrafficData[[#This Row],[totalChallan]])</f>
        <v>1</v>
      </c>
      <c r="O4022" s="8" t="b">
        <f>AND(TrafficData[[#This Row],[pendingAmount]]&lt;=TrafficData[[#This Row],[totalAmount]],TrafficData[[#This Row],[disposedAmount]]&lt;=TrafficData[[#This Row],[totalAmount]])</f>
        <v>1</v>
      </c>
      <c r="P4022" s="8" t="b">
        <f>AND(TrafficData[[#This Row],[pendingCourt]]&lt;=TrafficData[[#This Row],[totalCourt]],TrafficData[[#This Row],[disposedCourt]]&lt;=TrafficData[[#This Row],[totalCourt]])</f>
        <v>1</v>
      </c>
    </row>
    <row r="4023" spans="1:16">
      <c r="A4023" s="1">
        <v>46027</v>
      </c>
      <c r="B4023">
        <v>308929</v>
      </c>
      <c r="C4023">
        <v>46283</v>
      </c>
      <c r="D4023">
        <v>262646</v>
      </c>
      <c r="E4023">
        <v>497718559</v>
      </c>
      <c r="F4023">
        <v>85069025</v>
      </c>
      <c r="G4023">
        <v>582787584</v>
      </c>
      <c r="H4023">
        <v>36212</v>
      </c>
      <c r="I4023">
        <v>953</v>
      </c>
      <c r="J4023">
        <v>37165</v>
      </c>
      <c r="K4023" t="b">
        <f>TrafficData[[#This Row],[disposedChallan]]+TrafficData[[#This Row],[pendingChallan]]=TrafficData[[#This Row],[totalChallan]]</f>
        <v>1</v>
      </c>
      <c r="L4023" t="b">
        <f>TrafficData[[#This Row],[pendingAmount]]+TrafficData[[#This Row],[disposedAmount]]=TrafficData[[#This Row],[totalAmount]]</f>
        <v>1</v>
      </c>
      <c r="M4023" t="b">
        <f>TrafficData[[#This Row],[pendingCourt]]+TrafficData[[#This Row],[disposedCourt]]=TrafficData[[#This Row],[totalCourt]]</f>
        <v>1</v>
      </c>
      <c r="N4023" s="8" t="b">
        <f>AND(TrafficData[[#This Row],[disposedChallan]]&lt;=TrafficData[[#This Row],[totalChallan]],TrafficData[[#This Row],[pendingChallan]]&lt;=TrafficData[[#This Row],[totalChallan]])</f>
        <v>1</v>
      </c>
      <c r="O4023" s="8" t="b">
        <f>AND(TrafficData[[#This Row],[pendingAmount]]&lt;=TrafficData[[#This Row],[totalAmount]],TrafficData[[#This Row],[disposedAmount]]&lt;=TrafficData[[#This Row],[totalAmount]])</f>
        <v>1</v>
      </c>
      <c r="P4023" s="8" t="b">
        <f>AND(TrafficData[[#This Row],[pendingCourt]]&lt;=TrafficData[[#This Row],[totalCourt]],TrafficData[[#This Row],[disposedCourt]]&lt;=TrafficData[[#This Row],[totalCourt]])</f>
        <v>1</v>
      </c>
    </row>
    <row r="4024" spans="1:16">
      <c r="A4024" s="1">
        <v>46028</v>
      </c>
      <c r="B4024">
        <v>305473</v>
      </c>
      <c r="C4024">
        <v>45367</v>
      </c>
      <c r="D4024">
        <v>260106</v>
      </c>
      <c r="E4024">
        <v>508839432</v>
      </c>
      <c r="F4024">
        <v>92983053</v>
      </c>
      <c r="G4024">
        <v>601822485</v>
      </c>
      <c r="H4024">
        <v>36683</v>
      </c>
      <c r="I4024">
        <v>943</v>
      </c>
      <c r="J4024">
        <v>37626</v>
      </c>
      <c r="K4024" t="b">
        <f>TrafficData[[#This Row],[disposedChallan]]+TrafficData[[#This Row],[pendingChallan]]=TrafficData[[#This Row],[totalChallan]]</f>
        <v>1</v>
      </c>
      <c r="L4024" t="b">
        <f>TrafficData[[#This Row],[pendingAmount]]+TrafficData[[#This Row],[disposedAmount]]=TrafficData[[#This Row],[totalAmount]]</f>
        <v>1</v>
      </c>
      <c r="M4024" t="b">
        <f>TrafficData[[#This Row],[pendingCourt]]+TrafficData[[#This Row],[disposedCourt]]=TrafficData[[#This Row],[totalCourt]]</f>
        <v>1</v>
      </c>
      <c r="N4024" s="8" t="b">
        <f>AND(TrafficData[[#This Row],[disposedChallan]]&lt;=TrafficData[[#This Row],[totalChallan]],TrafficData[[#This Row],[pendingChallan]]&lt;=TrafficData[[#This Row],[totalChallan]])</f>
        <v>1</v>
      </c>
      <c r="O4024" s="8" t="b">
        <f>AND(TrafficData[[#This Row],[pendingAmount]]&lt;=TrafficData[[#This Row],[totalAmount]],TrafficData[[#This Row],[disposedAmount]]&lt;=TrafficData[[#This Row],[totalAmount]])</f>
        <v>1</v>
      </c>
      <c r="P4024" s="8" t="b">
        <f>AND(TrafficData[[#This Row],[pendingCourt]]&lt;=TrafficData[[#This Row],[totalCourt]],TrafficData[[#This Row],[disposedCourt]]&lt;=TrafficData[[#This Row],[totalCourt]])</f>
        <v>1</v>
      </c>
    </row>
    <row r="4025" spans="1:16">
      <c r="A4025" s="1">
        <v>46029</v>
      </c>
      <c r="B4025">
        <v>320516</v>
      </c>
      <c r="C4025">
        <v>47792</v>
      </c>
      <c r="D4025">
        <v>272724</v>
      </c>
      <c r="E4025">
        <v>565996093</v>
      </c>
      <c r="F4025">
        <v>93149973</v>
      </c>
      <c r="G4025">
        <v>659146066</v>
      </c>
      <c r="H4025">
        <v>38485</v>
      </c>
      <c r="I4025">
        <v>944</v>
      </c>
      <c r="J4025">
        <v>39429</v>
      </c>
      <c r="K4025" t="b">
        <f>TrafficData[[#This Row],[disposedChallan]]+TrafficData[[#This Row],[pendingChallan]]=TrafficData[[#This Row],[totalChallan]]</f>
        <v>1</v>
      </c>
      <c r="L4025" t="b">
        <f>TrafficData[[#This Row],[pendingAmount]]+TrafficData[[#This Row],[disposedAmount]]=TrafficData[[#This Row],[totalAmount]]</f>
        <v>1</v>
      </c>
      <c r="M4025" t="b">
        <f>TrafficData[[#This Row],[pendingCourt]]+TrafficData[[#This Row],[disposedCourt]]=TrafficData[[#This Row],[totalCourt]]</f>
        <v>1</v>
      </c>
      <c r="N4025" s="8" t="b">
        <f>AND(TrafficData[[#This Row],[disposedChallan]]&lt;=TrafficData[[#This Row],[totalChallan]],TrafficData[[#This Row],[pendingChallan]]&lt;=TrafficData[[#This Row],[totalChallan]])</f>
        <v>1</v>
      </c>
      <c r="O4025" s="8" t="b">
        <f>AND(TrafficData[[#This Row],[pendingAmount]]&lt;=TrafficData[[#This Row],[totalAmount]],TrafficData[[#This Row],[disposedAmount]]&lt;=TrafficData[[#This Row],[totalAmount]])</f>
        <v>1</v>
      </c>
      <c r="P4025" s="8" t="b">
        <f>AND(TrafficData[[#This Row],[pendingCourt]]&lt;=TrafficData[[#This Row],[totalCourt]],TrafficData[[#This Row],[disposedCourt]]&lt;=TrafficData[[#This Row],[totalCourt]])</f>
        <v>1</v>
      </c>
    </row>
    <row r="4026" spans="1:16">
      <c r="A4026" s="1">
        <v>46030</v>
      </c>
      <c r="B4026">
        <v>311700</v>
      </c>
      <c r="C4026">
        <v>46047</v>
      </c>
      <c r="D4026">
        <v>265653</v>
      </c>
      <c r="E4026">
        <v>534442793</v>
      </c>
      <c r="F4026">
        <v>95496534</v>
      </c>
      <c r="G4026">
        <v>629939327</v>
      </c>
      <c r="H4026">
        <v>35101</v>
      </c>
      <c r="I4026">
        <v>901</v>
      </c>
      <c r="J4026">
        <v>36002</v>
      </c>
      <c r="K4026" t="b">
        <f>TrafficData[[#This Row],[disposedChallan]]+TrafficData[[#This Row],[pendingChallan]]=TrafficData[[#This Row],[totalChallan]]</f>
        <v>1</v>
      </c>
      <c r="L4026" t="b">
        <f>TrafficData[[#This Row],[pendingAmount]]+TrafficData[[#This Row],[disposedAmount]]=TrafficData[[#This Row],[totalAmount]]</f>
        <v>1</v>
      </c>
      <c r="M4026" t="b">
        <f>TrafficData[[#This Row],[pendingCourt]]+TrafficData[[#This Row],[disposedCourt]]=TrafficData[[#This Row],[totalCourt]]</f>
        <v>1</v>
      </c>
      <c r="N4026" s="8" t="b">
        <f>AND(TrafficData[[#This Row],[disposedChallan]]&lt;=TrafficData[[#This Row],[totalChallan]],TrafficData[[#This Row],[pendingChallan]]&lt;=TrafficData[[#This Row],[totalChallan]])</f>
        <v>1</v>
      </c>
      <c r="O4026" s="8" t="b">
        <f>AND(TrafficData[[#This Row],[pendingAmount]]&lt;=TrafficData[[#This Row],[totalAmount]],TrafficData[[#This Row],[disposedAmount]]&lt;=TrafficData[[#This Row],[totalAmount]])</f>
        <v>1</v>
      </c>
      <c r="P4026" s="8" t="b">
        <f>AND(TrafficData[[#This Row],[pendingCourt]]&lt;=TrafficData[[#This Row],[totalCourt]],TrafficData[[#This Row],[disposedCourt]]&lt;=TrafficData[[#This Row],[totalCourt]])</f>
        <v>1</v>
      </c>
    </row>
    <row r="4027" spans="1:16">
      <c r="A4027" s="1">
        <v>46031</v>
      </c>
      <c r="B4027">
        <v>308525</v>
      </c>
      <c r="C4027">
        <v>43489</v>
      </c>
      <c r="D4027">
        <v>265036</v>
      </c>
      <c r="E4027">
        <v>513298212</v>
      </c>
      <c r="F4027">
        <v>82984998</v>
      </c>
      <c r="G4027">
        <v>596283210</v>
      </c>
      <c r="H4027">
        <v>33097</v>
      </c>
      <c r="I4027">
        <v>753</v>
      </c>
      <c r="J4027">
        <v>33850</v>
      </c>
      <c r="K4027" t="b">
        <f>TrafficData[[#This Row],[disposedChallan]]+TrafficData[[#This Row],[pendingChallan]]=TrafficData[[#This Row],[totalChallan]]</f>
        <v>1</v>
      </c>
      <c r="L4027" t="b">
        <f>TrafficData[[#This Row],[pendingAmount]]+TrafficData[[#This Row],[disposedAmount]]=TrafficData[[#This Row],[totalAmount]]</f>
        <v>1</v>
      </c>
      <c r="M4027" t="b">
        <f>TrafficData[[#This Row],[pendingCourt]]+TrafficData[[#This Row],[disposedCourt]]=TrafficData[[#This Row],[totalCourt]]</f>
        <v>1</v>
      </c>
      <c r="N4027" s="8" t="b">
        <f>AND(TrafficData[[#This Row],[disposedChallan]]&lt;=TrafficData[[#This Row],[totalChallan]],TrafficData[[#This Row],[pendingChallan]]&lt;=TrafficData[[#This Row],[totalChallan]])</f>
        <v>1</v>
      </c>
      <c r="O4027" s="8" t="b">
        <f>AND(TrafficData[[#This Row],[pendingAmount]]&lt;=TrafficData[[#This Row],[totalAmount]],TrafficData[[#This Row],[disposedAmount]]&lt;=TrafficData[[#This Row],[totalAmount]])</f>
        <v>1</v>
      </c>
      <c r="P4027" s="8" t="b">
        <f>AND(TrafficData[[#This Row],[pendingCourt]]&lt;=TrafficData[[#This Row],[totalCourt]],TrafficData[[#This Row],[disposedCourt]]&lt;=TrafficData[[#This Row],[totalCourt]])</f>
        <v>1</v>
      </c>
    </row>
    <row r="4028" spans="1:16">
      <c r="A4028" s="1">
        <v>46032</v>
      </c>
      <c r="B4028">
        <v>306890</v>
      </c>
      <c r="C4028">
        <v>42652</v>
      </c>
      <c r="D4028">
        <v>264238</v>
      </c>
      <c r="E4028">
        <v>504245833</v>
      </c>
      <c r="F4028">
        <v>70471377</v>
      </c>
      <c r="G4028">
        <v>574717210</v>
      </c>
      <c r="H4028">
        <v>30975</v>
      </c>
      <c r="I4028">
        <v>773</v>
      </c>
      <c r="J4028">
        <v>31748</v>
      </c>
      <c r="K4028" t="b">
        <f>TrafficData[[#This Row],[disposedChallan]]+TrafficData[[#This Row],[pendingChallan]]=TrafficData[[#This Row],[totalChallan]]</f>
        <v>1</v>
      </c>
      <c r="L4028" t="b">
        <f>TrafficData[[#This Row],[pendingAmount]]+TrafficData[[#This Row],[disposedAmount]]=TrafficData[[#This Row],[totalAmount]]</f>
        <v>1</v>
      </c>
      <c r="M4028" t="b">
        <f>TrafficData[[#This Row],[pendingCourt]]+TrafficData[[#This Row],[disposedCourt]]=TrafficData[[#This Row],[totalCourt]]</f>
        <v>1</v>
      </c>
      <c r="N4028" s="8" t="b">
        <f>AND(TrafficData[[#This Row],[disposedChallan]]&lt;=TrafficData[[#This Row],[totalChallan]],TrafficData[[#This Row],[pendingChallan]]&lt;=TrafficData[[#This Row],[totalChallan]])</f>
        <v>1</v>
      </c>
      <c r="O4028" s="8" t="b">
        <f>AND(TrafficData[[#This Row],[pendingAmount]]&lt;=TrafficData[[#This Row],[totalAmount]],TrafficData[[#This Row],[disposedAmount]]&lt;=TrafficData[[#This Row],[totalAmount]])</f>
        <v>1</v>
      </c>
      <c r="P4028" s="8" t="b">
        <f>AND(TrafficData[[#This Row],[pendingCourt]]&lt;=TrafficData[[#This Row],[totalCourt]],TrafficData[[#This Row],[disposedCourt]]&lt;=TrafficData[[#This Row],[totalCourt]])</f>
        <v>1</v>
      </c>
    </row>
    <row r="4029" spans="1:16">
      <c r="A4029" s="1">
        <v>46033</v>
      </c>
      <c r="B4029">
        <v>280817</v>
      </c>
      <c r="C4029">
        <v>36446</v>
      </c>
      <c r="D4029">
        <v>244371</v>
      </c>
      <c r="E4029">
        <v>457205289</v>
      </c>
      <c r="F4029">
        <v>49265160</v>
      </c>
      <c r="G4029">
        <v>506470449</v>
      </c>
      <c r="H4029">
        <v>30386</v>
      </c>
      <c r="I4029">
        <v>700</v>
      </c>
      <c r="J4029">
        <v>31086</v>
      </c>
      <c r="K4029" t="b">
        <f>TrafficData[[#This Row],[disposedChallan]]+TrafficData[[#This Row],[pendingChallan]]=TrafficData[[#This Row],[totalChallan]]</f>
        <v>1</v>
      </c>
      <c r="L4029" t="b">
        <f>TrafficData[[#This Row],[pendingAmount]]+TrafficData[[#This Row],[disposedAmount]]=TrafficData[[#This Row],[totalAmount]]</f>
        <v>1</v>
      </c>
      <c r="M4029" t="b">
        <f>TrafficData[[#This Row],[pendingCourt]]+TrafficData[[#This Row],[disposedCourt]]=TrafficData[[#This Row],[totalCourt]]</f>
        <v>1</v>
      </c>
      <c r="N4029" s="8" t="b">
        <f>AND(TrafficData[[#This Row],[disposedChallan]]&lt;=TrafficData[[#This Row],[totalChallan]],TrafficData[[#This Row],[pendingChallan]]&lt;=TrafficData[[#This Row],[totalChallan]])</f>
        <v>1</v>
      </c>
      <c r="O4029" s="8" t="b">
        <f>AND(TrafficData[[#This Row],[pendingAmount]]&lt;=TrafficData[[#This Row],[totalAmount]],TrafficData[[#This Row],[disposedAmount]]&lt;=TrafficData[[#This Row],[totalAmount]])</f>
        <v>1</v>
      </c>
      <c r="P4029" s="8" t="b">
        <f>AND(TrafficData[[#This Row],[pendingCourt]]&lt;=TrafficData[[#This Row],[totalCourt]],TrafficData[[#This Row],[disposedCourt]]&lt;=TrafficData[[#This Row],[totalCourt]])</f>
        <v>1</v>
      </c>
    </row>
    <row r="4030" spans="1:16">
      <c r="A4030" s="1">
        <v>46034</v>
      </c>
      <c r="B4030">
        <v>298223</v>
      </c>
      <c r="C4030">
        <v>40743</v>
      </c>
      <c r="D4030">
        <v>257480</v>
      </c>
      <c r="E4030">
        <v>515393675</v>
      </c>
      <c r="F4030">
        <v>73035320</v>
      </c>
      <c r="G4030">
        <v>588428995</v>
      </c>
      <c r="H4030">
        <v>32311</v>
      </c>
      <c r="I4030">
        <v>663</v>
      </c>
      <c r="J4030">
        <v>32974</v>
      </c>
      <c r="K4030" t="b">
        <f>TrafficData[[#This Row],[disposedChallan]]+TrafficData[[#This Row],[pendingChallan]]=TrafficData[[#This Row],[totalChallan]]</f>
        <v>1</v>
      </c>
      <c r="L4030" t="b">
        <f>TrafficData[[#This Row],[pendingAmount]]+TrafficData[[#This Row],[disposedAmount]]=TrafficData[[#This Row],[totalAmount]]</f>
        <v>1</v>
      </c>
      <c r="M4030" t="b">
        <f>TrafficData[[#This Row],[pendingCourt]]+TrafficData[[#This Row],[disposedCourt]]=TrafficData[[#This Row],[totalCourt]]</f>
        <v>1</v>
      </c>
      <c r="N4030" s="8" t="b">
        <f>AND(TrafficData[[#This Row],[disposedChallan]]&lt;=TrafficData[[#This Row],[totalChallan]],TrafficData[[#This Row],[pendingChallan]]&lt;=TrafficData[[#This Row],[totalChallan]])</f>
        <v>1</v>
      </c>
      <c r="O4030" s="8" t="b">
        <f>AND(TrafficData[[#This Row],[pendingAmount]]&lt;=TrafficData[[#This Row],[totalAmount]],TrafficData[[#This Row],[disposedAmount]]&lt;=TrafficData[[#This Row],[totalAmount]])</f>
        <v>1</v>
      </c>
      <c r="P4030" s="8" t="b">
        <f>AND(TrafficData[[#This Row],[pendingCourt]]&lt;=TrafficData[[#This Row],[totalCourt]],TrafficData[[#This Row],[disposedCourt]]&lt;=TrafficData[[#This Row],[totalCourt]])</f>
        <v>1</v>
      </c>
    </row>
    <row r="4031" spans="1:16">
      <c r="A4031" s="1">
        <v>46035</v>
      </c>
      <c r="B4031">
        <v>290418</v>
      </c>
      <c r="C4031">
        <v>39013</v>
      </c>
      <c r="D4031">
        <v>251405</v>
      </c>
      <c r="E4031">
        <v>498903377</v>
      </c>
      <c r="F4031">
        <v>78664342</v>
      </c>
      <c r="G4031">
        <v>577567719</v>
      </c>
      <c r="H4031">
        <v>31361</v>
      </c>
      <c r="I4031">
        <v>912</v>
      </c>
      <c r="J4031">
        <v>32273</v>
      </c>
      <c r="K4031" t="b">
        <f>TrafficData[[#This Row],[disposedChallan]]+TrafficData[[#This Row],[pendingChallan]]=TrafficData[[#This Row],[totalChallan]]</f>
        <v>1</v>
      </c>
      <c r="L4031" t="b">
        <f>TrafficData[[#This Row],[pendingAmount]]+TrafficData[[#This Row],[disposedAmount]]=TrafficData[[#This Row],[totalAmount]]</f>
        <v>1</v>
      </c>
      <c r="M4031" t="b">
        <f>TrafficData[[#This Row],[pendingCourt]]+TrafficData[[#This Row],[disposedCourt]]=TrafficData[[#This Row],[totalCourt]]</f>
        <v>1</v>
      </c>
      <c r="N4031" s="8" t="b">
        <f>AND(TrafficData[[#This Row],[disposedChallan]]&lt;=TrafficData[[#This Row],[totalChallan]],TrafficData[[#This Row],[pendingChallan]]&lt;=TrafficData[[#This Row],[totalChallan]])</f>
        <v>1</v>
      </c>
      <c r="O4031" s="8" t="b">
        <f>AND(TrafficData[[#This Row],[pendingAmount]]&lt;=TrafficData[[#This Row],[totalAmount]],TrafficData[[#This Row],[disposedAmount]]&lt;=TrafficData[[#This Row],[totalAmount]])</f>
        <v>1</v>
      </c>
      <c r="P4031" s="8" t="b">
        <f>AND(TrafficData[[#This Row],[pendingCourt]]&lt;=TrafficData[[#This Row],[totalCourt]],TrafficData[[#This Row],[disposedCourt]]&lt;=TrafficData[[#This Row],[totalCourt]])</f>
        <v>1</v>
      </c>
    </row>
    <row r="4032" spans="1:16">
      <c r="A4032" s="1">
        <v>46036</v>
      </c>
      <c r="B4032">
        <v>258178</v>
      </c>
      <c r="C4032">
        <v>31297</v>
      </c>
      <c r="D4032">
        <v>226881</v>
      </c>
      <c r="E4032">
        <v>448526933</v>
      </c>
      <c r="F4032">
        <v>63321975</v>
      </c>
      <c r="G4032">
        <v>511848908</v>
      </c>
      <c r="H4032">
        <v>29793</v>
      </c>
      <c r="I4032">
        <v>677</v>
      </c>
      <c r="J4032">
        <v>30470</v>
      </c>
      <c r="K4032" t="b">
        <f>TrafficData[[#This Row],[disposedChallan]]+TrafficData[[#This Row],[pendingChallan]]=TrafficData[[#This Row],[totalChallan]]</f>
        <v>1</v>
      </c>
      <c r="L4032" t="b">
        <f>TrafficData[[#This Row],[pendingAmount]]+TrafficData[[#This Row],[disposedAmount]]=TrafficData[[#This Row],[totalAmount]]</f>
        <v>1</v>
      </c>
      <c r="M4032" t="b">
        <f>TrafficData[[#This Row],[pendingCourt]]+TrafficData[[#This Row],[disposedCourt]]=TrafficData[[#This Row],[totalCourt]]</f>
        <v>1</v>
      </c>
      <c r="N4032" s="8" t="b">
        <f>AND(TrafficData[[#This Row],[disposedChallan]]&lt;=TrafficData[[#This Row],[totalChallan]],TrafficData[[#This Row],[pendingChallan]]&lt;=TrafficData[[#This Row],[totalChallan]])</f>
        <v>1</v>
      </c>
      <c r="O4032" s="8" t="b">
        <f>AND(TrafficData[[#This Row],[pendingAmount]]&lt;=TrafficData[[#This Row],[totalAmount]],TrafficData[[#This Row],[disposedAmount]]&lt;=TrafficData[[#This Row],[totalAmount]])</f>
        <v>1</v>
      </c>
      <c r="P4032" s="8" t="b">
        <f>AND(TrafficData[[#This Row],[pendingCourt]]&lt;=TrafficData[[#This Row],[totalCourt]],TrafficData[[#This Row],[disposedCourt]]&lt;=TrafficData[[#This Row],[totalCourt]])</f>
        <v>1</v>
      </c>
    </row>
    <row r="4033" spans="1:16">
      <c r="A4033" s="1">
        <v>46037</v>
      </c>
      <c r="B4033">
        <v>249702</v>
      </c>
      <c r="C4033">
        <v>32372</v>
      </c>
      <c r="D4033">
        <v>217330</v>
      </c>
      <c r="E4033">
        <v>439964003</v>
      </c>
      <c r="F4033">
        <v>61888100</v>
      </c>
      <c r="G4033">
        <v>501852103</v>
      </c>
      <c r="H4033">
        <v>25783</v>
      </c>
      <c r="I4033">
        <v>616</v>
      </c>
      <c r="J4033">
        <v>26399</v>
      </c>
      <c r="K4033" t="b">
        <f>TrafficData[[#This Row],[disposedChallan]]+TrafficData[[#This Row],[pendingChallan]]=TrafficData[[#This Row],[totalChallan]]</f>
        <v>1</v>
      </c>
      <c r="L4033" t="b">
        <f>TrafficData[[#This Row],[pendingAmount]]+TrafficData[[#This Row],[disposedAmount]]=TrafficData[[#This Row],[totalAmount]]</f>
        <v>1</v>
      </c>
      <c r="M4033" t="b">
        <f>TrafficData[[#This Row],[pendingCourt]]+TrafficData[[#This Row],[disposedCourt]]=TrafficData[[#This Row],[totalCourt]]</f>
        <v>1</v>
      </c>
      <c r="N4033" s="8" t="b">
        <f>AND(TrafficData[[#This Row],[disposedChallan]]&lt;=TrafficData[[#This Row],[totalChallan]],TrafficData[[#This Row],[pendingChallan]]&lt;=TrafficData[[#This Row],[totalChallan]])</f>
        <v>1</v>
      </c>
      <c r="O4033" s="8" t="b">
        <f>AND(TrafficData[[#This Row],[pendingAmount]]&lt;=TrafficData[[#This Row],[totalAmount]],TrafficData[[#This Row],[disposedAmount]]&lt;=TrafficData[[#This Row],[totalAmount]])</f>
        <v>1</v>
      </c>
      <c r="P4033" s="8" t="b">
        <f>AND(TrafficData[[#This Row],[pendingCourt]]&lt;=TrafficData[[#This Row],[totalCourt]],TrafficData[[#This Row],[disposedCourt]]&lt;=TrafficData[[#This Row],[totalCourt]])</f>
        <v>1</v>
      </c>
    </row>
    <row r="4034" spans="1:16">
      <c r="A4034" s="1">
        <v>46038</v>
      </c>
      <c r="B4034">
        <v>272880</v>
      </c>
      <c r="C4034">
        <v>35681</v>
      </c>
      <c r="D4034">
        <v>237199</v>
      </c>
      <c r="E4034">
        <v>465911753</v>
      </c>
      <c r="F4034">
        <v>72524395</v>
      </c>
      <c r="G4034">
        <v>538436148</v>
      </c>
      <c r="H4034">
        <v>28445</v>
      </c>
      <c r="I4034">
        <v>665</v>
      </c>
      <c r="J4034">
        <v>29110</v>
      </c>
      <c r="K4034" t="b">
        <f>TrafficData[[#This Row],[disposedChallan]]+TrafficData[[#This Row],[pendingChallan]]=TrafficData[[#This Row],[totalChallan]]</f>
        <v>1</v>
      </c>
      <c r="L4034" t="b">
        <f>TrafficData[[#This Row],[pendingAmount]]+TrafficData[[#This Row],[disposedAmount]]=TrafficData[[#This Row],[totalAmount]]</f>
        <v>1</v>
      </c>
      <c r="M4034" t="b">
        <f>TrafficData[[#This Row],[pendingCourt]]+TrafficData[[#This Row],[disposedCourt]]=TrafficData[[#This Row],[totalCourt]]</f>
        <v>1</v>
      </c>
      <c r="N4034" s="8" t="b">
        <f>AND(TrafficData[[#This Row],[disposedChallan]]&lt;=TrafficData[[#This Row],[totalChallan]],TrafficData[[#This Row],[pendingChallan]]&lt;=TrafficData[[#This Row],[totalChallan]])</f>
        <v>1</v>
      </c>
      <c r="O4034" s="8" t="b">
        <f>AND(TrafficData[[#This Row],[pendingAmount]]&lt;=TrafficData[[#This Row],[totalAmount]],TrafficData[[#This Row],[disposedAmount]]&lt;=TrafficData[[#This Row],[totalAmount]])</f>
        <v>1</v>
      </c>
      <c r="P4034" s="8" t="b">
        <f>AND(TrafficData[[#This Row],[pendingCourt]]&lt;=TrafficData[[#This Row],[totalCourt]],TrafficData[[#This Row],[disposedCourt]]&lt;=TrafficData[[#This Row],[totalCourt]])</f>
        <v>1</v>
      </c>
    </row>
    <row r="4035" spans="1:16">
      <c r="A4035" s="1">
        <v>46039</v>
      </c>
      <c r="B4035">
        <v>267745</v>
      </c>
      <c r="C4035">
        <v>38563</v>
      </c>
      <c r="D4035">
        <v>229182</v>
      </c>
      <c r="E4035">
        <v>427273450</v>
      </c>
      <c r="F4035">
        <v>67055656</v>
      </c>
      <c r="G4035">
        <v>494329106</v>
      </c>
      <c r="H4035">
        <v>22775</v>
      </c>
      <c r="I4035">
        <v>556</v>
      </c>
      <c r="J4035">
        <v>23331</v>
      </c>
      <c r="K4035" t="b">
        <f>TrafficData[[#This Row],[disposedChallan]]+TrafficData[[#This Row],[pendingChallan]]=TrafficData[[#This Row],[totalChallan]]</f>
        <v>1</v>
      </c>
      <c r="L4035" t="b">
        <f>TrafficData[[#This Row],[pendingAmount]]+TrafficData[[#This Row],[disposedAmount]]=TrafficData[[#This Row],[totalAmount]]</f>
        <v>1</v>
      </c>
      <c r="M4035" t="b">
        <f>TrafficData[[#This Row],[pendingCourt]]+TrafficData[[#This Row],[disposedCourt]]=TrafficData[[#This Row],[totalCourt]]</f>
        <v>1</v>
      </c>
      <c r="N4035" s="8" t="b">
        <f>AND(TrafficData[[#This Row],[disposedChallan]]&lt;=TrafficData[[#This Row],[totalChallan]],TrafficData[[#This Row],[pendingChallan]]&lt;=TrafficData[[#This Row],[totalChallan]])</f>
        <v>1</v>
      </c>
      <c r="O4035" s="8" t="b">
        <f>AND(TrafficData[[#This Row],[pendingAmount]]&lt;=TrafficData[[#This Row],[totalAmount]],TrafficData[[#This Row],[disposedAmount]]&lt;=TrafficData[[#This Row],[totalAmount]])</f>
        <v>1</v>
      </c>
      <c r="P4035" s="8" t="b">
        <f>AND(TrafficData[[#This Row],[pendingCourt]]&lt;=TrafficData[[#This Row],[totalCourt]],TrafficData[[#This Row],[disposedCourt]]&lt;=TrafficData[[#This Row],[totalCourt]])</f>
        <v>1</v>
      </c>
    </row>
    <row r="4036" spans="1:16">
      <c r="A4036" s="1">
        <v>46040</v>
      </c>
      <c r="B4036">
        <v>263957</v>
      </c>
      <c r="C4036">
        <v>35122</v>
      </c>
      <c r="D4036">
        <v>228835</v>
      </c>
      <c r="E4036">
        <v>432527554</v>
      </c>
      <c r="F4036">
        <v>50414538</v>
      </c>
      <c r="G4036">
        <v>482942092</v>
      </c>
      <c r="H4036">
        <v>29076</v>
      </c>
      <c r="I4036">
        <v>661</v>
      </c>
      <c r="J4036">
        <v>29737</v>
      </c>
      <c r="K4036" t="b">
        <f>TrafficData[[#This Row],[disposedChallan]]+TrafficData[[#This Row],[pendingChallan]]=TrafficData[[#This Row],[totalChallan]]</f>
        <v>1</v>
      </c>
      <c r="L4036" t="b">
        <f>TrafficData[[#This Row],[pendingAmount]]+TrafficData[[#This Row],[disposedAmount]]=TrafficData[[#This Row],[totalAmount]]</f>
        <v>1</v>
      </c>
      <c r="M4036" t="b">
        <f>TrafficData[[#This Row],[pendingCourt]]+TrafficData[[#This Row],[disposedCourt]]=TrafficData[[#This Row],[totalCourt]]</f>
        <v>1</v>
      </c>
      <c r="N4036" s="8" t="b">
        <f>AND(TrafficData[[#This Row],[disposedChallan]]&lt;=TrafficData[[#This Row],[totalChallan]],TrafficData[[#This Row],[pendingChallan]]&lt;=TrafficData[[#This Row],[totalChallan]])</f>
        <v>1</v>
      </c>
      <c r="O4036" s="8" t="b">
        <f>AND(TrafficData[[#This Row],[pendingAmount]]&lt;=TrafficData[[#This Row],[totalAmount]],TrafficData[[#This Row],[disposedAmount]]&lt;=TrafficData[[#This Row],[totalAmount]])</f>
        <v>1</v>
      </c>
      <c r="P4036" s="8" t="b">
        <f>AND(TrafficData[[#This Row],[pendingCourt]]&lt;=TrafficData[[#This Row],[totalCourt]],TrafficData[[#This Row],[disposedCourt]]&lt;=TrafficData[[#This Row],[totalCourt]])</f>
        <v>1</v>
      </c>
    </row>
    <row r="4037" spans="1:16">
      <c r="A4037" s="1">
        <v>46041</v>
      </c>
      <c r="B4037">
        <v>285197</v>
      </c>
      <c r="C4037">
        <v>38849</v>
      </c>
      <c r="D4037">
        <v>246348</v>
      </c>
      <c r="E4037">
        <v>461334771</v>
      </c>
      <c r="F4037">
        <v>72861211</v>
      </c>
      <c r="G4037">
        <v>534195982</v>
      </c>
      <c r="H4037">
        <v>24302</v>
      </c>
      <c r="I4037">
        <v>572</v>
      </c>
      <c r="J4037">
        <v>24874</v>
      </c>
      <c r="K4037" t="b">
        <f>TrafficData[[#This Row],[disposedChallan]]+TrafficData[[#This Row],[pendingChallan]]=TrafficData[[#This Row],[totalChallan]]</f>
        <v>1</v>
      </c>
      <c r="L4037" t="b">
        <f>TrafficData[[#This Row],[pendingAmount]]+TrafficData[[#This Row],[disposedAmount]]=TrafficData[[#This Row],[totalAmount]]</f>
        <v>1</v>
      </c>
      <c r="M4037" t="b">
        <f>TrafficData[[#This Row],[pendingCourt]]+TrafficData[[#This Row],[disposedCourt]]=TrafficData[[#This Row],[totalCourt]]</f>
        <v>1</v>
      </c>
      <c r="N4037" s="8" t="b">
        <f>AND(TrafficData[[#This Row],[disposedChallan]]&lt;=TrafficData[[#This Row],[totalChallan]],TrafficData[[#This Row],[pendingChallan]]&lt;=TrafficData[[#This Row],[totalChallan]])</f>
        <v>1</v>
      </c>
      <c r="O4037" s="8" t="b">
        <f>AND(TrafficData[[#This Row],[pendingAmount]]&lt;=TrafficData[[#This Row],[totalAmount]],TrafficData[[#This Row],[disposedAmount]]&lt;=TrafficData[[#This Row],[totalAmount]])</f>
        <v>1</v>
      </c>
      <c r="P4037" s="8" t="b">
        <f>AND(TrafficData[[#This Row],[pendingCourt]]&lt;=TrafficData[[#This Row],[totalCourt]],TrafficData[[#This Row],[disposedCourt]]&lt;=TrafficData[[#This Row],[totalCourt]])</f>
        <v>1</v>
      </c>
    </row>
    <row r="4038" spans="1:16">
      <c r="A4038" s="1">
        <v>46042</v>
      </c>
      <c r="B4038">
        <v>286707</v>
      </c>
      <c r="C4038">
        <v>40417</v>
      </c>
      <c r="D4038">
        <v>246290</v>
      </c>
      <c r="E4038">
        <v>457591146</v>
      </c>
      <c r="F4038">
        <v>81827075</v>
      </c>
      <c r="G4038">
        <v>539418221</v>
      </c>
      <c r="H4038">
        <v>23125</v>
      </c>
      <c r="I4038">
        <v>497</v>
      </c>
      <c r="J4038">
        <v>23622</v>
      </c>
      <c r="K4038" t="b">
        <f>TrafficData[[#This Row],[disposedChallan]]+TrafficData[[#This Row],[pendingChallan]]=TrafficData[[#This Row],[totalChallan]]</f>
        <v>1</v>
      </c>
      <c r="L4038" t="b">
        <f>TrafficData[[#This Row],[pendingAmount]]+TrafficData[[#This Row],[disposedAmount]]=TrafficData[[#This Row],[totalAmount]]</f>
        <v>1</v>
      </c>
      <c r="M4038" t="b">
        <f>TrafficData[[#This Row],[pendingCourt]]+TrafficData[[#This Row],[disposedCourt]]=TrafficData[[#This Row],[totalCourt]]</f>
        <v>1</v>
      </c>
      <c r="N4038" s="8" t="b">
        <f>AND(TrafficData[[#This Row],[disposedChallan]]&lt;=TrafficData[[#This Row],[totalChallan]],TrafficData[[#This Row],[pendingChallan]]&lt;=TrafficData[[#This Row],[totalChallan]])</f>
        <v>1</v>
      </c>
      <c r="O4038" s="8" t="b">
        <f>AND(TrafficData[[#This Row],[pendingAmount]]&lt;=TrafficData[[#This Row],[totalAmount]],TrafficData[[#This Row],[disposedAmount]]&lt;=TrafficData[[#This Row],[totalAmount]])</f>
        <v>1</v>
      </c>
      <c r="P4038" s="8" t="b">
        <f>AND(TrafficData[[#This Row],[pendingCourt]]&lt;=TrafficData[[#This Row],[totalCourt]],TrafficData[[#This Row],[disposedCourt]]&lt;=TrafficData[[#This Row],[totalCourt]])</f>
        <v>1</v>
      </c>
    </row>
    <row r="4039" spans="1:16">
      <c r="A4039" s="1">
        <v>46043</v>
      </c>
      <c r="B4039">
        <v>283845</v>
      </c>
      <c r="C4039">
        <v>40585</v>
      </c>
      <c r="D4039">
        <v>243260</v>
      </c>
      <c r="E4039">
        <v>461052520</v>
      </c>
      <c r="F4039">
        <v>78654967</v>
      </c>
      <c r="G4039">
        <v>539707487</v>
      </c>
      <c r="H4039">
        <v>22126</v>
      </c>
      <c r="I4039">
        <v>454</v>
      </c>
      <c r="J4039">
        <v>22580</v>
      </c>
      <c r="K4039" t="b">
        <f>TrafficData[[#This Row],[disposedChallan]]+TrafficData[[#This Row],[pendingChallan]]=TrafficData[[#This Row],[totalChallan]]</f>
        <v>1</v>
      </c>
      <c r="L4039" t="b">
        <f>TrafficData[[#This Row],[pendingAmount]]+TrafficData[[#This Row],[disposedAmount]]=TrafficData[[#This Row],[totalAmount]]</f>
        <v>1</v>
      </c>
      <c r="M4039" t="b">
        <f>TrafficData[[#This Row],[pendingCourt]]+TrafficData[[#This Row],[disposedCourt]]=TrafficData[[#This Row],[totalCourt]]</f>
        <v>1</v>
      </c>
      <c r="N4039" s="8" t="b">
        <f>AND(TrafficData[[#This Row],[disposedChallan]]&lt;=TrafficData[[#This Row],[totalChallan]],TrafficData[[#This Row],[pendingChallan]]&lt;=TrafficData[[#This Row],[totalChallan]])</f>
        <v>1</v>
      </c>
      <c r="O4039" s="8" t="b">
        <f>AND(TrafficData[[#This Row],[pendingAmount]]&lt;=TrafficData[[#This Row],[totalAmount]],TrafficData[[#This Row],[disposedAmount]]&lt;=TrafficData[[#This Row],[totalAmount]])</f>
        <v>1</v>
      </c>
      <c r="P4039" s="8" t="b">
        <f>AND(TrafficData[[#This Row],[pendingCourt]]&lt;=TrafficData[[#This Row],[totalCourt]],TrafficData[[#This Row],[disposedCourt]]&lt;=TrafficData[[#This Row],[totalCourt]])</f>
        <v>1</v>
      </c>
    </row>
    <row r="4040" spans="1:16">
      <c r="A4040" s="1">
        <v>46044</v>
      </c>
      <c r="B4040">
        <v>291447</v>
      </c>
      <c r="C4040">
        <v>39958</v>
      </c>
      <c r="D4040">
        <v>251489</v>
      </c>
      <c r="E4040">
        <v>487029454</v>
      </c>
      <c r="F4040">
        <v>76919260</v>
      </c>
      <c r="G4040">
        <v>563948714</v>
      </c>
      <c r="H4040">
        <v>26444</v>
      </c>
      <c r="I4040">
        <v>500</v>
      </c>
      <c r="J4040">
        <v>26944</v>
      </c>
      <c r="K4040" t="b">
        <f>TrafficData[[#This Row],[disposedChallan]]+TrafficData[[#This Row],[pendingChallan]]=TrafficData[[#This Row],[totalChallan]]</f>
        <v>1</v>
      </c>
      <c r="L4040" t="b">
        <f>TrafficData[[#This Row],[pendingAmount]]+TrafficData[[#This Row],[disposedAmount]]=TrafficData[[#This Row],[totalAmount]]</f>
        <v>1</v>
      </c>
      <c r="M4040" t="b">
        <f>TrafficData[[#This Row],[pendingCourt]]+TrafficData[[#This Row],[disposedCourt]]=TrafficData[[#This Row],[totalCourt]]</f>
        <v>1</v>
      </c>
      <c r="N4040" s="8" t="b">
        <f>AND(TrafficData[[#This Row],[disposedChallan]]&lt;=TrafficData[[#This Row],[totalChallan]],TrafficData[[#This Row],[pendingChallan]]&lt;=TrafficData[[#This Row],[totalChallan]])</f>
        <v>1</v>
      </c>
      <c r="O4040" s="8" t="b">
        <f>AND(TrafficData[[#This Row],[pendingAmount]]&lt;=TrafficData[[#This Row],[totalAmount]],TrafficData[[#This Row],[disposedAmount]]&lt;=TrafficData[[#This Row],[totalAmount]])</f>
        <v>1</v>
      </c>
      <c r="P4040" s="8" t="b">
        <f>AND(TrafficData[[#This Row],[pendingCourt]]&lt;=TrafficData[[#This Row],[totalCourt]],TrafficData[[#This Row],[disposedCourt]]&lt;=TrafficData[[#This Row],[totalCourt]])</f>
        <v>1</v>
      </c>
    </row>
    <row r="4041" spans="1:16">
      <c r="A4041" s="1">
        <v>46045</v>
      </c>
      <c r="B4041">
        <v>229715</v>
      </c>
      <c r="C4041">
        <v>31386</v>
      </c>
      <c r="D4041">
        <v>198329</v>
      </c>
      <c r="E4041">
        <v>348784234</v>
      </c>
      <c r="F4041">
        <v>56925402</v>
      </c>
      <c r="G4041">
        <v>405709636</v>
      </c>
      <c r="H4041">
        <v>13913</v>
      </c>
      <c r="I4041">
        <v>281</v>
      </c>
      <c r="J4041">
        <v>14194</v>
      </c>
      <c r="K4041" t="b">
        <f>TrafficData[[#This Row],[disposedChallan]]+TrafficData[[#This Row],[pendingChallan]]=TrafficData[[#This Row],[totalChallan]]</f>
        <v>1</v>
      </c>
      <c r="L4041" t="b">
        <f>TrafficData[[#This Row],[pendingAmount]]+TrafficData[[#This Row],[disposedAmount]]=TrafficData[[#This Row],[totalAmount]]</f>
        <v>1</v>
      </c>
      <c r="M4041" t="b">
        <f>TrafficData[[#This Row],[pendingCourt]]+TrafficData[[#This Row],[disposedCourt]]=TrafficData[[#This Row],[totalCourt]]</f>
        <v>1</v>
      </c>
      <c r="N4041" s="8" t="b">
        <f>AND(TrafficData[[#This Row],[disposedChallan]]&lt;=TrafficData[[#This Row],[totalChallan]],TrafficData[[#This Row],[pendingChallan]]&lt;=TrafficData[[#This Row],[totalChallan]])</f>
        <v>1</v>
      </c>
      <c r="O4041" s="8" t="b">
        <f>AND(TrafficData[[#This Row],[pendingAmount]]&lt;=TrafficData[[#This Row],[totalAmount]],TrafficData[[#This Row],[disposedAmount]]&lt;=TrafficData[[#This Row],[totalAmount]])</f>
        <v>1</v>
      </c>
      <c r="P4041" s="8" t="b">
        <f>AND(TrafficData[[#This Row],[pendingCourt]]&lt;=TrafficData[[#This Row],[totalCourt]],TrafficData[[#This Row],[disposedCourt]]&lt;=TrafficData[[#This Row],[totalCourt]])</f>
        <v>1</v>
      </c>
    </row>
    <row r="4042" spans="1:16">
      <c r="A4042" s="1">
        <v>46046</v>
      </c>
      <c r="B4042">
        <v>279695</v>
      </c>
      <c r="C4042">
        <v>36884</v>
      </c>
      <c r="D4042">
        <v>242811</v>
      </c>
      <c r="E4042">
        <v>469336161</v>
      </c>
      <c r="F4042">
        <v>61041492</v>
      </c>
      <c r="G4042">
        <v>530377653</v>
      </c>
      <c r="H4042">
        <v>24528</v>
      </c>
      <c r="I4042">
        <v>509</v>
      </c>
      <c r="J4042">
        <v>25037</v>
      </c>
      <c r="K4042" t="b">
        <f>TrafficData[[#This Row],[disposedChallan]]+TrafficData[[#This Row],[pendingChallan]]=TrafficData[[#This Row],[totalChallan]]</f>
        <v>1</v>
      </c>
      <c r="L4042" t="b">
        <f>TrafficData[[#This Row],[pendingAmount]]+TrafficData[[#This Row],[disposedAmount]]=TrafficData[[#This Row],[totalAmount]]</f>
        <v>1</v>
      </c>
      <c r="M4042" t="b">
        <f>TrafficData[[#This Row],[pendingCourt]]+TrafficData[[#This Row],[disposedCourt]]=TrafficData[[#This Row],[totalCourt]]</f>
        <v>1</v>
      </c>
      <c r="N4042" s="8" t="b">
        <f>AND(TrafficData[[#This Row],[disposedChallan]]&lt;=TrafficData[[#This Row],[totalChallan]],TrafficData[[#This Row],[pendingChallan]]&lt;=TrafficData[[#This Row],[totalChallan]])</f>
        <v>1</v>
      </c>
      <c r="O4042" s="8" t="b">
        <f>AND(TrafficData[[#This Row],[pendingAmount]]&lt;=TrafficData[[#This Row],[totalAmount]],TrafficData[[#This Row],[disposedAmount]]&lt;=TrafficData[[#This Row],[totalAmount]])</f>
        <v>1</v>
      </c>
      <c r="P4042" s="8" t="b">
        <f>AND(TrafficData[[#This Row],[pendingCourt]]&lt;=TrafficData[[#This Row],[totalCourt]],TrafficData[[#This Row],[disposedCourt]]&lt;=TrafficData[[#This Row],[totalCourt]])</f>
        <v>1</v>
      </c>
    </row>
    <row r="4043" spans="1:16">
      <c r="A4043" s="1">
        <v>46047</v>
      </c>
      <c r="B4043">
        <v>251323</v>
      </c>
      <c r="C4043">
        <v>31639</v>
      </c>
      <c r="D4043">
        <v>219684</v>
      </c>
      <c r="E4043">
        <v>393648442</v>
      </c>
      <c r="F4043">
        <v>44993389</v>
      </c>
      <c r="G4043">
        <v>438641831</v>
      </c>
      <c r="H4043">
        <v>20201</v>
      </c>
      <c r="I4043">
        <v>330</v>
      </c>
      <c r="J4043">
        <v>20531</v>
      </c>
      <c r="K4043" t="b">
        <f>TrafficData[[#This Row],[disposedChallan]]+TrafficData[[#This Row],[pendingChallan]]=TrafficData[[#This Row],[totalChallan]]</f>
        <v>1</v>
      </c>
      <c r="L4043" t="b">
        <f>TrafficData[[#This Row],[pendingAmount]]+TrafficData[[#This Row],[disposedAmount]]=TrafficData[[#This Row],[totalAmount]]</f>
        <v>1</v>
      </c>
      <c r="M4043" t="b">
        <f>TrafficData[[#This Row],[pendingCourt]]+TrafficData[[#This Row],[disposedCourt]]=TrafficData[[#This Row],[totalCourt]]</f>
        <v>1</v>
      </c>
      <c r="N4043" s="8" t="b">
        <f>AND(TrafficData[[#This Row],[disposedChallan]]&lt;=TrafficData[[#This Row],[totalChallan]],TrafficData[[#This Row],[pendingChallan]]&lt;=TrafficData[[#This Row],[totalChallan]])</f>
        <v>1</v>
      </c>
      <c r="O4043" s="8" t="b">
        <f>AND(TrafficData[[#This Row],[pendingAmount]]&lt;=TrafficData[[#This Row],[totalAmount]],TrafficData[[#This Row],[disposedAmount]]&lt;=TrafficData[[#This Row],[totalAmount]])</f>
        <v>1</v>
      </c>
      <c r="P4043" s="8" t="b">
        <f>AND(TrafficData[[#This Row],[pendingCourt]]&lt;=TrafficData[[#This Row],[totalCourt]],TrafficData[[#This Row],[disposedCourt]]&lt;=TrafficData[[#This Row],[totalCourt]])</f>
        <v>1</v>
      </c>
    </row>
    <row r="4044" spans="1:16">
      <c r="A4044" s="1">
        <v>46048</v>
      </c>
      <c r="B4044">
        <v>191126</v>
      </c>
      <c r="C4044">
        <v>22011</v>
      </c>
      <c r="D4044">
        <v>169115</v>
      </c>
      <c r="E4044">
        <v>294310256</v>
      </c>
      <c r="F4044">
        <v>28032264</v>
      </c>
      <c r="G4044">
        <v>322342520</v>
      </c>
      <c r="H4044">
        <v>8224</v>
      </c>
      <c r="I4044">
        <v>159</v>
      </c>
      <c r="J4044">
        <v>8383</v>
      </c>
      <c r="K4044" t="b">
        <f>TrafficData[[#This Row],[disposedChallan]]+TrafficData[[#This Row],[pendingChallan]]=TrafficData[[#This Row],[totalChallan]]</f>
        <v>1</v>
      </c>
      <c r="L4044" t="b">
        <f>TrafficData[[#This Row],[pendingAmount]]+TrafficData[[#This Row],[disposedAmount]]=TrafficData[[#This Row],[totalAmount]]</f>
        <v>1</v>
      </c>
      <c r="M4044" t="b">
        <f>TrafficData[[#This Row],[pendingCourt]]+TrafficData[[#This Row],[disposedCourt]]=TrafficData[[#This Row],[totalCourt]]</f>
        <v>1</v>
      </c>
      <c r="N4044" s="8" t="b">
        <f>AND(TrafficData[[#This Row],[disposedChallan]]&lt;=TrafficData[[#This Row],[totalChallan]],TrafficData[[#This Row],[pendingChallan]]&lt;=TrafficData[[#This Row],[totalChallan]])</f>
        <v>1</v>
      </c>
      <c r="O4044" s="8" t="b">
        <f>AND(TrafficData[[#This Row],[pendingAmount]]&lt;=TrafficData[[#This Row],[totalAmount]],TrafficData[[#This Row],[disposedAmount]]&lt;=TrafficData[[#This Row],[totalAmount]])</f>
        <v>1</v>
      </c>
      <c r="P4044" s="8" t="b">
        <f>AND(TrafficData[[#This Row],[pendingCourt]]&lt;=TrafficData[[#This Row],[totalCourt]],TrafficData[[#This Row],[disposedCourt]]&lt;=TrafficData[[#This Row],[totalCourt]])</f>
        <v>1</v>
      </c>
    </row>
    <row r="4045" spans="1:16">
      <c r="A4045" s="1">
        <v>46049</v>
      </c>
      <c r="B4045">
        <v>258242</v>
      </c>
      <c r="C4045">
        <v>35088</v>
      </c>
      <c r="D4045">
        <v>223154</v>
      </c>
      <c r="E4045">
        <v>414914111</v>
      </c>
      <c r="F4045">
        <v>61374972</v>
      </c>
      <c r="G4045">
        <v>476289083</v>
      </c>
      <c r="H4045">
        <v>18431</v>
      </c>
      <c r="I4045">
        <v>336</v>
      </c>
      <c r="J4045">
        <v>18767</v>
      </c>
      <c r="K4045" t="b">
        <f>TrafficData[[#This Row],[disposedChallan]]+TrafficData[[#This Row],[pendingChallan]]=TrafficData[[#This Row],[totalChallan]]</f>
        <v>1</v>
      </c>
      <c r="L4045" t="b">
        <f>TrafficData[[#This Row],[pendingAmount]]+TrafficData[[#This Row],[disposedAmount]]=TrafficData[[#This Row],[totalAmount]]</f>
        <v>1</v>
      </c>
      <c r="M4045" t="b">
        <f>TrafficData[[#This Row],[pendingCourt]]+TrafficData[[#This Row],[disposedCourt]]=TrafficData[[#This Row],[totalCourt]]</f>
        <v>1</v>
      </c>
      <c r="N4045" s="8" t="b">
        <f>AND(TrafficData[[#This Row],[disposedChallan]]&lt;=TrafficData[[#This Row],[totalChallan]],TrafficData[[#This Row],[pendingChallan]]&lt;=TrafficData[[#This Row],[totalChallan]])</f>
        <v>1</v>
      </c>
      <c r="O4045" s="8" t="b">
        <f>AND(TrafficData[[#This Row],[pendingAmount]]&lt;=TrafficData[[#This Row],[totalAmount]],TrafficData[[#This Row],[disposedAmount]]&lt;=TrafficData[[#This Row],[totalAmount]])</f>
        <v>1</v>
      </c>
      <c r="P4045" s="8" t="b">
        <f>AND(TrafficData[[#This Row],[pendingCourt]]&lt;=TrafficData[[#This Row],[totalCourt]],TrafficData[[#This Row],[disposedCourt]]&lt;=TrafficData[[#This Row],[totalCourt]])</f>
        <v>1</v>
      </c>
    </row>
    <row r="4046" spans="1:16">
      <c r="A4046" s="1">
        <v>46050</v>
      </c>
      <c r="B4046">
        <v>277413</v>
      </c>
      <c r="C4046">
        <v>38699</v>
      </c>
      <c r="D4046">
        <v>238714</v>
      </c>
      <c r="E4046">
        <v>460962660</v>
      </c>
      <c r="F4046">
        <v>70064179</v>
      </c>
      <c r="G4046">
        <v>531026839</v>
      </c>
      <c r="H4046">
        <v>20743</v>
      </c>
      <c r="I4046">
        <v>378</v>
      </c>
      <c r="J4046">
        <v>21121</v>
      </c>
      <c r="K4046" t="b">
        <f>TrafficData[[#This Row],[disposedChallan]]+TrafficData[[#This Row],[pendingChallan]]=TrafficData[[#This Row],[totalChallan]]</f>
        <v>1</v>
      </c>
      <c r="L4046" t="b">
        <f>TrafficData[[#This Row],[pendingAmount]]+TrafficData[[#This Row],[disposedAmount]]=TrafficData[[#This Row],[totalAmount]]</f>
        <v>1</v>
      </c>
      <c r="M4046" t="b">
        <f>TrafficData[[#This Row],[pendingCourt]]+TrafficData[[#This Row],[disposedCourt]]=TrafficData[[#This Row],[totalCourt]]</f>
        <v>1</v>
      </c>
      <c r="N4046" s="8" t="b">
        <f>AND(TrafficData[[#This Row],[disposedChallan]]&lt;=TrafficData[[#This Row],[totalChallan]],TrafficData[[#This Row],[pendingChallan]]&lt;=TrafficData[[#This Row],[totalChallan]])</f>
        <v>1</v>
      </c>
      <c r="O4046" s="8" t="b">
        <f>AND(TrafficData[[#This Row],[pendingAmount]]&lt;=TrafficData[[#This Row],[totalAmount]],TrafficData[[#This Row],[disposedAmount]]&lt;=TrafficData[[#This Row],[totalAmount]])</f>
        <v>1</v>
      </c>
      <c r="P4046" s="8" t="b">
        <f>AND(TrafficData[[#This Row],[pendingCourt]]&lt;=TrafficData[[#This Row],[totalCourt]],TrafficData[[#This Row],[disposedCourt]]&lt;=TrafficData[[#This Row],[totalCourt]])</f>
        <v>1</v>
      </c>
    </row>
    <row r="4047" spans="1:16">
      <c r="A4047" s="1">
        <v>46051</v>
      </c>
      <c r="B4047">
        <v>287230</v>
      </c>
      <c r="C4047">
        <v>42951</v>
      </c>
      <c r="D4047">
        <v>244279</v>
      </c>
      <c r="E4047">
        <v>464996692</v>
      </c>
      <c r="F4047">
        <v>77004537</v>
      </c>
      <c r="G4047">
        <v>542001229</v>
      </c>
      <c r="H4047">
        <v>21686</v>
      </c>
      <c r="I4047">
        <v>433</v>
      </c>
      <c r="J4047">
        <v>22119</v>
      </c>
      <c r="K4047" t="b">
        <f>TrafficData[[#This Row],[disposedChallan]]+TrafficData[[#This Row],[pendingChallan]]=TrafficData[[#This Row],[totalChallan]]</f>
        <v>1</v>
      </c>
      <c r="L4047" t="b">
        <f>TrafficData[[#This Row],[pendingAmount]]+TrafficData[[#This Row],[disposedAmount]]=TrafficData[[#This Row],[totalAmount]]</f>
        <v>1</v>
      </c>
      <c r="M4047" t="b">
        <f>TrafficData[[#This Row],[pendingCourt]]+TrafficData[[#This Row],[disposedCourt]]=TrafficData[[#This Row],[totalCourt]]</f>
        <v>1</v>
      </c>
      <c r="N4047" s="8" t="b">
        <f>AND(TrafficData[[#This Row],[disposedChallan]]&lt;=TrafficData[[#This Row],[totalChallan]],TrafficData[[#This Row],[pendingChallan]]&lt;=TrafficData[[#This Row],[totalChallan]])</f>
        <v>1</v>
      </c>
      <c r="O4047" s="8" t="b">
        <f>AND(TrafficData[[#This Row],[pendingAmount]]&lt;=TrafficData[[#This Row],[totalAmount]],TrafficData[[#This Row],[disposedAmount]]&lt;=TrafficData[[#This Row],[totalAmount]])</f>
        <v>1</v>
      </c>
      <c r="P4047" s="8" t="b">
        <f>AND(TrafficData[[#This Row],[pendingCourt]]&lt;=TrafficData[[#This Row],[totalCourt]],TrafficData[[#This Row],[disposedCourt]]&lt;=TrafficData[[#This Row],[totalCourt]])</f>
        <v>1</v>
      </c>
    </row>
    <row r="4048" spans="1:16">
      <c r="A4048" s="1">
        <v>46052</v>
      </c>
      <c r="B4048">
        <v>272162</v>
      </c>
      <c r="C4048">
        <v>40686</v>
      </c>
      <c r="D4048">
        <v>231476</v>
      </c>
      <c r="E4048">
        <v>431335616</v>
      </c>
      <c r="F4048">
        <v>67045636</v>
      </c>
      <c r="G4048">
        <v>498381252</v>
      </c>
      <c r="H4048">
        <v>16824</v>
      </c>
      <c r="I4048">
        <v>338</v>
      </c>
      <c r="J4048">
        <v>17162</v>
      </c>
      <c r="K4048" t="b">
        <f>TrafficData[[#This Row],[disposedChallan]]+TrafficData[[#This Row],[pendingChallan]]=TrafficData[[#This Row],[totalChallan]]</f>
        <v>1</v>
      </c>
      <c r="L4048" t="b">
        <f>TrafficData[[#This Row],[pendingAmount]]+TrafficData[[#This Row],[disposedAmount]]=TrafficData[[#This Row],[totalAmount]]</f>
        <v>1</v>
      </c>
      <c r="M4048" t="b">
        <f>TrafficData[[#This Row],[pendingCourt]]+TrafficData[[#This Row],[disposedCourt]]=TrafficData[[#This Row],[totalCourt]]</f>
        <v>1</v>
      </c>
      <c r="N4048" s="8" t="b">
        <f>AND(TrafficData[[#This Row],[disposedChallan]]&lt;=TrafficData[[#This Row],[totalChallan]],TrafficData[[#This Row],[pendingChallan]]&lt;=TrafficData[[#This Row],[totalChallan]])</f>
        <v>1</v>
      </c>
      <c r="O4048" s="8" t="b">
        <f>AND(TrafficData[[#This Row],[pendingAmount]]&lt;=TrafficData[[#This Row],[totalAmount]],TrafficData[[#This Row],[disposedAmount]]&lt;=TrafficData[[#This Row],[totalAmount]])</f>
        <v>1</v>
      </c>
      <c r="P4048" s="8" t="b">
        <f>AND(TrafficData[[#This Row],[pendingCourt]]&lt;=TrafficData[[#This Row],[totalCourt]],TrafficData[[#This Row],[disposedCourt]]&lt;=TrafficData[[#This Row],[totalCourt]])</f>
        <v>1</v>
      </c>
    </row>
    <row r="4049" spans="1:16">
      <c r="A4049" s="1">
        <v>46053</v>
      </c>
      <c r="B4049">
        <v>253134</v>
      </c>
      <c r="C4049">
        <v>38090</v>
      </c>
      <c r="D4049">
        <v>215044</v>
      </c>
      <c r="E4049">
        <v>408853455</v>
      </c>
      <c r="F4049">
        <v>51144369</v>
      </c>
      <c r="G4049">
        <v>459997824</v>
      </c>
      <c r="H4049">
        <v>16837</v>
      </c>
      <c r="I4049">
        <v>377</v>
      </c>
      <c r="J4049">
        <v>17214</v>
      </c>
      <c r="K4049" t="b">
        <f>TrafficData[[#This Row],[disposedChallan]]+TrafficData[[#This Row],[pendingChallan]]=TrafficData[[#This Row],[totalChallan]]</f>
        <v>1</v>
      </c>
      <c r="L4049" t="b">
        <f>TrafficData[[#This Row],[pendingAmount]]+TrafficData[[#This Row],[disposedAmount]]=TrafficData[[#This Row],[totalAmount]]</f>
        <v>1</v>
      </c>
      <c r="M4049" t="b">
        <f>TrafficData[[#This Row],[pendingCourt]]+TrafficData[[#This Row],[disposedCourt]]=TrafficData[[#This Row],[totalCourt]]</f>
        <v>1</v>
      </c>
      <c r="N4049" s="8" t="b">
        <f>AND(TrafficData[[#This Row],[disposedChallan]]&lt;=TrafficData[[#This Row],[totalChallan]],TrafficData[[#This Row],[pendingChallan]]&lt;=TrafficData[[#This Row],[totalChallan]])</f>
        <v>1</v>
      </c>
      <c r="O4049" s="8" t="b">
        <f>AND(TrafficData[[#This Row],[pendingAmount]]&lt;=TrafficData[[#This Row],[totalAmount]],TrafficData[[#This Row],[disposedAmount]]&lt;=TrafficData[[#This Row],[totalAmount]])</f>
        <v>1</v>
      </c>
      <c r="P4049" s="8" t="b">
        <f>AND(TrafficData[[#This Row],[pendingCourt]]&lt;=TrafficData[[#This Row],[totalCourt]],TrafficData[[#This Row],[disposedCourt]]&lt;=TrafficData[[#This Row],[totalCourt]])</f>
        <v>1</v>
      </c>
    </row>
    <row r="4050" spans="1:16">
      <c r="A4050" s="1">
        <v>46054</v>
      </c>
      <c r="B4050">
        <v>224412</v>
      </c>
      <c r="C4050">
        <v>31372</v>
      </c>
      <c r="D4050">
        <v>193040</v>
      </c>
      <c r="E4050">
        <v>348526648</v>
      </c>
      <c r="F4050">
        <v>48097659</v>
      </c>
      <c r="G4050">
        <v>396624307</v>
      </c>
      <c r="H4050">
        <v>16179</v>
      </c>
      <c r="I4050">
        <v>294</v>
      </c>
      <c r="J4050">
        <v>16473</v>
      </c>
      <c r="K4050" t="b">
        <f>TrafficData[[#This Row],[disposedChallan]]+TrafficData[[#This Row],[pendingChallan]]=TrafficData[[#This Row],[totalChallan]]</f>
        <v>1</v>
      </c>
      <c r="L4050" t="b">
        <f>TrafficData[[#This Row],[pendingAmount]]+TrafficData[[#This Row],[disposedAmount]]=TrafficData[[#This Row],[totalAmount]]</f>
        <v>1</v>
      </c>
      <c r="M4050" t="b">
        <f>TrafficData[[#This Row],[pendingCourt]]+TrafficData[[#This Row],[disposedCourt]]=TrafficData[[#This Row],[totalCourt]]</f>
        <v>1</v>
      </c>
      <c r="N4050" s="8" t="b">
        <f>AND(TrafficData[[#This Row],[disposedChallan]]&lt;=TrafficData[[#This Row],[totalChallan]],TrafficData[[#This Row],[pendingChallan]]&lt;=TrafficData[[#This Row],[totalChallan]])</f>
        <v>1</v>
      </c>
      <c r="O4050" s="8" t="b">
        <f>AND(TrafficData[[#This Row],[pendingAmount]]&lt;=TrafficData[[#This Row],[totalAmount]],TrafficData[[#This Row],[disposedAmount]]&lt;=TrafficData[[#This Row],[totalAmount]])</f>
        <v>1</v>
      </c>
      <c r="P4050" s="8" t="b">
        <f>AND(TrafficData[[#This Row],[pendingCourt]]&lt;=TrafficData[[#This Row],[totalCourt]],TrafficData[[#This Row],[disposedCourt]]&lt;=TrafficData[[#This Row],[totalCourt]])</f>
        <v>1</v>
      </c>
    </row>
    <row r="4051" spans="1:16">
      <c r="A4051" s="1">
        <v>46055</v>
      </c>
      <c r="B4051">
        <v>262525</v>
      </c>
      <c r="C4051">
        <v>38884</v>
      </c>
      <c r="D4051">
        <v>223641</v>
      </c>
      <c r="E4051">
        <v>440925959</v>
      </c>
      <c r="F4051">
        <v>79833695</v>
      </c>
      <c r="G4051">
        <v>520759654</v>
      </c>
      <c r="H4051">
        <v>20824</v>
      </c>
      <c r="I4051">
        <v>257</v>
      </c>
      <c r="J4051">
        <v>21081</v>
      </c>
      <c r="K4051" t="b">
        <f>TrafficData[[#This Row],[disposedChallan]]+TrafficData[[#This Row],[pendingChallan]]=TrafficData[[#This Row],[totalChallan]]</f>
        <v>1</v>
      </c>
      <c r="L4051" t="b">
        <f>TrafficData[[#This Row],[pendingAmount]]+TrafficData[[#This Row],[disposedAmount]]=TrafficData[[#This Row],[totalAmount]]</f>
        <v>1</v>
      </c>
      <c r="M4051" t="b">
        <f>TrafficData[[#This Row],[pendingCourt]]+TrafficData[[#This Row],[disposedCourt]]=TrafficData[[#This Row],[totalCourt]]</f>
        <v>1</v>
      </c>
      <c r="N4051" s="8" t="b">
        <f>AND(TrafficData[[#This Row],[disposedChallan]]&lt;=TrafficData[[#This Row],[totalChallan]],TrafficData[[#This Row],[pendingChallan]]&lt;=TrafficData[[#This Row],[totalChallan]])</f>
        <v>1</v>
      </c>
      <c r="O4051" s="8" t="b">
        <f>AND(TrafficData[[#This Row],[pendingAmount]]&lt;=TrafficData[[#This Row],[totalAmount]],TrafficData[[#This Row],[disposedAmount]]&lt;=TrafficData[[#This Row],[totalAmount]])</f>
        <v>1</v>
      </c>
      <c r="P4051" s="8" t="b">
        <f>AND(TrafficData[[#This Row],[pendingCourt]]&lt;=TrafficData[[#This Row],[totalCourt]],TrafficData[[#This Row],[disposedCourt]]&lt;=TrafficData[[#This Row],[totalCourt]])</f>
        <v>1</v>
      </c>
    </row>
    <row r="4052" spans="1:16">
      <c r="A4052" s="1">
        <v>46056</v>
      </c>
      <c r="B4052">
        <v>266069</v>
      </c>
      <c r="C4052">
        <v>38259</v>
      </c>
      <c r="D4052">
        <v>227810</v>
      </c>
      <c r="E4052">
        <v>449894967</v>
      </c>
      <c r="F4052">
        <v>88118089</v>
      </c>
      <c r="G4052">
        <v>538013056</v>
      </c>
      <c r="H4052">
        <v>22078</v>
      </c>
      <c r="I4052">
        <v>285</v>
      </c>
      <c r="J4052">
        <v>22363</v>
      </c>
      <c r="K4052" t="b">
        <f>TrafficData[[#This Row],[disposedChallan]]+TrafficData[[#This Row],[pendingChallan]]=TrafficData[[#This Row],[totalChallan]]</f>
        <v>1</v>
      </c>
      <c r="L4052" t="b">
        <f>TrafficData[[#This Row],[pendingAmount]]+TrafficData[[#This Row],[disposedAmount]]=TrafficData[[#This Row],[totalAmount]]</f>
        <v>1</v>
      </c>
      <c r="M4052" t="b">
        <f>TrafficData[[#This Row],[pendingCourt]]+TrafficData[[#This Row],[disposedCourt]]=TrafficData[[#This Row],[totalCourt]]</f>
        <v>1</v>
      </c>
      <c r="N4052" s="8" t="b">
        <f>AND(TrafficData[[#This Row],[disposedChallan]]&lt;=TrafficData[[#This Row],[totalChallan]],TrafficData[[#This Row],[pendingChallan]]&lt;=TrafficData[[#This Row],[totalChallan]])</f>
        <v>1</v>
      </c>
      <c r="O4052" s="8" t="b">
        <f>AND(TrafficData[[#This Row],[pendingAmount]]&lt;=TrafficData[[#This Row],[totalAmount]],TrafficData[[#This Row],[disposedAmount]]&lt;=TrafficData[[#This Row],[totalAmount]])</f>
        <v>1</v>
      </c>
      <c r="P4052" s="8" t="b">
        <f>AND(TrafficData[[#This Row],[pendingCourt]]&lt;=TrafficData[[#This Row],[totalCourt]],TrafficData[[#This Row],[disposedCourt]]&lt;=TrafficData[[#This Row],[totalCourt]])</f>
        <v>1</v>
      </c>
    </row>
    <row r="4053" spans="1:16">
      <c r="A4053" s="1">
        <v>46057</v>
      </c>
      <c r="B4053">
        <v>268438</v>
      </c>
      <c r="C4053">
        <v>36725</v>
      </c>
      <c r="D4053">
        <v>231713</v>
      </c>
      <c r="E4053">
        <v>453592893</v>
      </c>
      <c r="F4053">
        <v>81669231</v>
      </c>
      <c r="G4053">
        <v>535262124</v>
      </c>
      <c r="H4053">
        <v>20679</v>
      </c>
      <c r="I4053">
        <v>286</v>
      </c>
      <c r="J4053">
        <v>20965</v>
      </c>
      <c r="K4053" t="b">
        <f>TrafficData[[#This Row],[disposedChallan]]+TrafficData[[#This Row],[pendingChallan]]=TrafficData[[#This Row],[totalChallan]]</f>
        <v>1</v>
      </c>
      <c r="L4053" t="b">
        <f>TrafficData[[#This Row],[pendingAmount]]+TrafficData[[#This Row],[disposedAmount]]=TrafficData[[#This Row],[totalAmount]]</f>
        <v>1</v>
      </c>
      <c r="M4053" t="b">
        <f>TrafficData[[#This Row],[pendingCourt]]+TrafficData[[#This Row],[disposedCourt]]=TrafficData[[#This Row],[totalCourt]]</f>
        <v>1</v>
      </c>
      <c r="N4053" s="8" t="b">
        <f>AND(TrafficData[[#This Row],[disposedChallan]]&lt;=TrafficData[[#This Row],[totalChallan]],TrafficData[[#This Row],[pendingChallan]]&lt;=TrafficData[[#This Row],[totalChallan]])</f>
        <v>1</v>
      </c>
      <c r="O4053" s="8" t="b">
        <f>AND(TrafficData[[#This Row],[pendingAmount]]&lt;=TrafficData[[#This Row],[totalAmount]],TrafficData[[#This Row],[disposedAmount]]&lt;=TrafficData[[#This Row],[totalAmount]])</f>
        <v>1</v>
      </c>
      <c r="P4053" s="8" t="b">
        <f>AND(TrafficData[[#This Row],[pendingCourt]]&lt;=TrafficData[[#This Row],[totalCourt]],TrafficData[[#This Row],[disposedCourt]]&lt;=TrafficData[[#This Row],[totalCourt]])</f>
        <v>1</v>
      </c>
    </row>
    <row r="4054" spans="1:16">
      <c r="A4054" s="1">
        <v>46058</v>
      </c>
      <c r="B4054">
        <v>268447</v>
      </c>
      <c r="C4054">
        <v>37351</v>
      </c>
      <c r="D4054">
        <v>231096</v>
      </c>
      <c r="E4054">
        <v>462030965</v>
      </c>
      <c r="F4054">
        <v>86806096</v>
      </c>
      <c r="G4054">
        <v>548837061</v>
      </c>
      <c r="H4054">
        <v>19864</v>
      </c>
      <c r="I4054">
        <v>223</v>
      </c>
      <c r="J4054">
        <v>20087</v>
      </c>
      <c r="K4054" t="b">
        <f>TrafficData[[#This Row],[disposedChallan]]+TrafficData[[#This Row],[pendingChallan]]=TrafficData[[#This Row],[totalChallan]]</f>
        <v>1</v>
      </c>
      <c r="L4054" t="b">
        <f>TrafficData[[#This Row],[pendingAmount]]+TrafficData[[#This Row],[disposedAmount]]=TrafficData[[#This Row],[totalAmount]]</f>
        <v>1</v>
      </c>
      <c r="M4054" t="b">
        <f>TrafficData[[#This Row],[pendingCourt]]+TrafficData[[#This Row],[disposedCourt]]=TrafficData[[#This Row],[totalCourt]]</f>
        <v>1</v>
      </c>
      <c r="N4054" s="8" t="b">
        <f>AND(TrafficData[[#This Row],[disposedChallan]]&lt;=TrafficData[[#This Row],[totalChallan]],TrafficData[[#This Row],[pendingChallan]]&lt;=TrafficData[[#This Row],[totalChallan]])</f>
        <v>1</v>
      </c>
      <c r="O4054" s="8" t="b">
        <f>AND(TrafficData[[#This Row],[pendingAmount]]&lt;=TrafficData[[#This Row],[totalAmount]],TrafficData[[#This Row],[disposedAmount]]&lt;=TrafficData[[#This Row],[totalAmount]])</f>
        <v>1</v>
      </c>
      <c r="P4054" s="8" t="b">
        <f>AND(TrafficData[[#This Row],[pendingCourt]]&lt;=TrafficData[[#This Row],[totalCourt]],TrafficData[[#This Row],[disposedCourt]]&lt;=TrafficData[[#This Row],[totalCourt]])</f>
        <v>1</v>
      </c>
    </row>
    <row r="4055" spans="1:16">
      <c r="A4055" s="1">
        <v>46059</v>
      </c>
      <c r="B4055">
        <v>256490</v>
      </c>
      <c r="C4055">
        <v>34604</v>
      </c>
      <c r="D4055">
        <v>221886</v>
      </c>
      <c r="E4055">
        <v>437436457</v>
      </c>
      <c r="F4055">
        <v>82065754</v>
      </c>
      <c r="G4055">
        <v>519502211</v>
      </c>
      <c r="H4055">
        <v>19800</v>
      </c>
      <c r="I4055">
        <v>176</v>
      </c>
      <c r="J4055">
        <v>19976</v>
      </c>
      <c r="K4055" t="b">
        <f>TrafficData[[#This Row],[disposedChallan]]+TrafficData[[#This Row],[pendingChallan]]=TrafficData[[#This Row],[totalChallan]]</f>
        <v>1</v>
      </c>
      <c r="L4055" t="b">
        <f>TrafficData[[#This Row],[pendingAmount]]+TrafficData[[#This Row],[disposedAmount]]=TrafficData[[#This Row],[totalAmount]]</f>
        <v>1</v>
      </c>
      <c r="M4055" t="b">
        <f>TrafficData[[#This Row],[pendingCourt]]+TrafficData[[#This Row],[disposedCourt]]=TrafficData[[#This Row],[totalCourt]]</f>
        <v>1</v>
      </c>
      <c r="N4055" s="8" t="b">
        <f>AND(TrafficData[[#This Row],[disposedChallan]]&lt;=TrafficData[[#This Row],[totalChallan]],TrafficData[[#This Row],[pendingChallan]]&lt;=TrafficData[[#This Row],[totalChallan]])</f>
        <v>1</v>
      </c>
      <c r="O4055" s="8" t="b">
        <f>AND(TrafficData[[#This Row],[pendingAmount]]&lt;=TrafficData[[#This Row],[totalAmount]],TrafficData[[#This Row],[disposedAmount]]&lt;=TrafficData[[#This Row],[totalAmount]])</f>
        <v>1</v>
      </c>
      <c r="P4055" s="8" t="b">
        <f>AND(TrafficData[[#This Row],[pendingCourt]]&lt;=TrafficData[[#This Row],[totalCourt]],TrafficData[[#This Row],[disposedCourt]]&lt;=TrafficData[[#This Row],[totalCourt]])</f>
        <v>1</v>
      </c>
    </row>
    <row r="4056" spans="1:16">
      <c r="A4056" s="1">
        <v>46060</v>
      </c>
      <c r="B4056">
        <v>252749</v>
      </c>
      <c r="C4056">
        <v>35620</v>
      </c>
      <c r="D4056">
        <v>217129</v>
      </c>
      <c r="E4056">
        <v>423543508</v>
      </c>
      <c r="F4056">
        <v>70864741</v>
      </c>
      <c r="G4056">
        <v>494408249</v>
      </c>
      <c r="H4056">
        <v>18328</v>
      </c>
      <c r="I4056">
        <v>215</v>
      </c>
      <c r="J4056">
        <v>18543</v>
      </c>
      <c r="K4056" t="b">
        <f>TrafficData[[#This Row],[disposedChallan]]+TrafficData[[#This Row],[pendingChallan]]=TrafficData[[#This Row],[totalChallan]]</f>
        <v>1</v>
      </c>
      <c r="L4056" t="b">
        <f>TrafficData[[#This Row],[pendingAmount]]+TrafficData[[#This Row],[disposedAmount]]=TrafficData[[#This Row],[totalAmount]]</f>
        <v>1</v>
      </c>
      <c r="M4056" t="b">
        <f>TrafficData[[#This Row],[pendingCourt]]+TrafficData[[#This Row],[disposedCourt]]=TrafficData[[#This Row],[totalCourt]]</f>
        <v>1</v>
      </c>
      <c r="N4056" s="8" t="b">
        <f>AND(TrafficData[[#This Row],[disposedChallan]]&lt;=TrafficData[[#This Row],[totalChallan]],TrafficData[[#This Row],[pendingChallan]]&lt;=TrafficData[[#This Row],[totalChallan]])</f>
        <v>1</v>
      </c>
      <c r="O4056" s="8" t="b">
        <f>AND(TrafficData[[#This Row],[pendingAmount]]&lt;=TrafficData[[#This Row],[totalAmount]],TrafficData[[#This Row],[disposedAmount]]&lt;=TrafficData[[#This Row],[totalAmount]])</f>
        <v>1</v>
      </c>
      <c r="P4056" s="8" t="b">
        <f>AND(TrafficData[[#This Row],[pendingCourt]]&lt;=TrafficData[[#This Row],[totalCourt]],TrafficData[[#This Row],[disposedCourt]]&lt;=TrafficData[[#This Row],[totalCourt]])</f>
        <v>1</v>
      </c>
    </row>
    <row r="4057" spans="1:16">
      <c r="A4057" s="1">
        <v>46061</v>
      </c>
      <c r="B4057">
        <v>221014</v>
      </c>
      <c r="C4057">
        <v>28665</v>
      </c>
      <c r="D4057">
        <v>192349</v>
      </c>
      <c r="E4057">
        <v>349366595</v>
      </c>
      <c r="F4057">
        <v>47593442</v>
      </c>
      <c r="G4057">
        <v>396960037</v>
      </c>
      <c r="H4057">
        <v>14924</v>
      </c>
      <c r="I4057">
        <v>109</v>
      </c>
      <c r="J4057">
        <v>15033</v>
      </c>
      <c r="K4057" t="b">
        <f>TrafficData[[#This Row],[disposedChallan]]+TrafficData[[#This Row],[pendingChallan]]=TrafficData[[#This Row],[totalChallan]]</f>
        <v>1</v>
      </c>
      <c r="L4057" t="b">
        <f>TrafficData[[#This Row],[pendingAmount]]+TrafficData[[#This Row],[disposedAmount]]=TrafficData[[#This Row],[totalAmount]]</f>
        <v>1</v>
      </c>
      <c r="M4057" t="b">
        <f>TrafficData[[#This Row],[pendingCourt]]+TrafficData[[#This Row],[disposedCourt]]=TrafficData[[#This Row],[totalCourt]]</f>
        <v>1</v>
      </c>
      <c r="N4057" s="8" t="b">
        <f>AND(TrafficData[[#This Row],[disposedChallan]]&lt;=TrafficData[[#This Row],[totalChallan]],TrafficData[[#This Row],[pendingChallan]]&lt;=TrafficData[[#This Row],[totalChallan]])</f>
        <v>1</v>
      </c>
      <c r="O4057" s="8" t="b">
        <f>AND(TrafficData[[#This Row],[pendingAmount]]&lt;=TrafficData[[#This Row],[totalAmount]],TrafficData[[#This Row],[disposedAmount]]&lt;=TrafficData[[#This Row],[totalAmount]])</f>
        <v>1</v>
      </c>
      <c r="P4057" s="8" t="b">
        <f>AND(TrafficData[[#This Row],[pendingCourt]]&lt;=TrafficData[[#This Row],[totalCourt]],TrafficData[[#This Row],[disposedCourt]]&lt;=TrafficData[[#This Row],[totalCourt]])</f>
        <v>1</v>
      </c>
    </row>
    <row r="4058" spans="1:16">
      <c r="A4058" s="1">
        <v>46062</v>
      </c>
      <c r="B4058">
        <v>242251</v>
      </c>
      <c r="C4058">
        <v>33045</v>
      </c>
      <c r="D4058">
        <v>209206</v>
      </c>
      <c r="E4058">
        <v>399248914</v>
      </c>
      <c r="F4058">
        <v>72117659</v>
      </c>
      <c r="G4058">
        <v>471366573</v>
      </c>
      <c r="H4058">
        <v>13240</v>
      </c>
      <c r="I4058">
        <v>107</v>
      </c>
      <c r="J4058">
        <v>13347</v>
      </c>
      <c r="K4058" t="b">
        <f>TrafficData[[#This Row],[disposedChallan]]+TrafficData[[#This Row],[pendingChallan]]=TrafficData[[#This Row],[totalChallan]]</f>
        <v>1</v>
      </c>
      <c r="L4058" t="b">
        <f>TrafficData[[#This Row],[pendingAmount]]+TrafficData[[#This Row],[disposedAmount]]=TrafficData[[#This Row],[totalAmount]]</f>
        <v>1</v>
      </c>
      <c r="M4058" t="b">
        <f>TrafficData[[#This Row],[pendingCourt]]+TrafficData[[#This Row],[disposedCourt]]=TrafficData[[#This Row],[totalCourt]]</f>
        <v>1</v>
      </c>
      <c r="N4058" s="8" t="b">
        <f>AND(TrafficData[[#This Row],[disposedChallan]]&lt;=TrafficData[[#This Row],[totalChallan]],TrafficData[[#This Row],[pendingChallan]]&lt;=TrafficData[[#This Row],[totalChallan]])</f>
        <v>1</v>
      </c>
      <c r="O4058" s="8" t="b">
        <f>AND(TrafficData[[#This Row],[pendingAmount]]&lt;=TrafficData[[#This Row],[totalAmount]],TrafficData[[#This Row],[disposedAmount]]&lt;=TrafficData[[#This Row],[totalAmount]])</f>
        <v>1</v>
      </c>
      <c r="P4058" s="8" t="b">
        <f>AND(TrafficData[[#This Row],[pendingCourt]]&lt;=TrafficData[[#This Row],[totalCourt]],TrafficData[[#This Row],[disposedCourt]]&lt;=TrafficData[[#This Row],[totalCourt]])</f>
        <v>1</v>
      </c>
    </row>
    <row r="4059" spans="1:16">
      <c r="A4059" s="1">
        <v>46063</v>
      </c>
      <c r="B4059">
        <v>235459</v>
      </c>
      <c r="C4059">
        <v>30908</v>
      </c>
      <c r="D4059">
        <v>204551</v>
      </c>
      <c r="E4059">
        <v>409291982</v>
      </c>
      <c r="F4059">
        <v>75390316</v>
      </c>
      <c r="G4059">
        <v>484682298</v>
      </c>
      <c r="H4059">
        <v>13867</v>
      </c>
      <c r="I4059">
        <v>86</v>
      </c>
      <c r="J4059">
        <v>13953</v>
      </c>
      <c r="K4059" t="b">
        <f>TrafficData[[#This Row],[disposedChallan]]+TrafficData[[#This Row],[pendingChallan]]=TrafficData[[#This Row],[totalChallan]]</f>
        <v>1</v>
      </c>
      <c r="L4059" t="b">
        <f>TrafficData[[#This Row],[pendingAmount]]+TrafficData[[#This Row],[disposedAmount]]=TrafficData[[#This Row],[totalAmount]]</f>
        <v>1</v>
      </c>
      <c r="M4059" t="b">
        <f>TrafficData[[#This Row],[pendingCourt]]+TrafficData[[#This Row],[disposedCourt]]=TrafficData[[#This Row],[totalCourt]]</f>
        <v>1</v>
      </c>
      <c r="N4059" s="8" t="b">
        <f>AND(TrafficData[[#This Row],[disposedChallan]]&lt;=TrafficData[[#This Row],[totalChallan]],TrafficData[[#This Row],[pendingChallan]]&lt;=TrafficData[[#This Row],[totalChallan]])</f>
        <v>1</v>
      </c>
      <c r="O4059" s="8" t="b">
        <f>AND(TrafficData[[#This Row],[pendingAmount]]&lt;=TrafficData[[#This Row],[totalAmount]],TrafficData[[#This Row],[disposedAmount]]&lt;=TrafficData[[#This Row],[totalAmount]])</f>
        <v>1</v>
      </c>
      <c r="P4059" s="8" t="b">
        <f>AND(TrafficData[[#This Row],[pendingCourt]]&lt;=TrafficData[[#This Row],[totalCourt]],TrafficData[[#This Row],[disposedCourt]]&lt;=TrafficData[[#This Row],[totalCourt]])</f>
        <v>1</v>
      </c>
    </row>
    <row r="4060" spans="1:16">
      <c r="A4060" s="1">
        <v>46064</v>
      </c>
      <c r="B4060">
        <v>234315</v>
      </c>
      <c r="C4060">
        <v>31543</v>
      </c>
      <c r="D4060">
        <v>202772</v>
      </c>
      <c r="E4060">
        <v>405939091</v>
      </c>
      <c r="F4060">
        <v>73253910</v>
      </c>
      <c r="G4060">
        <v>479193001</v>
      </c>
      <c r="H4060">
        <v>13760</v>
      </c>
      <c r="I4060">
        <v>44</v>
      </c>
      <c r="J4060">
        <v>13804</v>
      </c>
      <c r="K4060" t="b">
        <f>TrafficData[[#This Row],[disposedChallan]]+TrafficData[[#This Row],[pendingChallan]]=TrafficData[[#This Row],[totalChallan]]</f>
        <v>1</v>
      </c>
      <c r="L4060" t="b">
        <f>TrafficData[[#This Row],[pendingAmount]]+TrafficData[[#This Row],[disposedAmount]]=TrafficData[[#This Row],[totalAmount]]</f>
        <v>1</v>
      </c>
      <c r="M4060" t="b">
        <f>TrafficData[[#This Row],[pendingCourt]]+TrafficData[[#This Row],[disposedCourt]]=TrafficData[[#This Row],[totalCourt]]</f>
        <v>1</v>
      </c>
      <c r="N4060" s="8" t="b">
        <f>AND(TrafficData[[#This Row],[disposedChallan]]&lt;=TrafficData[[#This Row],[totalChallan]],TrafficData[[#This Row],[pendingChallan]]&lt;=TrafficData[[#This Row],[totalChallan]])</f>
        <v>1</v>
      </c>
      <c r="O4060" s="8" t="b">
        <f>AND(TrafficData[[#This Row],[pendingAmount]]&lt;=TrafficData[[#This Row],[totalAmount]],TrafficData[[#This Row],[disposedAmount]]&lt;=TrafficData[[#This Row],[totalAmount]])</f>
        <v>1</v>
      </c>
      <c r="P4060" s="8" t="b">
        <f>AND(TrafficData[[#This Row],[pendingCourt]]&lt;=TrafficData[[#This Row],[totalCourt]],TrafficData[[#This Row],[disposedCourt]]&lt;=TrafficData[[#This Row],[totalCourt]])</f>
        <v>1</v>
      </c>
    </row>
    <row r="4061" spans="1:16">
      <c r="A4061" s="1">
        <v>46065</v>
      </c>
      <c r="B4061">
        <v>185594</v>
      </c>
      <c r="C4061">
        <v>24278</v>
      </c>
      <c r="D4061">
        <v>161316</v>
      </c>
      <c r="E4061">
        <v>307489891</v>
      </c>
      <c r="F4061">
        <v>54353608</v>
      </c>
      <c r="G4061">
        <v>361843499</v>
      </c>
      <c r="H4061">
        <v>8896</v>
      </c>
      <c r="I4061">
        <v>16</v>
      </c>
      <c r="J4061">
        <v>8912</v>
      </c>
      <c r="K4061" t="b">
        <f>TrafficData[[#This Row],[disposedChallan]]+TrafficData[[#This Row],[pendingChallan]]=TrafficData[[#This Row],[totalChallan]]</f>
        <v>1</v>
      </c>
      <c r="L4061" t="b">
        <f>TrafficData[[#This Row],[pendingAmount]]+TrafficData[[#This Row],[disposedAmount]]=TrafficData[[#This Row],[totalAmount]]</f>
        <v>1</v>
      </c>
      <c r="M4061" t="b">
        <f>TrafficData[[#This Row],[pendingCourt]]+TrafficData[[#This Row],[disposedCourt]]=TrafficData[[#This Row],[totalCourt]]</f>
        <v>1</v>
      </c>
      <c r="N4061" s="8" t="b">
        <f>AND(TrafficData[[#This Row],[disposedChallan]]&lt;=TrafficData[[#This Row],[totalChallan]],TrafficData[[#This Row],[pendingChallan]]&lt;=TrafficData[[#This Row],[totalChallan]])</f>
        <v>1</v>
      </c>
      <c r="O4061" s="8" t="b">
        <f>AND(TrafficData[[#This Row],[pendingAmount]]&lt;=TrafficData[[#This Row],[totalAmount]],TrafficData[[#This Row],[disposedAmount]]&lt;=TrafficData[[#This Row],[totalAmount]])</f>
        <v>1</v>
      </c>
      <c r="P4061" s="8" t="b">
        <f>AND(TrafficData[[#This Row],[pendingCourt]]&lt;=TrafficData[[#This Row],[totalCourt]],TrafficData[[#This Row],[disposedCourt]]&lt;=TrafficData[[#This Row],[totalCourt]])</f>
        <v>1</v>
      </c>
    </row>
    <row r="4062" spans="1:16">
      <c r="A4062" s="1">
        <v>46066</v>
      </c>
      <c r="B4062">
        <v>5990</v>
      </c>
      <c r="C4062">
        <v>81</v>
      </c>
      <c r="D4062">
        <v>5909</v>
      </c>
      <c r="E4062">
        <v>16886196</v>
      </c>
      <c r="F4062">
        <v>113550</v>
      </c>
      <c r="G4062">
        <v>16999746</v>
      </c>
      <c r="H4062">
        <v>30</v>
      </c>
      <c r="I4062">
        <v>0</v>
      </c>
      <c r="J4062">
        <v>30</v>
      </c>
      <c r="K4062" t="b">
        <f>TrafficData[[#This Row],[disposedChallan]]+TrafficData[[#This Row],[pendingChallan]]=TrafficData[[#This Row],[totalChallan]]</f>
        <v>1</v>
      </c>
      <c r="L4062" t="b">
        <f>TrafficData[[#This Row],[pendingAmount]]+TrafficData[[#This Row],[disposedAmount]]=TrafficData[[#This Row],[totalAmount]]</f>
        <v>1</v>
      </c>
      <c r="M4062" t="b">
        <f>TrafficData[[#This Row],[pendingCourt]]+TrafficData[[#This Row],[disposedCourt]]=TrafficData[[#This Row],[totalCourt]]</f>
        <v>1</v>
      </c>
      <c r="N4062" s="8" t="b">
        <f>AND(TrafficData[[#This Row],[disposedChallan]]&lt;=TrafficData[[#This Row],[totalChallan]],TrafficData[[#This Row],[pendingChallan]]&lt;=TrafficData[[#This Row],[totalChallan]])</f>
        <v>1</v>
      </c>
      <c r="O4062" s="8" t="b">
        <f>AND(TrafficData[[#This Row],[pendingAmount]]&lt;=TrafficData[[#This Row],[totalAmount]],TrafficData[[#This Row],[disposedAmount]]&lt;=TrafficData[[#This Row],[totalAmount]])</f>
        <v>1</v>
      </c>
      <c r="P4062" s="8" t="b">
        <f>AND(TrafficData[[#This Row],[pendingCourt]]&lt;=TrafficData[[#This Row],[totalCourt]],TrafficData[[#This Row],[disposedCourt]]&lt;=TrafficData[[#This Row],[totalCourt]])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03DC-B2FA-46C1-99C7-64CD315EFA8B}">
  <dimension ref="A1:E11"/>
  <sheetViews>
    <sheetView workbookViewId="0">
      <selection activeCell="D11" sqref="D11"/>
    </sheetView>
  </sheetViews>
  <sheetFormatPr defaultRowHeight="14.4"/>
  <cols>
    <col min="3" max="3" width="8.33203125" bestFit="1" customWidth="1"/>
    <col min="4" max="4" width="10.33203125" bestFit="1" customWidth="1"/>
    <col min="5" max="5" width="23.109375" bestFit="1" customWidth="1"/>
  </cols>
  <sheetData>
    <row r="1" spans="1:5" ht="28.8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ht="72">
      <c r="A2" s="5" t="s">
        <v>0</v>
      </c>
      <c r="B2" s="4" t="s">
        <v>15</v>
      </c>
      <c r="C2" s="4" t="s">
        <v>16</v>
      </c>
      <c r="D2" s="6">
        <v>42005</v>
      </c>
      <c r="E2" s="10" t="s">
        <v>35</v>
      </c>
    </row>
    <row r="3" spans="1:5" ht="72">
      <c r="A3" s="5" t="s">
        <v>1</v>
      </c>
      <c r="B3" s="4" t="s">
        <v>18</v>
      </c>
      <c r="C3" s="4" t="s">
        <v>19</v>
      </c>
      <c r="D3" s="2">
        <v>120</v>
      </c>
      <c r="E3" s="4" t="s">
        <v>17</v>
      </c>
    </row>
    <row r="4" spans="1:5" ht="86.4">
      <c r="A4" s="5" t="s">
        <v>2</v>
      </c>
      <c r="B4" s="4" t="s">
        <v>20</v>
      </c>
      <c r="C4" s="4" t="s">
        <v>19</v>
      </c>
      <c r="D4" s="2">
        <v>29</v>
      </c>
      <c r="E4" s="4" t="s">
        <v>17</v>
      </c>
    </row>
    <row r="5" spans="1:5" ht="72">
      <c r="A5" s="5" t="s">
        <v>3</v>
      </c>
      <c r="B5" s="4" t="s">
        <v>21</v>
      </c>
      <c r="C5" s="4" t="s">
        <v>19</v>
      </c>
      <c r="D5" s="2">
        <v>91</v>
      </c>
      <c r="E5" s="4" t="s">
        <v>17</v>
      </c>
    </row>
    <row r="6" spans="1:5" ht="86.4">
      <c r="A6" s="5" t="s">
        <v>4</v>
      </c>
      <c r="B6" s="4" t="s">
        <v>22</v>
      </c>
      <c r="C6" s="4" t="s">
        <v>23</v>
      </c>
      <c r="D6" s="2">
        <v>588600</v>
      </c>
      <c r="E6" s="4" t="s">
        <v>17</v>
      </c>
    </row>
    <row r="7" spans="1:5" ht="86.4">
      <c r="A7" s="5" t="s">
        <v>5</v>
      </c>
      <c r="B7" s="4" t="s">
        <v>24</v>
      </c>
      <c r="C7" s="4" t="s">
        <v>23</v>
      </c>
      <c r="D7" s="2">
        <v>116860</v>
      </c>
      <c r="E7" s="4" t="s">
        <v>17</v>
      </c>
    </row>
    <row r="8" spans="1:5" ht="43.2">
      <c r="A8" s="5" t="s">
        <v>6</v>
      </c>
      <c r="B8" s="4" t="s">
        <v>25</v>
      </c>
      <c r="C8" s="4" t="s">
        <v>23</v>
      </c>
      <c r="D8" s="2">
        <v>705460</v>
      </c>
      <c r="E8" s="4" t="s">
        <v>17</v>
      </c>
    </row>
    <row r="9" spans="1:5" ht="72">
      <c r="A9" s="5" t="s">
        <v>7</v>
      </c>
      <c r="B9" s="4" t="s">
        <v>26</v>
      </c>
      <c r="C9" s="4" t="s">
        <v>19</v>
      </c>
      <c r="D9" s="2">
        <v>1</v>
      </c>
      <c r="E9" s="4" t="s">
        <v>17</v>
      </c>
    </row>
    <row r="10" spans="1:5" ht="72">
      <c r="A10" s="5" t="s">
        <v>8</v>
      </c>
      <c r="B10" s="4" t="s">
        <v>27</v>
      </c>
      <c r="C10" s="4" t="s">
        <v>19</v>
      </c>
      <c r="D10" s="2">
        <v>0</v>
      </c>
      <c r="E10" s="4" t="s">
        <v>17</v>
      </c>
    </row>
    <row r="11" spans="1:5" ht="57.6">
      <c r="A11" s="5" t="s">
        <v>9</v>
      </c>
      <c r="B11" s="4" t="s">
        <v>28</v>
      </c>
      <c r="C11" s="4" t="s">
        <v>19</v>
      </c>
      <c r="D11" s="2">
        <v>1</v>
      </c>
      <c r="E11" s="4" t="s">
        <v>17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7D79F8-7E9F-4EA0-8EAB-8E22D85ED8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TrafficData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kumari</dc:creator>
  <cp:lastModifiedBy>Sanjana kumari</cp:lastModifiedBy>
  <dcterms:created xsi:type="dcterms:W3CDTF">2026-09-22T05:30:21Z</dcterms:created>
  <dcterms:modified xsi:type="dcterms:W3CDTF">2026-09-22T07:35:36Z</dcterms:modified>
</cp:coreProperties>
</file>